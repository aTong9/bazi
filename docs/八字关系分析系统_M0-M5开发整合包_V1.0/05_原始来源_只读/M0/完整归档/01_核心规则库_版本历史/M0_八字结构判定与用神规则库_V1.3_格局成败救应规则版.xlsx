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worksheets/sheet4.xml" ContentType="application/vnd.openxmlformats-officedocument.spreadsheetml.worksheet+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worksheets/sheet14.xml" ContentType="application/vnd.openxmlformats-officedocument.spreadsheetml.worksheet+xml"/>
  <Override PartName="/xl/tables/table19.xml" ContentType="application/vnd.openxmlformats-officedocument.spreadsheetml.table+xml"/>
  <Override PartName="/xl/worksheets/sheet15.xml" ContentType="application/vnd.openxmlformats-officedocument.spreadsheetml.worksheet+xml"/>
  <Override PartName="/xl/tables/table20.xml" ContentType="application/vnd.openxmlformats-officedocument.spreadsheetml.table+xml"/>
  <Override PartName="/xl/worksheets/sheet16.xml" ContentType="application/vnd.openxmlformats-officedocument.spreadsheetml.worksheet+xml"/>
  <Override PartName="/xl/tables/table21.xml" ContentType="application/vnd.openxmlformats-officedocument.spreadsheetml.table+xml"/>
  <Override PartName="/xl/worksheets/sheet17.xml" ContentType="application/vnd.openxmlformats-officedocument.spreadsheetml.worksheet+xml"/>
  <Override PartName="/xl/tables/table22.xml" ContentType="application/vnd.openxmlformats-officedocument.spreadsheetml.table+xml"/>
  <Override PartName="/xl/worksheets/sheet18.xml" ContentType="application/vnd.openxmlformats-officedocument.spreadsheetml.worksheet+xml"/>
  <Override PartName="/xl/tables/table23.xml" ContentType="application/vnd.openxmlformats-officedocument.spreadsheetml.table+xml"/>
  <Override PartName="/xl/worksheets/sheet19.xml" ContentType="application/vnd.openxmlformats-officedocument.spreadsheetml.worksheet+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c3feccf1d9480d" /></Relationships>
</file>

<file path=xl/workbook.xml><?xml version="1.0" encoding="utf-8"?>
<x:workbook xmlns:x="http://schemas.openxmlformats.org/spreadsheetml/2006/main">
  <x:sheets>
    <x:sheet xmlns:r="http://schemas.openxmlformats.org/officeDocument/2006/relationships" name="00_使用说明" sheetId="1" r:id="R021d80a160624cca"/>
    <x:sheet xmlns:r="http://schemas.openxmlformats.org/officeDocument/2006/relationships" name="01_术语与编码" sheetId="2" r:id="R8d9bbeac2984441c"/>
    <x:sheet xmlns:r="http://schemas.openxmlformats.org/officeDocument/2006/relationships" name="02_干支藏干基础" sheetId="3" r:id="R9ccd77ac8cd9403a"/>
    <x:sheet xmlns:r="http://schemas.openxmlformats.org/officeDocument/2006/relationships" name="03_月令与根气" sheetId="4" r:id="Rb7533f6996eb4590"/>
    <x:sheet xmlns:r="http://schemas.openxmlformats.org/officeDocument/2006/relationships" name="04_天干作用识别" sheetId="5" r:id="Rdd243d4ab36f406f"/>
    <x:sheet xmlns:r="http://schemas.openxmlformats.org/officeDocument/2006/relationships" name="05_地支关系识别" sheetId="6" r:id="Re1d07d8e51004798"/>
    <x:sheet xmlns:r="http://schemas.openxmlformats.org/officeDocument/2006/relationships" name="06_干支关系效应" sheetId="7" r:id="R21e6b7ea717c47db"/>
    <x:sheet xmlns:r="http://schemas.openxmlformats.org/officeDocument/2006/relationships" name="07_五行原始旺衰" sheetId="8" r:id="R7a722128560e486a"/>
    <x:sheet xmlns:r="http://schemas.openxmlformats.org/officeDocument/2006/relationships" name="08_五行有效旺衰" sheetId="9" r:id="R59c1ab0d8e4a4614"/>
    <x:sheet xmlns:r="http://schemas.openxmlformats.org/officeDocument/2006/relationships" name="09_日主旺衰" sheetId="10" r:id="R4419ac443f504d90"/>
    <x:sheet xmlns:r="http://schemas.openxmlformats.org/officeDocument/2006/relationships" name="10_十神旺衰功能" sheetId="11" r:id="R60e44173c9974e3b"/>
    <x:sheet xmlns:r="http://schemas.openxmlformats.org/officeDocument/2006/relationships" name="11_十神组合成立" sheetId="12" r:id="R5765d45f03b74ae1"/>
    <x:sheet xmlns:r="http://schemas.openxmlformats.org/officeDocument/2006/relationships" name="12_五行流通卡点" sheetId="13" r:id="Rdc112a6a56564a64"/>
    <x:sheet xmlns:r="http://schemas.openxmlformats.org/officeDocument/2006/relationships" name="13_寒暖燥湿" sheetId="14" r:id="R8333a87329924957"/>
    <x:sheet xmlns:r="http://schemas.openxmlformats.org/officeDocument/2006/relationships" name="14_格局候选判断" sheetId="15" r:id="R627974d42e664181"/>
    <x:sheet xmlns:r="http://schemas.openxmlformats.org/officeDocument/2006/relationships" name="15_格局成败救应" sheetId="16" r:id="Rbe90aa0854db49f4"/>
    <x:sheet xmlns:r="http://schemas.openxmlformats.org/officeDocument/2006/relationships" name="16_病药模型" sheetId="17" r:id="R8db73c3ecef54488"/>
    <x:sheet xmlns:r="http://schemas.openxmlformats.org/officeDocument/2006/relationships" name="17_喜忌用神矩阵" sheetId="18" r:id="R8a40783bcb414e1e"/>
    <x:sheet xmlns:r="http://schemas.openxmlformats.org/officeDocument/2006/relationships" name="18_冲突裁决规则" sheetId="19" r:id="Rb954dd26cbee4e1b"/>
    <x:sheet xmlns:r="http://schemas.openxmlformats.org/officeDocument/2006/relationships" name="19_综合输出模板" sheetId="20" r:id="R7305af8a730d4d83"/>
    <x:sheet xmlns:r="http://schemas.openxmlformats.org/officeDocument/2006/relationships" name="20_案例测试" sheetId="21" r:id="R898ac083da64489c"/>
    <x:sheet xmlns:r="http://schemas.openxmlformats.org/officeDocument/2006/relationships" name="21_版本与争议规则" sheetId="22" r:id="R1c28003e99694605"/>
    <x:sheet xmlns:r="http://schemas.openxmlformats.org/officeDocument/2006/relationships" name="99_下拉选项" sheetId="23" r:id="R4b87f99354ff4fc1"/>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yyyy-mm-dd"/>
    <x:numFmt numFmtId="202" formatCode="0"/>
    <x:numFmt numFmtId="203" formatCode="0%"/>
    <x:numFmt numFmtId="204" formatCode="@"/>
  </x:numFmts>
  <x:fonts count="16">
    <x:font>
      <x:sz val="11"/>
      <x:name val="Carlito"/>
    </x:font>
    <x:font>
      <x:b/>
      <x:sz val="16"/>
      <x:color rgb="FFFFFFFF"/>
      <x:name val="Carlito"/>
    </x:font>
    <x:font>
      <x:sz val="11"/>
      <x:color rgb="FF172033"/>
      <x:name val="Carlito"/>
    </x:font>
    <x:font>
      <x:b/>
      <x:sz val="11"/>
      <x:color rgb="FFFFFFFF"/>
      <x:name val="Carlito"/>
    </x:font>
    <x:font>
      <x:b/>
      <x:sz val="15"/>
      <x:color rgb="FFFFFFFF"/>
      <x:name val="Carlito"/>
    </x:font>
    <x:font>
      <x:sz val="10"/>
      <x:color rgb="FF172033"/>
      <x:name val="Carlito"/>
    </x:font>
    <x:font>
      <x:sz val="9"/>
      <x:color rgb="FF115E59"/>
      <x:name val="Carlito"/>
    </x:font>
    <x:font>
      <x:i/>
      <x:sz val="9"/>
      <x:color rgb="FF7C5B00"/>
      <x:name val="Carlito"/>
    </x:font>
    <x:font>
      <x:b/>
      <x:sz val="9"/>
      <x:color rgb="FFFFFFFF"/>
      <x:name val="Carlito"/>
    </x:font>
    <x:font>
      <x:sz val="9"/>
      <x:color rgb="FF172033"/>
      <x:name val="Carlito"/>
    </x:font>
    <x:font>
      <x:i/>
      <x:sz val="11"/>
      <x:color rgb="FF7C5B00"/>
      <x:name val="Carlito"/>
    </x:font>
    <x:font>
      <x:sz val="9"/>
      <x:name val="Carlito"/>
    </x:font>
    <x:font>
      <x:b/>
      <x:sz val="17"/>
      <x:color rgb="FFFFFFFF"/>
      <x:name val="Carlito"/>
    </x:font>
    <x:font>
      <x:b/>
      <x:sz val="16"/>
      <x:color rgb="FF172033"/>
      <x:name val="Carlito"/>
    </x:font>
    <x:font>
      <x:b/>
      <x:sz val="9"/>
      <x:color rgb="FF115E59"/>
      <x:name val="Carlito"/>
    </x:font>
    <x:font>
      <x:b/>
      <x:sz val="9"/>
      <x:color rgb="FF172033"/>
      <x:name val="Carlito"/>
    </x:font>
  </x:fonts>
  <x:fills count="14">
    <x:fill>
      <x:patternFill patternType="none"/>
    </x:fill>
    <x:fill>
      <x:patternFill patternType="gray125"/>
    </x:fill>
    <x:fill>
      <x:patternFill patternType="solid">
        <x:fgColor rgb="FF172033"/>
      </x:patternFill>
    </x:fill>
    <x:fill>
      <x:patternFill patternType="solid">
        <x:fgColor rgb="FFFFF7D6"/>
      </x:patternFill>
    </x:fill>
    <x:fill>
      <x:patternFill patternType="solid">
        <x:fgColor rgb="FF334155"/>
      </x:patternFill>
    </x:fill>
    <x:fill>
      <x:patternFill patternType="solid">
        <x:fgColor rgb="FFEEF2F7"/>
      </x:patternFill>
    </x:fill>
    <x:fill>
      <x:patternFill patternType="solid">
        <x:fgColor rgb="FFE6FFFA"/>
      </x:patternFill>
    </x:fill>
    <x:fill>
      <x:patternFill patternType="solid">
        <x:fgColor rgb="FFE8F1FB"/>
      </x:patternFill>
    </x:fill>
    <x:fill>
      <x:patternFill patternType="solid">
        <x:fgColor rgb="FFF8FAFC"/>
      </x:patternFill>
    </x:fill>
    <x:fill>
      <x:patternFill patternType="solid">
        <x:fgColor rgb="FFFFF4CC"/>
      </x:patternFill>
    </x:fill>
    <x:fill>
      <x:patternFill patternType="solid">
        <x:fgColor rgb="FFFFFBEA"/>
      </x:patternFill>
    </x:fill>
    <x:fill>
      <x:patternFill patternType="solid">
        <x:fgColor rgb="FFECFDF5"/>
      </x:patternFill>
    </x:fill>
    <x:fill>
      <x:patternFill patternType="solid">
        <x:fgColor rgb="FFFFF1F2"/>
      </x:patternFill>
    </x:fill>
    <x:fill>
      <x:patternFill patternType="solid">
        <x:fgColor rgb="FF0F766E"/>
      </x:patternFill>
    </x:fill>
  </x:fills>
  <x:borders count="2">
    <x:border/>
    <x:border/>
  </x:borders>
  <x:cellStyleXfs count="1">
    <x:xf numFmtId="0" fontId="0" fillId="0" borderId="0"/>
  </x:cellStyleXfs>
  <x:cellXfs count="2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200" fontId="9" fillId="9" borderId="0" xfId="0" applyNumberFormat="1" applyFont="1" applyFill="1" applyBorder="1" applyAlignment="1">
      <x:alignment vertical="top" wrapText="1"/>
    </x:xf>
    <x:xf numFmtId="200" fontId="9" fillId="8" borderId="0" xfId="0" applyNumberFormat="1" applyFont="1" applyFill="1" applyBorder="1" applyAlignment="1">
      <x:alignment vertical="top" wrapText="1"/>
    </x:xf>
    <x:xf numFmtId="200" fontId="9" fillId="9" borderId="1" xfId="0" applyNumberFormat="1" applyFont="1" applyFill="1" applyBorder="1" applyAlignment="1">
      <x:alignment vertical="top" wrapText="1"/>
    </x:xf>
    <x:xf numFmtId="200" fontId="9" fillId="8"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1" xfId="0" applyNumberFormat="1" applyFont="1" applyFill="1" applyBorder="1" applyAlignment="1">
      <x:alignment vertical="top" wrapText="1"/>
    </x:xf>
    <x:xf numFmtId="201" fontId="9" fillId="9"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201" fontId="9" fillId="9" borderId="1" xfId="0" applyNumberFormat="1" applyFont="1" applyFill="1" applyBorder="1" applyAlignment="1">
      <x:alignment vertical="top" wrapText="1"/>
    </x:xf>
    <x:xf numFmtId="201" fontId="9" fillId="0" borderId="1"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vertical="center" wrapText="1"/>
    </x:xf>
    <x:xf numFmtId="202" fontId="9" fillId="0" borderId="0" xfId="0" applyNumberFormat="1" applyFont="1" applyFill="1" applyBorder="1" applyAlignment="1">
      <x:alignment vertical="top" wrapText="1"/>
    </x:xf>
    <x:xf numFmtId="202" fontId="9" fillId="0" borderId="1" xfId="0" applyNumberFormat="1" applyFont="1" applyFill="1" applyBorder="1" applyAlignment="1">
      <x:alignment vertical="top"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horizontal="center" wrapText="1"/>
    </x:xf>
    <x:xf numFmtId="0" fontId="8" fillId="13" borderId="0" xfId="0" applyNumberFormat="1" applyFont="1" applyFill="1" applyBorder="1" applyAlignment="1">
      <x:alignment horizontal="center" vertical="center" wrapText="1"/>
    </x:xf>
    <x:xf numFmtId="0" fontId="0" fillId="13" borderId="1" xfId="0" applyNumberFormat="1" applyFont="1" applyFill="1" applyBorder="1"/>
    <x:xf numFmtId="0" fontId="8" fillId="13" borderId="1" xfId="0" applyNumberFormat="1" applyFont="1" applyFill="1" applyBorder="1"/>
    <x:xf numFmtId="0" fontId="8" fillId="13" borderId="1" xfId="0" applyNumberFormat="1" applyFont="1" applyFill="1" applyBorder="1" applyAlignment="1">
      <x:alignment wrapText="1"/>
    </x:xf>
    <x:xf numFmtId="0" fontId="8" fillId="13" borderId="1" xfId="0" applyNumberFormat="1" applyFont="1" applyFill="1" applyBorder="1" applyAlignment="1">
      <x:alignment horizontal="center" wrapText="1"/>
    </x:xf>
    <x:xf numFmtId="0" fontId="8" fillId="13"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left"/>
    </x:xf>
    <x:xf numFmtId="0" fontId="12" fillId="2" borderId="0" xfId="0" applyNumberFormat="1" applyFont="1" applyFill="1" applyBorder="1" applyAlignment="1">
      <x:alignment horizontal="left" vertical="center"/>
    </x:xf>
    <x:xf numFmtId="0" fontId="12" fillId="2" borderId="1" xfId="0" applyNumberFormat="1" applyFont="1" applyFill="1" applyBorder="1"/>
    <x:xf numFmtId="0" fontId="12" fillId="2" borderId="1" xfId="0" applyNumberFormat="1" applyFont="1" applyFill="1" applyBorder="1" applyAlignment="1">
      <x:alignment horizontal="left"/>
    </x:xf>
    <x:xf numFmtId="0" fontId="12" fillId="2" borderId="1" xfId="0" applyNumberFormat="1" applyFont="1" applyFill="1" applyBorder="1" applyAlignment="1">
      <x:alignment horizontal="left" vertical="center"/>
    </x:xf>
    <x:xf numFmtId="0" fontId="8" fillId="13" borderId="0" xfId="0" applyNumberFormat="1" applyFont="1" applyFill="1" applyBorder="1" applyAlignment="1">
      <x:alignment horizontal="center"/>
    </x:xf>
    <x:xf numFmtId="0" fontId="8" fillId="13" borderId="0" xfId="0" applyNumberFormat="1" applyFont="1" applyFill="1" applyBorder="1" applyAlignment="1">
      <x:alignment horizontal="center" vertical="center"/>
    </x:xf>
    <x:xf numFmtId="0" fontId="8" fillId="13" borderId="1" xfId="0" applyNumberFormat="1" applyFont="1" applyFill="1" applyBorder="1" applyAlignment="1">
      <x:alignment horizontal="center"/>
    </x:xf>
    <x:xf numFmtId="0" fontId="8" fillId="13" borderId="1" xfId="0" applyNumberFormat="1" applyFont="1" applyFill="1" applyBorder="1" applyAlignment="1">
      <x:alignment horizontal="center" vertical="center"/>
    </x:xf>
    <x:xf numFmtId="0" fontId="0" fillId="8" borderId="0" xfId="0" applyNumberFormat="1" applyFont="1" applyFill="1" applyBorder="1"/>
    <x:xf numFmtId="0" fontId="13" fillId="8" borderId="0" xfId="0" applyNumberFormat="1" applyFont="1" applyFill="1" applyBorder="1"/>
    <x:xf numFmtId="202" fontId="13" fillId="8" borderId="0" xfId="0" applyNumberFormat="1" applyFont="1" applyFill="1" applyBorder="1"/>
    <x:xf numFmtId="202" fontId="13" fillId="8" borderId="0" xfId="0" applyNumberFormat="1" applyFont="1" applyFill="1" applyBorder="1" applyAlignment="1">
      <x:alignment horizontal="center"/>
    </x:xf>
    <x:xf numFmtId="202" fontId="13" fillId="8" borderId="0" xfId="0" applyNumberFormat="1" applyFont="1" applyFill="1" applyBorder="1" applyAlignment="1">
      <x:alignment horizontal="center" vertical="center"/>
    </x:xf>
    <x:xf numFmtId="0" fontId="0" fillId="8" borderId="1" xfId="0" applyNumberFormat="1" applyFont="1" applyFill="1" applyBorder="1"/>
    <x:xf numFmtId="0" fontId="13" fillId="8" borderId="1" xfId="0" applyNumberFormat="1" applyFont="1" applyFill="1" applyBorder="1"/>
    <x:xf numFmtId="202" fontId="13" fillId="8" borderId="1" xfId="0" applyNumberFormat="1" applyFont="1" applyFill="1" applyBorder="1"/>
    <x:xf numFmtId="202" fontId="13" fillId="8" borderId="1" xfId="0" applyNumberFormat="1" applyFont="1" applyFill="1" applyBorder="1" applyAlignment="1">
      <x:alignment horizontal="center"/>
    </x:xf>
    <x:xf numFmtId="202" fontId="13" fillId="8" borderId="1" xfId="0" applyNumberFormat="1" applyFont="1" applyFill="1" applyBorder="1" applyAlignment="1">
      <x:alignment horizontal="center" vertical="center"/>
    </x:xf>
    <x:xf numFmtId="203" fontId="13" fillId="8" borderId="0" xfId="0" applyNumberFormat="1" applyFont="1" applyFill="1" applyBorder="1"/>
    <x:xf numFmtId="203" fontId="13" fillId="8" borderId="0" xfId="0" applyNumberFormat="1" applyFont="1" applyFill="1" applyBorder="1" applyAlignment="1">
      <x:alignment horizontal="center"/>
    </x:xf>
    <x:xf numFmtId="203" fontId="13" fillId="8" borderId="0" xfId="0" applyNumberFormat="1" applyFont="1" applyFill="1" applyBorder="1" applyAlignment="1">
      <x:alignment horizontal="center" vertical="center"/>
    </x:xf>
    <x:xf numFmtId="203" fontId="13" fillId="8" borderId="1" xfId="0" applyNumberFormat="1" applyFont="1" applyFill="1" applyBorder="1"/>
    <x:xf numFmtId="203" fontId="13" fillId="8" borderId="1" xfId="0" applyNumberFormat="1" applyFont="1" applyFill="1" applyBorder="1" applyAlignment="1">
      <x:alignment horizontal="center"/>
    </x:xf>
    <x:xf numFmtId="203" fontId="13" fillId="8" borderId="1" xfId="0" applyNumberFormat="1" applyFont="1" applyFill="1" applyBorder="1" applyAlignment="1">
      <x:alignment horizontal="center" vertical="center"/>
    </x:xf>
    <x:xf numFmtId="204" fontId="13" fillId="8" borderId="0" xfId="0" applyNumberFormat="1" applyFont="1" applyFill="1" applyBorder="1"/>
    <x:xf numFmtId="204" fontId="13" fillId="8" borderId="0" xfId="0" applyNumberFormat="1" applyFont="1" applyFill="1" applyBorder="1" applyAlignment="1">
      <x:alignment horizontal="center"/>
    </x:xf>
    <x:xf numFmtId="204" fontId="13" fillId="8" borderId="0" xfId="0" applyNumberFormat="1" applyFont="1" applyFill="1" applyBorder="1" applyAlignment="1">
      <x:alignment horizontal="center" vertical="center"/>
    </x:xf>
    <x:xf numFmtId="204" fontId="13" fillId="8" borderId="1" xfId="0" applyNumberFormat="1" applyFont="1" applyFill="1" applyBorder="1"/>
    <x:xf numFmtId="204" fontId="13" fillId="8" borderId="1" xfId="0" applyNumberFormat="1" applyFont="1" applyFill="1" applyBorder="1" applyAlignment="1">
      <x:alignment horizontal="center"/>
    </x:xf>
    <x:xf numFmtId="204" fontId="13" fillId="8"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8" fillId="4" borderId="0" xfId="0" applyNumberFormat="1" applyFont="1" applyFill="1" applyBorder="1" applyAlignment="1">
      <x:alignment horizontal="left"/>
    </x:xf>
    <x:xf numFmtId="0" fontId="8" fillId="4" borderId="0" xfId="0" applyNumberFormat="1" applyFont="1" applyFill="1" applyBorder="1" applyAlignment="1">
      <x:alignment horizontal="left" vertical="center"/>
    </x:xf>
    <x:xf numFmtId="0" fontId="8" fillId="4" borderId="1" xfId="0" applyNumberFormat="1" applyFont="1" applyFill="1" applyBorder="1" applyAlignment="1">
      <x:alignment horizontal="left"/>
    </x:xf>
    <x:xf numFmtId="0" fontId="8" fillId="4" borderId="1" xfId="0" applyNumberFormat="1" applyFont="1" applyFill="1" applyBorder="1" applyAlignment="1">
      <x:alignment horizontal="left" vertical="center"/>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203" fontId="11" fillId="0" borderId="0" xfId="0" applyNumberFormat="1" applyFont="1" applyFill="1" applyBorder="1" applyAlignment="1">
      <x:alignment vertical="top" wrapText="1"/>
    </x:xf>
    <x:xf numFmtId="203" fontId="11" fillId="0" borderId="1"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7" borderId="1" xfId="0" applyNumberFormat="1" applyFont="1" applyFill="1" applyBorder="1"/>
    <x:xf numFmtId="0" fontId="15" fillId="7" borderId="1" xfId="0" applyNumberFormat="1" applyFont="1" applyFill="1" applyBorder="1"/>
    <x:xf numFmtId="0" fontId="15" fillId="7" borderId="1" xfId="0" applyNumberFormat="1" applyFont="1" applyFill="1" applyBorder="1" applyAlignment="1">
      <x:alignment wrapText="1"/>
    </x:xf>
    <x:xf numFmtId="0" fontId="15" fillId="7" borderId="1" xfId="0" applyNumberFormat="1" applyFont="1" applyFill="1" applyBorder="1" applyAlignment="1">
      <x:alignment horizontal="center" wrapText="1"/>
    </x:xf>
    <x:xf numFmtId="0" fontId="15" fillId="7" borderId="1" xfId="0" applyNumberFormat="1" applyFont="1" applyFill="1" applyBorder="1" applyAlignment="1">
      <x:alignment horizontal="center" vertical="center" wrapText="1"/>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horizontal="center" wrapText="1"/>
    </x:xf>
    <x:xf numFmtId="0" fontId="15" fillId="10" borderId="0" xfId="0" applyNumberFormat="1" applyFont="1" applyFill="1" applyBorder="1" applyAlignment="1">
      <x:alignment horizontal="center" vertical="center" wrapText="1"/>
    </x:xf>
    <x:xf numFmtId="0" fontId="0" fillId="10" borderId="1" xfId="0" applyNumberFormat="1" applyFont="1" applyFill="1" applyBorder="1"/>
    <x:xf numFmtId="0" fontId="15" fillId="10" borderId="1" xfId="0" applyNumberFormat="1" applyFont="1" applyFill="1" applyBorder="1"/>
    <x:xf numFmtId="0" fontId="15" fillId="10" borderId="1" xfId="0" applyNumberFormat="1" applyFont="1" applyFill="1" applyBorder="1" applyAlignment="1">
      <x:alignment wrapText="1"/>
    </x:xf>
    <x:xf numFmtId="0" fontId="15" fillId="10" borderId="1" xfId="0" applyNumberFormat="1" applyFont="1" applyFill="1" applyBorder="1" applyAlignment="1">
      <x:alignment horizontal="center" wrapText="1"/>
    </x:xf>
    <x:xf numFmtId="0" fontId="15" fillId="10" borderId="1" xfId="0" applyNumberFormat="1" applyFont="1" applyFill="1" applyBorder="1" applyAlignment="1">
      <x:alignment horizontal="center"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horizontal="center" wrapText="1"/>
    </x:xf>
    <x:xf numFmtId="0" fontId="15" fillId="11" borderId="0" xfId="0" applyNumberFormat="1" applyFont="1" applyFill="1" applyBorder="1" applyAlignment="1">
      <x:alignment horizontal="center" vertical="center" wrapText="1"/>
    </x:xf>
    <x:xf numFmtId="0" fontId="0" fillId="11" borderId="1" xfId="0" applyNumberFormat="1" applyFont="1" applyFill="1" applyBorder="1"/>
    <x:xf numFmtId="0" fontId="15" fillId="11" borderId="1" xfId="0" applyNumberFormat="1" applyFont="1" applyFill="1" applyBorder="1"/>
    <x:xf numFmtId="0" fontId="15" fillId="11" borderId="1" xfId="0" applyNumberFormat="1" applyFont="1" applyFill="1" applyBorder="1" applyAlignment="1">
      <x:alignment wrapText="1"/>
    </x:xf>
    <x:xf numFmtId="0" fontId="15" fillId="11" borderId="1" xfId="0" applyNumberFormat="1" applyFont="1" applyFill="1" applyBorder="1" applyAlignment="1">
      <x:alignment horizontal="center" wrapText="1"/>
    </x:xf>
    <x:xf numFmtId="0" fontId="15" fillId="11" borderId="1" xfId="0" applyNumberFormat="1" applyFont="1" applyFill="1" applyBorder="1" applyAlignment="1">
      <x:alignment horizontal="center" vertical="center" wrapText="1"/>
    </x:xf>
    <x:xf numFmtId="0" fontId="0" fillId="12" borderId="0" xfId="0" applyNumberFormat="1" applyFont="1" applyFill="1" applyBorder="1"/>
    <x:xf numFmtId="0" fontId="15" fillId="12" borderId="0" xfId="0" applyNumberFormat="1" applyFont="1" applyFill="1" applyBorder="1"/>
    <x:xf numFmtId="0" fontId="15" fillId="12" borderId="0" xfId="0" applyNumberFormat="1" applyFont="1" applyFill="1" applyBorder="1" applyAlignment="1">
      <x:alignment wrapText="1"/>
    </x:xf>
    <x:xf numFmtId="0" fontId="15" fillId="12" borderId="0" xfId="0" applyNumberFormat="1" applyFont="1" applyFill="1" applyBorder="1" applyAlignment="1">
      <x:alignment horizontal="center" wrapText="1"/>
    </x:xf>
    <x:xf numFmtId="0" fontId="15" fillId="12" borderId="0" xfId="0" applyNumberFormat="1" applyFont="1" applyFill="1" applyBorder="1" applyAlignment="1">
      <x:alignment horizontal="center" vertical="center" wrapText="1"/>
    </x:xf>
    <x:xf numFmtId="0" fontId="0" fillId="12" borderId="1" xfId="0" applyNumberFormat="1" applyFont="1" applyFill="1" applyBorder="1"/>
    <x:xf numFmtId="0" fontId="15" fillId="12" borderId="1" xfId="0" applyNumberFormat="1" applyFont="1" applyFill="1" applyBorder="1"/>
    <x:xf numFmtId="0" fontId="15" fillId="12" borderId="1" xfId="0" applyNumberFormat="1" applyFont="1" applyFill="1" applyBorder="1" applyAlignment="1">
      <x:alignment wrapText="1"/>
    </x:xf>
    <x:xf numFmtId="0" fontId="15" fillId="12" borderId="1" xfId="0" applyNumberFormat="1" applyFont="1" applyFill="1" applyBorder="1" applyAlignment="1">
      <x:alignment horizontal="center" wrapText="1"/>
    </x:xf>
    <x:xf numFmtId="0" fontId="15" fillId="12" borderId="1" xfId="0" applyNumberFormat="1" applyFont="1" applyFill="1" applyBorder="1" applyAlignment="1">
      <x:alignment horizontal="center" vertical="center"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0" fillId="9" borderId="1"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wrapText="1"/>
    </x:xf>
    <x:xf numFmtId="0" fontId="15" fillId="9" borderId="1" xfId="0" applyNumberFormat="1" applyFont="1" applyFill="1" applyBorder="1" applyAlignment="1">
      <x:alignment horizontal="center" wrapText="1"/>
    </x:xf>
    <x:xf numFmtId="0" fontId="15" fillId="9" borderId="1" xfId="0" applyNumberFormat="1" applyFont="1" applyFill="1" applyBorder="1" applyAlignment="1">
      <x:alignment horizontal="center" vertical="center" wrapText="1"/>
    </x:xf>
    <x:xf numFmtId="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vertical="top" wrapText="1"/>
    </x:xf>
    <x:xf numFmtId="202" fontId="9" fillId="8"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cellXfs>
  <x:cellStyles count="1">
    <x:cellStyle name="Normal" xfId="0"/>
  </x:cellStyles>
  <x:dxfs count="20">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e217a1db374d1e" /><Relationship Type="http://schemas.openxmlformats.org/officeDocument/2006/relationships/theme" Target="/xl/theme/theme1.xml" Id="Re0fdd6f90e2e4f94" /><Relationship Type="http://schemas.openxmlformats.org/officeDocument/2006/relationships/sharedStrings" Target="/xl/sharedStrings.xml" Id="Rd4e7b5609a8e4c5d" /><Relationship Type="http://schemas.openxmlformats.org/officeDocument/2006/relationships/worksheet" Target="/xl/worksheets/sheet1.xml" Id="R021d80a160624cca" /><Relationship Type="http://schemas.openxmlformats.org/officeDocument/2006/relationships/worksheet" Target="/xl/worksheets/sheet2.xml" Id="R8d9bbeac2984441c" /><Relationship Type="http://schemas.openxmlformats.org/officeDocument/2006/relationships/worksheet" Target="/xl/worksheets/sheet3.xml" Id="R9ccd77ac8cd9403a" /><Relationship Type="http://schemas.openxmlformats.org/officeDocument/2006/relationships/worksheet" Target="/xl/worksheets/sheet4.xml" Id="Rb7533f6996eb4590" /><Relationship Type="http://schemas.openxmlformats.org/officeDocument/2006/relationships/worksheet" Target="/xl/worksheets/sheet5.xml" Id="Rdd243d4ab36f406f" /><Relationship Type="http://schemas.openxmlformats.org/officeDocument/2006/relationships/worksheet" Target="/xl/worksheets/sheet6.xml" Id="Re1d07d8e51004798" /><Relationship Type="http://schemas.openxmlformats.org/officeDocument/2006/relationships/worksheet" Target="/xl/worksheets/sheet7.xml" Id="R21e6b7ea717c47db" /><Relationship Type="http://schemas.openxmlformats.org/officeDocument/2006/relationships/worksheet" Target="/xl/worksheets/sheet8.xml" Id="R7a722128560e486a" /><Relationship Type="http://schemas.openxmlformats.org/officeDocument/2006/relationships/worksheet" Target="/xl/worksheets/sheet9.xml" Id="R59c1ab0d8e4a4614" /><Relationship Type="http://schemas.openxmlformats.org/officeDocument/2006/relationships/worksheet" Target="/xl/worksheets/sheet10.xml" Id="R4419ac443f504d90" /><Relationship Type="http://schemas.openxmlformats.org/officeDocument/2006/relationships/worksheet" Target="/xl/worksheets/sheet11.xml" Id="R60e44173c9974e3b" /><Relationship Type="http://schemas.openxmlformats.org/officeDocument/2006/relationships/worksheet" Target="/xl/worksheets/sheet12.xml" Id="R5765d45f03b74ae1" /><Relationship Type="http://schemas.openxmlformats.org/officeDocument/2006/relationships/worksheet" Target="/xl/worksheets/sheet13.xml" Id="Rdc112a6a56564a64" /><Relationship Type="http://schemas.openxmlformats.org/officeDocument/2006/relationships/worksheet" Target="/xl/worksheets/sheet14.xml" Id="R8333a87329924957" /><Relationship Type="http://schemas.openxmlformats.org/officeDocument/2006/relationships/worksheet" Target="/xl/worksheets/sheet15.xml" Id="R627974d42e664181" /><Relationship Type="http://schemas.openxmlformats.org/officeDocument/2006/relationships/worksheet" Target="/xl/worksheets/sheet16.xml" Id="Rbe90aa0854db49f4" /><Relationship Type="http://schemas.openxmlformats.org/officeDocument/2006/relationships/worksheet" Target="/xl/worksheets/sheet17.xml" Id="R8db73c3ecef54488" /><Relationship Type="http://schemas.openxmlformats.org/officeDocument/2006/relationships/worksheet" Target="/xl/worksheets/sheet18.xml" Id="R8a40783bcb414e1e" /><Relationship Type="http://schemas.openxmlformats.org/officeDocument/2006/relationships/worksheet" Target="/xl/worksheets/sheet19.xml" Id="Rb954dd26cbee4e1b" /><Relationship Type="http://schemas.openxmlformats.org/officeDocument/2006/relationships/worksheet" Target="/xl/worksheets/sheet20.xml" Id="R7305af8a730d4d83" /><Relationship Type="http://schemas.openxmlformats.org/officeDocument/2006/relationships/worksheet" Target="/xl/worksheets/sheet21.xml" Id="R898ac083da64489c" /><Relationship Type="http://schemas.openxmlformats.org/officeDocument/2006/relationships/worksheet" Target="/xl/worksheets/sheet22.xml" Id="R1c28003e99694605" /><Relationship Type="http://schemas.openxmlformats.org/officeDocument/2006/relationships/worksheet" Target="/xl/worksheets/sheet23.xml" Id="R4b87f99354ff4fc1" /></Relationships>
</file>

<file path=xl/tables/table1.xml><?xml version="1.0" encoding="utf-8"?>
<x:table xmlns:x="http://schemas.openxmlformats.org/spreadsheetml/2006/main" id="25" name="T_InferenceLayers" displayName="T_InferenceLayers" ref="A10:E15" headerRowCount="1" totalsRowCount="0" totalsRowShown="0">
  <x:tableColumns count="5">
    <x:tableColumn id="1" name="层级"/>
    <x:tableColumn id="2" name="核心问题"/>
    <x:tableColumn id="3" name="主要模块"/>
    <x:tableColumn id="4" name="禁止跨越的边界"/>
    <x:tableColumn id="5" name="主要输出"/>
  </x:tableColumns>
  <x:tableStyleInfo name="TableStyleMedium2" showFirstColumn="0" showLastColumn="0" showRowStripes="1" showColumnStripes="0"/>
</x:table>
</file>

<file path=xl/tables/table2.xml><?xml version="1.0" encoding="utf-8"?>
<x:table xmlns:x="http://schemas.openxmlformats.org/spreadsheetml/2006/main" id="26" name="T_ModuleMap" displayName="T_ModuleMap" ref="A17:N37" headerRowCount="1" totalsRowCount="0" totalsRowShown="0">
  <x:tableColumns count="14">
    <x:tableColumn id="1" name="序号"/>
    <x:tableColumn id="2" name="模块代码"/>
    <x:tableColumn id="3" name="工作表"/>
    <x:tableColumn id="4" name="规则层级"/>
    <x:tableColumn id="5" name="核心职责"/>
    <x:tableColumn id="6" name="前置依赖"/>
    <x:tableColumn id="7" name="主要输出"/>
    <x:tableColumn id="8" name="直接下游"/>
    <x:tableColumn id="9" name="建设阶段"/>
    <x:tableColumn id="10" name="建议目标规则数"/>
    <x:tableColumn id="11" name="已录入正式记录"/>
    <x:tableColumn id="12" name="完成率"/>
    <x:tableColumn id="13" name="当前状态"/>
    <x:tableColumn id="14" name="备注"/>
  </x:tableColumns>
  <x:tableStyleInfo name="TableStyleMedium2" showFirstColumn="0" showLastColumn="0" showRowStripes="1" showColumnStripes="0"/>
</x:table>
</file>

<file path=xl/tables/table3.xml><?xml version="1.0" encoding="utf-8"?>
<x:table xmlns:x="http://schemas.openxmlformats.org/spreadsheetml/2006/main" id="27" name="T_AnalysisFlow" displayName="T_AnalysisFlow" ref="A41:E59" headerRowCount="1" totalsRowCount="0" totalsRowShown="0">
  <x:tableColumns count="5">
    <x:tableColumn id="1" name="步骤"/>
    <x:tableColumn id="2" name="处理任务"/>
    <x:tableColumn id="3" name="主要输入模块"/>
    <x:tableColumn id="4" name="主要输出模块/结果"/>
    <x:tableColumn id="5" name="必须检查"/>
  </x:tableColumns>
  <x:tableStyleInfo name="TableStyleMedium2" showFirstColumn="0" showLastColumn="0" showRowStripes="1" showColumnStripes="0"/>
</x:table>
</file>

<file path=xl/tables/table4.xml><?xml version="1.0" encoding="utf-8"?>
<x:table xmlns:x="http://schemas.openxmlformats.org/spreadsheetml/2006/main" id="22" name="T_RuleIDSpec" displayName="T_RuleIDSpec" ref="J5:Q10" headerRowCount="1" totalsRowCount="0" totalsRowShown="0">
  <x:tableColumns count="8">
    <x:tableColumn id="1" name="段位"/>
    <x:tableColumn id="2" name="字段名称"/>
    <x:tableColumn id="3" name="规范"/>
    <x:tableColumn id="4" name="示例"/>
    <x:tableColumn id="5" name="生成逻辑"/>
    <x:tableColumn id="6" name="是否必填"/>
    <x:tableColumn id="7" name="变更规则"/>
    <x:tableColumn id="8" name="说明"/>
  </x:tableColumns>
  <x:tableStyleInfo name="TableStyleMedium2" showFirstColumn="0" showLastColumn="0" showRowStripes="1" showColumnStripes="0"/>
</x:table>
</file>

<file path=xl/tables/table5.xml><?xml version="1.0" encoding="utf-8"?>
<x:table xmlns:x="http://schemas.openxmlformats.org/spreadsheetml/2006/main" id="23" name="T_VersionGovernance" displayName="T_VersionGovernance" ref="J13:Q19" headerRowCount="1" totalsRowCount="0" totalsRowShown="0">
  <x:tableColumns count="8">
    <x:tableColumn id="1" name="变更场景"/>
    <x:tableColumn id="2" name="是否沿用ID"/>
    <x:tableColumn id="3" name="版本动作"/>
    <x:tableColumn id="4" name="旧规则状态"/>
    <x:tableColumn id="5" name="M21动作"/>
    <x:tableColumn id="6" name="案例动作"/>
    <x:tableColumn id="7" name="允许直接覆盖"/>
    <x:tableColumn id="8" name="示例"/>
  </x:tableColumns>
  <x:tableStyleInfo name="TableStyleMedium2" showFirstColumn="0" showLastColumn="0" showRowStripes="1" showColumnStripes="0"/>
</x:table>
</file>

<file path=xl/tables/table6.xml><?xml version="1.0" encoding="utf-8"?>
<x:table xmlns:x="http://schemas.openxmlformats.org/spreadsheetml/2006/main" id="24" name="T_FieldArchitecture" displayName="T_FieldArchitecture" ref="J22:Q28" headerRowCount="1" totalsRowCount="0" totalsRowShown="0">
  <x:tableColumns count="8">
    <x:tableColumn id="1" name="字段组"/>
    <x:tableColumn id="2" name="代表字段"/>
    <x:tableColumn id="3" name="目的"/>
    <x:tableColumn id="4" name="填写时点"/>
    <x:tableColumn id="5" name="空值规则"/>
    <x:tableColumn id="6" name="颜色提示"/>
    <x:tableColumn id="7" name="审核重点"/>
    <x:tableColumn id="8" name="错误示例"/>
  </x:tableColumns>
  <x:tableStyleInfo name="TableStyleMedium2" showFirstColumn="0" showLastColumn="0" showRowStripes="1" showColumnStripes="0"/>
</x:table>
</file>

<file path=xl/tables/table7.xml><?xml version="1.0" encoding="utf-8"?>
<x:table xmlns:x="http://schemas.openxmlformats.org/spreadsheetml/2006/main" id="28" name="T_CodeDictionary" displayName="T_CodeDictionary" ref="A5:H554" headerRowCount="1" totalsRowCount="0" totalsRowShown="0">
  <x:tableColumns count="8">
    <x:tableColumn id="1" name="编码类型"/>
    <x:tableColumn id="2" name="编码"/>
    <x:tableColumn id="3" name="中文名称"/>
    <x:tableColumn id="4" name="标准定义"/>
    <x:tableColumn id="5" name="适用字段"/>
    <x:tableColumn id="6" name="排序"/>
    <x:tableColumn id="7" name="是否启用"/>
    <x:tableColumn id="8" name="备注"/>
  </x:tableColumns>
  <x:tableStyleInfo name="TableStyleMedium2" showFirstColumn="0" showLastColumn="0" showRowStripes="1" showColumnStripes="0"/>
</x:table>
</file>

<file path=xl/tables/table8.xml><?xml version="1.0" encoding="utf-8"?>
<x:table xmlns:x="http://schemas.openxmlformats.org/spreadsheetml/2006/main" id="1" name="T_M02" displayName="T_M02" ref="A5:AE105" headerRowCount="1" totalsRowCount="0" totalsRowShown="0">
  <x:tableColumns count="31">
    <x:tableColumn id="1" name="Record_ID"/>
    <x:tableColumn id="2" name="模块代码"/>
    <x:tableColumn id="3" name="子类代码"/>
    <x:tableColumn id="4" name="序号"/>
    <x:tableColumn id="5" name="版本号"/>
    <x:tableColumn id="6" name="记录类型"/>
    <x:tableColumn id="7" name="对象类别"/>
    <x:tableColumn id="8" name="对象"/>
    <x:tableColumn id="9" name="阴阳"/>
    <x:tableColumn id="10" name="五行"/>
    <x:tableColumn id="11" name="藏干一"/>
    <x:tableColumn id="12" name="藏干一层级"/>
    <x:tableColumn id="13" name="藏干二"/>
    <x:tableColumn id="14" name="藏干二层级"/>
    <x:tableColumn id="15" name="藏干三"/>
    <x:tableColumn id="16" name="藏干三层级"/>
    <x:tableColumn id="17" name="季节/月令属性"/>
    <x:tableColumn id="18" name="基础定义"/>
    <x:tableColumn id="19" name="十神映射规则"/>
    <x:tableColumn id="20" name="前置条件"/>
    <x:tableColumn id="21" name="必要条件"/>
    <x:tableColumn id="22" name="例外条件"/>
    <x:tableColumn id="23" name="结论标签"/>
    <x:tableColumn id="24" name="标准输出"/>
    <x:tableColumn id="25" name="置信等级"/>
    <x:tableColumn id="26" name="流派标签"/>
    <x:tableColumn id="27" name="来源/依据"/>
    <x:tableColumn id="28" name="页码/链接"/>
    <x:tableColumn id="29" name="规则状态"/>
    <x:tableColumn id="30" name="审核状态"/>
    <x:tableColumn id="31" name="更新日期"/>
  </x:tableColumns>
  <x:tableStyleInfo name="TableStyleMedium2" showFirstColumn="0" showLastColumn="0" showRowStripes="1" showColumnStripes="0"/>
</x:table>
</file>

<file path=xl/tables/table9.xml><?xml version="1.0" encoding="utf-8"?>
<x:table xmlns:x="http://schemas.openxmlformats.org/spreadsheetml/2006/main" id="2" name="T_M03" displayName="T_M03"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判断对象"/>
    <x:tableColumn id="9" name="评估维度"/>
    <x:tableColumn id="10" name="月令条件"/>
    <x:tableColumn id="11" name="根气类型"/>
    <x:tableColumn id="12" name="根气等级"/>
    <x:tableColumn id="13" name="位置关系"/>
    <x:tableColumn id="14" name="前置条件"/>
    <x:tableColumn id="15" name="必要条件"/>
    <x:tableColumn id="16" name="增强条件"/>
    <x:tableColumn id="17" name="削弱条件"/>
    <x:tableColumn id="18" name="否决条件"/>
    <x:tableColumn id="19" name="例外条件"/>
    <x:tableColumn id="20" name="作用对象"/>
    <x:tableColumn id="21" name="作用方向"/>
    <x:tableColumn id="22" name="作用等级"/>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0.xml><?xml version="1.0" encoding="utf-8"?>
<x:table xmlns:x="http://schemas.openxmlformats.org/spreadsheetml/2006/main" id="3" name="T_M04" displayName="T_M04"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天干"/>
    <x:tableColumn id="10" name="位置关系"/>
    <x:tableColumn id="11" name="完整度"/>
    <x:tableColumn id="12" name="月令条件"/>
    <x:tableColumn id="13" name="根气/透干条件"/>
    <x:tableColumn id="14" name="合化候选五行"/>
    <x:tableColumn id="15" name="同时关系"/>
    <x:tableColumn id="16" name="前置条件"/>
    <x:tableColumn id="17" name="必要条件"/>
    <x:tableColumn id="18" name="增强条件"/>
    <x:tableColumn id="19" name="削弱条件"/>
    <x:tableColumn id="20" name="否决条件"/>
    <x:tableColumn id="21" name="例外条件"/>
    <x:tableColumn id="22" name="识别结论"/>
    <x:tableColumn id="23" name="不得直接推出"/>
    <x:tableColumn id="24" name="优先级"/>
    <x:tableColumn id="25" name="规则性质"/>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1.xml><?xml version="1.0" encoding="utf-8"?>
<x:table xmlns:x="http://schemas.openxmlformats.org/spreadsheetml/2006/main" id="4" name="T_M05" displayName="T_M0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地支"/>
    <x:tableColumn id="10" name="位置关系"/>
    <x:tableColumn id="11" name="完整度"/>
    <x:tableColumn id="12" name="月令归属"/>
    <x:tableColumn id="13" name="透干情况"/>
    <x:tableColumn id="14" name="同时关系"/>
    <x:tableColumn id="15" name="前置条件"/>
    <x:tableColumn id="16" name="必要条件"/>
    <x:tableColumn id="17" name="增强条件"/>
    <x:tableColumn id="18" name="削弱条件"/>
    <x:tableColumn id="19" name="否决条件"/>
    <x:tableColumn id="20" name="例外条件"/>
    <x:tableColumn id="21" name="识别结论"/>
    <x:tableColumn id="22" name="不得直接推出"/>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2.xml><?xml version="1.0" encoding="utf-8"?>
<x:table xmlns:x="http://schemas.openxmlformats.org/spreadsheetml/2006/main" id="5" name="T_M06" displayName="T_M06" ref="A5:AO126" headerRowCount="1" totalsRowCount="0" totalsRowShown="0">
  <x:tableColumns count="41">
    <x:tableColumn id="1" name="Rule_ID"/>
    <x:tableColumn id="2" name="模块代码"/>
    <x:tableColumn id="3" name="子类代码"/>
    <x:tableColumn id="4" name="序号"/>
    <x:tableColumn id="5" name="版本号"/>
    <x:tableColumn id="6" name="规则名称"/>
    <x:tableColumn id="7" name="规则层级"/>
    <x:tableColumn id="8" name="来源关系Rule_ID"/>
    <x:tableColumn id="9" name="关系类型"/>
    <x:tableColumn id="10" name="参与对象"/>
    <x:tableColumn id="11" name="作用对象"/>
    <x:tableColumn id="12" name="对象原始旺衰"/>
    <x:tableColumn id="13" name="月令地位"/>
    <x:tableColumn id="14" name="透干状态"/>
    <x:tableColumn id="15" name="根气状态"/>
    <x:tableColumn id="16" name="叠加关系"/>
    <x:tableColumn id="17" name="效应类型"/>
    <x:tableColumn id="18" name="作用方向"/>
    <x:tableColumn id="19" name="作用等级"/>
    <x:tableColumn id="20" name="是否改变五行性质"/>
    <x:tableColumn id="21" name="是否改变根气"/>
    <x:tableColumn id="22" name="是否改变藏干可用性"/>
    <x:tableColumn id="23" name="是否增力"/>
    <x:tableColumn id="24" name="是否减力"/>
    <x:tableColumn id="25" name="流通影响"/>
    <x:tableColumn id="26" name="前置条件"/>
    <x:tableColumn id="27" name="必要条件"/>
    <x:tableColumn id="28" name="增强条件"/>
    <x:tableColumn id="29" name="削弱条件"/>
    <x:tableColumn id="30" name="否决条件"/>
    <x:tableColumn id="31" name="例外条件"/>
    <x:tableColumn id="32" name="实际效应结论"/>
    <x:tableColumn id="33" name="标准输出"/>
    <x:tableColumn id="34" name="置信等级"/>
    <x:tableColumn id="35" name="流派标签"/>
    <x:tableColumn id="36" name="依据说明"/>
    <x:tableColumn id="37" name="正例"/>
    <x:tableColumn id="38" name="反例"/>
    <x:tableColumn id="39" name="规则状态"/>
    <x:tableColumn id="40" name="审核状态"/>
    <x:tableColumn id="41" name="更新日期"/>
  </x:tableColumns>
  <x:tableStyleInfo name="TableStyleMedium2" showFirstColumn="0" showLastColumn="0" showRowStripes="1" showColumnStripes="0"/>
</x:table>
</file>

<file path=xl/tables/table13.xml><?xml version="1.0" encoding="utf-8"?>
<x:table xmlns:x="http://schemas.openxmlformats.org/spreadsheetml/2006/main" id="6" name="T_M07" displayName="T_M07"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适用五行"/>
    <x:tableColumn id="10" name="判断条件"/>
    <x:tableColumn id="11" name="取值/表现"/>
    <x:tableColumn id="12" name="原始力量修正"/>
    <x:tableColumn id="13" name="作用方向"/>
    <x:tableColumn id="14" name="参考权重"/>
    <x:tableColumn id="15" name="作用等级"/>
    <x:tableColumn id="16" name="前置条件"/>
    <x:tableColumn id="17" name="必要条件"/>
    <x:tableColumn id="18" name="增强条件"/>
    <x:tableColumn id="19" name="削弱条件"/>
    <x:tableColumn id="20" name="否决条件"/>
    <x:tableColumn id="21" name="例外条件"/>
    <x:tableColumn id="22" name="是否可单独定性"/>
    <x:tableColumn id="23" name="结论标签"/>
    <x:tableColumn id="24" name="标准输出"/>
    <x:tableColumn id="25" name="置信等级"/>
    <x:tableColumn id="26" name="流派标签"/>
    <x:tableColumn id="27" name="依据说明"/>
    <x:tableColumn id="28" name="正例"/>
    <x:tableColumn id="29" name="反例"/>
    <x:tableColumn id="30" name="来源/备注"/>
    <x:tableColumn id="31" name="规则状态"/>
    <x:tableColumn id="32" name="审核状态"/>
    <x:tableColumn id="33" name="更新日期"/>
  </x:tableColumns>
  <x:tableStyleInfo name="TableStyleMedium2" showFirstColumn="0" showLastColumn="0" showRowStripes="1" showColumnStripes="0"/>
</x:table>
</file>

<file path=xl/tables/table14.xml><?xml version="1.0" encoding="utf-8"?>
<x:table xmlns:x="http://schemas.openxmlformats.org/spreadsheetml/2006/main" id="7" name="T_M08" displayName="T_M08"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修正来源"/>
    <x:tableColumn id="9" name="作用对象"/>
    <x:tableColumn id="10" name="原始状态"/>
    <x:tableColumn id="11" name="相互作用"/>
    <x:tableColumn id="12" name="有效力量修正"/>
    <x:tableColumn id="13" name="作用方向"/>
    <x:tableColumn id="14" name="作用等级"/>
    <x:tableColumn id="15" name="是否改变根气"/>
    <x:tableColumn id="16" name="是否改变生源"/>
    <x:tableColumn id="17" name="是否改变透达"/>
    <x:tableColumn id="18" name="是否影响流通"/>
    <x:tableColumn id="19" name="前置条件"/>
    <x:tableColumn id="20" name="必要条件"/>
    <x:tableColumn id="21" name="增强条件"/>
    <x:tableColumn id="22" name="削弱条件"/>
    <x:tableColumn id="23" name="否决条件"/>
    <x:tableColumn id="24" name="例外条件"/>
    <x:tableColumn id="25" name="有效旺衰结论"/>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5.xml><?xml version="1.0" encoding="utf-8"?>
<x:table xmlns:x="http://schemas.openxmlformats.org/spreadsheetml/2006/main" id="8" name="T_M09" displayName="T_M09" ref="A5:AF105" headerRowCount="1" totalsRowCount="0" totalsRowShown="0">
  <x:tableColumns count="32">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证据方向"/>
    <x:tableColumn id="10" name="判断条件"/>
    <x:tableColumn id="11" name="参考权重"/>
    <x:tableColumn id="12" name="作用等级"/>
    <x:tableColumn id="13" name="前置条件"/>
    <x:tableColumn id="14" name="必要条件"/>
    <x:tableColumn id="15" name="增强条件"/>
    <x:tableColumn id="16" name="削弱条件"/>
    <x:tableColumn id="17" name="否决条件"/>
    <x:tableColumn id="18" name="例外条件"/>
    <x:tableColumn id="19" name="反向证据"/>
    <x:tableColumn id="20" name="是否可单独定性"/>
    <x:tableColumn id="21" name="旺衰候选"/>
    <x:tableColumn id="22" name="结论标签"/>
    <x:tableColumn id="23" name="标准输出"/>
    <x:tableColumn id="24" name="置信等级"/>
    <x:tableColumn id="25" name="流派标签"/>
    <x:tableColumn id="26" name="依据说明"/>
    <x:tableColumn id="27" name="正例"/>
    <x:tableColumn id="28" name="反例"/>
    <x:tableColumn id="29" name="来源/备注"/>
    <x:tableColumn id="30" name="规则状态"/>
    <x:tableColumn id="31" name="审核状态"/>
    <x:tableColumn id="32" name="更新日期"/>
  </x:tableColumns>
  <x:tableStyleInfo name="TableStyleMedium2" showFirstColumn="0" showLastColumn="0" showRowStripes="1" showColumnStripes="0"/>
</x:table>
</file>

<file path=xl/tables/table16.xml><?xml version="1.0" encoding="utf-8"?>
<x:table xmlns:x="http://schemas.openxmlformats.org/spreadsheetml/2006/main" id="9" name="T_M10" displayName="T_M10" ref="A5:AK126"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十神"/>
    <x:tableColumn id="9" name="存在方式"/>
    <x:tableColumn id="10" name="原始力量"/>
    <x:tableColumn id="11" name="有效力量"/>
    <x:tableColumn id="12" name="清纯程度"/>
    <x:tableColumn id="13" name="生源状态"/>
    <x:tableColumn id="14" name="制约状态"/>
    <x:tableColumn id="15" name="功能状态"/>
    <x:tableColumn id="16" name="格局功能"/>
    <x:tableColumn id="17" name="对日主作用"/>
    <x:tableColumn id="18" name="喜忌候选"/>
    <x:tableColumn id="19" name="判断条件"/>
    <x:tableColumn id="20" name="前置条件"/>
    <x:tableColumn id="21" name="必要条件"/>
    <x:tableColumn id="22" name="增强条件"/>
    <x:tableColumn id="23" name="削弱条件"/>
    <x:tableColumn id="24" name="否决条件"/>
    <x:tableColumn id="25" name="例外条件"/>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7.xml><?xml version="1.0" encoding="utf-8"?>
<x:table xmlns:x="http://schemas.openxmlformats.org/spreadsheetml/2006/main" id="10" name="T_M11" displayName="T_M11" ref="A5:AJ116"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组合类别"/>
    <x:tableColumn id="9" name="组合名称"/>
    <x:tableColumn id="10" name="核心十神"/>
    <x:tableColumn id="11" name="主体条件"/>
    <x:tableColumn id="12" name="客体条件"/>
    <x:tableColumn id="13" name="位置条件"/>
    <x:tableColumn id="14" name="旺衰条件"/>
    <x:tableColumn id="15" name="日主条件"/>
    <x:tableColumn id="16" name="最低成立标准"/>
    <x:tableColumn id="17" name="增强条件"/>
    <x:tableColumn id="18" name="破坏条件"/>
    <x:tableColumn id="19" name="救应条件"/>
    <x:tableColumn id="20" name="否决条件"/>
    <x:tableColumn id="21" name="例外条件"/>
    <x:tableColumn id="22" name="成立等级"/>
    <x:tableColumn id="23" name="实际功能"/>
    <x:tableColumn id="24" name="是否上升为格局"/>
    <x:tableColumn id="25" name="格局候选"/>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8.xml><?xml version="1.0" encoding="utf-8"?>
<x:table xmlns:x="http://schemas.openxmlformats.org/spreadsheetml/2006/main" id="11" name="T_M12" displayName="T_M12"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路径类型"/>
    <x:tableColumn id="9" name="起点"/>
    <x:tableColumn id="10" name="中间桥梁"/>
    <x:tableColumn id="11" name="终点"/>
    <x:tableColumn id="12" name="起点强度"/>
    <x:tableColumn id="13" name="桥梁强度"/>
    <x:tableColumn id="14" name="桥梁状态"/>
    <x:tableColumn id="15" name="终点承载"/>
    <x:tableColumn id="16" name="连续性"/>
    <x:tableColumn id="17" name="流通状态"/>
    <x:tableColumn id="18" name="卡点类型"/>
    <x:tableColumn id="19" name="卡点位置"/>
    <x:tableColumn id="20" name="卡点原因"/>
    <x:tableColumn id="21" name="通关五行"/>
    <x:tableColumn id="22" name="通关条件"/>
    <x:tableColumn id="23" name="通关副作用"/>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19.xml><?xml version="1.0" encoding="utf-8"?>
<x:table xmlns:x="http://schemas.openxmlformats.org/spreadsheetml/2006/main" id="12" name="T_M13" displayName="T_M13" ref="A5:AL105" headerRowCount="1" totalsRowCount="0" totalsRowShown="0">
  <x:tableColumns count="38">
    <x:tableColumn id="1" name="Rule_ID"/>
    <x:tableColumn id="2" name="模块代码"/>
    <x:tableColumn id="3" name="子类代码"/>
    <x:tableColumn id="4" name="序号"/>
    <x:tableColumn id="5" name="版本号"/>
    <x:tableColumn id="6" name="规则名称"/>
    <x:tableColumn id="7" name="规则层级"/>
    <x:tableColumn id="8" name="评估轴"/>
    <x:tableColumn id="9" name="出生月令"/>
    <x:tableColumn id="10" name="触发条件"/>
    <x:tableColumn id="11" name="温度修正"/>
    <x:tableColumn id="12" name="湿度修正"/>
    <x:tableColumn id="13" name="温度状态"/>
    <x:tableColumn id="14" name="湿度状态"/>
    <x:tableColumn id="15" name="主要气候问题"/>
    <x:tableColumn id="16" name="调候候选五行"/>
    <x:tableColumn id="17" name="调候机制"/>
    <x:tableColumn id="18" name="调候五行存在性"/>
    <x:tableColumn id="19" name="调候五行有效性"/>
    <x:tableColumn id="20" name="调候紧急度"/>
    <x:tableColumn id="21" name="与扶抑冲突"/>
    <x:tableColumn id="22" name="与格局冲突"/>
    <x:tableColumn id="23" name="前置条件"/>
    <x:tableColumn id="24" name="必要条件"/>
    <x:tableColumn id="25" name="增强条件"/>
    <x:tableColumn id="26" name="削弱条件"/>
    <x:tableColumn id="27" name="否决条件"/>
    <x:tableColumn id="28" name="例外条件"/>
    <x:tableColumn id="29" name="结论标签"/>
    <x:tableColumn id="30" name="标准输出"/>
    <x:tableColumn id="31" name="置信等级"/>
    <x:tableColumn id="32" name="流派标签"/>
    <x:tableColumn id="33" name="依据说明"/>
    <x:tableColumn id="34" name="正例"/>
    <x:tableColumn id="35" name="反例"/>
    <x:tableColumn id="36" name="规则状态"/>
    <x:tableColumn id="37" name="审核状态"/>
    <x:tableColumn id="38" name="更新日期"/>
  </x:tableColumns>
  <x:tableStyleInfo name="TableStyleMedium2" showFirstColumn="0" showLastColumn="0" showRowStripes="1" showColumnStripes="0"/>
</x:table>
</file>

<file path=xl/tables/table20.xml><?xml version="1.0" encoding="utf-8"?>
<x:table xmlns:x="http://schemas.openxmlformats.org/spreadsheetml/2006/main" id="13" name="T_M14" displayName="T_M14" ref="A5:AH105" headerRowCount="1" totalsRowCount="0" totalsRowShown="0">
  <x:tableColumns count="34">
    <x:tableColumn id="1" name="Rule_ID"/>
    <x:tableColumn id="2" name="模块代码"/>
    <x:tableColumn id="3" name="子类代码"/>
    <x:tableColumn id="4" name="序号"/>
    <x:tableColumn id="5" name="版本号"/>
    <x:tableColumn id="6" name="规则名称"/>
    <x:tableColumn id="7" name="规则层级"/>
    <x:tableColumn id="8" name="格局类别"/>
    <x:tableColumn id="9" name="格局名称"/>
    <x:tableColumn id="10" name="月令依据"/>
    <x:tableColumn id="11" name="透干条件"/>
    <x:tableColumn id="12" name="主气清纯度"/>
    <x:tableColumn id="13" name="格神根气"/>
    <x:tableColumn id="14" name="格神有效力量"/>
    <x:tableColumn id="15" name="日主配合"/>
    <x:tableColumn id="16" name="候选生成条件"/>
    <x:tableColumn id="17" name="特殊格严格条件"/>
    <x:tableColumn id="18" name="增强条件"/>
    <x:tableColumn id="19" name="排除条件"/>
    <x:tableColumn id="20" name="否决条件"/>
    <x:tableColumn id="21" name="例外条件"/>
    <x:tableColumn id="22" name="候选状态"/>
    <x:tableColumn id="23" name="替代候选"/>
    <x:tableColumn id="24" name="结论标签"/>
    <x:tableColumn id="25" name="标准输出"/>
    <x:tableColumn id="26" name="置信等级"/>
    <x:tableColumn id="27" name="流派标签"/>
    <x:tableColumn id="28" name="依据说明"/>
    <x:tableColumn id="29" name="正例"/>
    <x:tableColumn id="30" name="反例"/>
    <x:tableColumn id="31" name="来源/备注"/>
    <x:tableColumn id="32" name="规则状态"/>
    <x:tableColumn id="33" name="审核状态"/>
    <x:tableColumn id="34" name="更新日期"/>
  </x:tableColumns>
  <x:tableStyleInfo name="TableStyleMedium2" showFirstColumn="0" showLastColumn="0" showRowStripes="1" showColumnStripes="0"/>
</x:table>
</file>

<file path=xl/tables/table21.xml><?xml version="1.0" encoding="utf-8"?>
<x:table xmlns:x="http://schemas.openxmlformats.org/spreadsheetml/2006/main" id="14" name="T_M15" displayName="T_M15" ref="A5:AI106"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联格局"/>
    <x:tableColumn id="9" name="成格条件"/>
    <x:tableColumn id="10" name="成格证据"/>
    <x:tableColumn id="11" name="破格因素"/>
    <x:tableColumn id="12" name="破格等级"/>
    <x:tableColumn id="13" name="救应因素"/>
    <x:tableColumn id="14" name="救应有效性"/>
    <x:tableColumn id="15" name="格局状态"/>
    <x:tableColumn id="16" name="清纯程度"/>
    <x:tableColumn id="17" name="层次判断"/>
    <x:tableColumn id="18" name="前置条件"/>
    <x:tableColumn id="19" name="必要条件"/>
    <x:tableColumn id="20" name="增强条件"/>
    <x:tableColumn id="21" name="削弱条件"/>
    <x:tableColumn id="22" name="否决条件"/>
    <x:tableColumn id="23" name="例外条件"/>
    <x:tableColumn id="24" name="结论标签"/>
    <x:tableColumn id="25" name="标准输出"/>
    <x:tableColumn id="26" name="反向证据"/>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22.xml><?xml version="1.0" encoding="utf-8"?>
<x:table xmlns:x="http://schemas.openxmlformats.org/spreadsheetml/2006/main" id="15" name="T_M16" displayName="T_M16"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病类"/>
    <x:tableColumn id="9" name="病位"/>
    <x:tableColumn id="10" name="病性"/>
    <x:tableColumn id="11" name="根本原因"/>
    <x:tableColumn id="12" name="表层表现"/>
    <x:tableColumn id="13" name="严重程度"/>
    <x:tableColumn id="14" name="主药五行/十神"/>
    <x:tableColumn id="15" name="辅助药五行/十神"/>
    <x:tableColumn id="16" name="药理"/>
    <x:tableColumn id="17" name="成立条件"/>
    <x:tableColumn id="18" name="禁忌条件"/>
    <x:tableColumn id="19" name="药力不足后果"/>
    <x:tableColumn id="20" name="药力过度后果"/>
    <x:tableColumn id="21" name="是否伤害格局"/>
    <x:tableColumn id="22" name="是否产生新病"/>
    <x:tableColumn id="23" name="新病类型"/>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23.xml><?xml version="1.0" encoding="utf-8"?>
<x:table xmlns:x="http://schemas.openxmlformats.org/spreadsheetml/2006/main" id="16" name="T_M17" displayName="T_M17"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候选五行"/>
    <x:tableColumn id="9" name="对应十神"/>
    <x:tableColumn id="10" name="用神来源"/>
    <x:tableColumn id="11" name="扶抑作用"/>
    <x:tableColumn id="12" name="格局作用"/>
    <x:tableColumn id="13" name="通关作用"/>
    <x:tableColumn id="14" name="调候作用"/>
    <x:tableColumn id="15" name="病药作用"/>
    <x:tableColumn id="16" name="主要收益"/>
    <x:tableColumn id="17" name="主要副作用"/>
    <x:tableColumn id="18" name="适用条件"/>
    <x:tableColumn id="19" name="不适用条件"/>
    <x:tableColumn id="20" name="冲突维度"/>
    <x:tableColumn id="21" name="冲突裁决Rule_ID"/>
    <x:tableColumn id="22" name="综合定位"/>
    <x:tableColumn id="23" name="主次优先级"/>
    <x:tableColumn id="24" name="是否条件性"/>
    <x:tableColumn id="25" name="条件说明"/>
    <x:tableColumn id="26" name="结论标签"/>
    <x:tableColumn id="27" name="标准输出"/>
    <x:tableColumn id="28" name="置信等级"/>
    <x:tableColumn id="29" name="流派标签"/>
    <x:tableColumn id="30" name="依据说明"/>
    <x:tableColumn id="31" name="正例"/>
    <x:tableColumn id="32" name="反例"/>
    <x:tableColumn id="33" name="规则状态"/>
    <x:tableColumn id="34" name="审核状态"/>
    <x:tableColumn id="35" name="更新日期"/>
  </x:tableColumns>
  <x:tableStyleInfo name="TableStyleMedium2" showFirstColumn="0" showLastColumn="0" showRowStripes="1" showColumnStripes="0"/>
</x:table>
</file>

<file path=xl/tables/table24.xml><?xml version="1.0" encoding="utf-8"?>
<x:table xmlns:x="http://schemas.openxmlformats.org/spreadsheetml/2006/main" id="17" name="T_M18" displayName="T_M18"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冲突主题"/>
    <x:tableColumn id="9" name="规则A_ID"/>
    <x:tableColumn id="10" name="规则A结论"/>
    <x:tableColumn id="11" name="规则B_ID"/>
    <x:tableColumn id="12" name="规则B结论"/>
    <x:tableColumn id="13" name="冲突情境"/>
    <x:tableColumn id="14" name="硬约束"/>
    <x:tableColumn id="15" name="裁决原则"/>
    <x:tableColumn id="16" name="优先规则"/>
    <x:tableColumn id="17" name="降级规则"/>
    <x:tableColumn id="18" name="裁决结果"/>
    <x:tableColumn id="19" name="适用条件"/>
    <x:tableColumn id="20" name="不适用条件"/>
    <x:tableColumn id="21" name="反向证据"/>
    <x:tableColumn id="22" name="例外条件"/>
    <x:tableColumn id="23" name="副作用控制"/>
    <x:tableColumn id="24" name="结论标签"/>
    <x:tableColumn id="25" name="标准输出"/>
    <x:tableColumn id="26" name="置信等级"/>
    <x:tableColumn id="27" name="流派标签"/>
    <x:tableColumn id="28" name="依据说明"/>
    <x:tableColumn id="29" name="正例"/>
    <x:tableColumn id="30" name="反例"/>
    <x:tableColumn id="31" name="规则状态"/>
    <x:tableColumn id="32" name="审核状态"/>
    <x:tableColumn id="33" name="更新日期"/>
  </x:tableColumns>
  <x:tableStyleInfo name="TableStyleMedium2" showFirstColumn="0" showLastColumn="0" showRowStripes="1" showColumnStripes="0"/>
</x:table>
</file>

<file path=xl/tables/table25.xml><?xml version="1.0" encoding="utf-8"?>
<x:table xmlns:x="http://schemas.openxmlformats.org/spreadsheetml/2006/main" id="18" name="T_M19" displayName="T_M19" ref="A5:X105" headerRowCount="1" totalsRowCount="0" totalsRowShown="0">
  <x:tableColumns count="24">
    <x:tableColumn id="1" name="Field_ID"/>
    <x:tableColumn id="2" name="模块代码"/>
    <x:tableColumn id="3" name="子类代码"/>
    <x:tableColumn id="4" name="序号"/>
    <x:tableColumn id="5" name="版本号"/>
    <x:tableColumn id="6" name="输出章节"/>
    <x:tableColumn id="7" name="章节顺序"/>
    <x:tableColumn id="8" name="字段名称"/>
    <x:tableColumn id="9" name="字段定义"/>
    <x:tableColumn id="10" name="来源模块"/>
    <x:tableColumn id="11" name="来源字段/Rule_ID"/>
    <x:tableColumn id="12" name="必填性"/>
    <x:tableColumn id="13" name="输出层级"/>
    <x:tableColumn id="14" name="数据类型"/>
    <x:tableColumn id="15" name="推荐格式"/>
    <x:tableColumn id="16" name="内部分析模板"/>
    <x:tableColumn id="17" name="用户表达模板"/>
    <x:tableColumn id="18" name="空值处理"/>
    <x:tableColumn id="19" name="冲突处理"/>
    <x:tableColumn id="20" name="示例"/>
    <x:tableColumn id="21" name="备注"/>
    <x:tableColumn id="22" name="规则状态"/>
    <x:tableColumn id="23" name="审核状态"/>
    <x:tableColumn id="24" name="更新日期"/>
  </x:tableColumns>
  <x:tableStyleInfo name="TableStyleMedium2" showFirstColumn="0" showLastColumn="0" showRowStripes="1" showColumnStripes="0"/>
</x:table>
</file>

<file path=xl/tables/table26.xml><?xml version="1.0" encoding="utf-8"?>
<x:table xmlns:x="http://schemas.openxmlformats.org/spreadsheetml/2006/main" id="19" name="T_M20" displayName="T_M20" ref="A5:AC105" headerRowCount="1" totalsRowCount="0" totalsRowShown="0">
  <x:tableColumns count="29">
    <x:tableColumn id="1" name="Case_ID"/>
    <x:tableColumn id="2" name="模块代码"/>
    <x:tableColumn id="3" name="子类代码"/>
    <x:tableColumn id="4" name="序号"/>
    <x:tableColumn id="5" name="版本号"/>
    <x:tableColumn id="6" name="案例名称"/>
    <x:tableColumn id="7" name="四柱"/>
    <x:tableColumn id="8" name="性别"/>
    <x:tableColumn id="9" name="历法/时区"/>
    <x:tableColumn id="10" name="案例来源"/>
    <x:tableColumn id="11" name="测试类型"/>
    <x:tableColumn id="12" name="目标模块"/>
    <x:tableColumn id="13" name="目标Rule_ID"/>
    <x:tableColumn id="14" name="输入事实"/>
    <x:tableColumn id="15" name="预期识别结果"/>
    <x:tableColumn id="16" name="预期效应结果"/>
    <x:tableColumn id="17" name="预期结构结果"/>
    <x:tableColumn id="18" name="预期综合结果"/>
    <x:tableColumn id="19" name="实际结果"/>
    <x:tableColumn id="20" name="测试结果"/>
    <x:tableColumn id="21" name="差异说明"/>
    <x:tableColumn id="22" name="根因定位"/>
    <x:tableColumn id="23" name="规则修订建议"/>
    <x:tableColumn id="24" name="复测结果"/>
    <x:tableColumn id="25" name="测试人"/>
    <x:tableColumn id="26" name="复核人"/>
    <x:tableColumn id="27" name="测试日期"/>
    <x:tableColumn id="28" name="适用版本"/>
    <x:tableColumn id="29" name="备注"/>
  </x:tableColumns>
  <x:tableStyleInfo name="TableStyleMedium2" showFirstColumn="0" showLastColumn="0" showRowStripes="1" showColumnStripes="0"/>
</x:table>
</file>

<file path=xl/tables/table27.xml><?xml version="1.0" encoding="utf-8"?>
<x:table xmlns:x="http://schemas.openxmlformats.org/spreadsheetml/2006/main" id="20" name="T_M21" displayName="T_M21" ref="A5:Y105" headerRowCount="1" totalsRowCount="0" totalsRowShown="0">
  <x:tableColumns count="25">
    <x:tableColumn id="1" name="Change_ID"/>
    <x:tableColumn id="2" name="模块代码"/>
    <x:tableColumn id="3" name="子类代码"/>
    <x:tableColumn id="4" name="序号"/>
    <x:tableColumn id="5" name="版本号"/>
    <x:tableColumn id="6" name="关联Rule_ID"/>
    <x:tableColumn id="7" name="关联模块"/>
    <x:tableColumn id="8" name="议题类型"/>
    <x:tableColumn id="9" name="争议主题"/>
    <x:tableColumn id="10" name="流派A"/>
    <x:tableColumn id="11" name="观点A"/>
    <x:tableColumn id="12" name="流派B"/>
    <x:tableColumn id="13" name="观点B"/>
    <x:tableColumn id="14" name="采用规则"/>
    <x:tableColumn id="15" name="采用理由"/>
    <x:tableColumn id="16" name="反对证据"/>
    <x:tableColumn id="17" name="争议级别"/>
    <x:tableColumn id="18" name="影响范围"/>
    <x:tableColumn id="19" name="旧版本"/>
    <x:tableColumn id="20" name="新版本"/>
    <x:tableColumn id="21" name="变更类型"/>
    <x:tableColumn id="22" name="处理状态"/>
    <x:tableColumn id="23" name="审核人"/>
    <x:tableColumn id="24" name="生效日期"/>
    <x:tableColumn id="25" name="来源/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c505e1cc4b547ee" /><Relationship Type="http://schemas.openxmlformats.org/officeDocument/2006/relationships/table" Target="/xl/tables/table2.xml" Id="Rd907b316a4b14141" /><Relationship Type="http://schemas.openxmlformats.org/officeDocument/2006/relationships/table" Target="/xl/tables/table3.xml" Id="R790ddece3ca74b07" /></Relationships>
</file>

<file path=xl/worksheets/_rels/sheet2.xml.rels>&#65279;<?xml version="1.0" encoding="utf-8"?><Relationships xmlns="http://schemas.openxmlformats.org/package/2006/relationships"><Relationship Type="http://schemas.openxmlformats.org/officeDocument/2006/relationships/table" Target="/xl/tables/table4.xml" Id="R4e9c1b9d2c4d49a1" /><Relationship Type="http://schemas.openxmlformats.org/officeDocument/2006/relationships/table" Target="/xl/tables/table5.xml" Id="Rba3d3dd839c24a8e" /><Relationship Type="http://schemas.openxmlformats.org/officeDocument/2006/relationships/table" Target="/xl/tables/table6.xml" Id="R4cec54cc785c4105" /><Relationship Type="http://schemas.openxmlformats.org/officeDocument/2006/relationships/table" Target="/xl/tables/table7.xml" Id="Rcbaa3a03f3794971" /></Relationships>
</file>

<file path=xl/worksheets/_rels/sheet3.xml.rels>&#65279;<?xml version="1.0" encoding="utf-8"?><Relationships xmlns="http://schemas.openxmlformats.org/package/2006/relationships"><Relationship Type="http://schemas.openxmlformats.org/officeDocument/2006/relationships/table" Target="/xl/tables/table8.xml" Id="Rbd5faf4fcec74953" /></Relationships>
</file>

<file path=xl/worksheets/_rels/sheet4.xml.rels>&#65279;<?xml version="1.0" encoding="utf-8"?><Relationships xmlns="http://schemas.openxmlformats.org/package/2006/relationships"><Relationship Type="http://schemas.openxmlformats.org/officeDocument/2006/relationships/table" Target="/xl/tables/table9.xml" Id="R7112076e8d0849b1" /></Relationships>
</file>

<file path=xl/worksheets/_rels/sheet5.xml.rels>&#65279;<?xml version="1.0" encoding="utf-8"?><Relationships xmlns="http://schemas.openxmlformats.org/package/2006/relationships"><Relationship Type="http://schemas.openxmlformats.org/officeDocument/2006/relationships/table" Target="/xl/tables/table10.xml" Id="R5a40d5bd4ca549b4" /></Relationships>
</file>

<file path=xl/worksheets/_rels/sheet6.xml.rels>&#65279;<?xml version="1.0" encoding="utf-8"?><Relationships xmlns="http://schemas.openxmlformats.org/package/2006/relationships"><Relationship Type="http://schemas.openxmlformats.org/officeDocument/2006/relationships/table" Target="/xl/tables/table11.xml" Id="R8a7ae892e6ce4ae9" /></Relationships>
</file>

<file path=xl/worksheets/_rels/sheet7.xml.rels>&#65279;<?xml version="1.0" encoding="utf-8"?><Relationships xmlns="http://schemas.openxmlformats.org/package/2006/relationships"><Relationship Type="http://schemas.openxmlformats.org/officeDocument/2006/relationships/table" Target="/xl/tables/table12.xml" Id="R1d6e39e2739d472d" /></Relationships>
</file>

<file path=xl/worksheets/_rels/sheet8.xml.rels>&#65279;<?xml version="1.0" encoding="utf-8"?><Relationships xmlns="http://schemas.openxmlformats.org/package/2006/relationships"><Relationship Type="http://schemas.openxmlformats.org/officeDocument/2006/relationships/table" Target="/xl/tables/table13.xml" Id="R266d54ecd5644c8f" /></Relationships>
</file>

<file path=xl/worksheets/_rels/sheet9.xml.rels>&#65279;<?xml version="1.0" encoding="utf-8"?><Relationships xmlns="http://schemas.openxmlformats.org/package/2006/relationships"><Relationship Type="http://schemas.openxmlformats.org/officeDocument/2006/relationships/table" Target="/xl/tables/table14.xml" Id="Rf834a3fd9cd24e10" /></Relationships>
</file>

<file path=xl/worksheets/_rels/sheet10.xml.rels>&#65279;<?xml version="1.0" encoding="utf-8"?><Relationships xmlns="http://schemas.openxmlformats.org/package/2006/relationships"><Relationship Type="http://schemas.openxmlformats.org/officeDocument/2006/relationships/table" Target="/xl/tables/table15.xml" Id="R4b60db085c624fcf" /></Relationships>
</file>

<file path=xl/worksheets/_rels/sheet11.xml.rels>&#65279;<?xml version="1.0" encoding="utf-8"?><Relationships xmlns="http://schemas.openxmlformats.org/package/2006/relationships"><Relationship Type="http://schemas.openxmlformats.org/officeDocument/2006/relationships/table" Target="/xl/tables/table16.xml" Id="R7d79ef2919f44292" /></Relationships>
</file>

<file path=xl/worksheets/_rels/sheet12.xml.rels>&#65279;<?xml version="1.0" encoding="utf-8"?><Relationships xmlns="http://schemas.openxmlformats.org/package/2006/relationships"><Relationship Type="http://schemas.openxmlformats.org/officeDocument/2006/relationships/table" Target="/xl/tables/table17.xml" Id="R7aaf961586694677" /></Relationships>
</file>

<file path=xl/worksheets/_rels/sheet13.xml.rels>&#65279;<?xml version="1.0" encoding="utf-8"?><Relationships xmlns="http://schemas.openxmlformats.org/package/2006/relationships"><Relationship Type="http://schemas.openxmlformats.org/officeDocument/2006/relationships/table" Target="/xl/tables/table18.xml" Id="R101a89edd1db42b3" /></Relationships>
</file>

<file path=xl/worksheets/_rels/sheet14.xml.rels>&#65279;<?xml version="1.0" encoding="utf-8"?><Relationships xmlns="http://schemas.openxmlformats.org/package/2006/relationships"><Relationship Type="http://schemas.openxmlformats.org/officeDocument/2006/relationships/table" Target="/xl/tables/table19.xml" Id="Rc88c4b6446b74379" /></Relationships>
</file>

<file path=xl/worksheets/_rels/sheet15.xml.rels>&#65279;<?xml version="1.0" encoding="utf-8"?><Relationships xmlns="http://schemas.openxmlformats.org/package/2006/relationships"><Relationship Type="http://schemas.openxmlformats.org/officeDocument/2006/relationships/table" Target="/xl/tables/table20.xml" Id="R54b4f689de864195" /></Relationships>
</file>

<file path=xl/worksheets/_rels/sheet16.xml.rels>&#65279;<?xml version="1.0" encoding="utf-8"?><Relationships xmlns="http://schemas.openxmlformats.org/package/2006/relationships"><Relationship Type="http://schemas.openxmlformats.org/officeDocument/2006/relationships/table" Target="/xl/tables/table21.xml" Id="Rce478e47b4f84395" /></Relationships>
</file>

<file path=xl/worksheets/_rels/sheet17.xml.rels>&#65279;<?xml version="1.0" encoding="utf-8"?><Relationships xmlns="http://schemas.openxmlformats.org/package/2006/relationships"><Relationship Type="http://schemas.openxmlformats.org/officeDocument/2006/relationships/table" Target="/xl/tables/table22.xml" Id="R6282f34a4579414d" /></Relationships>
</file>

<file path=xl/worksheets/_rels/sheet18.xml.rels>&#65279;<?xml version="1.0" encoding="utf-8"?><Relationships xmlns="http://schemas.openxmlformats.org/package/2006/relationships"><Relationship Type="http://schemas.openxmlformats.org/officeDocument/2006/relationships/table" Target="/xl/tables/table23.xml" Id="R6e470eaa4bee4d29" /></Relationships>
</file>

<file path=xl/worksheets/_rels/sheet19.xml.rels>&#65279;<?xml version="1.0" encoding="utf-8"?><Relationships xmlns="http://schemas.openxmlformats.org/package/2006/relationships"><Relationship Type="http://schemas.openxmlformats.org/officeDocument/2006/relationships/table" Target="/xl/tables/table24.xml" Id="R8f222119c7f74eda" /></Relationships>
</file>

<file path=xl/worksheets/_rels/sheet20.xml.rels>&#65279;<?xml version="1.0" encoding="utf-8"?><Relationships xmlns="http://schemas.openxmlformats.org/package/2006/relationships"><Relationship Type="http://schemas.openxmlformats.org/officeDocument/2006/relationships/table" Target="/xl/tables/table25.xml" Id="Ra9656d2ef7c140b2" /></Relationships>
</file>

<file path=xl/worksheets/_rels/sheet21.xml.rels>&#65279;<?xml version="1.0" encoding="utf-8"?><Relationships xmlns="http://schemas.openxmlformats.org/package/2006/relationships"><Relationship Type="http://schemas.openxmlformats.org/officeDocument/2006/relationships/table" Target="/xl/tables/table26.xml" Id="Ra65f2c137d764eb5" /></Relationships>
</file>

<file path=xl/worksheets/_rels/sheet22.xml.rels>&#65279;<?xml version="1.0" encoding="utf-8"?><Relationships xmlns="http://schemas.openxmlformats.org/package/2006/relationships"><Relationship Type="http://schemas.openxmlformats.org/officeDocument/2006/relationships/table" Target="/xl/tables/table27.xml" Id="R65a9d25778fd4af0" /></Relationships>
</file>

<file path=xl/worksheets/sheet1.xml><?xml version="1.0" encoding="utf-8"?>
<x:worksheet xmlns:x="http://schemas.openxmlformats.org/spreadsheetml/2006/main">
  <x:sheetFormatPr defaultRowHeight="15"/>
  <x:cols>
    <x:col min="1" max="1" width="7" hidden="0" customWidth="1"/>
    <x:col min="2" max="2" width="11" hidden="0" customWidth="1"/>
    <x:col min="3" max="3" width="24" hidden="0" customWidth="1"/>
    <x:col min="4" max="4" width="12" hidden="0" customWidth="1"/>
    <x:col min="5" max="5" width="34" hidden="0" customWidth="1"/>
    <x:col min="6" max="6" width="24" hidden="0" customWidth="1"/>
    <x:col min="7" max="7" width="30" hidden="0" customWidth="1"/>
    <x:col min="8" max="8" width="26" hidden="0" customWidth="1"/>
    <x:col min="9" max="9" width="22" hidden="0" customWidth="1"/>
    <x:col min="10" max="10" width="14" hidden="0" customWidth="1"/>
    <x:col min="11" max="11" width="14" hidden="0" customWidth="1"/>
    <x:col min="12" max="12" width="12" hidden="0" customWidth="1"/>
    <x:col min="13" max="13" width="14" hidden="0" customWidth="1"/>
    <x:col min="14" max="14" width="30" hidden="0" customWidth="1"/>
  </x:cols>
  <x:sheetData>
    <x:row r="1" ht="30" customHeight="1">
      <x:c r="A1" s="118" t="str">
        <x:v>M0｜八字结构判定与用神引擎 · 主规则库</x:v>
      </x:c>
      <x:c r="B1" s="118"/>
      <x:c r="C1" s="118"/>
      <x:c r="D1" s="118"/>
      <x:c r="E1" s="118"/>
      <x:c r="F1" s="118"/>
      <x:c r="G1" s="118"/>
      <x:c r="H1" s="118"/>
      <x:c r="I1" s="118"/>
      <x:c r="J1" s="118"/>
      <x:c r="K1" s="118"/>
      <x:c r="L1" s="118"/>
      <x:c r="M1" s="118"/>
      <x:c r="N1" s="118"/>
    </x:row>
    <x:row r="2" ht="38" customHeight="1">
      <x:c r="A2" s="39" t="str">
        <x:v>定位：为婚恋、事业、财富、健康与岁运等上层模型提供统一、可追溯的原局结构结论。本文件为V1.3格局成败救应规则版，已完成M02—M15核心规则；M15新增100条成格、破格、救应、清纯度与层次规则。下一步进入M16病药模型。</x:v>
      </x:c>
      <x:c r="B2" s="39"/>
      <x:c r="C2" s="39"/>
      <x:c r="D2" s="39"/>
      <x:c r="E2" s="39"/>
      <x:c r="F2" s="39"/>
      <x:c r="G2" s="39"/>
      <x:c r="H2" s="39"/>
      <x:c r="I2" s="39"/>
      <x:c r="J2" s="39"/>
      <x:c r="K2" s="39"/>
      <x:c r="L2" s="39"/>
      <x:c r="M2" s="39"/>
      <x:c r="N2" s="39"/>
    </x:row>
    <x:row r="3" ht="32" customHeight="1">
      <x:c r="A3" s="94" t="str">
        <x:v>核心原则：先识别、再判断效应；先算原始力量、再修正有效力量；十神旺衰与功能、喜忌分开；格局、调候、通关、病药发生冲突时必须进入M18裁决。</x:v>
      </x:c>
      <x:c r="B3" s="94"/>
      <x:c r="C3" s="94"/>
      <x:c r="D3" s="94"/>
      <x:c r="E3" s="94"/>
      <x:c r="F3" s="94"/>
      <x:c r="G3" s="94"/>
      <x:c r="H3" s="94"/>
      <x:c r="I3" s="94"/>
      <x:c r="J3" s="94"/>
      <x:c r="K3" s="94"/>
      <x:c r="L3" s="94"/>
      <x:c r="M3" s="94"/>
      <x:c r="N3" s="94"/>
    </x:row>
    <x:row r="5">
      <x:c r="A5" s="123" t="str">
        <x:v>核心模块数</x:v>
      </x:c>
      <x:c r="B5" s="123"/>
      <x:c r="C5" s="123" t="str">
        <x:v>框架完成数</x:v>
      </x:c>
      <x:c r="D5" s="123"/>
      <x:c r="E5" s="123" t="str">
        <x:v>正式记录数</x:v>
      </x:c>
      <x:c r="F5" s="123"/>
      <x:c r="G5" s="123" t="str">
        <x:v>建议目标数</x:v>
      </x:c>
      <x:c r="H5" s="123"/>
      <x:c r="I5" s="123" t="str">
        <x:v>总体填充率</x:v>
      </x:c>
      <x:c r="J5" s="123"/>
      <x:c r="K5" s="123" t="str">
        <x:v>术语编码数</x:v>
      </x:c>
      <x:c r="L5" s="123"/>
      <x:c r="M5" s="123" t="str">
        <x:v>当前版本</x:v>
      </x:c>
      <x:c r="N5" s="123"/>
    </x:row>
    <x:row r="6">
      <x:c r="A6" s="130" t="n">
        <x:f>COUNTA($B$18:$B$37)</x:f>
        <x:v>20</x:v>
      </x:c>
      <x:c r="B6" s="130"/>
      <x:c r="C6" s="130" t="n">
        <x:f>COUNTA($M$18:$M$37)-COUNTIF($M$18:$M$37,"未开始")</x:f>
        <x:v>20</x:v>
      </x:c>
      <x:c r="D6" s="130"/>
      <x:c r="E6" s="130" t="n">
        <x:v>1210</x:v>
      </x:c>
      <x:c r="F6" s="130"/>
      <x:c r="G6" s="130" t="n">
        <x:f>SUM($J$18:$J$37)</x:f>
        <x:v>1745</x:v>
      </x:c>
      <x:c r="H6" s="130"/>
      <x:c r="I6" s="138" t="n">
        <x:f>E6/G6</x:f>
        <x:v>0.6934097421203438</x:v>
      </x:c>
      <x:c r="J6" s="138"/>
      <x:c r="K6" s="130" t="n">
        <x:v>549</x:v>
      </x:c>
      <x:c r="L6" s="130"/>
      <x:c r="M6" s="144" t="str">
        <x:v>V1.3</x:v>
      </x:c>
      <x:c r="N6" s="144"/>
    </x:row>
    <x:row r="7">
      <x:c r="A7" s="130"/>
      <x:c r="B7" s="130"/>
      <x:c r="C7" s="130"/>
      <x:c r="D7" s="130"/>
      <x:c r="E7" s="130"/>
      <x:c r="F7" s="130"/>
      <x:c r="G7" s="130"/>
      <x:c r="H7" s="130"/>
      <x:c r="I7" s="138"/>
      <x:c r="J7" s="138"/>
      <x:c r="K7" s="130"/>
      <x:c r="L7" s="130"/>
      <x:c r="M7" s="144"/>
      <x:c r="N7" s="144"/>
    </x:row>
    <x:row r="9">
      <x:c r="A9" s="150" t="str">
        <x:v>四层推理架构与治理边界</x:v>
      </x:c>
      <x:c r="B9" s="150"/>
      <x:c r="C9" s="150"/>
      <x:c r="D9" s="150"/>
      <x:c r="E9" s="150"/>
      <x:c r="F9" s="150"/>
      <x:c r="G9" s="150"/>
      <x:c r="H9" s="150"/>
      <x:c r="I9" s="150"/>
      <x:c r="J9" s="150"/>
      <x:c r="K9" s="150"/>
      <x:c r="L9" s="150"/>
      <x:c r="M9" s="150"/>
      <x:c r="N9" s="150"/>
    </x:row>
    <x:row r="10">
      <x:c r="A10" s="61" t="str">
        <x:v>层级</x:v>
      </x:c>
      <x:c r="B10" s="61" t="str">
        <x:v>核心问题</x:v>
      </x:c>
      <x:c r="C10" s="61" t="str">
        <x:v>主要模块</x:v>
      </x:c>
      <x:c r="D10" s="61" t="str">
        <x:v>禁止跨越的边界</x:v>
      </x:c>
      <x:c r="E10" s="61" t="str">
        <x:v>主要输出</x:v>
      </x:c>
      <x:c r="G10" s="155" t="str">
        <x:v>规则编号与使用约束</x:v>
      </x:c>
      <x:c r="H10" s="155"/>
      <x:c r="I10" s="155"/>
      <x:c r="J10" s="155"/>
      <x:c r="K10" s="155"/>
      <x:c r="L10" s="155"/>
      <x:c r="M10" s="155"/>
      <x:c r="N10" s="155"/>
    </x:row>
    <x:row r="11">
      <x:c r="A11" s="112" t="str">
        <x:v>识别层</x:v>
      </x:c>
      <x:c r="B11" s="112" t="str">
        <x:v>原局客观存在什么事实与关系？</x:v>
      </x:c>
      <x:c r="C11" s="112" t="str">
        <x:v>M02—M05</x:v>
      </x:c>
      <x:c r="D11" s="112" t="str">
        <x:v>不直接判断增减力、吉凶或用神</x:v>
      </x:c>
      <x:c r="E11" s="112" t="str">
        <x:v>干支映射、关系存在、完整度与候选</x:v>
      </x:c>
      <x:c r="G11" s="158" t="str">
        <x:v>完整格式</x:v>
      </x:c>
      <x:c r="H11" s="112" t="str">
        <x:v>M05-XING-0001-V1.0</x:v>
      </x:c>
      <x:c r="I11" s="112" t="str">
        <x:v>模块－子类－四位序号－版本</x:v>
      </x:c>
      <x:c r="J11" s="47" t="str">
        <x:v>示例不代表规则库已经完成。正式规则至少需要：前置条件、必要条件、增强/削弱、否决、例外、作用对象、标准输出、置信度、正例与反例。规则写完后进入M20测试；发生流派分歧或语义修改时进入M21。</x:v>
      </x:c>
      <x:c r="K11" s="47"/>
      <x:c r="L11" s="47"/>
      <x:c r="M11" s="47"/>
      <x:c r="N11" s="47"/>
    </x:row>
    <x:row r="12">
      <x:c r="A12" s="112" t="str">
        <x:v>效应层</x:v>
      </x:c>
      <x:c r="B12" s="112" t="str">
        <x:v>已识别关系实际产生什么作用？</x:v>
      </x:c>
      <x:c r="C12" s="112" t="str">
        <x:v>M06</x:v>
      </x:c>
      <x:c r="D12" s="112" t="str">
        <x:v>不把关系名称直接换算成固定分值</x:v>
      </x:c>
      <x:c r="E12" s="112" t="str">
        <x:v>逐对象的合绊、冲动、转化、根气与流通效应</x:v>
      </x:c>
      <x:c r="G12" s="158" t="str">
        <x:v>正式序号</x:v>
      </x:c>
      <x:c r="H12" s="112" t="str">
        <x:v>0001—9998</x:v>
      </x:c>
      <x:c r="I12" s="112" t="str">
        <x:v>同模块同子类递增；停用后不得复用</x:v>
      </x:c>
      <x:c r="J12" s="47"/>
      <x:c r="K12" s="47"/>
      <x:c r="L12" s="47"/>
      <x:c r="M12" s="47"/>
      <x:c r="N12" s="47"/>
    </x:row>
    <x:row r="13">
      <x:c r="A13" s="112" t="str">
        <x:v>结构层</x:v>
      </x:c>
      <x:c r="B13" s="112" t="str">
        <x:v>有效力量、十神功能和流通状态如何？</x:v>
      </x:c>
      <x:c r="C13" s="112" t="str">
        <x:v>M07—M08、M10—M13</x:v>
      </x:c>
      <x:c r="D13" s="112" t="str">
        <x:v>不以数量或单一证据直接定喜忌</x:v>
      </x:c>
      <x:c r="E13" s="112" t="str">
        <x:v>五行有效旺衰、十神功能、组合、卡点、调候</x:v>
      </x:c>
      <x:c r="G13" s="158" t="str">
        <x:v>示例序号</x:v>
      </x:c>
      <x:c r="H13" s="112" t="str">
        <x:v>9999</x:v>
      </x:c>
      <x:c r="I13" s="112" t="str">
        <x:v>全表示例专用，不计入正式规则</x:v>
      </x:c>
      <x:c r="J13" s="47"/>
      <x:c r="K13" s="47"/>
      <x:c r="L13" s="47"/>
      <x:c r="M13" s="47"/>
      <x:c r="N13" s="47"/>
    </x:row>
    <x:row r="14">
      <x:c r="A14" s="112" t="str">
        <x:v>综合层</x:v>
      </x:c>
      <x:c r="B14" s="112" t="str">
        <x:v>格局、病药和用神如何裁决？</x:v>
      </x:c>
      <x:c r="C14" s="112" t="str">
        <x:v>M09、M14—M18</x:v>
      </x:c>
      <x:c r="D14" s="112" t="str">
        <x:v>必须保留反向证据、条件与副作用</x:v>
      </x:c>
      <x:c r="E14" s="112" t="str">
        <x:v>日主旺衰、格局成败、病药、喜忌用神与裁决</x:v>
      </x:c>
      <x:c r="G14" s="158" t="str">
        <x:v>A列</x:v>
      </x:c>
      <x:c r="H14" s="112" t="str">
        <x:v>自动公式</x:v>
      </x:c>
      <x:c r="I14" s="112" t="str">
        <x:v>禁止手工覆盖；引用其他规则时使用完整ID</x:v>
      </x:c>
      <x:c r="J14" s="47"/>
      <x:c r="K14" s="47"/>
      <x:c r="L14" s="47"/>
      <x:c r="M14" s="47"/>
      <x:c r="N14" s="47"/>
    </x:row>
    <x:row r="15">
      <x:c r="A15" s="112" t="str">
        <x:v>治理与输出</x:v>
      </x:c>
      <x:c r="B15" s="112" t="str">
        <x:v>怎样稳定输出、测试并维护版本？</x:v>
      </x:c>
      <x:c r="C15" s="112" t="str">
        <x:v>M19—M21</x:v>
      </x:c>
      <x:c r="D15" s="112" t="str">
        <x:v>停用规则不删除，争议不伪装成共识</x:v>
      </x:c>
      <x:c r="E15" s="112" t="str">
        <x:v>结构化报告、案例测试、争议与版本历史</x:v>
      </x:c>
      <x:c r="G15" s="158" t="str">
        <x:v>版本</x:v>
      </x:c>
      <x:c r="H15" s="112" t="str">
        <x:v>V主.次</x:v>
      </x:c>
      <x:c r="I15" s="112" t="str">
        <x:v>核心语义变化通常新建ID，并在M21登记</x:v>
      </x:c>
      <x:c r="J15" s="47"/>
      <x:c r="K15" s="47"/>
      <x:c r="L15" s="47"/>
      <x:c r="M15" s="47"/>
      <x:c r="N15" s="47"/>
    </x:row>
    <x:row r="17">
      <x:c r="A17" s="61" t="str">
        <x:v>序号</x:v>
      </x:c>
      <x:c r="B17" s="61" t="str">
        <x:v>模块代码</x:v>
      </x:c>
      <x:c r="C17" s="61" t="str">
        <x:v>工作表</x:v>
      </x:c>
      <x:c r="D17" s="61" t="str">
        <x:v>规则层级</x:v>
      </x:c>
      <x:c r="E17" s="61" t="str">
        <x:v>核心职责</x:v>
      </x:c>
      <x:c r="F17" s="61" t="str">
        <x:v>前置依赖</x:v>
      </x:c>
      <x:c r="G17" s="61" t="str">
        <x:v>主要输出</x:v>
      </x:c>
      <x:c r="H17" s="61" t="str">
        <x:v>直接下游</x:v>
      </x:c>
      <x:c r="I17" s="61" t="str">
        <x:v>建设阶段</x:v>
      </x:c>
      <x:c r="J17" s="61" t="str">
        <x:v>建议目标规则数</x:v>
      </x:c>
      <x:c r="K17" s="61" t="str">
        <x:v>已录入正式记录</x:v>
      </x:c>
      <x:c r="L17" s="61" t="str">
        <x:v>完成率</x:v>
      </x:c>
      <x:c r="M17" s="61" t="str">
        <x:v>当前状态</x:v>
      </x:c>
      <x:c r="N17" s="61" t="str">
        <x:v>备注</x:v>
      </x:c>
    </x:row>
    <x:row r="18">
      <x:c r="A18" s="112" t="n">
        <x:v>1</x:v>
      </x:c>
      <x:c r="B18" s="112" t="str">
        <x:v>M02</x:v>
      </x:c>
      <x:c r="C18" s="112" t="str">
        <x:v>02_干支藏干基础</x:v>
      </x:c>
      <x:c r="D18" s="112" t="str">
        <x:v>识别层</x:v>
      </x:c>
      <x:c r="E18" s="112" t="str">
        <x:v>保存不可再拆分的基础映射：天干地支、阴阳五行、藏干层级、季节属性与十神映射前提。此表是全库的事实底座。</x:v>
      </x:c>
      <x:c r="F18" s="112" t="str">
        <x:v>无</x:v>
      </x:c>
      <x:c r="G18" s="112" t="str">
        <x:v>统一干支、藏干、五行与十神映射</x:v>
      </x:c>
      <x:c r="H18" s="112" t="str">
        <x:v>M03/M04/M05/M07/M09/M10</x:v>
      </x:c>
      <x:c r="I18" s="112" t="str">
        <x:v>第一阶段_基础关系</x:v>
      </x:c>
      <x:c r="J18" s="112" t="n">
        <x:v>40</x:v>
      </x:c>
      <x:c r="K18" s="112" t="n">
        <x:f>MAX(0,COUNT('02_干支藏干基础'!$D$6:$D$105)-1)</x:f>
        <x:v>40</x:v>
      </x:c>
      <x:c r="L18" s="160" t="n">
        <x:f>IF(J18=0,"",K18/J18)</x:f>
        <x:v>1</x:v>
      </x:c>
      <x:c r="M18" s="112" t="str">
        <x:v>核心规则填充</x:v>
      </x:c>
      <x:c r="N18" s="112" t="str">
        <x:v>已录入40条：十天干10、十二地支12、五行5、十神10、治理边界3。</x:v>
      </x:c>
    </x:row>
    <x:row r="19">
      <x:c r="A19" s="112" t="n">
        <x:v>2</x:v>
      </x:c>
      <x:c r="B19" s="112" t="str">
        <x:v>M03</x:v>
      </x:c>
      <x:c r="C19" s="112" t="str">
        <x:v>03_月令与根气</x:v>
      </x:c>
      <x:c r="D19" s="112" t="str">
        <x:v>结构层</x:v>
      </x:c>
      <x:c r="E19" s="112" t="str">
        <x:v>定义月令司权、得令、得地、通根及根气等级。每条规则必须说明它只是证据，还是足以构成否决或硬约束。</x:v>
      </x:c>
      <x:c r="F19" s="112" t="str">
        <x:v>M02</x:v>
      </x:c>
      <x:c r="G19" s="112" t="str">
        <x:v>月令支持度、根气类型与证据权重</x:v>
      </x:c>
      <x:c r="H19" s="112" t="str">
        <x:v>M07/M08/M09/M14</x:v>
      </x:c>
      <x:c r="I19" s="112" t="str">
        <x:v>第一阶段_基础关系</x:v>
      </x:c>
      <x:c r="J19" s="112" t="n">
        <x:v>60</x:v>
      </x:c>
      <x:c r="K19" s="112" t="n">
        <x:f>MAX(0,COUNT('03_月令与根气'!$D$6:$D$105)-1)</x:f>
        <x:v>60</x:v>
      </x:c>
      <x:c r="L19" s="160" t="n">
        <x:f>IF(J19=0,"",K19/J19)</x:f>
        <x:v>1</x:v>
      </x:c>
      <x:c r="M19" s="112" t="str">
        <x:v>核心规则填充</x:v>
      </x:c>
      <x:c r="N19" s="112" t="str">
        <x:v>已录入60条：月令12、旺相休囚死5、程序6、十干通根10、根气与边界27。</x:v>
      </x:c>
    </x:row>
    <x:row r="20">
      <x:c r="A20" s="112" t="n">
        <x:v>3</x:v>
      </x:c>
      <x:c r="B20" s="112" t="str">
        <x:v>M04</x:v>
      </x:c>
      <x:c r="C20" s="112" t="str">
        <x:v>04_天干作用识别</x:v>
      </x:c>
      <x:c r="D20" s="112" t="str">
        <x:v>识别层</x:v>
      </x:c>
      <x:c r="E20" s="112" t="str">
        <x:v>只识别天干五合、相克、争合、妒合、隔合与合化候选。识别成立不等于合化成立，也不等于必然增减力。</x:v>
      </x:c>
      <x:c r="F20" s="112" t="str">
        <x:v>M02</x:v>
      </x:c>
      <x:c r="G20" s="112" t="str">
        <x:v>天干关系清单与合化候选</x:v>
      </x:c>
      <x:c r="H20" s="112" t="str">
        <x:v>M06/M08/M10/M11</x:v>
      </x:c>
      <x:c r="I20" s="112" t="str">
        <x:v>第一阶段_基础关系</x:v>
      </x:c>
      <x:c r="J20" s="112" t="n">
        <x:v>50</x:v>
      </x:c>
      <x:c r="K20" s="112" t="n">
        <x:f>MAX(0,COUNT('04_天干作用识别'!$D$6:$D$105)-1)</x:f>
        <x:v>50</x:v>
      </x:c>
      <x:c r="L20" s="160" t="n">
        <x:f>IF(J20=0,"",K20/J20)</x:f>
        <x:v>1</x:v>
      </x:c>
      <x:c r="M20" s="112" t="str">
        <x:v>核心规则填充</x:v>
      </x:c>
      <x:c r="N20" s="112" t="str">
        <x:v>已录入50条：五合5、相克20、柱位6、合化候选5、争合5、通用多重关系与边界9。</x:v>
      </x:c>
    </x:row>
    <x:row r="21">
      <x:c r="A21" s="112" t="n">
        <x:v>4</x:v>
      </x:c>
      <x:c r="B21" s="112" t="str">
        <x:v>M05</x:v>
      </x:c>
      <x:c r="C21" s="112" t="str">
        <x:v>05_地支关系识别</x:v>
      </x:c>
      <x:c r="D21" s="112" t="str">
        <x:v>识别层</x:v>
      </x:c>
      <x:c r="E21" s="112" t="str">
        <x:v>识别六合、三合、半合、拱合、三会、六冲、三刑、自刑、六害、六破及多重关系。此表不直接裁定某支被刑弱或被冲散。</x:v>
      </x:c>
      <x:c r="F21" s="112" t="str">
        <x:v>M02</x:v>
      </x:c>
      <x:c r="G21" s="112" t="str">
        <x:v>地支关系清单、完整度与叠加关系</x:v>
      </x:c>
      <x:c r="H21" s="112" t="str">
        <x:v>M06/M08/M10/M11/M12</x:v>
      </x:c>
      <x:c r="I21" s="112" t="str">
        <x:v>第一阶段_基础关系</x:v>
      </x:c>
      <x:c r="J21" s="112" t="n">
        <x:v>90</x:v>
      </x:c>
      <x:c r="K21" s="112" t="n">
        <x:f>MAX(0,COUNT('05_地支关系识别'!$D$6:$D$105)-1)</x:f>
        <x:v>90</x:v>
      </x:c>
      <x:c r="L21" s="160" t="n">
        <x:f>IF(J21=0,"",K21/J21)</x:f>
        <x:v>1</x:v>
      </x:c>
      <x:c r="M21" s="112" t="str">
        <x:v>核心规则填充</x:v>
      </x:c>
      <x:c r="N21" s="112" t="str">
        <x:v>已录入90条：六合6、三合4、半合8、拱合4、三会4、六冲6、三刑9、自刑4、六害6、六破6、柱位与边界33。</x:v>
      </x:c>
    </x:row>
    <x:row r="22">
      <x:c r="A22" s="112" t="n">
        <x:v>5</x:v>
      </x:c>
      <x:c r="B22" s="112" t="str">
        <x:v>M06</x:v>
      </x:c>
      <x:c r="C22" s="112" t="str">
        <x:v>06_干支关系效应</x:v>
      </x:c>
      <x:c r="D22" s="112" t="str">
        <x:v>效应层</x:v>
      </x:c>
      <x:c r="E22" s="112" t="str">
        <x:v>将已识别的合冲刑害转化为实际效应：合绊、合化、冲动、冲散、刑伤、激活、开库、根气变化与流通影响。必须逐对象判断。</x:v>
      </x:c>
      <x:c r="F22" s="112" t="str">
        <x:v>M03/M04/M05</x:v>
      </x:c>
      <x:c r="G22" s="112" t="str">
        <x:v>关系的实际增减、转化、激活与阻断</x:v>
      </x:c>
      <x:c r="H22" s="112" t="str">
        <x:v>M08/M09/M10/M11/M12/M14/M15</x:v>
      </x:c>
      <x:c r="I22" s="112" t="str">
        <x:v>第一阶段_基础关系</x:v>
      </x:c>
      <x:c r="J22" s="112" t="n">
        <x:v>120</x:v>
      </x:c>
      <x:c r="K22" s="112" t="n">
        <x:f>MAX(0,COUNT('06_干支关系效应'!$D$6:$D$126)-1)</x:f>
        <x:v>120</x:v>
      </x:c>
      <x:c r="L22" s="160" t="n">
        <x:f>IF(J22=0,"",K22/J22)</x:f>
        <x:v>1</x:v>
      </x:c>
      <x:c r="M22" s="112" t="str">
        <x:v>核心规则填充</x:v>
      </x:c>
      <x:c r="N22" s="112" t="str">
        <x:v>已录入120条：天干合10、天干合化12、天干相克8、六合12、三合10、三会6、半合拱合6、六冲18、三刑9、自刑4、六害4、六破4、多重关系7、效应边界10。</x:v>
      </x:c>
    </x:row>
    <x:row r="23">
      <x:c r="A23" s="112" t="n">
        <x:v>6</x:v>
      </x:c>
      <x:c r="B23" s="112" t="str">
        <x:v>M07</x:v>
      </x:c>
      <x:c r="C23" s="112" t="str">
        <x:v>07_五行原始旺衰</x:v>
      </x:c>
      <x:c r="D23" s="112" t="str">
        <x:v>结构层</x:v>
      </x:c>
      <x:c r="E23" s="112" t="str">
        <x:v>在复杂合冲效应修正前，按得令、根气、透干、生源、同党、成势与连续生扶评估五行基础力量。保留参考权重但禁止机械总分代替判断。</x:v>
      </x:c>
      <x:c r="F23" s="112" t="str">
        <x:v>M02/M03</x:v>
      </x:c>
      <x:c r="G23" s="112" t="str">
        <x:v>五行原始旺衰证据与候选等级</x:v>
      </x:c>
      <x:c r="H23" s="112" t="str">
        <x:v>M08/M09/M10</x:v>
      </x:c>
      <x:c r="I23" s="112" t="str">
        <x:v>第二阶段_旺衰十神</x:v>
      </x:c>
      <x:c r="J23" s="112" t="n">
        <x:v>80</x:v>
      </x:c>
      <x:c r="K23" s="112" t="n">
        <x:f>MAX(0,COUNT('07_五行原始旺衰'!$D$6:$D$105)-1)</x:f>
        <x:v>80</x:v>
      </x:c>
      <x:c r="L23" s="160" t="n">
        <x:f>IF(J23=0,"",K23/J23)</x:f>
        <x:v>1</x:v>
      </x:c>
      <x:c r="M23" s="112" t="str">
        <x:v>核心规则填充</x:v>
      </x:c>
      <x:c r="N23" s="112" t="str">
        <x:v>已录入80条：季令10、根气16、透干10、生源10、同党10、成势8、连续生扶6、综合分级6、边界4。</x:v>
      </x:c>
    </x:row>
    <x:row r="24">
      <x:c r="A24" s="112" t="n">
        <x:v>7</x:v>
      </x:c>
      <x:c r="B24" s="112" t="str">
        <x:v>M08</x:v>
      </x:c>
      <x:c r="C24" s="112" t="str">
        <x:v>08_五行有效旺衰</x:v>
      </x:c>
      <x:c r="D24" s="112" t="str">
        <x:v>结构层</x:v>
      </x:c>
      <x:c r="E24" s="112" t="str">
        <x:v>将M07原始力量经合冲刑害、生克泄耗、根气变化、寒凝燥枯与流通状态修正为真正可发挥的有效力量。</x:v>
      </x:c>
      <x:c r="F24" s="112" t="str">
        <x:v>M06/M07</x:v>
      </x:c>
      <x:c r="G24" s="112" t="str">
        <x:v>五行有效旺衰、可用性与修正原因</x:v>
      </x:c>
      <x:c r="H24" s="112" t="str">
        <x:v>M09/M10/M11/M12/M13/M14/M16/M17</x:v>
      </x:c>
      <x:c r="I24" s="112" t="str">
        <x:v>第二阶段_旺衰十神</x:v>
      </x:c>
      <x:c r="J24" s="112" t="n">
        <x:v>110</x:v>
      </x:c>
      <x:c r="K24" s="112" t="n">
        <x:f>MAX(0,COUNT('08_五行有效旺衰'!$D$6:$D$116)-1)</x:f>
        <x:v>110</x:v>
      </x:c>
      <x:c r="L24" s="160" t="n">
        <x:f>IF(J24=0,"",K24/J24)</x:f>
        <x:v>1</x:v>
      </x:c>
      <x:c r="M24" s="112" t="str">
        <x:v>核心规则填充</x:v>
      </x:c>
      <x:c r="N24" s="112" t="str">
        <x:v>已录入110条：根气16、生源12、透达8、克制10、泄气8、耗气8、合化会局12、冲刑害破12、寒燥8、流通6、综合分级6、边界4。</x:v>
      </x:c>
    </x:row>
    <x:row r="25">
      <x:c r="A25" s="112" t="n">
        <x:v>8</x:v>
      </x:c>
      <x:c r="B25" s="112" t="str">
        <x:v>M09</x:v>
      </x:c>
      <x:c r="C25" s="112" t="str">
        <x:v>09_日主旺衰</x:v>
      </x:c>
      <x:c r="D25" s="112" t="str">
        <x:v>综合层</x:v>
      </x:c>
      <x:c r="E25" s="112" t="str">
        <x:v>综合得令、得地、得势、得生、受制、受泄、受耗及根气有效性，输出七级旺衰、反向证据与置信度。</x:v>
      </x:c>
      <x:c r="F25" s="112" t="str">
        <x:v>M03/M07/M08</x:v>
      </x:c>
      <x:c r="G25" s="112" t="str">
        <x:v>日主七级旺衰、正反证据与置信度</x:v>
      </x:c>
      <x:c r="H25" s="112" t="str">
        <x:v>M10/M11/M14/M16/M17</x:v>
      </x:c>
      <x:c r="I25" s="112" t="str">
        <x:v>第二阶段_旺衰十神</x:v>
      </x:c>
      <x:c r="J25" s="112" t="n">
        <x:v>90</x:v>
      </x:c>
      <x:c r="K25" s="112" t="n">
        <x:f>MAX(0,COUNT('09_日主旺衰'!$D$6:$D$105)-1)</x:f>
        <x:v>90</x:v>
      </x:c>
      <x:c r="L25" s="160" t="n">
        <x:f>IF(J25=0,"",K25/J25)</x:f>
        <x:v>1</x:v>
      </x:c>
      <x:c r="M25" s="112" t="str">
        <x:v>核心规则填充</x:v>
      </x:c>
      <x:c r="N25" s="112" t="str">
        <x:v>已录入90条：得令10、得地12、得势10、得生8、受制8、受泄8、受耗6、综合比较10、七级分级8、边界10。</x:v>
      </x:c>
    </x:row>
    <x:row r="26">
      <x:c r="A26" s="112" t="n">
        <x:v>9</x:v>
      </x:c>
      <x:c r="B26" s="112" t="str">
        <x:v>M10</x:v>
      </x:c>
      <x:c r="C26" s="112" t="str">
        <x:v>10_十神旺衰功能</x:v>
      </x:c>
      <x:c r="D26" s="112" t="str">
        <x:v>结构层</x:v>
      </x:c>
      <x:c r="E26" s="112" t="str">
        <x:v>分别判断十神是否存在、自身力量、清纯度、功能是否有效及对全局喜忌。禁止把十神旺弱直接等同于吉凶。</x:v>
      </x:c>
      <x:c r="F26" s="112" t="str">
        <x:v>M02/M08/M09</x:v>
      </x:c>
      <x:c r="G26" s="112" t="str">
        <x:v>十神力量、清纯度、功能状态与喜忌候选</x:v>
      </x:c>
      <x:c r="H26" s="112" t="str">
        <x:v>M11/M14/M15/M16/M17</x:v>
      </x:c>
      <x:c r="I26" s="112" t="str">
        <x:v>第二阶段_旺衰十神</x:v>
      </x:c>
      <x:c r="J26" s="112" t="n">
        <x:v>120</x:v>
      </x:c>
      <x:c r="K26" s="112" t="n">
        <x:v>120</x:v>
      </x:c>
      <x:c r="L26" s="160" t="n">
        <x:v>1</x:v>
      </x:c>
      <x:c r="M26" s="112" t="str">
        <x:v>核心规则填充</x:v>
      </x:c>
      <x:c r="N26" s="112" t="str">
        <x:v>已录入120条：存在12、力量12、清纯8、比劫10、印星10、食伤12、财星12、官杀14、制化10、组合格局接口8、喜忌候选6、边界6。</x:v>
      </x:c>
    </x:row>
    <x:row r="27">
      <x:c r="A27" s="112" t="n">
        <x:v>10</x:v>
      </x:c>
      <x:c r="B27" s="112" t="str">
        <x:v>M11</x:v>
      </x:c>
      <x:c r="C27" s="112" t="str">
        <x:v>11_十神组合成立</x:v>
      </x:c>
      <x:c r="D27" s="112" t="str">
        <x:v>结构层</x:v>
      </x:c>
      <x:c r="E27" s="112" t="str">
        <x:v>建立食神制杀、伤官配印、官印相生、杀印相生等组合的必要条件、破坏条件、救应条件与成立等级。</x:v>
      </x:c>
      <x:c r="F27" s="112" t="str">
        <x:v>M08/M09/M10</x:v>
      </x:c>
      <x:c r="G27" s="112" t="str">
        <x:v>十神组合成立等级、功能、破坏与救应</x:v>
      </x:c>
      <x:c r="H27" s="112" t="str">
        <x:v>M14/M15/M16/M17</x:v>
      </x:c>
      <x:c r="I27" s="112" t="str">
        <x:v>第三阶段_流通格局</x:v>
      </x:c>
      <x:c r="J27" s="112" t="n">
        <x:v>110</x:v>
      </x:c>
      <x:c r="K27" s="112" t="n">
        <x:v>110</x:v>
      </x:c>
      <x:c r="L27" s="160" t="n">
        <x:v>1</x:v>
      </x:c>
      <x:c r="M27" s="112" t="str">
        <x:v>核心规则填充</x:v>
      </x:c>
      <x:c r="N27" s="112" t="str">
        <x:v>已录入110条：通用10、食神制杀10、杀印相生8、官印相生8、伤官配印10、食伤生财10、财官生化链8、平衡承载10、其他制化8、冲突病态18、边界10。</x:v>
      </x:c>
    </x:row>
    <x:row r="28">
      <x:c r="A28" s="112" t="n">
        <x:v>11</x:v>
      </x:c>
      <x:c r="B28" s="112" t="str">
        <x:v>M12</x:v>
      </x:c>
      <x:c r="C28" s="112" t="str">
        <x:v>12_五行流通卡点</x:v>
      </x:c>
      <x:c r="D28" s="112" t="str">
        <x:v>结构层</x:v>
      </x:c>
      <x:c r="E28" s="112" t="str">
        <x:v>把五行和十神关系表达为起点—桥梁—终点路径，定位缺桥、桥弱、两强相战、寒凝燥枯与终点不能承载等卡点。</x:v>
      </x:c>
      <x:c r="F28" s="112" t="str">
        <x:v>M06/M08/M10/M11</x:v>
      </x:c>
      <x:c r="G28" s="112" t="str">
        <x:v>主要流通路径、卡点与通关候选</x:v>
      </x:c>
      <x:c r="H28" s="112" t="str">
        <x:v>M13/M16/M17</x:v>
      </x:c>
      <x:c r="I28" s="112" t="str">
        <x:v>第三阶段_流通格局</x:v>
      </x:c>
      <x:c r="J28" s="112" t="n">
        <x:v>90</x:v>
      </x:c>
      <x:c r="K28" s="112" t="n">
        <x:v>90</x:v>
      </x:c>
      <x:c r="L28" s="160" t="n">
        <x:v>1</x:v>
      </x:c>
      <x:c r="M28" s="112" t="str">
        <x:v>核心规则填充</x:v>
      </x:c>
      <x:c r="N28" s="112" t="str">
        <x:v>已录入90条：通用10、源头8、桥梁12、终点8、典型卡点16、五行生化与通关10、十神路径10、通关副作用8、综合输出4、边界4。</x:v>
      </x:c>
    </x:row>
    <x:row r="29">
      <x:c r="A29" s="112" t="n">
        <x:v>12</x:v>
      </x:c>
      <x:c r="B29" s="112" t="str">
        <x:v>M13</x:v>
      </x:c>
      <x:c r="C29" s="112" t="str">
        <x:v>13_寒暖燥湿</x:v>
      </x:c>
      <x:c r="D29" s="112" t="str">
        <x:v>结构层</x:v>
      </x:c>
      <x:c r="E29" s="112" t="str">
        <x:v>将温度轴和湿度轴分开判断，再评估调候五行是否存在、是否有效、紧急程度及其与扶抑和格局的冲突。</x:v>
      </x:c>
      <x:c r="F29" s="112" t="str">
        <x:v>M02/M08/M12</x:v>
      </x:c>
      <x:c r="G29" s="112" t="str">
        <x:v>温度、湿度、调候候选与紧急度</x:v>
      </x:c>
      <x:c r="H29" s="112" t="str">
        <x:v>M16/M17</x:v>
      </x:c>
      <x:c r="I29" s="112" t="str">
        <x:v>第三阶段_流通格局</x:v>
      </x:c>
      <x:c r="J29" s="112" t="n">
        <x:v>70</x:v>
      </x:c>
      <x:c r="K29" s="112" t="n">
        <x:v>70</x:v>
      </x:c>
      <x:c r="L29" s="160" t="n">
        <x:v>1</x:v>
      </x:c>
      <x:c r="M29" s="112" t="str">
        <x:v>核心规则填充</x:v>
      </x:c>
      <x:c r="N29" s="112" t="str">
        <x:v>已录入70条：通用8、十二月令基准12、寒暖修正10、燥湿修正10、双轴组合8、调候元素有效性8、调候冲突8、边界6。</x:v>
      </x:c>
    </x:row>
    <x:row r="30">
      <x:c r="A30" s="112" t="n">
        <x:v>13</x:v>
      </x:c>
      <x:c r="B30" s="112" t="str">
        <x:v>M14</x:v>
      </x:c>
      <x:c r="C30" s="112" t="str">
        <x:v>14_格局候选判断</x:v>
      </x:c>
      <x:c r="D30" s="112" t="str">
        <x:v>综合层</x:v>
      </x:c>
      <x:c r="E30" s="112" t="str">
        <x:v>先生成多个普通或特殊格局候选，再按月令、透干、格神、日主配合及严格条件逐一淘汰，禁止一开始强行定格。</x:v>
      </x:c>
      <x:c r="F30" s="112" t="str">
        <x:v>M03/M06/M08/M09/M10/M11</x:v>
      </x:c>
      <x:c r="G30" s="112" t="str">
        <x:v>格局候选清单、排除理由与候选状态</x:v>
      </x:c>
      <x:c r="H30" s="112" t="str">
        <x:v>M15/M17/M18</x:v>
      </x:c>
      <x:c r="I30" s="112" t="str">
        <x:v>第三阶段_流通格局</x:v>
      </x:c>
      <x:c r="J30" s="112" t="n">
        <x:v>80</x:v>
      </x:c>
      <x:c r="K30" s="112" t="n">
        <x:v>80</x:v>
      </x:c>
      <x:c r="L30" s="160" t="n">
        <x:v>1</x:v>
      </x:c>
      <x:c r="M30" s="112" t="str">
        <x:v>核心规则填充</x:v>
      </x:c>
      <x:c r="N30" s="112" t="str">
        <x:v>已录入80条：通用8、正官6、七杀6、印格6、财格6、食伤8、建禄羊刃8、从格10、化气6、专旺6、候选排序6、边界4。</x:v>
      </x:c>
    </x:row>
    <x:row r="31">
      <x:c r="A31" s="112" t="n">
        <x:v>14</x:v>
      </x:c>
      <x:c r="B31" s="112" t="str">
        <x:v>M15</x:v>
      </x:c>
      <x:c r="C31" s="112" t="str">
        <x:v>15_格局成败救应</x:v>
      </x:c>
      <x:c r="D31" s="112" t="str">
        <x:v>综合层</x:v>
      </x:c>
      <x:c r="E31" s="112" t="str">
        <x:v>对M14候选逐项判断成格、破格、清纯度、救应有效性和层次，保留反向证据，并区分“成立”与“层次高低”。</x:v>
      </x:c>
      <x:c r="F31" s="112" t="str">
        <x:v>M14/M11/M08</x:v>
      </x:c>
      <x:c r="G31" s="112" t="str">
        <x:v>最终格局、破格、救应与层次</x:v>
      </x:c>
      <x:c r="H31" s="112" t="str">
        <x:v>M16/M17/M18</x:v>
      </x:c>
      <x:c r="I31" s="112" t="str">
        <x:v>第三阶段_流通格局</x:v>
      </x:c>
      <x:c r="J31" s="112" t="n">
        <x:v>100</x:v>
      </x:c>
      <x:c r="K31" s="112" t="n">
        <x:v>100</x:v>
      </x:c>
      <x:c r="L31" s="160" t="n">
        <x:v>1</x:v>
      </x:c>
      <x:c r="M31" s="112" t="str">
        <x:v>核心规则填充</x:v>
      </x:c>
      <x:c r="N31" s="112" t="str">
        <x:v>已录入100条：通用10、正官8、七杀8、印格8、财格8、食伤10、建禄羊刃8、从格10、化气8、专旺8、救应10、边界4。</x:v>
      </x:c>
    </x:row>
    <x:row r="32">
      <x:c r="A32" s="112" t="n">
        <x:v>15</x:v>
      </x:c>
      <x:c r="B32" s="112" t="str">
        <x:v>M16</x:v>
      </x:c>
      <x:c r="C32" s="112" t="str">
        <x:v>16_病药模型</x:v>
      </x:c>
      <x:c r="D32" s="112" t="str">
        <x:v>综合层</x:v>
      </x:c>
      <x:c r="E32" s="112" t="str">
        <x:v>把旺衰、流通、制化、格局和调候问题转化为病位、病性、根因与药理，评估药力不足、过量和产生新病的风险。</x:v>
      </x:c>
      <x:c r="F32" s="112" t="str">
        <x:v>M08/M09/M10/M11/M12/M13/M15</x:v>
      </x:c>
      <x:c r="G32" s="112" t="str">
        <x:v>根本病、表层病、主药、辅助药与副作用</x:v>
      </x:c>
      <x:c r="H32" s="112" t="str">
        <x:v>M17/M18</x:v>
      </x:c>
      <x:c r="I32" s="112" t="str">
        <x:v>第四阶段_病药用神测试</x:v>
      </x:c>
      <x:c r="J32" s="112" t="n">
        <x:v>110</x:v>
      </x:c>
      <x:c r="K32" s="112" t="n">
        <x:f>MAX(0,COUNT('16_病药模型'!$D$6:$D$105)-1)</x:f>
        <x:v>0</x:v>
      </x:c>
      <x:c r="L32" s="160" t="n">
        <x:f>IF(J32=0,"",K32/J32)</x:f>
        <x:v>0</x:v>
      </x:c>
      <x:c r="M32" s="112" t="str">
        <x:v>框架完成</x:v>
      </x:c>
      <x:c r="N32" s="112" t="str">
        <x:v>目标数为初始建议，可在核心规则填充后调整。</x:v>
      </x:c>
    </x:row>
    <x:row r="33">
      <x:c r="A33" s="112" t="n">
        <x:v>16</x:v>
      </x:c>
      <x:c r="B33" s="112" t="str">
        <x:v>M17</x:v>
      </x:c>
      <x:c r="C33" s="112" t="str">
        <x:v>17_喜忌用神矩阵</x:v>
      </x:c>
      <x:c r="D33" s="112" t="str">
        <x:v>综合层</x:v>
      </x:c>
      <x:c r="E33" s="112" t="str">
        <x:v>把每个候选五行放入五维用神矩阵，分别记录收益、冲突与副作用，最后定主用、辅助用、喜、忌及条件性定位。</x:v>
      </x:c>
      <x:c r="F33" s="112" t="str">
        <x:v>M09/M12/M13/M15/M16</x:v>
      </x:c>
      <x:c r="G33" s="112" t="str">
        <x:v>主用、辅助用、喜忌及条件说明</x:v>
      </x:c>
      <x:c r="H33" s="112" t="str">
        <x:v>M18/M19</x:v>
      </x:c>
      <x:c r="I33" s="112" t="str">
        <x:v>第四阶段_病药用神测试</x:v>
      </x:c>
      <x:c r="J33" s="112" t="n">
        <x:v>100</x:v>
      </x:c>
      <x:c r="K33" s="112" t="n">
        <x:f>MAX(0,COUNT('17_喜忌用神矩阵'!$D$6:$D$105)-1)</x:f>
        <x:v>0</x:v>
      </x:c>
      <x:c r="L33" s="160" t="n">
        <x:f>IF(J33=0,"",K33/J33)</x:f>
        <x:v>0</x:v>
      </x:c>
      <x:c r="M33" s="112" t="str">
        <x:v>框架完成</x:v>
      </x:c>
      <x:c r="N33" s="112" t="str">
        <x:v>目标数为初始建议，可在核心规则填充后调整。</x:v>
      </x:c>
    </x:row>
    <x:row r="34">
      <x:c r="A34" s="112" t="n">
        <x:v>17</x:v>
      </x:c>
      <x:c r="B34" s="112" t="str">
        <x:v>M18</x:v>
      </x:c>
      <x:c r="C34" s="112" t="str">
        <x:v>18_冲突裁决规则</x:v>
      </x:c>
      <x:c r="D34" s="112" t="str">
        <x:v>综合层</x:v>
      </x:c>
      <x:c r="E34" s="112" t="str">
        <x:v>处理扶抑、格局、调候、通关和病药结论冲突。记录硬约束、优先规则、降级规则、反向证据和副作用控制。</x:v>
      </x:c>
      <x:c r="F34" s="112" t="str">
        <x:v>M14/M15/M16/M17</x:v>
      </x:c>
      <x:c r="G34" s="112" t="str">
        <x:v>跨模块裁决、降级与条件性结论</x:v>
      </x:c>
      <x:c r="H34" s="112" t="str">
        <x:v>M19/M20/M21</x:v>
      </x:c>
      <x:c r="I34" s="112" t="str">
        <x:v>第四阶段_病药用神测试</x:v>
      </x:c>
      <x:c r="J34" s="112" t="n">
        <x:v>80</x:v>
      </x:c>
      <x:c r="K34" s="112" t="n">
        <x:f>MAX(0,COUNT('18_冲突裁决规则'!$D$6:$D$105)-1)</x:f>
        <x:v>0</x:v>
      </x:c>
      <x:c r="L34" s="160" t="n">
        <x:f>IF(J34=0,"",K34/J34)</x:f>
        <x:v>0</x:v>
      </x:c>
      <x:c r="M34" s="112" t="str">
        <x:v>框架完成</x:v>
      </x:c>
      <x:c r="N34" s="112" t="str">
        <x:v>目标数为初始建议，可在核心规则填充后调整。</x:v>
      </x:c>
    </x:row>
    <x:row r="35">
      <x:c r="A35" s="112" t="n">
        <x:v>18</x:v>
      </x:c>
      <x:c r="B35" s="112" t="str">
        <x:v>M19</x:v>
      </x:c>
      <x:c r="C35" s="112" t="str">
        <x:v>19_综合输出模板</x:v>
      </x:c>
      <x:c r="D35" s="112" t="str">
        <x:v>综合层</x:v>
      </x:c>
      <x:c r="E35" s="112" t="str">
        <x:v>规定M0分析必须输出的章节、字段、数据来源、内部分析表达与用户表达。此表把底层结论转成稳定、可追溯的报告结构。</x:v>
      </x:c>
      <x:c r="F35" s="112" t="str">
        <x:v>M02-M18</x:v>
      </x:c>
      <x:c r="G35" s="112" t="str">
        <x:v>统一结构化输出字段与用户表达</x:v>
      </x:c>
      <x:c r="H35" s="112" t="str">
        <x:v>上层婚恋/事业/财富/岁运模型</x:v>
      </x:c>
      <x:c r="I35" s="112" t="str">
        <x:v>第四阶段_病药用神测试</x:v>
      </x:c>
      <x:c r="J35" s="112" t="n">
        <x:v>45</x:v>
      </x:c>
      <x:c r="K35" s="112" t="n">
        <x:f>MAX(0,COUNT('19_综合输出模板'!$D$6:$D$105)-1)</x:f>
        <x:v>0</x:v>
      </x:c>
      <x:c r="L35" s="160" t="n">
        <x:f>IF(J35=0,"",K35/J35)</x:f>
        <x:v>0</x:v>
      </x:c>
      <x:c r="M35" s="112" t="str">
        <x:v>框架完成</x:v>
      </x:c>
      <x:c r="N35" s="112" t="str">
        <x:v>目标数为初始建议，可在核心规则填充后调整。</x:v>
      </x:c>
    </x:row>
    <x:row r="36">
      <x:c r="A36" s="112" t="n">
        <x:v>19</x:v>
      </x:c>
      <x:c r="B36" s="112" t="str">
        <x:v>M20</x:v>
      </x:c>
      <x:c r="C36" s="112" t="str">
        <x:v>20_案例测试</x:v>
      </x:c>
      <x:c r="D36" s="112" t="str">
        <x:v>综合层</x:v>
      </x:c>
      <x:c r="E36" s="112" t="str">
        <x:v>保存案例输入、中间识别、效应、结构与综合预期结果，对目标Rule_ID做正例、反例、边界与回归测试。不得只保存最终喜忌。</x:v>
      </x:c>
      <x:c r="F36" s="112" t="str">
        <x:v>M02-M19</x:v>
      </x:c>
      <x:c r="G36" s="112" t="str">
        <x:v>规则通过率、反例与修订线索</x:v>
      </x:c>
      <x:c r="H36" s="112" t="str">
        <x:v>M21及所有模块</x:v>
      </x:c>
      <x:c r="I36" s="112" t="str">
        <x:v>第四阶段_病药用神测试</x:v>
      </x:c>
      <x:c r="J36" s="112" t="n">
        <x:v>150</x:v>
      </x:c>
      <x:c r="K36" s="112" t="n">
        <x:f>MAX(0,COUNT('20_案例测试'!$D$6:$D$105)-1)</x:f>
        <x:v>0</x:v>
      </x:c>
      <x:c r="L36" s="160" t="n">
        <x:f>IF(J36=0,"",K36/J36)</x:f>
        <x:v>0</x:v>
      </x:c>
      <x:c r="M36" s="112" t="str">
        <x:v>框架完成</x:v>
      </x:c>
      <x:c r="N36" s="112" t="str">
        <x:v>目标数为初始建议，可在核心规则填充后调整。</x:v>
      </x:c>
    </x:row>
    <x:row r="37">
      <x:c r="A37" s="112" t="n">
        <x:v>20</x:v>
      </x:c>
      <x:c r="B37" s="112" t="str">
        <x:v>M21</x:v>
      </x:c>
      <x:c r="C37" s="112" t="str">
        <x:v>21_版本与争议规则</x:v>
      </x:c>
      <x:c r="D37" s="112" t="str">
        <x:v>综合层</x:v>
      </x:c>
      <x:c r="E37" s="112" t="str">
        <x:v>记录不同流派观点、采用理由、反向证据、影响范围与版本变更，确保争议规则不会被当作无条件共识。</x:v>
      </x:c>
      <x:c r="F37" s="112" t="str">
        <x:v>M20及外部文献</x:v>
      </x:c>
      <x:c r="G37" s="112" t="str">
        <x:v>争议裁决、版本历史与规则适用边界</x:v>
      </x:c>
      <x:c r="H37" s="112" t="str">
        <x:v>所有模块</x:v>
      </x:c>
      <x:c r="I37" s="112" t="str">
        <x:v>第四阶段_病药用神测试</x:v>
      </x:c>
      <x:c r="J37" s="112" t="n">
        <x:v>50</x:v>
      </x:c>
      <x:c r="K37" s="112" t="n">
        <x:f>MAX(0,COUNT('21_版本与争议规则'!$D$6:$D$105)-1)</x:f>
        <x:v>0</x:v>
      </x:c>
      <x:c r="L37" s="160" t="n">
        <x:f>IF(J37=0,"",K37/J37)</x:f>
        <x:v>0</x:v>
      </x:c>
      <x:c r="M37" s="112" t="str">
        <x:v>框架完成</x:v>
      </x:c>
      <x:c r="N37" s="112" t="str">
        <x:v>目标数为初始建议，可在核心规则填充后调整。</x:v>
      </x:c>
    </x:row>
    <x:row r="40">
      <x:c r="A40" s="150" t="str">
        <x:v>统一判盘与知识库调用顺序</x:v>
      </x:c>
      <x:c r="B40" s="150"/>
      <x:c r="C40" s="150"/>
      <x:c r="D40" s="150"/>
      <x:c r="E40" s="150"/>
      <x:c r="F40" s="150"/>
      <x:c r="G40" s="150"/>
      <x:c r="H40" s="150"/>
      <x:c r="I40" s="150"/>
      <x:c r="J40" s="150"/>
      <x:c r="K40" s="150"/>
      <x:c r="L40" s="150"/>
      <x:c r="M40" s="150"/>
      <x:c r="N40" s="150"/>
    </x:row>
    <x:row r="41">
      <x:c r="A41" s="61" t="str">
        <x:v>步骤</x:v>
      </x:c>
      <x:c r="B41" s="61" t="str">
        <x:v>处理任务</x:v>
      </x:c>
      <x:c r="C41" s="61" t="str">
        <x:v>主要输入模块</x:v>
      </x:c>
      <x:c r="D41" s="61" t="str">
        <x:v>主要输出模块/结果</x:v>
      </x:c>
      <x:c r="E41" s="61" t="str">
        <x:v>必须检查</x:v>
      </x:c>
    </x:row>
    <x:row r="42">
      <x:c r="A42" s="112" t="n">
        <x:v>1</x:v>
      </x:c>
      <x:c r="B42" s="112" t="str">
        <x:v>读取四柱，映射五行、阴阳、藏干与十神</x:v>
      </x:c>
      <x:c r="C42" s="112" t="str">
        <x:v>M02</x:v>
      </x:c>
      <x:c r="D42" s="112" t="str">
        <x:v>基础对象表</x:v>
      </x:c>
      <x:c r="E42" s="112" t="str">
        <x:v>历法、日主与藏干映射一致</x:v>
      </x:c>
    </x:row>
    <x:row r="43">
      <x:c r="A43" s="112" t="n">
        <x:v>2</x:v>
      </x:c>
      <x:c r="B43" s="112" t="str">
        <x:v>识别天干全部合克关系</x:v>
      </x:c>
      <x:c r="C43" s="112" t="str">
        <x:v>M02/M04</x:v>
      </x:c>
      <x:c r="D43" s="112" t="str">
        <x:v>天干关系清单</x:v>
      </x:c>
      <x:c r="E43" s="112" t="str">
        <x:v>只识别，不提前判合化</x:v>
      </x:c>
    </x:row>
    <x:row r="44">
      <x:c r="A44" s="112" t="n">
        <x:v>3</x:v>
      </x:c>
      <x:c r="B44" s="112" t="str">
        <x:v>识别地支刑冲合会害破及叠加关系</x:v>
      </x:c>
      <x:c r="C44" s="112" t="str">
        <x:v>M02/M05</x:v>
      </x:c>
      <x:c r="D44" s="112" t="str">
        <x:v>地支关系清单</x:v>
      </x:c>
      <x:c r="E44" s="112" t="str">
        <x:v>完整度、相邻、月令与同时关系</x:v>
      </x:c>
    </x:row>
    <x:row r="45">
      <x:c r="A45" s="112" t="n">
        <x:v>4</x:v>
      </x:c>
      <x:c r="B45" s="112" t="str">
        <x:v>逐对象判断关系实际效应</x:v>
      </x:c>
      <x:c r="C45" s="112" t="str">
        <x:v>M03/M04/M05/M06</x:v>
      </x:c>
      <x:c r="D45" s="112" t="str">
        <x:v>效应清单</x:v>
      </x:c>
      <x:c r="E45" s="112" t="str">
        <x:v>是否增减力、根气变化与流通影响</x:v>
      </x:c>
    </x:row>
    <x:row r="46">
      <x:c r="A46" s="112" t="n">
        <x:v>5</x:v>
      </x:c>
      <x:c r="B46" s="112" t="str">
        <x:v>评估五行原始力量</x:v>
      </x:c>
      <x:c r="C46" s="112" t="str">
        <x:v>M02/M03/M07</x:v>
      </x:c>
      <x:c r="D46" s="112" t="str">
        <x:v>原始旺衰</x:v>
      </x:c>
      <x:c r="E46" s="112" t="str">
        <x:v>得令、根气、透干、生源与成势</x:v>
      </x:c>
    </x:row>
    <x:row r="47">
      <x:c r="A47" s="112" t="n">
        <x:v>6</x:v>
      </x:c>
      <x:c r="B47" s="112" t="str">
        <x:v>修正为五行有效力量</x:v>
      </x:c>
      <x:c r="C47" s="112" t="str">
        <x:v>M06/M07/M08</x:v>
      </x:c>
      <x:c r="D47" s="112" t="str">
        <x:v>有效旺衰</x:v>
      </x:c>
      <x:c r="E47" s="112" t="str">
        <x:v>合冲刑害、寒凝燥枯与透达</x:v>
      </x:c>
    </x:row>
    <x:row r="48">
      <x:c r="A48" s="112" t="n">
        <x:v>7</x:v>
      </x:c>
      <x:c r="B48" s="112" t="str">
        <x:v>综合裁定日主旺衰</x:v>
      </x:c>
      <x:c r="C48" s="112" t="str">
        <x:v>M03/M07/M08/M09</x:v>
      </x:c>
      <x:c r="D48" s="112" t="str">
        <x:v>七级旺衰</x:v>
      </x:c>
      <x:c r="E48" s="112" t="str">
        <x:v>支持证据、反向证据、为何排除其他等级</x:v>
      </x:c>
    </x:row>
    <x:row r="49">
      <x:c r="A49" s="112" t="n">
        <x:v>8</x:v>
      </x:c>
      <x:c r="B49" s="112" t="str">
        <x:v>判断各十神存在、旺衰与功能</x:v>
      </x:c>
      <x:c r="C49" s="112" t="str">
        <x:v>M02/M08/M09/M10</x:v>
      </x:c>
      <x:c r="D49" s="112" t="str">
        <x:v>十神功能表</x:v>
      </x:c>
      <x:c r="E49" s="112" t="str">
        <x:v>旺弱不等于喜忌</x:v>
      </x:c>
    </x:row>
    <x:row r="50">
      <x:c r="A50" s="112" t="n">
        <x:v>9</x:v>
      </x:c>
      <x:c r="B50" s="112" t="str">
        <x:v>验证十神组合成立等级</x:v>
      </x:c>
      <x:c r="C50" s="112" t="str">
        <x:v>M08/M09/M10/M11</x:v>
      </x:c>
      <x:c r="D50" s="112" t="str">
        <x:v>组合清单</x:v>
      </x:c>
      <x:c r="E50" s="112" t="str">
        <x:v>主体、客体、路径、比例、破坏与救应</x:v>
      </x:c>
    </x:row>
    <x:row r="51">
      <x:c r="A51" s="112" t="n">
        <x:v>10</x:v>
      </x:c>
      <x:c r="B51" s="112" t="str">
        <x:v>建立五行与十神流通路径</x:v>
      </x:c>
      <x:c r="C51" s="112" t="str">
        <x:v>M06/M08/M10/M11/M12</x:v>
      </x:c>
      <x:c r="D51" s="112" t="str">
        <x:v>流通路径</x:v>
      </x:c>
      <x:c r="E51" s="112" t="str">
        <x:v>起点、桥梁、终点与连续性</x:v>
      </x:c>
    </x:row>
    <x:row r="52">
      <x:c r="A52" s="112" t="n">
        <x:v>11</x:v>
      </x:c>
      <x:c r="B52" s="112" t="str">
        <x:v>定位主要卡点与通关候选</x:v>
      </x:c>
      <x:c r="C52" s="112" t="str">
        <x:v>M12</x:v>
      </x:c>
      <x:c r="D52" s="112" t="str">
        <x:v>卡点与通关候选</x:v>
      </x:c>
      <x:c r="E52" s="112" t="str">
        <x:v>缺桥不等于缺什么补什么</x:v>
      </x:c>
    </x:row>
    <x:row r="53">
      <x:c r="A53" s="112" t="n">
        <x:v>12</x:v>
      </x:c>
      <x:c r="B53" s="112" t="str">
        <x:v>判断寒暖与燥湿双轴</x:v>
      </x:c>
      <x:c r="C53" s="112" t="str">
        <x:v>M08/M12/M13</x:v>
      </x:c>
      <x:c r="D53" s="112" t="str">
        <x:v>调候需求</x:v>
      </x:c>
      <x:c r="E53" s="112" t="str">
        <x:v>温度、湿度、紧急度及副作用</x:v>
      </x:c>
    </x:row>
    <x:row r="54">
      <x:c r="A54" s="112" t="n">
        <x:v>13</x:v>
      </x:c>
      <x:c r="B54" s="112" t="str">
        <x:v>生成多个格局候选</x:v>
      </x:c>
      <x:c r="C54" s="112" t="str">
        <x:v>M03/M08/M09/M10/M11/M14</x:v>
      </x:c>
      <x:c r="D54" s="112" t="str">
        <x:v>格局候选清单</x:v>
      </x:c>
      <x:c r="E54" s="112" t="str">
        <x:v>候选不等于成立</x:v>
      </x:c>
    </x:row>
    <x:row r="55">
      <x:c r="A55" s="112" t="n">
        <x:v>14</x:v>
      </x:c>
      <x:c r="B55" s="112" t="str">
        <x:v>判断格局成败、破格与救应</x:v>
      </x:c>
      <x:c r="C55" s="112" t="str">
        <x:v>M14/M15</x:v>
      </x:c>
      <x:c r="D55" s="112" t="str">
        <x:v>最终格局状态</x:v>
      </x:c>
      <x:c r="E55" s="112" t="str">
        <x:v>救应必须作用于破格机制</x:v>
      </x:c>
    </x:row>
    <x:row r="56">
      <x:c r="A56" s="112" t="n">
        <x:v>15</x:v>
      </x:c>
      <x:c r="B56" s="112" t="str">
        <x:v>提取根本之病与表层之病</x:v>
      </x:c>
      <x:c r="C56" s="112" t="str">
        <x:v>M08-M16</x:v>
      </x:c>
      <x:c r="D56" s="112" t="str">
        <x:v>病药结构</x:v>
      </x:c>
      <x:c r="E56" s="112" t="str">
        <x:v>根因优先于症状</x:v>
      </x:c>
    </x:row>
    <x:row r="57">
      <x:c r="A57" s="112" t="n">
        <x:v>16</x:v>
      </x:c>
      <x:c r="B57" s="112" t="str">
        <x:v>生成五维用神候选矩阵</x:v>
      </x:c>
      <x:c r="C57" s="112" t="str">
        <x:v>M09/M12/M13/M15/M16/M17</x:v>
      </x:c>
      <x:c r="D57" s="112" t="str">
        <x:v>候选喜忌</x:v>
      </x:c>
      <x:c r="E57" s="112" t="str">
        <x:v>扶抑、格局、通关、调候、病药分开</x:v>
      </x:c>
    </x:row>
    <x:row r="58">
      <x:c r="A58" s="112" t="n">
        <x:v>17</x:v>
      </x:c>
      <x:c r="B58" s="112" t="str">
        <x:v>执行跨模块冲突裁决</x:v>
      </x:c>
      <x:c r="C58" s="112" t="str">
        <x:v>M14-M18</x:v>
      </x:c>
      <x:c r="D58" s="112" t="str">
        <x:v>主用、辅助用、条件性喜忌</x:v>
      </x:c>
      <x:c r="E58" s="112" t="str">
        <x:v>硬约束、反证与副作用</x:v>
      </x:c>
    </x:row>
    <x:row r="59">
      <x:c r="A59" s="112" t="n">
        <x:v>18</x:v>
      </x:c>
      <x:c r="B59" s="112" t="str">
        <x:v>按标准字段输出并进入案例测试</x:v>
      </x:c>
      <x:c r="C59" s="112" t="str">
        <x:v>M19/M20/M21</x:v>
      </x:c>
      <x:c r="D59" s="112" t="str">
        <x:v>可复核结果与版本记录</x:v>
      </x:c>
      <x:c r="E59" s="112" t="str">
        <x:v>未测试规则不得直接视为稳定规则</x:v>
      </x:c>
    </x:row>
    <x:row r="62">
      <x:c r="A62" s="148" t="str">
        <x:v>字段颜色与使用提示</x:v>
      </x:c>
      <x:c r="B62" s="148"/>
      <x:c r="C62" s="148"/>
      <x:c r="D62" s="148"/>
      <x:c r="E62" s="148"/>
      <x:c r="F62" s="148"/>
      <x:c r="G62" s="148"/>
      <x:c r="H62" s="148"/>
      <x:c r="I62" s="148"/>
      <x:c r="J62" s="148"/>
      <x:c r="K62" s="148"/>
      <x:c r="L62" s="148"/>
      <x:c r="M62" s="148"/>
      <x:c r="N62" s="148"/>
    </x:row>
    <x:row r="63">
      <x:c r="A63" s="166" t="str">
        <x:v>蓝：公式或自动编号，禁止手工覆盖</x:v>
      </x:c>
      <x:c r="B63" s="166"/>
      <x:c r="C63" s="176" t="str">
        <x:v>黄：人工输入或统一下拉</x:v>
      </x:c>
      <x:c r="D63" s="176"/>
      <x:c r="E63" s="186" t="str">
        <x:v>绿：结构化结论与标准输出</x:v>
      </x:c>
      <x:c r="F63" s="186"/>
      <x:c r="G63" s="196" t="str">
        <x:v>红：否决、破坏、禁忌、副作用与反例</x:v>
      </x:c>
      <x:c r="H63" s="196"/>
      <x:c r="I63" s="206" t="str">
        <x:v>金：示例行，序号9999，不计入正式规则</x:v>
      </x:c>
      <x:c r="J63" s="206"/>
      <x:c r="K63" s="47" t="str">
        <x:v>正式规则建议先完成M02—M06，再进入旺衰和十神；每完成一个规则族，立即在M20补正例、反例和边界案例，避免最后一次性测试。</x:v>
      </x:c>
      <x:c r="L63" s="47"/>
      <x:c r="M63" s="47"/>
      <x:c r="N63" s="47"/>
    </x:row>
    <x:row r="64">
      <x:c r="A64" s="166"/>
      <x:c r="B64" s="166"/>
      <x:c r="C64" s="176"/>
      <x:c r="D64" s="176"/>
      <x:c r="E64" s="186"/>
      <x:c r="F64" s="186"/>
      <x:c r="G64" s="196"/>
      <x:c r="H64" s="196"/>
      <x:c r="I64" s="206"/>
      <x:c r="J64" s="206"/>
      <x:c r="K64" s="47"/>
      <x:c r="L64" s="47"/>
      <x:c r="M64" s="47"/>
      <x:c r="N64" s="47"/>
    </x:row>
  </x:sheetData>
  <x:mergeCells>
    <x:mergeCell ref="A1:N1"/>
    <x:mergeCell ref="A2:N2"/>
    <x:mergeCell ref="A3:N3"/>
    <x:mergeCell ref="A5:B5"/>
    <x:mergeCell ref="A6:B7"/>
    <x:mergeCell ref="C5:D5"/>
    <x:mergeCell ref="C6:D7"/>
    <x:mergeCell ref="E5:F5"/>
    <x:mergeCell ref="E6:F7"/>
    <x:mergeCell ref="G5:H5"/>
    <x:mergeCell ref="G6:H7"/>
    <x:mergeCell ref="I5:J5"/>
    <x:mergeCell ref="I6:J7"/>
    <x:mergeCell ref="K5:L5"/>
    <x:mergeCell ref="K6:L7"/>
    <x:mergeCell ref="M5:N5"/>
    <x:mergeCell ref="M6:N7"/>
    <x:mergeCell ref="A9:N9"/>
    <x:mergeCell ref="G10:N10"/>
    <x:mergeCell ref="J11:N15"/>
    <x:mergeCell ref="A40:N40"/>
    <x:mergeCell ref="A62:N62"/>
    <x:mergeCell ref="A63:B64"/>
    <x:mergeCell ref="C63:D64"/>
    <x:mergeCell ref="E63:F64"/>
    <x:mergeCell ref="G63:H64"/>
    <x:mergeCell ref="I63:J64"/>
    <x:mergeCell ref="K63:N64"/>
  </x:mergeCells>
  <x:conditionalFormatting sqref="L18:L37">
    <x:cfRule type="dataBar" priority="1">
      <x:dataBar>
        <x:cfvo type="min"/>
        <x:cfvo type="max"/>
        <x:color rgb="FF0F766E"/>
      </x:dataBar>
      <x:extLst>
        <x:ext xmlns:x14="http://schemas.microsoft.com/office/spreadsheetml/2009/9/main" uri="{B025F937-C7B1-47D3-B67F-A62EFF666E3E}">
          <x14:id>{5524BEF4-2279-F3C3-B219-5DB49FCCE0AC}</x14:id>
        </x:ext>
      </x:extLst>
    </x:cfRule>
  </x:conditionalFormatting>
  <x:dataValidations count="1">
    <x:dataValidation type="list" sqref="M18:M37">
      <x:formula1>'99_下拉选项'!$BF$4:$BF$8</x:formula1>
    </x:dataValidation>
  </x:dataValidations>
  <x:pageMargins left="0.7" right="0.7" top="0.75" bottom="0.75" header="0.3" footer="0.3"/>
  <x:tableParts count="3">
    <x:tablePart xmlns:r="http://schemas.openxmlformats.org/officeDocument/2006/relationships" r:id="R8c505e1cc4b547ee"/>
    <x:tablePart xmlns:r="http://schemas.openxmlformats.org/officeDocument/2006/relationships" r:id="Rd907b316a4b14141"/>
    <x:tablePart xmlns:r="http://schemas.openxmlformats.org/officeDocument/2006/relationships" r:id="R790ddece3ca74b07"/>
  </x:tableParts>
  <x:extLst>
    <x:ext xmlns:x14="http://schemas.microsoft.com/office/spreadsheetml/2009/9/main" xmlns:xm="http://schemas.microsoft.com/office/excel/2006/main" uri="{78C0D931-6437-407d-A8EE-F0AAD7539E65}">
      <x14:conditionalFormattings>
        <x14:conditionalFormatting>
          <x14:cfRule type="dataBar" priority="1" id="{5524BEF4-2279-F3C3-B219-5DB49FCCE0AC}">
            <x14:dataBar gradient="1">
              <x14:cfvo type="min"/>
              <x14:cfvo type="max"/>
              <x14:fillColor rgb="FF0F766E"/>
            </x14:dataBar>
          </x14:cfRule>
          <xm:sqref>L18:L37</xm:sqref>
        </x14:conditionalFormatting>
      </x14:conditionalFormattings>
    </x:ext>
  </x:extLst>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36" hidden="0" customWidth="1"/>
    <x:col min="5" max="5" width="28" hidden="0" customWidth="1"/>
    <x:col min="6" max="6" width="8" hidden="0" customWidth="1"/>
    <x:col min="7" max="7" width="10" hidden="0" customWidth="1"/>
    <x:col min="8" max="8" width="24" hidden="0" customWidth="1"/>
    <x:col min="10" max="10" width="14" hidden="0" customWidth="1"/>
    <x:col min="11" max="11" width="18" hidden="0" customWidth="1"/>
    <x:col min="12" max="12" width="24" hidden="0" customWidth="1"/>
    <x:col min="13" max="13" width="18" hidden="0" customWidth="1"/>
    <x:col min="14" max="14" width="22" hidden="0" customWidth="1"/>
    <x:col min="15" max="15" width="14" hidden="0" customWidth="1"/>
    <x:col min="16" max="16" width="24" hidden="0" customWidth="1"/>
    <x:col min="17" max="17" width="28" hidden="0" customWidth="1"/>
  </x:cols>
  <x:sheetData>
    <x:row r="1" ht="28" customHeight="1">
      <x:c r="A1" s="5" t="str">
        <x:v>M01｜术语、编码与规则编号规范</x:v>
      </x:c>
      <x:c r="B1" s="5"/>
      <x:c r="C1" s="5"/>
      <x:c r="D1" s="5"/>
      <x:c r="E1" s="5"/>
      <x:c r="F1" s="5"/>
      <x:c r="G1" s="5"/>
      <x:c r="H1" s="5"/>
      <x:c r="I1" s="5"/>
      <x:c r="J1" s="5"/>
      <x:c r="K1" s="5"/>
      <x:c r="L1" s="5"/>
      <x:c r="M1" s="5"/>
      <x:c r="N1" s="5"/>
      <x:c r="O1" s="5"/>
      <x:c r="P1" s="5"/>
      <x:c r="Q1" s="5"/>
    </x:row>
    <x:row r="2" ht="34" customHeight="1">
      <x:c r="A2" s="39" t="str">
        <x:v>本表统一全库的枚举术语、编码、Rule_ID结构和版本治理。V1.3新增M15十二个规则子类码与版本号；任何模块新增下拉值、规则类型或状态时，必须先在此登记，再写入模块表。</x:v>
      </x:c>
      <x:c r="B2" s="39"/>
      <x:c r="C2" s="39"/>
      <x:c r="D2" s="39"/>
      <x:c r="E2" s="39"/>
      <x:c r="F2" s="39"/>
      <x:c r="G2" s="39"/>
      <x:c r="H2" s="39"/>
      <x:c r="I2" s="39"/>
      <x:c r="J2" s="39"/>
      <x:c r="K2" s="39"/>
      <x:c r="L2" s="39"/>
      <x:c r="M2" s="39"/>
      <x:c r="N2" s="39"/>
      <x:c r="O2" s="39"/>
      <x:c r="P2" s="39"/>
      <x:c r="Q2" s="39"/>
    </x:row>
    <x:row r="3" ht="30" customHeight="1">
      <x:c r="A3" s="94" t="str">
        <x:v>Rule_ID原则：唯一、稳定、可追溯。序号0001—9998用于正式规则；9999永久保留为示例；规则停用后不删除、不复用其ID。</x:v>
      </x:c>
      <x:c r="B3" s="94"/>
      <x:c r="C3" s="94"/>
      <x:c r="D3" s="94"/>
      <x:c r="E3" s="94"/>
      <x:c r="F3" s="94"/>
      <x:c r="G3" s="94"/>
      <x:c r="H3" s="94"/>
      <x:c r="I3" s="94"/>
      <x:c r="J3" s="94"/>
      <x:c r="K3" s="94"/>
      <x:c r="L3" s="94"/>
      <x:c r="M3" s="94"/>
      <x:c r="N3" s="94"/>
      <x:c r="O3" s="94"/>
      <x:c r="P3" s="94"/>
      <x:c r="Q3" s="94"/>
    </x:row>
    <x:row r="5">
      <x:c r="A5" s="61" t="str">
        <x:v>编码类型</x:v>
      </x:c>
      <x:c r="B5" s="61" t="str">
        <x:v>编码</x:v>
      </x:c>
      <x:c r="C5" s="61" t="str">
        <x:v>中文名称</x:v>
      </x:c>
      <x:c r="D5" s="61" t="str">
        <x:v>标准定义</x:v>
      </x:c>
      <x:c r="E5" s="61" t="str">
        <x:v>适用字段</x:v>
      </x:c>
      <x:c r="F5" s="61" t="str">
        <x:v>排序</x:v>
      </x:c>
      <x:c r="G5" s="61" t="str">
        <x:v>是否启用</x:v>
      </x:c>
      <x:c r="H5" s="61" t="str">
        <x:v>备注</x:v>
      </x:c>
      <x:c r="J5" s="104" t="str">
        <x:v>段位</x:v>
      </x:c>
      <x:c r="K5" s="104" t="str">
        <x:v>字段名称</x:v>
      </x:c>
      <x:c r="L5" s="104" t="str">
        <x:v>规范</x:v>
      </x:c>
      <x:c r="M5" s="104" t="str">
        <x:v>示例</x:v>
      </x:c>
      <x:c r="N5" s="104" t="str">
        <x:v>生成逻辑</x:v>
      </x:c>
      <x:c r="O5" s="104" t="str">
        <x:v>是否必填</x:v>
      </x:c>
      <x:c r="P5" s="104" t="str">
        <x:v>变更规则</x:v>
      </x:c>
      <x:c r="Q5" s="104" t="str">
        <x:v>说明</x:v>
      </x:c>
    </x:row>
    <x:row r="6">
      <x:c r="A6" s="68" t="str">
        <x:v>记录类型</x:v>
      </x:c>
      <x:c r="B6" s="68" t="str">
        <x:v>REC01</x:v>
      </x:c>
      <x:c r="C6" s="68" t="str">
        <x:v>正式规则</x:v>
      </x:c>
      <x:c r="D6" s="68" t="str">
        <x:v>记录类型的标准选项：正式规则。具体成立条件由对应模块规则定义。</x:v>
      </x:c>
      <x:c r="E6" s="68" t="str">
        <x:v>记录类型</x:v>
      </x:c>
      <x:c r="F6" s="98" t="n">
        <x:v>1</x:v>
      </x:c>
      <x:c r="G6" s="68" t="str">
        <x:v>是</x:v>
      </x:c>
      <x:c r="H6" s="68" t="str"/>
      <x:c r="J6" s="112" t="n">
        <x:v>1</x:v>
      </x:c>
      <x:c r="K6" s="112" t="str">
        <x:v>模块代码</x:v>
      </x:c>
      <x:c r="L6" s="112" t="str">
        <x:v>M02—M21，固定由工作表决定</x:v>
      </x:c>
      <x:c r="M6" s="112" t="str">
        <x:v>M05</x:v>
      </x:c>
      <x:c r="N6" s="112" t="str">
        <x:v>直接取所在模块代码</x:v>
      </x:c>
      <x:c r="O6" s="112" t="str">
        <x:v>必填</x:v>
      </x:c>
      <x:c r="P6" s="112" t="str">
        <x:v>不随规则修订改变</x:v>
      </x:c>
      <x:c r="Q6" s="112" t="str">
        <x:v>M00/M01/SYS不生成正式Rule_ID</x:v>
      </x:c>
    </x:row>
    <x:row r="7">
      <x:c r="A7" s="68" t="str">
        <x:v>记录类型</x:v>
      </x:c>
      <x:c r="B7" s="68" t="str">
        <x:v>REC02</x:v>
      </x:c>
      <x:c r="C7" s="68" t="str">
        <x:v>示例</x:v>
      </x:c>
      <x:c r="D7" s="68" t="str">
        <x:v>记录类型的标准选项：示例。具体成立条件由对应模块规则定义。</x:v>
      </x:c>
      <x:c r="E7" s="68" t="str">
        <x:v>记录类型</x:v>
      </x:c>
      <x:c r="F7" s="98" t="n">
        <x:v>2</x:v>
      </x:c>
      <x:c r="G7" s="68" t="str">
        <x:v>是</x:v>
      </x:c>
      <x:c r="H7" s="68" t="str"/>
      <x:c r="J7" s="112" t="n">
        <x:v>2</x:v>
      </x:c>
      <x:c r="K7" s="112" t="str">
        <x:v>子类代码</x:v>
      </x:c>
      <x:c r="L7" s="112" t="str">
        <x:v>2—8位大写字母或拼音缩写</x:v>
      </x:c>
      <x:c r="M7" s="112" t="str">
        <x:v>XING</x:v>
      </x:c>
      <x:c r="N7" s="112" t="str">
        <x:v>按关系、组合或规则族统一定义</x:v>
      </x:c>
      <x:c r="O7" s="112" t="str">
        <x:v>必填</x:v>
      </x:c>
      <x:c r="P7" s="112" t="str">
        <x:v>同一子类含义不得随意漂移</x:v>
      </x:c>
      <x:c r="Q7" s="112" t="str">
        <x:v>建议在M01先登记子类码</x:v>
      </x:c>
    </x:row>
    <x:row r="8">
      <x:c r="A8" s="68" t="str">
        <x:v>记录类型</x:v>
      </x:c>
      <x:c r="B8" s="68" t="str">
        <x:v>REC03</x:v>
      </x:c>
      <x:c r="C8" s="68" t="str">
        <x:v>待验证</x:v>
      </x:c>
      <x:c r="D8" s="68" t="str">
        <x:v>记录类型的标准选项：待验证。具体成立条件由对应模块规则定义。</x:v>
      </x:c>
      <x:c r="E8" s="68" t="str">
        <x:v>记录类型</x:v>
      </x:c>
      <x:c r="F8" s="98" t="n">
        <x:v>3</x:v>
      </x:c>
      <x:c r="G8" s="68" t="str">
        <x:v>是</x:v>
      </x:c>
      <x:c r="H8" s="68" t="str"/>
      <x:c r="J8" s="112" t="n">
        <x:v>3</x:v>
      </x:c>
      <x:c r="K8" s="112" t="str">
        <x:v>序号</x:v>
      </x:c>
      <x:c r="L8" s="112" t="str">
        <x:v>四位数字0001—9998</x:v>
      </x:c>
      <x:c r="M8" s="112" t="str">
        <x:v>0001</x:v>
      </x:c>
      <x:c r="N8" s="112" t="str">
        <x:v>同一模块＋子类内递增</x:v>
      </x:c>
      <x:c r="O8" s="112" t="str">
        <x:v>必填</x:v>
      </x:c>
      <x:c r="P8" s="112" t="str">
        <x:v>停用后不得复用</x:v>
      </x:c>
      <x:c r="Q8" s="112" t="str">
        <x:v>9999专供示例</x:v>
      </x:c>
    </x:row>
    <x:row r="9">
      <x:c r="A9" s="68" t="str">
        <x:v>对象类别</x:v>
      </x:c>
      <x:c r="B9" s="68" t="str">
        <x:v>OBJ01</x:v>
      </x:c>
      <x:c r="C9" s="68" t="str">
        <x:v>天干</x:v>
      </x:c>
      <x:c r="D9" s="68" t="str">
        <x:v>对象类别的标准选项：天干。具体成立条件由对应模块规则定义。</x:v>
      </x:c>
      <x:c r="E9" s="68" t="str">
        <x:v>对象类别</x:v>
      </x:c>
      <x:c r="F9" s="98" t="n">
        <x:v>1</x:v>
      </x:c>
      <x:c r="G9" s="68" t="str">
        <x:v>是</x:v>
      </x:c>
      <x:c r="H9" s="68" t="str"/>
      <x:c r="J9" s="112" t="n">
        <x:v>4</x:v>
      </x:c>
      <x:c r="K9" s="112" t="str">
        <x:v>版本号</x:v>
      </x:c>
      <x:c r="L9" s="112" t="str">
        <x:v>V主版本.次版本</x:v>
      </x:c>
      <x:c r="M9" s="112" t="str">
        <x:v>V1.0</x:v>
      </x:c>
      <x:c r="N9" s="112" t="str">
        <x:v>初版V1.0；小修订V1.1；重大重构V2.0</x:v>
      </x:c>
      <x:c r="O9" s="112" t="str">
        <x:v>必填</x:v>
      </x:c>
      <x:c r="P9" s="112" t="str">
        <x:v>必须同步M21变更记录</x:v>
      </x:c>
      <x:c r="Q9" s="112" t="str">
        <x:v>V0.x仅用于框架与测试</x:v>
      </x:c>
    </x:row>
    <x:row r="10">
      <x:c r="A10" s="68" t="str">
        <x:v>对象类别</x:v>
      </x:c>
      <x:c r="B10" s="68" t="str">
        <x:v>OBJ02</x:v>
      </x:c>
      <x:c r="C10" s="68" t="str">
        <x:v>地支</x:v>
      </x:c>
      <x:c r="D10" s="68" t="str">
        <x:v>对象类别的标准选项：地支。具体成立条件由对应模块规则定义。</x:v>
      </x:c>
      <x:c r="E10" s="68" t="str">
        <x:v>对象类别</x:v>
      </x:c>
      <x:c r="F10" s="98" t="n">
        <x:v>2</x:v>
      </x:c>
      <x:c r="G10" s="68" t="str">
        <x:v>是</x:v>
      </x:c>
      <x:c r="H10" s="68" t="str"/>
      <x:c r="J10" s="112" t="str">
        <x:v>完整ID</x:v>
      </x:c>
      <x:c r="K10" s="112" t="str">
        <x:v>拼接格式</x:v>
      </x:c>
      <x:c r="L10" s="112" t="str">
        <x:v>模块-子类-序号-版本</x:v>
      </x:c>
      <x:c r="M10" s="112" t="str">
        <x:v>M05-XING-0001-V1.0</x:v>
      </x:c>
      <x:c r="N10" s="112" t="str">
        <x:v>由各模块A列公式自动生成</x:v>
      </x:c>
      <x:c r="O10" s="112" t="str">
        <x:v>必填</x:v>
      </x:c>
      <x:c r="P10" s="112" t="str">
        <x:v>语义重大变化时新建ID</x:v>
      </x:c>
      <x:c r="Q10" s="112" t="str">
        <x:v>不要手工覆盖公式列</x:v>
      </x:c>
    </x:row>
    <x:row r="11">
      <x:c r="A11" s="68" t="str">
        <x:v>对象类别</x:v>
      </x:c>
      <x:c r="B11" s="68" t="str">
        <x:v>OBJ03</x:v>
      </x:c>
      <x:c r="C11" s="68" t="str">
        <x:v>五行</x:v>
      </x:c>
      <x:c r="D11" s="68" t="str">
        <x:v>对象类别的标准选项：五行。具体成立条件由对应模块规则定义。</x:v>
      </x:c>
      <x:c r="E11" s="68" t="str">
        <x:v>对象类别</x:v>
      </x:c>
      <x:c r="F11" s="98" t="n">
        <x:v>3</x:v>
      </x:c>
      <x:c r="G11" s="68" t="str">
        <x:v>是</x:v>
      </x:c>
      <x:c r="H11" s="68" t="str"/>
    </x:row>
    <x:row r="12">
      <x:c r="A12" s="68" t="str">
        <x:v>对象类别</x:v>
      </x:c>
      <x:c r="B12" s="68" t="str">
        <x:v>OBJ04</x:v>
      </x:c>
      <x:c r="C12" s="68" t="str">
        <x:v>十神</x:v>
      </x:c>
      <x:c r="D12" s="68" t="str">
        <x:v>对象类别的标准选项：十神。具体成立条件由对应模块规则定义。</x:v>
      </x:c>
      <x:c r="E12" s="68" t="str">
        <x:v>对象类别</x:v>
      </x:c>
      <x:c r="F12" s="98" t="n">
        <x:v>4</x:v>
      </x:c>
      <x:c r="G12" s="68" t="str">
        <x:v>是</x:v>
      </x:c>
      <x:c r="H12" s="68" t="str"/>
    </x:row>
    <x:row r="13">
      <x:c r="A13" s="68" t="str">
        <x:v>对象类别</x:v>
      </x:c>
      <x:c r="B13" s="68" t="str">
        <x:v>OBJ05</x:v>
      </x:c>
      <x:c r="C13" s="68" t="str">
        <x:v>组合</x:v>
      </x:c>
      <x:c r="D13" s="68" t="str">
        <x:v>对象类别的标准选项：组合。具体成立条件由对应模块规则定义。</x:v>
      </x:c>
      <x:c r="E13" s="68" t="str">
        <x:v>对象类别</x:v>
      </x:c>
      <x:c r="F13" s="98" t="n">
        <x:v>5</x:v>
      </x:c>
      <x:c r="G13" s="68" t="str">
        <x:v>是</x:v>
      </x:c>
      <x:c r="H13" s="68" t="str"/>
      <x:c r="J13" s="104" t="str">
        <x:v>变更场景</x:v>
      </x:c>
      <x:c r="K13" s="104" t="str">
        <x:v>是否沿用ID</x:v>
      </x:c>
      <x:c r="L13" s="104" t="str">
        <x:v>版本动作</x:v>
      </x:c>
      <x:c r="M13" s="104" t="str">
        <x:v>旧规则状态</x:v>
      </x:c>
      <x:c r="N13" s="104" t="str">
        <x:v>M21动作</x:v>
      </x:c>
      <x:c r="O13" s="104" t="str">
        <x:v>案例动作</x:v>
      </x:c>
      <x:c r="P13" s="104" t="str">
        <x:v>允许直接覆盖</x:v>
      </x:c>
      <x:c r="Q13" s="104" t="str">
        <x:v>示例</x:v>
      </x:c>
    </x:row>
    <x:row r="14">
      <x:c r="A14" s="68" t="str">
        <x:v>对象类别</x:v>
      </x:c>
      <x:c r="B14" s="68" t="str">
        <x:v>OBJ06</x:v>
      </x:c>
      <x:c r="C14" s="68" t="str">
        <x:v>格局</x:v>
      </x:c>
      <x:c r="D14" s="68" t="str">
        <x:v>对象类别的标准选项：格局。具体成立条件由对应模块规则定义。</x:v>
      </x:c>
      <x:c r="E14" s="68" t="str">
        <x:v>对象类别</x:v>
      </x:c>
      <x:c r="F14" s="98" t="n">
        <x:v>6</x:v>
      </x:c>
      <x:c r="G14" s="68" t="str">
        <x:v>是</x:v>
      </x:c>
      <x:c r="H14" s="68" t="str"/>
      <x:c r="J14" s="112" t="str">
        <x:v>仅纠正错别字或格式</x:v>
      </x:c>
      <x:c r="K14" s="112" t="str">
        <x:v>是</x:v>
      </x:c>
      <x:c r="L14" s="112" t="str">
        <x:v>次版本可不变或升小版本</x:v>
      </x:c>
      <x:c r="M14" s="112" t="str">
        <x:v>采用</x:v>
      </x:c>
      <x:c r="N14" s="112" t="str">
        <x:v>记录可选</x:v>
      </x:c>
      <x:c r="O14" s="112" t="str">
        <x:v>无需重测</x:v>
      </x:c>
      <x:c r="P14" s="112" t="str">
        <x:v>是</x:v>
      </x:c>
      <x:c r="Q14" s="112" t="str">
        <x:v>V1.0文字修正</x:v>
      </x:c>
    </x:row>
    <x:row r="15">
      <x:c r="A15" s="68" t="str">
        <x:v>对象类别</x:v>
      </x:c>
      <x:c r="B15" s="68" t="str">
        <x:v>OBJ07</x:v>
      </x:c>
      <x:c r="C15" s="68" t="str">
        <x:v>病药</x:v>
      </x:c>
      <x:c r="D15" s="68" t="str">
        <x:v>对象类别的标准选项：病药。具体成立条件由对应模块规则定义。</x:v>
      </x:c>
      <x:c r="E15" s="68" t="str">
        <x:v>对象类别</x:v>
      </x:c>
      <x:c r="F15" s="98" t="n">
        <x:v>7</x:v>
      </x:c>
      <x:c r="G15" s="68" t="str">
        <x:v>是</x:v>
      </x:c>
      <x:c r="H15" s="68" t="str"/>
      <x:c r="J15" s="112" t="str">
        <x:v>补充增强/削弱条件但核心语义不变</x:v>
      </x:c>
      <x:c r="K15" s="112" t="str">
        <x:v>是</x:v>
      </x:c>
      <x:c r="L15" s="112" t="str">
        <x:v>升次版本</x:v>
      </x:c>
      <x:c r="M15" s="112" t="str">
        <x:v>采用或待验证</x:v>
      </x:c>
      <x:c r="N15" s="112" t="str">
        <x:v>必须记录</x:v>
      </x:c>
      <x:c r="O15" s="112" t="str">
        <x:v>补边界测试</x:v>
      </x:c>
      <x:c r="P15" s="112" t="str">
        <x:v>否</x:v>
      </x:c>
      <x:c r="Q15" s="112" t="str">
        <x:v>V1.0→V1.1</x:v>
      </x:c>
    </x:row>
    <x:row r="16">
      <x:c r="A16" s="68" t="str">
        <x:v>对象类别</x:v>
      </x:c>
      <x:c r="B16" s="68" t="str">
        <x:v>OBJ08</x:v>
      </x:c>
      <x:c r="C16" s="68" t="str">
        <x:v>输出字段</x:v>
      </x:c>
      <x:c r="D16" s="68" t="str">
        <x:v>对象类别的标准选项：输出字段。具体成立条件由对应模块规则定义。</x:v>
      </x:c>
      <x:c r="E16" s="68" t="str">
        <x:v>对象类别</x:v>
      </x:c>
      <x:c r="F16" s="98" t="n">
        <x:v>8</x:v>
      </x:c>
      <x:c r="G16" s="68" t="str">
        <x:v>是</x:v>
      </x:c>
      <x:c r="H16" s="68" t="str"/>
      <x:c r="J16" s="112" t="str">
        <x:v>修改必要条件、否决条件或核心结论</x:v>
      </x:c>
      <x:c r="K16" s="112" t="str">
        <x:v>通常新建ID</x:v>
      </x:c>
      <x:c r="L16" s="112" t="str">
        <x:v>新规则V1.0</x:v>
      </x:c>
      <x:c r="M16" s="112" t="str">
        <x:v>旧规则停用</x:v>
      </x:c>
      <x:c r="N16" s="112" t="str">
        <x:v>必须记录关联</x:v>
      </x:c>
      <x:c r="O16" s="112" t="str">
        <x:v>完整回归测试</x:v>
      </x:c>
      <x:c r="P16" s="112" t="str">
        <x:v>否</x:v>
      </x:c>
      <x:c r="Q16" s="112" t="str">
        <x:v>旧ID停用，新ID替代</x:v>
      </x:c>
    </x:row>
    <x:row r="17">
      <x:c r="A17" s="68" t="str">
        <x:v>对象类别</x:v>
      </x:c>
      <x:c r="B17" s="68" t="str">
        <x:v>OBJ09</x:v>
      </x:c>
      <x:c r="C17" s="68" t="str">
        <x:v>案例</x:v>
      </x:c>
      <x:c r="D17" s="68" t="str">
        <x:v>对象类别的标准选项：案例。具体成立条件由对应模块规则定义。</x:v>
      </x:c>
      <x:c r="E17" s="68" t="str">
        <x:v>对象类别</x:v>
      </x:c>
      <x:c r="F17" s="98" t="n">
        <x:v>9</x:v>
      </x:c>
      <x:c r="G17" s="68" t="str">
        <x:v>是</x:v>
      </x:c>
      <x:c r="H17" s="68" t="str"/>
      <x:c r="J17" s="112" t="str">
        <x:v>一条规则拆分为多条原子规则</x:v>
      </x:c>
      <x:c r="K17" s="112" t="str">
        <x:v>否</x:v>
      </x:c>
      <x:c r="L17" s="112" t="str">
        <x:v>各新ID从V1.0开始</x:v>
      </x:c>
      <x:c r="M17" s="112" t="str">
        <x:v>旧规则停用</x:v>
      </x:c>
      <x:c r="N17" s="112" t="str">
        <x:v>记录拆分关系</x:v>
      </x:c>
      <x:c r="O17" s="112" t="str">
        <x:v>分别测试</x:v>
      </x:c>
      <x:c r="P17" s="112" t="str">
        <x:v>否</x:v>
      </x:c>
      <x:c r="Q17" s="112" t="str">
        <x:v>一拆三</x:v>
      </x:c>
    </x:row>
    <x:row r="18">
      <x:c r="A18" s="68" t="str">
        <x:v>对象类别</x:v>
      </x:c>
      <x:c r="B18" s="68" t="str">
        <x:v>OBJ10</x:v>
      </x:c>
      <x:c r="C18" s="68" t="str">
        <x:v>版本记录</x:v>
      </x:c>
      <x:c r="D18" s="68" t="str">
        <x:v>对象类别的标准选项：版本记录。具体成立条件由对应模块规则定义。</x:v>
      </x:c>
      <x:c r="E18" s="68" t="str">
        <x:v>对象类别</x:v>
      </x:c>
      <x:c r="F18" s="98" t="n">
        <x:v>10</x:v>
      </x:c>
      <x:c r="G18" s="68" t="str">
        <x:v>是</x:v>
      </x:c>
      <x:c r="H18" s="68" t="str"/>
      <x:c r="J18" s="112" t="str">
        <x:v>多条规则合并</x:v>
      </x:c>
      <x:c r="K18" s="112" t="str">
        <x:v>否</x:v>
      </x:c>
      <x:c r="L18" s="112" t="str">
        <x:v>新ID从V1.0开始</x:v>
      </x:c>
      <x:c r="M18" s="112" t="str">
        <x:v>旧规则停用</x:v>
      </x:c>
      <x:c r="N18" s="112" t="str">
        <x:v>记录合并关系</x:v>
      </x:c>
      <x:c r="O18" s="112" t="str">
        <x:v>综合回归测试</x:v>
      </x:c>
      <x:c r="P18" s="112" t="str">
        <x:v>否</x:v>
      </x:c>
      <x:c r="Q18" s="112" t="str">
        <x:v>三合一</x:v>
      </x:c>
    </x:row>
    <x:row r="19">
      <x:c r="A19" s="68" t="str">
        <x:v>阴阳</x:v>
      </x:c>
      <x:c r="B19" s="68" t="str">
        <x:v>YY-YANG</x:v>
      </x:c>
      <x:c r="C19" s="68" t="str">
        <x:v>阳</x:v>
      </x:c>
      <x:c r="D19" s="68" t="str">
        <x:v>阴阳的标准选项：阳。具体成立条件由对应模块规则定义。</x:v>
      </x:c>
      <x:c r="E19" s="68" t="str">
        <x:v>阴阳</x:v>
      </x:c>
      <x:c r="F19" s="98" t="n">
        <x:v>1</x:v>
      </x:c>
      <x:c r="G19" s="68" t="str">
        <x:v>是</x:v>
      </x:c>
      <x:c r="H19" s="68" t="str"/>
      <x:c r="J19" s="112" t="str">
        <x:v>流派并存且均保留</x:v>
      </x:c>
      <x:c r="K19" s="112" t="str">
        <x:v>否</x:v>
      </x:c>
      <x:c r="L19" s="112" t="str">
        <x:v>分别建立ID</x:v>
      </x:c>
      <x:c r="M19" s="112" t="str">
        <x:v>均可待验证/采用</x:v>
      </x:c>
      <x:c r="N19" s="112" t="str">
        <x:v>记录争议</x:v>
      </x:c>
      <x:c r="O19" s="112" t="str">
        <x:v>对照测试</x:v>
      </x:c>
      <x:c r="P19" s="112" t="str">
        <x:v>否</x:v>
      </x:c>
      <x:c r="Q19" s="112" t="str">
        <x:v>同题双规则</x:v>
      </x:c>
    </x:row>
    <x:row r="20">
      <x:c r="A20" s="68" t="str">
        <x:v>阴阳</x:v>
      </x:c>
      <x:c r="B20" s="68" t="str">
        <x:v>YY-YIN</x:v>
      </x:c>
      <x:c r="C20" s="68" t="str">
        <x:v>阴</x:v>
      </x:c>
      <x:c r="D20" s="68" t="str">
        <x:v>阴阳的标准选项：阴。具体成立条件由对应模块规则定义。</x:v>
      </x:c>
      <x:c r="E20" s="68" t="str">
        <x:v>阴阳</x:v>
      </x:c>
      <x:c r="F20" s="98" t="n">
        <x:v>2</x:v>
      </x:c>
      <x:c r="G20" s="68" t="str">
        <x:v>是</x:v>
      </x:c>
      <x:c r="H20" s="68" t="str"/>
    </x:row>
    <x:row r="21">
      <x:c r="A21" s="68" t="str">
        <x:v>五行</x:v>
      </x:c>
      <x:c r="B21" s="68" t="str">
        <x:v>WX-MU</x:v>
      </x:c>
      <x:c r="C21" s="68" t="str">
        <x:v>木</x:v>
      </x:c>
      <x:c r="D21" s="68" t="str">
        <x:v>五行的标准选项：木。具体成立条件由对应模块规则定义。</x:v>
      </x:c>
      <x:c r="E21" s="68" t="str">
        <x:v>五行、候选五行、合化候选五行、适用五行</x:v>
      </x:c>
      <x:c r="F21" s="98" t="n">
        <x:v>1</x:v>
      </x:c>
      <x:c r="G21" s="68" t="str">
        <x:v>是</x:v>
      </x:c>
      <x:c r="H21" s="68" t="str"/>
    </x:row>
    <x:row r="22">
      <x:c r="A22" s="68" t="str">
        <x:v>五行</x:v>
      </x:c>
      <x:c r="B22" s="68" t="str">
        <x:v>WX-HUO</x:v>
      </x:c>
      <x:c r="C22" s="68" t="str">
        <x:v>火</x:v>
      </x:c>
      <x:c r="D22" s="68" t="str">
        <x:v>五行的标准选项：火。具体成立条件由对应模块规则定义。</x:v>
      </x:c>
      <x:c r="E22" s="68" t="str">
        <x:v>五行、候选五行、合化候选五行、适用五行</x:v>
      </x:c>
      <x:c r="F22" s="98" t="n">
        <x:v>2</x:v>
      </x:c>
      <x:c r="G22" s="68" t="str">
        <x:v>是</x:v>
      </x:c>
      <x:c r="H22" s="68" t="str"/>
      <x:c r="J22" s="104" t="str">
        <x:v>字段组</x:v>
      </x:c>
      <x:c r="K22" s="104" t="str">
        <x:v>代表字段</x:v>
      </x:c>
      <x:c r="L22" s="104" t="str">
        <x:v>目的</x:v>
      </x:c>
      <x:c r="M22" s="104" t="str">
        <x:v>填写时点</x:v>
      </x:c>
      <x:c r="N22" s="104" t="str">
        <x:v>空值规则</x:v>
      </x:c>
      <x:c r="O22" s="104" t="str">
        <x:v>颜色提示</x:v>
      </x:c>
      <x:c r="P22" s="104" t="str">
        <x:v>审核重点</x:v>
      </x:c>
      <x:c r="Q22" s="104" t="str">
        <x:v>错误示例</x:v>
      </x:c>
    </x:row>
    <x:row r="23">
      <x:c r="A23" s="68" t="str">
        <x:v>五行</x:v>
      </x:c>
      <x:c r="B23" s="68" t="str">
        <x:v>WX-TU</x:v>
      </x:c>
      <x:c r="C23" s="68" t="str">
        <x:v>土</x:v>
      </x:c>
      <x:c r="D23" s="68" t="str">
        <x:v>五行的标准选项：土。具体成立条件由对应模块规则定义。</x:v>
      </x:c>
      <x:c r="E23" s="68" t="str">
        <x:v>五行、候选五行、合化候选五行、适用五行</x:v>
      </x:c>
      <x:c r="F23" s="98" t="n">
        <x:v>3</x:v>
      </x:c>
      <x:c r="G23" s="68" t="str">
        <x:v>是</x:v>
      </x:c>
      <x:c r="H23" s="68" t="str"/>
      <x:c r="J23" s="112" t="str">
        <x:v>身份字段</x:v>
      </x:c>
      <x:c r="K23" s="112" t="str">
        <x:v>Rule_ID、模块代码、子类代码、序号、版本号</x:v>
      </x:c>
      <x:c r="L23" s="112" t="str">
        <x:v>唯一定位与引用</x:v>
      </x:c>
      <x:c r="M23" s="112" t="str">
        <x:v>建规则时</x:v>
      </x:c>
      <x:c r="N23" s="112" t="str">
        <x:v>模块代码与版本有默认值；子类和序号必须填写</x:v>
      </x:c>
      <x:c r="O23" s="112" t="str">
        <x:v>蓝色ID、灰色键值</x:v>
      </x:c>
      <x:c r="P23" s="112" t="str">
        <x:v>是否重复、是否复用停用ID</x:v>
      </x:c>
      <x:c r="Q23" s="112" t="str">
        <x:v>手工改写A列ID</x:v>
      </x:c>
    </x:row>
    <x:row r="24">
      <x:c r="A24" s="68" t="str">
        <x:v>五行</x:v>
      </x:c>
      <x:c r="B24" s="68" t="str">
        <x:v>WX-JIN</x:v>
      </x:c>
      <x:c r="C24" s="68" t="str">
        <x:v>金</x:v>
      </x:c>
      <x:c r="D24" s="68" t="str">
        <x:v>五行的标准选项：金。具体成立条件由对应模块规则定义。</x:v>
      </x:c>
      <x:c r="E24" s="68" t="str">
        <x:v>五行、候选五行、合化候选五行、适用五行</x:v>
      </x:c>
      <x:c r="F24" s="98" t="n">
        <x:v>4</x:v>
      </x:c>
      <x:c r="G24" s="68" t="str">
        <x:v>是</x:v>
      </x:c>
      <x:c r="H24" s="68" t="str"/>
      <x:c r="J24" s="112" t="str">
        <x:v>成立条件</x:v>
      </x:c>
      <x:c r="K24" s="112" t="str">
        <x:v>前置、必要、增强、削弱、否决、例外</x:v>
      </x:c>
      <x:c r="L24" s="112" t="str">
        <x:v>区分规则成立、强弱和边界</x:v>
      </x:c>
      <x:c r="M24" s="112" t="str">
        <x:v>写核心规则时</x:v>
      </x:c>
      <x:c r="N24" s="112" t="str">
        <x:v>未知留空，不用“无”代替未知</x:v>
      </x:c>
      <x:c r="O24" s="112" t="str">
        <x:v>浅黄输入</x:v>
      </x:c>
      <x:c r="P24" s="112" t="str">
        <x:v>必要与增强是否混写</x:v>
      </x:c>
      <x:c r="Q24" s="112" t="str">
        <x:v>把得令写成唯一必要条件</x:v>
      </x:c>
    </x:row>
    <x:row r="25">
      <x:c r="A25" s="68" t="str">
        <x:v>五行</x:v>
      </x:c>
      <x:c r="B25" s="68" t="str">
        <x:v>WX-SHUI</x:v>
      </x:c>
      <x:c r="C25" s="68" t="str">
        <x:v>水</x:v>
      </x:c>
      <x:c r="D25" s="68" t="str">
        <x:v>五行的标准选项：水。具体成立条件由对应模块规则定义。</x:v>
      </x:c>
      <x:c r="E25" s="68" t="str">
        <x:v>五行、候选五行、合化候选五行、适用五行</x:v>
      </x:c>
      <x:c r="F25" s="98" t="n">
        <x:v>5</x:v>
      </x:c>
      <x:c r="G25" s="68" t="str">
        <x:v>是</x:v>
      </x:c>
      <x:c r="H25" s="68" t="str"/>
      <x:c r="J25" s="112" t="str">
        <x:v>作用字段</x:v>
      </x:c>
      <x:c r="K25" s="112" t="str">
        <x:v>作用对象、类型、方向、等级</x:v>
      </x:c>
      <x:c r="L25" s="112" t="str">
        <x:v>描述实际效应而非关系名称</x:v>
      </x:c>
      <x:c r="M25" s="112" t="str">
        <x:v>效应层以后</x:v>
      </x:c>
      <x:c r="N25" s="112" t="str">
        <x:v>必须指明对象</x:v>
      </x:c>
      <x:c r="O25" s="112" t="str">
        <x:v>浅黄输入</x:v>
      </x:c>
      <x:c r="P25" s="112" t="str">
        <x:v>是否逐对象判断</x:v>
      </x:c>
      <x:c r="Q25" s="112" t="str">
        <x:v>写“有冲所以都减力”</x:v>
      </x:c>
    </x:row>
    <x:row r="26">
      <x:c r="A26" s="68" t="str">
        <x:v>藏干层级</x:v>
      </x:c>
      <x:c r="B26" s="68" t="str">
        <x:v>HG01</x:v>
      </x:c>
      <x:c r="C26" s="68" t="str">
        <x:v>本气</x:v>
      </x:c>
      <x:c r="D26" s="68" t="str">
        <x:v>藏干层级的标准选项：本气。具体成立条件由对应模块规则定义。</x:v>
      </x:c>
      <x:c r="E26" s="68" t="str">
        <x:v>藏干一层级、藏干三层级、藏干二层级</x:v>
      </x:c>
      <x:c r="F26" s="98" t="n">
        <x:v>1</x:v>
      </x:c>
      <x:c r="G26" s="68" t="str">
        <x:v>是</x:v>
      </x:c>
      <x:c r="H26" s="68" t="str"/>
      <x:c r="J26" s="112" t="str">
        <x:v>结论字段</x:v>
      </x:c>
      <x:c r="K26" s="112" t="str">
        <x:v>标签、标准输出、置信度</x:v>
      </x:c>
      <x:c r="L26" s="112" t="str">
        <x:v>形成可调用结论</x:v>
      </x:c>
      <x:c r="M26" s="112" t="str">
        <x:v>规则完成时</x:v>
      </x:c>
      <x:c r="N26" s="112" t="str">
        <x:v>无证据不得给高置信</x:v>
      </x:c>
      <x:c r="O26" s="112" t="str">
        <x:v>浅绿输出</x:v>
      </x:c>
      <x:c r="P26" s="112" t="str">
        <x:v>是否可回溯到条件</x:v>
      </x:c>
      <x:c r="Q26" s="112" t="str">
        <x:v>只写“喜木火”</x:v>
      </x:c>
    </x:row>
    <x:row r="27">
      <x:c r="A27" s="68" t="str">
        <x:v>藏干层级</x:v>
      </x:c>
      <x:c r="B27" s="68" t="str">
        <x:v>HG02</x:v>
      </x:c>
      <x:c r="C27" s="68" t="str">
        <x:v>中气</x:v>
      </x:c>
      <x:c r="D27" s="68" t="str">
        <x:v>藏干层级的标准选项：中气。具体成立条件由对应模块规则定义。</x:v>
      </x:c>
      <x:c r="E27" s="68" t="str">
        <x:v>藏干一层级、藏干三层级、藏干二层级</x:v>
      </x:c>
      <x:c r="F27" s="98" t="n">
        <x:v>2</x:v>
      </x:c>
      <x:c r="G27" s="68" t="str">
        <x:v>是</x:v>
      </x:c>
      <x:c r="H27" s="68" t="str"/>
      <x:c r="J27" s="112" t="str">
        <x:v>证据字段</x:v>
      </x:c>
      <x:c r="K27" s="112" t="str">
        <x:v>依据、正例、反例、来源</x:v>
      </x:c>
      <x:c r="L27" s="112" t="str">
        <x:v>支持验证与纠错</x:v>
      </x:c>
      <x:c r="M27" s="112" t="str">
        <x:v>初审前</x:v>
      </x:c>
      <x:c r="N27" s="112" t="str">
        <x:v>至少有反例或边界说明</x:v>
      </x:c>
      <x:c r="O27" s="112" t="str">
        <x:v>普通文本</x:v>
      </x:c>
      <x:c r="P27" s="112" t="str">
        <x:v>是否只列正例</x:v>
      </x:c>
      <x:c r="Q27" s="112" t="str">
        <x:v>无反证直接定论</x:v>
      </x:c>
    </x:row>
    <x:row r="28">
      <x:c r="A28" s="68" t="str">
        <x:v>藏干层级</x:v>
      </x:c>
      <x:c r="B28" s="68" t="str">
        <x:v>HG03</x:v>
      </x:c>
      <x:c r="C28" s="68" t="str">
        <x:v>余气</x:v>
      </x:c>
      <x:c r="D28" s="68" t="str">
        <x:v>藏干层级的标准选项：余气。具体成立条件由对应模块规则定义。</x:v>
      </x:c>
      <x:c r="E28" s="68" t="str">
        <x:v>藏干一层级、藏干三层级、藏干二层级</x:v>
      </x:c>
      <x:c r="F28" s="98" t="n">
        <x:v>3</x:v>
      </x:c>
      <x:c r="G28" s="68" t="str">
        <x:v>是</x:v>
      </x:c>
      <x:c r="H28" s="68" t="str"/>
      <x:c r="J28" s="112" t="str">
        <x:v>治理字段</x:v>
      </x:c>
      <x:c r="K28" s="112" t="str">
        <x:v>状态、审核、更新日期</x:v>
      </x:c>
      <x:c r="L28" s="112" t="str">
        <x:v>控制生命周期</x:v>
      </x:c>
      <x:c r="M28" s="112" t="str">
        <x:v>每次修订时</x:v>
      </x:c>
      <x:c r="N28" s="112" t="str">
        <x:v>不得删除历史</x:v>
      </x:c>
      <x:c r="O28" s="112" t="str">
        <x:v>状态下拉</x:v>
      </x:c>
      <x:c r="P28" s="112" t="str">
        <x:v>状态与M21是否一致</x:v>
      </x:c>
      <x:c r="Q28" s="112" t="str">
        <x:v>停用规则直接删除</x:v>
      </x:c>
    </x:row>
    <x:row r="29">
      <x:c r="A29" s="68" t="str">
        <x:v>藏干层级</x:v>
      </x:c>
      <x:c r="B29" s="68" t="str">
        <x:v>HG04</x:v>
      </x:c>
      <x:c r="C29" s="68" t="str">
        <x:v>无</x:v>
      </x:c>
      <x:c r="D29" s="68" t="str">
        <x:v>藏干层级的标准选项：无。具体成立条件由对应模块规则定义。</x:v>
      </x:c>
      <x:c r="E29" s="68" t="str">
        <x:v>藏干一层级、藏干三层级、藏干二层级</x:v>
      </x:c>
      <x:c r="F29" s="98" t="n">
        <x:v>4</x:v>
      </x:c>
      <x:c r="G29" s="68" t="str">
        <x:v>是</x:v>
      </x:c>
      <x:c r="H29" s="68" t="str"/>
    </x:row>
    <x:row r="30">
      <x:c r="A30" s="68" t="str">
        <x:v>规则层级</x:v>
      </x:c>
      <x:c r="B30" s="68" t="str">
        <x:v>L1</x:v>
      </x:c>
      <x:c r="C30" s="68" t="str">
        <x:v>识别层</x:v>
      </x:c>
      <x:c r="D30" s="68" t="str">
        <x:v>确认客观关系或事实是否存在，不判断其吉凶、增减力或最终作用。</x:v>
      </x:c>
      <x:c r="E30" s="68" t="str">
        <x:v>规则层级</x:v>
      </x:c>
      <x:c r="F30" s="98" t="n">
        <x:v>1</x:v>
      </x:c>
      <x:c r="G30" s="68" t="str">
        <x:v>是</x:v>
      </x:c>
      <x:c r="H30" s="68" t="str"/>
    </x:row>
    <x:row r="31">
      <x:c r="A31" s="68" t="str">
        <x:v>规则层级</x:v>
      </x:c>
      <x:c r="B31" s="68" t="str">
        <x:v>L2</x:v>
      </x:c>
      <x:c r="C31" s="68" t="str">
        <x:v>效应层</x:v>
      </x:c>
      <x:c r="D31" s="68" t="str">
        <x:v>判断已识别关系实际产生的合绊、冲动、转化、根气变化或流通影响。</x:v>
      </x:c>
      <x:c r="E31" s="68" t="str">
        <x:v>规则层级</x:v>
      </x:c>
      <x:c r="F31" s="98" t="n">
        <x:v>2</x:v>
      </x:c>
      <x:c r="G31" s="68" t="str">
        <x:v>是</x:v>
      </x:c>
      <x:c r="H31" s="68" t="str"/>
    </x:row>
    <x:row r="32">
      <x:c r="A32" s="68" t="str">
        <x:v>规则层级</x:v>
      </x:c>
      <x:c r="B32" s="68" t="str">
        <x:v>L3</x:v>
      </x:c>
      <x:c r="C32" s="68" t="str">
        <x:v>结构层</x:v>
      </x:c>
      <x:c r="D32" s="68" t="str">
        <x:v>汇总有效力量、十神功能、组合、流通、调候等中层结构结论。</x:v>
      </x:c>
      <x:c r="E32" s="68" t="str">
        <x:v>规则层级</x:v>
      </x:c>
      <x:c r="F32" s="98" t="n">
        <x:v>3</x:v>
      </x:c>
      <x:c r="G32" s="68" t="str">
        <x:v>是</x:v>
      </x:c>
      <x:c r="H32" s="68" t="str"/>
    </x:row>
    <x:row r="33">
      <x:c r="A33" s="68" t="str">
        <x:v>规则层级</x:v>
      </x:c>
      <x:c r="B33" s="68" t="str">
        <x:v>L4</x:v>
      </x:c>
      <x:c r="C33" s="68" t="str">
        <x:v>综合层</x:v>
      </x:c>
      <x:c r="D33" s="68" t="str">
        <x:v>完成格局、病药、用神与冲突裁决，输出最终可回溯结论。</x:v>
      </x:c>
      <x:c r="E33" s="68" t="str">
        <x:v>规则层级</x:v>
      </x:c>
      <x:c r="F33" s="98" t="n">
        <x:v>4</x:v>
      </x:c>
      <x:c r="G33" s="68" t="str">
        <x:v>是</x:v>
      </x:c>
      <x:c r="H33" s="68" t="str"/>
    </x:row>
    <x:row r="34">
      <x:c r="A34" s="68" t="str">
        <x:v>关系类型</x:v>
      </x:c>
      <x:c r="B34" s="68" t="str">
        <x:v>REL01</x:v>
      </x:c>
      <x:c r="C34" s="68" t="str">
        <x:v>天干五合</x:v>
      </x:c>
      <x:c r="D34" s="68" t="str">
        <x:v>用于识别干支关系类别；关系存在后须进入效应层判断实际作用。</x:v>
      </x:c>
      <x:c r="E34" s="68" t="str">
        <x:v>关系类型</x:v>
      </x:c>
      <x:c r="F34" s="98" t="n">
        <x:v>1</x:v>
      </x:c>
      <x:c r="G34" s="68" t="str">
        <x:v>是</x:v>
      </x:c>
      <x:c r="H34" s="68" t="str"/>
    </x:row>
    <x:row r="35">
      <x:c r="A35" s="68" t="str">
        <x:v>关系类型</x:v>
      </x:c>
      <x:c r="B35" s="68" t="str">
        <x:v>REL02</x:v>
      </x:c>
      <x:c r="C35" s="68" t="str">
        <x:v>天干相克</x:v>
      </x:c>
      <x:c r="D35" s="68" t="str">
        <x:v>用于识别干支关系类别；关系存在后须进入效应层判断实际作用。</x:v>
      </x:c>
      <x:c r="E35" s="68" t="str">
        <x:v>关系类型</x:v>
      </x:c>
      <x:c r="F35" s="98" t="n">
        <x:v>2</x:v>
      </x:c>
      <x:c r="G35" s="68" t="str">
        <x:v>是</x:v>
      </x:c>
      <x:c r="H35" s="68" t="str"/>
    </x:row>
    <x:row r="36">
      <x:c r="A36" s="68" t="str">
        <x:v>关系类型</x:v>
      </x:c>
      <x:c r="B36" s="68" t="str">
        <x:v>REL03</x:v>
      </x:c>
      <x:c r="C36" s="68" t="str">
        <x:v>争合</x:v>
      </x:c>
      <x:c r="D36" s="68" t="str">
        <x:v>用于识别干支关系类别；关系存在后须进入效应层判断实际作用。</x:v>
      </x:c>
      <x:c r="E36" s="68" t="str">
        <x:v>关系类型</x:v>
      </x:c>
      <x:c r="F36" s="98" t="n">
        <x:v>3</x:v>
      </x:c>
      <x:c r="G36" s="68" t="str">
        <x:v>是</x:v>
      </x:c>
      <x:c r="H36" s="68" t="str"/>
    </x:row>
    <x:row r="37">
      <x:c r="A37" s="68" t="str">
        <x:v>关系类型</x:v>
      </x:c>
      <x:c r="B37" s="68" t="str">
        <x:v>REL04</x:v>
      </x:c>
      <x:c r="C37" s="68" t="str">
        <x:v>妒合</x:v>
      </x:c>
      <x:c r="D37" s="68" t="str">
        <x:v>用于识别干支关系类别；关系存在后须进入效应层判断实际作用。</x:v>
      </x:c>
      <x:c r="E37" s="68" t="str">
        <x:v>关系类型</x:v>
      </x:c>
      <x:c r="F37" s="98" t="n">
        <x:v>4</x:v>
      </x:c>
      <x:c r="G37" s="68" t="str">
        <x:v>是</x:v>
      </x:c>
      <x:c r="H37" s="68" t="str"/>
    </x:row>
    <x:row r="38">
      <x:c r="A38" s="68" t="str">
        <x:v>关系类型</x:v>
      </x:c>
      <x:c r="B38" s="68" t="str">
        <x:v>REL05</x:v>
      </x:c>
      <x:c r="C38" s="68" t="str">
        <x:v>隔合</x:v>
      </x:c>
      <x:c r="D38" s="68" t="str">
        <x:v>用于识别干支关系类别；关系存在后须进入效应层判断实际作用。</x:v>
      </x:c>
      <x:c r="E38" s="68" t="str">
        <x:v>关系类型</x:v>
      </x:c>
      <x:c r="F38" s="98" t="n">
        <x:v>5</x:v>
      </x:c>
      <x:c r="G38" s="68" t="str">
        <x:v>是</x:v>
      </x:c>
      <x:c r="H38" s="68" t="str"/>
    </x:row>
    <x:row r="39">
      <x:c r="A39" s="68" t="str">
        <x:v>关系类型</x:v>
      </x:c>
      <x:c r="B39" s="68" t="str">
        <x:v>REL06</x:v>
      </x:c>
      <x:c r="C39" s="68" t="str">
        <x:v>遥合</x:v>
      </x:c>
      <x:c r="D39" s="68" t="str">
        <x:v>用于识别干支关系类别；关系存在后须进入效应层判断实际作用。</x:v>
      </x:c>
      <x:c r="E39" s="68" t="str">
        <x:v>关系类型</x:v>
      </x:c>
      <x:c r="F39" s="98" t="n">
        <x:v>6</x:v>
      </x:c>
      <x:c r="G39" s="68" t="str">
        <x:v>是</x:v>
      </x:c>
      <x:c r="H39" s="68" t="str"/>
    </x:row>
    <x:row r="40">
      <x:c r="A40" s="68" t="str">
        <x:v>关系类型</x:v>
      </x:c>
      <x:c r="B40" s="68" t="str">
        <x:v>REL07</x:v>
      </x:c>
      <x:c r="C40" s="68" t="str">
        <x:v>六合</x:v>
      </x:c>
      <x:c r="D40" s="68" t="str">
        <x:v>用于识别干支关系类别；关系存在后须进入效应层判断实际作用。</x:v>
      </x:c>
      <x:c r="E40" s="68" t="str">
        <x:v>关系类型</x:v>
      </x:c>
      <x:c r="F40" s="98" t="n">
        <x:v>7</x:v>
      </x:c>
      <x:c r="G40" s="68" t="str">
        <x:v>是</x:v>
      </x:c>
      <x:c r="H40" s="68" t="str"/>
    </x:row>
    <x:row r="41">
      <x:c r="A41" s="68" t="str">
        <x:v>关系类型</x:v>
      </x:c>
      <x:c r="B41" s="68" t="str">
        <x:v>REL08</x:v>
      </x:c>
      <x:c r="C41" s="68" t="str">
        <x:v>三合</x:v>
      </x:c>
      <x:c r="D41" s="68" t="str">
        <x:v>用于识别干支关系类别；关系存在后须进入效应层判断实际作用。</x:v>
      </x:c>
      <x:c r="E41" s="68" t="str">
        <x:v>关系类型</x:v>
      </x:c>
      <x:c r="F41" s="98" t="n">
        <x:v>8</x:v>
      </x:c>
      <x:c r="G41" s="68" t="str">
        <x:v>是</x:v>
      </x:c>
      <x:c r="H41" s="68" t="str"/>
    </x:row>
    <x:row r="42">
      <x:c r="A42" s="68" t="str">
        <x:v>关系类型</x:v>
      </x:c>
      <x:c r="B42" s="68" t="str">
        <x:v>REL09</x:v>
      </x:c>
      <x:c r="C42" s="68" t="str">
        <x:v>半合</x:v>
      </x:c>
      <x:c r="D42" s="68" t="str">
        <x:v>用于识别干支关系类别；关系存在后须进入效应层判断实际作用。</x:v>
      </x:c>
      <x:c r="E42" s="68" t="str">
        <x:v>关系类型</x:v>
      </x:c>
      <x:c r="F42" s="98" t="n">
        <x:v>9</x:v>
      </x:c>
      <x:c r="G42" s="68" t="str">
        <x:v>是</x:v>
      </x:c>
      <x:c r="H42" s="68" t="str"/>
    </x:row>
    <x:row r="43">
      <x:c r="A43" s="68" t="str">
        <x:v>关系类型</x:v>
      </x:c>
      <x:c r="B43" s="68" t="str">
        <x:v>REL10</x:v>
      </x:c>
      <x:c r="C43" s="68" t="str">
        <x:v>拱合</x:v>
      </x:c>
      <x:c r="D43" s="68" t="str">
        <x:v>用于识别干支关系类别；关系存在后须进入效应层判断实际作用。</x:v>
      </x:c>
      <x:c r="E43" s="68" t="str">
        <x:v>关系类型</x:v>
      </x:c>
      <x:c r="F43" s="98" t="n">
        <x:v>10</x:v>
      </x:c>
      <x:c r="G43" s="68" t="str">
        <x:v>是</x:v>
      </x:c>
      <x:c r="H43" s="68" t="str"/>
    </x:row>
    <x:row r="44">
      <x:c r="A44" s="68" t="str">
        <x:v>关系类型</x:v>
      </x:c>
      <x:c r="B44" s="68" t="str">
        <x:v>REL11</x:v>
      </x:c>
      <x:c r="C44" s="68" t="str">
        <x:v>三会</x:v>
      </x:c>
      <x:c r="D44" s="68" t="str">
        <x:v>用于识别干支关系类别；关系存在后须进入效应层判断实际作用。</x:v>
      </x:c>
      <x:c r="E44" s="68" t="str">
        <x:v>关系类型</x:v>
      </x:c>
      <x:c r="F44" s="98" t="n">
        <x:v>11</x:v>
      </x:c>
      <x:c r="G44" s="68" t="str">
        <x:v>是</x:v>
      </x:c>
      <x:c r="H44" s="68" t="str"/>
    </x:row>
    <x:row r="45">
      <x:c r="A45" s="68" t="str">
        <x:v>关系类型</x:v>
      </x:c>
      <x:c r="B45" s="68" t="str">
        <x:v>REL12</x:v>
      </x:c>
      <x:c r="C45" s="68" t="str">
        <x:v>六冲</x:v>
      </x:c>
      <x:c r="D45" s="68" t="str">
        <x:v>用于识别干支关系类别；关系存在后须进入效应层判断实际作用。</x:v>
      </x:c>
      <x:c r="E45" s="68" t="str">
        <x:v>关系类型</x:v>
      </x:c>
      <x:c r="F45" s="98" t="n">
        <x:v>12</x:v>
      </x:c>
      <x:c r="G45" s="68" t="str">
        <x:v>是</x:v>
      </x:c>
      <x:c r="H45" s="68" t="str"/>
    </x:row>
    <x:row r="46">
      <x:c r="A46" s="68" t="str">
        <x:v>关系类型</x:v>
      </x:c>
      <x:c r="B46" s="68" t="str">
        <x:v>REL13</x:v>
      </x:c>
      <x:c r="C46" s="68" t="str">
        <x:v>三刑</x:v>
      </x:c>
      <x:c r="D46" s="68" t="str">
        <x:v>用于识别干支关系类别；关系存在后须进入效应层判断实际作用。</x:v>
      </x:c>
      <x:c r="E46" s="68" t="str">
        <x:v>关系类型</x:v>
      </x:c>
      <x:c r="F46" s="98" t="n">
        <x:v>13</x:v>
      </x:c>
      <x:c r="G46" s="68" t="str">
        <x:v>是</x:v>
      </x:c>
      <x:c r="H46" s="68" t="str"/>
    </x:row>
    <x:row r="47">
      <x:c r="A47" s="68" t="str">
        <x:v>关系类型</x:v>
      </x:c>
      <x:c r="B47" s="68" t="str">
        <x:v>REL14</x:v>
      </x:c>
      <x:c r="C47" s="68" t="str">
        <x:v>自刑</x:v>
      </x:c>
      <x:c r="D47" s="68" t="str">
        <x:v>用于识别干支关系类别；关系存在后须进入效应层判断实际作用。</x:v>
      </x:c>
      <x:c r="E47" s="68" t="str">
        <x:v>关系类型</x:v>
      </x:c>
      <x:c r="F47" s="98" t="n">
        <x:v>14</x:v>
      </x:c>
      <x:c r="G47" s="68" t="str">
        <x:v>是</x:v>
      </x:c>
      <x:c r="H47" s="68" t="str"/>
    </x:row>
    <x:row r="48">
      <x:c r="A48" s="68" t="str">
        <x:v>关系类型</x:v>
      </x:c>
      <x:c r="B48" s="68" t="str">
        <x:v>REL15</x:v>
      </x:c>
      <x:c r="C48" s="68" t="str">
        <x:v>六害</x:v>
      </x:c>
      <x:c r="D48" s="68" t="str">
        <x:v>用于识别干支关系类别；关系存在后须进入效应层判断实际作用。</x:v>
      </x:c>
      <x:c r="E48" s="68" t="str">
        <x:v>关系类型</x:v>
      </x:c>
      <x:c r="F48" s="98" t="n">
        <x:v>15</x:v>
      </x:c>
      <x:c r="G48" s="68" t="str">
        <x:v>是</x:v>
      </x:c>
      <x:c r="H48" s="68" t="str"/>
    </x:row>
    <x:row r="49">
      <x:c r="A49" s="68" t="str">
        <x:v>关系类型</x:v>
      </x:c>
      <x:c r="B49" s="68" t="str">
        <x:v>REL16</x:v>
      </x:c>
      <x:c r="C49" s="68" t="str">
        <x:v>六破</x:v>
      </x:c>
      <x:c r="D49" s="68" t="str">
        <x:v>用于识别干支关系类别；关系存在后须进入效应层判断实际作用。</x:v>
      </x:c>
      <x:c r="E49" s="68" t="str">
        <x:v>关系类型</x:v>
      </x:c>
      <x:c r="F49" s="98" t="n">
        <x:v>16</x:v>
      </x:c>
      <x:c r="G49" s="68" t="str">
        <x:v>是</x:v>
      </x:c>
      <x:c r="H49" s="68" t="str"/>
    </x:row>
    <x:row r="50">
      <x:c r="A50" s="68" t="str">
        <x:v>关系类型</x:v>
      </x:c>
      <x:c r="B50" s="68" t="str">
        <x:v>REL17</x:v>
      </x:c>
      <x:c r="C50" s="68" t="str">
        <x:v>其他</x:v>
      </x:c>
      <x:c r="D50" s="68" t="str">
        <x:v>用于识别干支关系类别；关系存在后须进入效应层判断实际作用。</x:v>
      </x:c>
      <x:c r="E50" s="68" t="str">
        <x:v>关系类型</x:v>
      </x:c>
      <x:c r="F50" s="98" t="n">
        <x:v>17</x:v>
      </x:c>
      <x:c r="G50" s="68" t="str">
        <x:v>是</x:v>
      </x:c>
      <x:c r="H50" s="68" t="str"/>
    </x:row>
    <x:row r="51">
      <x:c r="A51" s="68" t="str">
        <x:v>位置关系</x:v>
      </x:c>
      <x:c r="B51" s="68" t="str">
        <x:v>POS01</x:v>
      </x:c>
      <x:c r="C51" s="68" t="str">
        <x:v>同柱</x:v>
      </x:c>
      <x:c r="D51" s="68" t="str">
        <x:v>位置关系的标准选项：同柱。具体成立条件由对应模块规则定义。</x:v>
      </x:c>
      <x:c r="E51" s="68" t="str">
        <x:v>位置关系</x:v>
      </x:c>
      <x:c r="F51" s="98" t="n">
        <x:v>1</x:v>
      </x:c>
      <x:c r="G51" s="68" t="str">
        <x:v>是</x:v>
      </x:c>
      <x:c r="H51" s="68" t="str"/>
    </x:row>
    <x:row r="52">
      <x:c r="A52" s="68" t="str">
        <x:v>位置关系</x:v>
      </x:c>
      <x:c r="B52" s="68" t="str">
        <x:v>POS02</x:v>
      </x:c>
      <x:c r="C52" s="68" t="str">
        <x:v>相邻</x:v>
      </x:c>
      <x:c r="D52" s="68" t="str">
        <x:v>位置关系的标准选项：相邻。具体成立条件由对应模块规则定义。</x:v>
      </x:c>
      <x:c r="E52" s="68" t="str">
        <x:v>位置关系</x:v>
      </x:c>
      <x:c r="F52" s="98" t="n">
        <x:v>2</x:v>
      </x:c>
      <x:c r="G52" s="68" t="str">
        <x:v>是</x:v>
      </x:c>
      <x:c r="H52" s="68" t="str"/>
    </x:row>
    <x:row r="53">
      <x:c r="A53" s="68" t="str">
        <x:v>位置关系</x:v>
      </x:c>
      <x:c r="B53" s="68" t="str">
        <x:v>POS03</x:v>
      </x:c>
      <x:c r="C53" s="68" t="str">
        <x:v>隔位</x:v>
      </x:c>
      <x:c r="D53" s="68" t="str">
        <x:v>位置关系的标准选项：隔位。具体成立条件由对应模块规则定义。</x:v>
      </x:c>
      <x:c r="E53" s="68" t="str">
        <x:v>位置关系</x:v>
      </x:c>
      <x:c r="F53" s="98" t="n">
        <x:v>3</x:v>
      </x:c>
      <x:c r="G53" s="68" t="str">
        <x:v>是</x:v>
      </x:c>
      <x:c r="H53" s="68" t="str"/>
    </x:row>
    <x:row r="54">
      <x:c r="A54" s="68" t="str">
        <x:v>位置关系</x:v>
      </x:c>
      <x:c r="B54" s="68" t="str">
        <x:v>POS04</x:v>
      </x:c>
      <x:c r="C54" s="68" t="str">
        <x:v>遥隔</x:v>
      </x:c>
      <x:c r="D54" s="68" t="str">
        <x:v>位置关系的标准选项：遥隔。具体成立条件由对应模块规则定义。</x:v>
      </x:c>
      <x:c r="E54" s="68" t="str">
        <x:v>位置关系</x:v>
      </x:c>
      <x:c r="F54" s="98" t="n">
        <x:v>4</x:v>
      </x:c>
      <x:c r="G54" s="68" t="str">
        <x:v>是</x:v>
      </x:c>
      <x:c r="H54" s="68" t="str"/>
    </x:row>
    <x:row r="55">
      <x:c r="A55" s="68" t="str">
        <x:v>位置关系</x:v>
      </x:c>
      <x:c r="B55" s="68" t="str">
        <x:v>POS05</x:v>
      </x:c>
      <x:c r="C55" s="68" t="str">
        <x:v>年月</x:v>
      </x:c>
      <x:c r="D55" s="68" t="str">
        <x:v>位置关系的标准选项：年月。具体成立条件由对应模块规则定义。</x:v>
      </x:c>
      <x:c r="E55" s="68" t="str">
        <x:v>位置关系</x:v>
      </x:c>
      <x:c r="F55" s="98" t="n">
        <x:v>5</x:v>
      </x:c>
      <x:c r="G55" s="68" t="str">
        <x:v>是</x:v>
      </x:c>
      <x:c r="H55" s="68" t="str"/>
    </x:row>
    <x:row r="56">
      <x:c r="A56" s="68" t="str">
        <x:v>位置关系</x:v>
      </x:c>
      <x:c r="B56" s="68" t="str">
        <x:v>POS06</x:v>
      </x:c>
      <x:c r="C56" s="68" t="str">
        <x:v>月日</x:v>
      </x:c>
      <x:c r="D56" s="68" t="str">
        <x:v>位置关系的标准选项：月日。具体成立条件由对应模块规则定义。</x:v>
      </x:c>
      <x:c r="E56" s="68" t="str">
        <x:v>位置关系</x:v>
      </x:c>
      <x:c r="F56" s="98" t="n">
        <x:v>6</x:v>
      </x:c>
      <x:c r="G56" s="68" t="str">
        <x:v>是</x:v>
      </x:c>
      <x:c r="H56" s="68" t="str"/>
    </x:row>
    <x:row r="57">
      <x:c r="A57" s="68" t="str">
        <x:v>位置关系</x:v>
      </x:c>
      <x:c r="B57" s="68" t="str">
        <x:v>POS07</x:v>
      </x:c>
      <x:c r="C57" s="68" t="str">
        <x:v>日时</x:v>
      </x:c>
      <x:c r="D57" s="68" t="str">
        <x:v>位置关系的标准选项：日时。具体成立条件由对应模块规则定义。</x:v>
      </x:c>
      <x:c r="E57" s="68" t="str">
        <x:v>位置关系</x:v>
      </x:c>
      <x:c r="F57" s="98" t="n">
        <x:v>7</x:v>
      </x:c>
      <x:c r="G57" s="68" t="str">
        <x:v>是</x:v>
      </x:c>
      <x:c r="H57" s="68" t="str"/>
    </x:row>
    <x:row r="58">
      <x:c r="A58" s="68" t="str">
        <x:v>位置关系</x:v>
      </x:c>
      <x:c r="B58" s="68" t="str">
        <x:v>POS08</x:v>
      </x:c>
      <x:c r="C58" s="68" t="str">
        <x:v>年日</x:v>
      </x:c>
      <x:c r="D58" s="68" t="str">
        <x:v>位置关系的标准选项：年日。具体成立条件由对应模块规则定义。</x:v>
      </x:c>
      <x:c r="E58" s="68" t="str">
        <x:v>位置关系</x:v>
      </x:c>
      <x:c r="F58" s="98" t="n">
        <x:v>8</x:v>
      </x:c>
      <x:c r="G58" s="68" t="str">
        <x:v>是</x:v>
      </x:c>
      <x:c r="H58" s="68" t="str"/>
    </x:row>
    <x:row r="59">
      <x:c r="A59" s="68" t="str">
        <x:v>位置关系</x:v>
      </x:c>
      <x:c r="B59" s="68" t="str">
        <x:v>POS09</x:v>
      </x:c>
      <x:c r="C59" s="68" t="str">
        <x:v>年时</x:v>
      </x:c>
      <x:c r="D59" s="68" t="str">
        <x:v>位置关系的标准选项：年时。具体成立条件由对应模块规则定义。</x:v>
      </x:c>
      <x:c r="E59" s="68" t="str">
        <x:v>位置关系</x:v>
      </x:c>
      <x:c r="F59" s="98" t="n">
        <x:v>9</x:v>
      </x:c>
      <x:c r="G59" s="68" t="str">
        <x:v>是</x:v>
      </x:c>
      <x:c r="H59" s="68" t="str"/>
    </x:row>
    <x:row r="60">
      <x:c r="A60" s="68" t="str">
        <x:v>位置关系</x:v>
      </x:c>
      <x:c r="B60" s="68" t="str">
        <x:v>POS10</x:v>
      </x:c>
      <x:c r="C60" s="68" t="str">
        <x:v>月时</x:v>
      </x:c>
      <x:c r="D60" s="68" t="str">
        <x:v>位置关系的标准选项：月时。具体成立条件由对应模块规则定义。</x:v>
      </x:c>
      <x:c r="E60" s="68" t="str">
        <x:v>位置关系</x:v>
      </x:c>
      <x:c r="F60" s="98" t="n">
        <x:v>10</x:v>
      </x:c>
      <x:c r="G60" s="68" t="str">
        <x:v>是</x:v>
      </x:c>
      <x:c r="H60" s="68" t="str"/>
    </x:row>
    <x:row r="61">
      <x:c r="A61" s="68" t="str">
        <x:v>位置关系</x:v>
      </x:c>
      <x:c r="B61" s="68" t="str">
        <x:v>POS11</x:v>
      </x:c>
      <x:c r="C61" s="68" t="str">
        <x:v>其他</x:v>
      </x:c>
      <x:c r="D61" s="68" t="str">
        <x:v>位置关系的标准选项：其他。具体成立条件由对应模块规则定义。</x:v>
      </x:c>
      <x:c r="E61" s="68" t="str">
        <x:v>位置关系</x:v>
      </x:c>
      <x:c r="F61" s="98" t="n">
        <x:v>11</x:v>
      </x:c>
      <x:c r="G61" s="68" t="str">
        <x:v>是</x:v>
      </x:c>
      <x:c r="H61" s="68" t="str"/>
    </x:row>
    <x:row r="62">
      <x:c r="A62" s="68" t="str">
        <x:v>完整度</x:v>
      </x:c>
      <x:c r="B62" s="68" t="str">
        <x:v>CMP01</x:v>
      </x:c>
      <x:c r="C62" s="68" t="str">
        <x:v>缺失</x:v>
      </x:c>
      <x:c r="D62" s="68" t="str">
        <x:v>完整度的标准选项：缺失。具体成立条件由对应模块规则定义。</x:v>
      </x:c>
      <x:c r="E62" s="68" t="str">
        <x:v>完整度</x:v>
      </x:c>
      <x:c r="F62" s="98" t="n">
        <x:v>1</x:v>
      </x:c>
      <x:c r="G62" s="68" t="str">
        <x:v>是</x:v>
      </x:c>
      <x:c r="H62" s="68" t="str"/>
    </x:row>
    <x:row r="63">
      <x:c r="A63" s="68" t="str">
        <x:v>完整度</x:v>
      </x:c>
      <x:c r="B63" s="68" t="str">
        <x:v>CMP02</x:v>
      </x:c>
      <x:c r="C63" s="68" t="str">
        <x:v>部分</x:v>
      </x:c>
      <x:c r="D63" s="68" t="str">
        <x:v>完整度的标准选项：部分。具体成立条件由对应模块规则定义。</x:v>
      </x:c>
      <x:c r="E63" s="68" t="str">
        <x:v>完整度</x:v>
      </x:c>
      <x:c r="F63" s="98" t="n">
        <x:v>2</x:v>
      </x:c>
      <x:c r="G63" s="68" t="str">
        <x:v>是</x:v>
      </x:c>
      <x:c r="H63" s="68" t="str"/>
    </x:row>
    <x:row r="64">
      <x:c r="A64" s="68" t="str">
        <x:v>完整度</x:v>
      </x:c>
      <x:c r="B64" s="68" t="str">
        <x:v>CMP03</x:v>
      </x:c>
      <x:c r="C64" s="68" t="str">
        <x:v>完整</x:v>
      </x:c>
      <x:c r="D64" s="68" t="str">
        <x:v>完整度的标准选项：完整。具体成立条件由对应模块规则定义。</x:v>
      </x:c>
      <x:c r="E64" s="68" t="str">
        <x:v>完整度</x:v>
      </x:c>
      <x:c r="F64" s="98" t="n">
        <x:v>3</x:v>
      </x:c>
      <x:c r="G64" s="68" t="str">
        <x:v>是</x:v>
      </x:c>
      <x:c r="H64" s="68" t="str"/>
    </x:row>
    <x:row r="65">
      <x:c r="A65" s="68" t="str">
        <x:v>完整度</x:v>
      </x:c>
      <x:c r="B65" s="68" t="str">
        <x:v>CMP04</x:v>
      </x:c>
      <x:c r="C65" s="68" t="str">
        <x:v>岁运补齐</x:v>
      </x:c>
      <x:c r="D65" s="68" t="str">
        <x:v>完整度的标准选项：岁运补齐。具体成立条件由对应模块规则定义。</x:v>
      </x:c>
      <x:c r="E65" s="68" t="str">
        <x:v>完整度</x:v>
      </x:c>
      <x:c r="F65" s="98" t="n">
        <x:v>4</x:v>
      </x:c>
      <x:c r="G65" s="68" t="str">
        <x:v>是</x:v>
      </x:c>
      <x:c r="H65" s="68" t="str"/>
    </x:row>
    <x:row r="66">
      <x:c r="A66" s="68" t="str">
        <x:v>完整度</x:v>
      </x:c>
      <x:c r="B66" s="68" t="str">
        <x:v>CMP05</x:v>
      </x:c>
      <x:c r="C66" s="68" t="str">
        <x:v>待定</x:v>
      </x:c>
      <x:c r="D66" s="68" t="str">
        <x:v>完整度的标准选项：待定。具体成立条件由对应模块规则定义。</x:v>
      </x:c>
      <x:c r="E66" s="68" t="str">
        <x:v>完整度</x:v>
      </x:c>
      <x:c r="F66" s="98" t="n">
        <x:v>5</x:v>
      </x:c>
      <x:c r="G66" s="68" t="str">
        <x:v>是</x:v>
      </x:c>
      <x:c r="H66" s="68" t="str"/>
    </x:row>
    <x:row r="67">
      <x:c r="A67" s="68" t="str">
        <x:v>根气类型</x:v>
      </x:c>
      <x:c r="B67" s="68" t="str">
        <x:v>ROOT01</x:v>
      </x:c>
      <x:c r="C67" s="68" t="str">
        <x:v>本气根</x:v>
      </x:c>
      <x:c r="D67" s="68" t="str">
        <x:v>根气类型的标准选项：本气根。具体成立条件由对应模块规则定义。</x:v>
      </x:c>
      <x:c r="E67" s="68" t="str">
        <x:v>根气类型</x:v>
      </x:c>
      <x:c r="F67" s="98" t="n">
        <x:v>1</x:v>
      </x:c>
      <x:c r="G67" s="68" t="str">
        <x:v>是</x:v>
      </x:c>
      <x:c r="H67" s="68" t="str"/>
    </x:row>
    <x:row r="68">
      <x:c r="A68" s="68" t="str">
        <x:v>根气类型</x:v>
      </x:c>
      <x:c r="B68" s="68" t="str">
        <x:v>ROOT02</x:v>
      </x:c>
      <x:c r="C68" s="68" t="str">
        <x:v>中气根</x:v>
      </x:c>
      <x:c r="D68" s="68" t="str">
        <x:v>根气类型的标准选项：中气根。具体成立条件由对应模块规则定义。</x:v>
      </x:c>
      <x:c r="E68" s="68" t="str">
        <x:v>根气类型</x:v>
      </x:c>
      <x:c r="F68" s="98" t="n">
        <x:v>2</x:v>
      </x:c>
      <x:c r="G68" s="68" t="str">
        <x:v>是</x:v>
      </x:c>
      <x:c r="H68" s="68" t="str"/>
    </x:row>
    <x:row r="69">
      <x:c r="A69" s="68" t="str">
        <x:v>根气类型</x:v>
      </x:c>
      <x:c r="B69" s="68" t="str">
        <x:v>ROOT03</x:v>
      </x:c>
      <x:c r="C69" s="68" t="str">
        <x:v>余气根</x:v>
      </x:c>
      <x:c r="D69" s="68" t="str">
        <x:v>根气类型的标准选项：余气根。具体成立条件由对应模块规则定义。</x:v>
      </x:c>
      <x:c r="E69" s="68" t="str">
        <x:v>根气类型</x:v>
      </x:c>
      <x:c r="F69" s="98" t="n">
        <x:v>3</x:v>
      </x:c>
      <x:c r="G69" s="68" t="str">
        <x:v>是</x:v>
      </x:c>
      <x:c r="H69" s="68" t="str"/>
    </x:row>
    <x:row r="70">
      <x:c r="A70" s="68" t="str">
        <x:v>根气类型</x:v>
      </x:c>
      <x:c r="B70" s="68" t="str">
        <x:v>ROOT04</x:v>
      </x:c>
      <x:c r="C70" s="68" t="str">
        <x:v>库根</x:v>
      </x:c>
      <x:c r="D70" s="68" t="str">
        <x:v>根气类型的标准选项：库根。具体成立条件由对应模块规则定义。</x:v>
      </x:c>
      <x:c r="E70" s="68" t="str">
        <x:v>根气类型</x:v>
      </x:c>
      <x:c r="F70" s="98" t="n">
        <x:v>4</x:v>
      </x:c>
      <x:c r="G70" s="68" t="str">
        <x:v>是</x:v>
      </x:c>
      <x:c r="H70" s="68" t="str"/>
    </x:row>
    <x:row r="71">
      <x:c r="A71" s="68" t="str">
        <x:v>根气类型</x:v>
      </x:c>
      <x:c r="B71" s="68" t="str">
        <x:v>ROOT05</x:v>
      </x:c>
      <x:c r="C71" s="68" t="str">
        <x:v>同类根</x:v>
      </x:c>
      <x:c r="D71" s="68" t="str">
        <x:v>根气类型的标准选项：同类根。具体成立条件由对应模块规则定义。</x:v>
      </x:c>
      <x:c r="E71" s="68" t="str">
        <x:v>根气类型</x:v>
      </x:c>
      <x:c r="F71" s="98" t="n">
        <x:v>5</x:v>
      </x:c>
      <x:c r="G71" s="68" t="str">
        <x:v>是</x:v>
      </x:c>
      <x:c r="H71" s="68" t="str"/>
    </x:row>
    <x:row r="72">
      <x:c r="A72" s="68" t="str">
        <x:v>根气类型</x:v>
      </x:c>
      <x:c r="B72" s="68" t="str">
        <x:v>ROOT06</x:v>
      </x:c>
      <x:c r="C72" s="68" t="str">
        <x:v>无根</x:v>
      </x:c>
      <x:c r="D72" s="68" t="str">
        <x:v>根气类型的标准选项：无根。具体成立条件由对应模块规则定义。</x:v>
      </x:c>
      <x:c r="E72" s="68" t="str">
        <x:v>根气类型</x:v>
      </x:c>
      <x:c r="F72" s="98" t="n">
        <x:v>6</x:v>
      </x:c>
      <x:c r="G72" s="68" t="str">
        <x:v>是</x:v>
      </x:c>
      <x:c r="H72" s="68" t="str"/>
    </x:row>
    <x:row r="73">
      <x:c r="A73" s="68" t="str">
        <x:v>根气类型</x:v>
      </x:c>
      <x:c r="B73" s="68" t="str">
        <x:v>ROOT07</x:v>
      </x:c>
      <x:c r="C73" s="68" t="str">
        <x:v>其他</x:v>
      </x:c>
      <x:c r="D73" s="68" t="str">
        <x:v>根气类型的标准选项：其他。具体成立条件由对应模块规则定义。</x:v>
      </x:c>
      <x:c r="E73" s="68" t="str">
        <x:v>根气类型</x:v>
      </x:c>
      <x:c r="F73" s="98" t="n">
        <x:v>7</x:v>
      </x:c>
      <x:c r="G73" s="68" t="str">
        <x:v>是</x:v>
      </x:c>
      <x:c r="H73" s="68" t="str"/>
    </x:row>
    <x:row r="74">
      <x:c r="A74" s="68" t="str">
        <x:v>根气等级</x:v>
      </x:c>
      <x:c r="B74" s="68" t="str">
        <x:v>RG01</x:v>
      </x:c>
      <x:c r="C74" s="68" t="str">
        <x:v>无根</x:v>
      </x:c>
      <x:c r="D74" s="68" t="str">
        <x:v>根气等级的标准选项：无根。具体成立条件由对应模块规则定义。</x:v>
      </x:c>
      <x:c r="E74" s="68" t="str">
        <x:v>根气等级</x:v>
      </x:c>
      <x:c r="F74" s="98" t="n">
        <x:v>1</x:v>
      </x:c>
      <x:c r="G74" s="68" t="str">
        <x:v>是</x:v>
      </x:c>
      <x:c r="H74" s="68" t="str"/>
    </x:row>
    <x:row r="75">
      <x:c r="A75" s="68" t="str">
        <x:v>根气等级</x:v>
      </x:c>
      <x:c r="B75" s="68" t="str">
        <x:v>RG02</x:v>
      </x:c>
      <x:c r="C75" s="68" t="str">
        <x:v>微根</x:v>
      </x:c>
      <x:c r="D75" s="68" t="str">
        <x:v>根气等级的标准选项：微根。具体成立条件由对应模块规则定义。</x:v>
      </x:c>
      <x:c r="E75" s="68" t="str">
        <x:v>根气等级</x:v>
      </x:c>
      <x:c r="F75" s="98" t="n">
        <x:v>2</x:v>
      </x:c>
      <x:c r="G75" s="68" t="str">
        <x:v>是</x:v>
      </x:c>
      <x:c r="H75" s="68" t="str"/>
    </x:row>
    <x:row r="76">
      <x:c r="A76" s="68" t="str">
        <x:v>根气等级</x:v>
      </x:c>
      <x:c r="B76" s="68" t="str">
        <x:v>RG03</x:v>
      </x:c>
      <x:c r="C76" s="68" t="str">
        <x:v>弱根</x:v>
      </x:c>
      <x:c r="D76" s="68" t="str">
        <x:v>根气等级的标准选项：弱根。具体成立条件由对应模块规则定义。</x:v>
      </x:c>
      <x:c r="E76" s="68" t="str">
        <x:v>根气等级</x:v>
      </x:c>
      <x:c r="F76" s="98" t="n">
        <x:v>3</x:v>
      </x:c>
      <x:c r="G76" s="68" t="str">
        <x:v>是</x:v>
      </x:c>
      <x:c r="H76" s="68" t="str"/>
    </x:row>
    <x:row r="77">
      <x:c r="A77" s="68" t="str">
        <x:v>根气等级</x:v>
      </x:c>
      <x:c r="B77" s="68" t="str">
        <x:v>RG04</x:v>
      </x:c>
      <x:c r="C77" s="68" t="str">
        <x:v>中根</x:v>
      </x:c>
      <x:c r="D77" s="68" t="str">
        <x:v>根气等级的标准选项：中根。具体成立条件由对应模块规则定义。</x:v>
      </x:c>
      <x:c r="E77" s="68" t="str">
        <x:v>根气等级</x:v>
      </x:c>
      <x:c r="F77" s="98" t="n">
        <x:v>4</x:v>
      </x:c>
      <x:c r="G77" s="68" t="str">
        <x:v>是</x:v>
      </x:c>
      <x:c r="H77" s="68" t="str"/>
    </x:row>
    <x:row r="78">
      <x:c r="A78" s="68" t="str">
        <x:v>根气等级</x:v>
      </x:c>
      <x:c r="B78" s="68" t="str">
        <x:v>RG05</x:v>
      </x:c>
      <x:c r="C78" s="68" t="str">
        <x:v>强根</x:v>
      </x:c>
      <x:c r="D78" s="68" t="str">
        <x:v>根气等级的标准选项：强根。具体成立条件由对应模块规则定义。</x:v>
      </x:c>
      <x:c r="E78" s="68" t="str">
        <x:v>根气等级</x:v>
      </x:c>
      <x:c r="F78" s="98" t="n">
        <x:v>5</x:v>
      </x:c>
      <x:c r="G78" s="68" t="str">
        <x:v>是</x:v>
      </x:c>
      <x:c r="H78" s="68" t="str"/>
    </x:row>
    <x:row r="79">
      <x:c r="A79" s="68" t="str">
        <x:v>根气等级</x:v>
      </x:c>
      <x:c r="B79" s="68" t="str">
        <x:v>RG06</x:v>
      </x:c>
      <x:c r="C79" s="68" t="str">
        <x:v>多重强根</x:v>
      </x:c>
      <x:c r="D79" s="68" t="str">
        <x:v>根气等级的标准选项：多重强根。具体成立条件由对应模块规则定义。</x:v>
      </x:c>
      <x:c r="E79" s="68" t="str">
        <x:v>根气等级</x:v>
      </x:c>
      <x:c r="F79" s="98" t="n">
        <x:v>6</x:v>
      </x:c>
      <x:c r="G79" s="68" t="str">
        <x:v>是</x:v>
      </x:c>
      <x:c r="H79" s="68" t="str"/>
    </x:row>
    <x:row r="80">
      <x:c r="A80" s="68" t="str">
        <x:v>根气等级</x:v>
      </x:c>
      <x:c r="B80" s="68" t="str">
        <x:v>RG07</x:v>
      </x:c>
      <x:c r="C80" s="68" t="str">
        <x:v>待定</x:v>
      </x:c>
      <x:c r="D80" s="68" t="str">
        <x:v>根气等级的标准选项：待定。具体成立条件由对应模块规则定义。</x:v>
      </x:c>
      <x:c r="E80" s="68" t="str">
        <x:v>根气等级</x:v>
      </x:c>
      <x:c r="F80" s="98" t="n">
        <x:v>7</x:v>
      </x:c>
      <x:c r="G80" s="68" t="str">
        <x:v>是</x:v>
      </x:c>
      <x:c r="H80" s="68" t="str"/>
    </x:row>
    <x:row r="81">
      <x:c r="A81" s="68" t="str">
        <x:v>作用类型</x:v>
      </x:c>
      <x:c r="B81" s="68" t="str">
        <x:v>ACT01</x:v>
      </x:c>
      <x:c r="C81" s="68" t="str">
        <x:v>生</x:v>
      </x:c>
      <x:c r="D81" s="68" t="str">
        <x:v>描述关系或药神的具体作用机制，必须同时记录作用对象和成立条件。</x:v>
      </x:c>
      <x:c r="E81" s="68" t="str">
        <x:v>作用类型、效应类型</x:v>
      </x:c>
      <x:c r="F81" s="98" t="n">
        <x:v>1</x:v>
      </x:c>
      <x:c r="G81" s="68" t="str">
        <x:v>是</x:v>
      </x:c>
      <x:c r="H81" s="68" t="str"/>
    </x:row>
    <x:row r="82">
      <x:c r="A82" s="68" t="str">
        <x:v>作用类型</x:v>
      </x:c>
      <x:c r="B82" s="68" t="str">
        <x:v>ACT02</x:v>
      </x:c>
      <x:c r="C82" s="68" t="str">
        <x:v>克</x:v>
      </x:c>
      <x:c r="D82" s="68" t="str">
        <x:v>描述关系或药神的具体作用机制，必须同时记录作用对象和成立条件。</x:v>
      </x:c>
      <x:c r="E82" s="68" t="str">
        <x:v>作用类型、效应类型</x:v>
      </x:c>
      <x:c r="F82" s="98" t="n">
        <x:v>2</x:v>
      </x:c>
      <x:c r="G82" s="68" t="str">
        <x:v>是</x:v>
      </x:c>
      <x:c r="H82" s="68" t="str"/>
    </x:row>
    <x:row r="83">
      <x:c r="A83" s="68" t="str">
        <x:v>作用类型</x:v>
      </x:c>
      <x:c r="B83" s="68" t="str">
        <x:v>ACT03</x:v>
      </x:c>
      <x:c r="C83" s="68" t="str">
        <x:v>制</x:v>
      </x:c>
      <x:c r="D83" s="68" t="str">
        <x:v>描述关系或药神的具体作用机制，必须同时记录作用对象和成立条件。</x:v>
      </x:c>
      <x:c r="E83" s="68" t="str">
        <x:v>作用类型、效应类型</x:v>
      </x:c>
      <x:c r="F83" s="98" t="n">
        <x:v>3</x:v>
      </x:c>
      <x:c r="G83" s="68" t="str">
        <x:v>是</x:v>
      </x:c>
      <x:c r="H83" s="68" t="str"/>
    </x:row>
    <x:row r="84">
      <x:c r="A84" s="68" t="str">
        <x:v>作用类型</x:v>
      </x:c>
      <x:c r="B84" s="68" t="str">
        <x:v>ACT04</x:v>
      </x:c>
      <x:c r="C84" s="68" t="str">
        <x:v>化</x:v>
      </x:c>
      <x:c r="D84" s="68" t="str">
        <x:v>描述关系或药神的具体作用机制，必须同时记录作用对象和成立条件。</x:v>
      </x:c>
      <x:c r="E84" s="68" t="str">
        <x:v>作用类型、效应类型</x:v>
      </x:c>
      <x:c r="F84" s="98" t="n">
        <x:v>4</x:v>
      </x:c>
      <x:c r="G84" s="68" t="str">
        <x:v>是</x:v>
      </x:c>
      <x:c r="H84" s="68" t="str"/>
    </x:row>
    <x:row r="85">
      <x:c r="A85" s="68" t="str">
        <x:v>作用类型</x:v>
      </x:c>
      <x:c r="B85" s="68" t="str">
        <x:v>ACT05</x:v>
      </x:c>
      <x:c r="C85" s="68" t="str">
        <x:v>泄</x:v>
      </x:c>
      <x:c r="D85" s="68" t="str">
        <x:v>描述关系或药神的具体作用机制，必须同时记录作用对象和成立条件。</x:v>
      </x:c>
      <x:c r="E85" s="68" t="str">
        <x:v>作用类型、效应类型</x:v>
      </x:c>
      <x:c r="F85" s="98" t="n">
        <x:v>5</x:v>
      </x:c>
      <x:c r="G85" s="68" t="str">
        <x:v>是</x:v>
      </x:c>
      <x:c r="H85" s="68" t="str"/>
    </x:row>
    <x:row r="86">
      <x:c r="A86" s="68" t="str">
        <x:v>作用类型</x:v>
      </x:c>
      <x:c r="B86" s="68" t="str">
        <x:v>ACT06</x:v>
      </x:c>
      <x:c r="C86" s="68" t="str">
        <x:v>耗</x:v>
      </x:c>
      <x:c r="D86" s="68" t="str">
        <x:v>描述关系或药神的具体作用机制，必须同时记录作用对象和成立条件。</x:v>
      </x:c>
      <x:c r="E86" s="68" t="str">
        <x:v>作用类型、效应类型</x:v>
      </x:c>
      <x:c r="F86" s="98" t="n">
        <x:v>6</x:v>
      </x:c>
      <x:c r="G86" s="68" t="str">
        <x:v>是</x:v>
      </x:c>
      <x:c r="H86" s="68" t="str"/>
    </x:row>
    <x:row r="87">
      <x:c r="A87" s="68" t="str">
        <x:v>作用类型</x:v>
      </x:c>
      <x:c r="B87" s="68" t="str">
        <x:v>ACT07</x:v>
      </x:c>
      <x:c r="C87" s="68" t="str">
        <x:v>合绊</x:v>
      </x:c>
      <x:c r="D87" s="68" t="str">
        <x:v>描述关系或药神的具体作用机制，必须同时记录作用对象和成立条件。</x:v>
      </x:c>
      <x:c r="E87" s="68" t="str">
        <x:v>作用类型、效应类型</x:v>
      </x:c>
      <x:c r="F87" s="98" t="n">
        <x:v>7</x:v>
      </x:c>
      <x:c r="G87" s="68" t="str">
        <x:v>是</x:v>
      </x:c>
      <x:c r="H87" s="68" t="str"/>
    </x:row>
    <x:row r="88">
      <x:c r="A88" s="68" t="str">
        <x:v>作用类型</x:v>
      </x:c>
      <x:c r="B88" s="68" t="str">
        <x:v>ACT08</x:v>
      </x:c>
      <x:c r="C88" s="68" t="str">
        <x:v>合住</x:v>
      </x:c>
      <x:c r="D88" s="68" t="str">
        <x:v>描述关系或药神的具体作用机制，必须同时记录作用对象和成立条件。</x:v>
      </x:c>
      <x:c r="E88" s="68" t="str">
        <x:v>作用类型、效应类型</x:v>
      </x:c>
      <x:c r="F88" s="98" t="n">
        <x:v>8</x:v>
      </x:c>
      <x:c r="G88" s="68" t="str">
        <x:v>是</x:v>
      </x:c>
      <x:c r="H88" s="68" t="str"/>
    </x:row>
    <x:row r="89">
      <x:c r="A89" s="68" t="str">
        <x:v>作用类型</x:v>
      </x:c>
      <x:c r="B89" s="68" t="str">
        <x:v>ACT09</x:v>
      </x:c>
      <x:c r="C89" s="68" t="str">
        <x:v>合动</x:v>
      </x:c>
      <x:c r="D89" s="68" t="str">
        <x:v>描述关系或药神的具体作用机制，必须同时记录作用对象和成立条件。</x:v>
      </x:c>
      <x:c r="E89" s="68" t="str">
        <x:v>作用类型、效应类型</x:v>
      </x:c>
      <x:c r="F89" s="98" t="n">
        <x:v>9</x:v>
      </x:c>
      <x:c r="G89" s="68" t="str">
        <x:v>是</x:v>
      </x:c>
      <x:c r="H89" s="68" t="str"/>
    </x:row>
    <x:row r="90">
      <x:c r="A90" s="68" t="str">
        <x:v>作用类型</x:v>
      </x:c>
      <x:c r="B90" s="68" t="str">
        <x:v>ACT10</x:v>
      </x:c>
      <x:c r="C90" s="68" t="str">
        <x:v>合化</x:v>
      </x:c>
      <x:c r="D90" s="68" t="str">
        <x:v>描述关系或药神的具体作用机制，必须同时记录作用对象和成立条件。</x:v>
      </x:c>
      <x:c r="E90" s="68" t="str">
        <x:v>作用类型、效应类型</x:v>
      </x:c>
      <x:c r="F90" s="98" t="n">
        <x:v>10</x:v>
      </x:c>
      <x:c r="G90" s="68" t="str">
        <x:v>是</x:v>
      </x:c>
      <x:c r="H90" s="68" t="str"/>
    </x:row>
    <x:row r="91">
      <x:c r="A91" s="68" t="str">
        <x:v>作用类型</x:v>
      </x:c>
      <x:c r="B91" s="68" t="str">
        <x:v>ACT11</x:v>
      </x:c>
      <x:c r="C91" s="68" t="str">
        <x:v>冲动</x:v>
      </x:c>
      <x:c r="D91" s="68" t="str">
        <x:v>描述关系或药神的具体作用机制，必须同时记录作用对象和成立条件。</x:v>
      </x:c>
      <x:c r="E91" s="68" t="str">
        <x:v>作用类型、效应类型</x:v>
      </x:c>
      <x:c r="F91" s="98" t="n">
        <x:v>11</x:v>
      </x:c>
      <x:c r="G91" s="68" t="str">
        <x:v>是</x:v>
      </x:c>
      <x:c r="H91" s="68" t="str"/>
    </x:row>
    <x:row r="92">
      <x:c r="A92" s="68" t="str">
        <x:v>作用类型</x:v>
      </x:c>
      <x:c r="B92" s="68" t="str">
        <x:v>ACT12</x:v>
      </x:c>
      <x:c r="C92" s="68" t="str">
        <x:v>冲散</x:v>
      </x:c>
      <x:c r="D92" s="68" t="str">
        <x:v>描述关系或药神的具体作用机制，必须同时记录作用对象和成立条件。</x:v>
      </x:c>
      <x:c r="E92" s="68" t="str">
        <x:v>作用类型、效应类型</x:v>
      </x:c>
      <x:c r="F92" s="98" t="n">
        <x:v>12</x:v>
      </x:c>
      <x:c r="G92" s="68" t="str">
        <x:v>是</x:v>
      </x:c>
      <x:c r="H92" s="68" t="str"/>
    </x:row>
    <x:row r="93">
      <x:c r="A93" s="68" t="str">
        <x:v>作用类型</x:v>
      </x:c>
      <x:c r="B93" s="68" t="str">
        <x:v>ACT13</x:v>
      </x:c>
      <x:c r="C93" s="68" t="str">
        <x:v>冲开</x:v>
      </x:c>
      <x:c r="D93" s="68" t="str">
        <x:v>描述关系或药神的具体作用机制，必须同时记录作用对象和成立条件。</x:v>
      </x:c>
      <x:c r="E93" s="68" t="str">
        <x:v>作用类型、效应类型</x:v>
      </x:c>
      <x:c r="F93" s="98" t="n">
        <x:v>13</x:v>
      </x:c>
      <x:c r="G93" s="68" t="str">
        <x:v>是</x:v>
      </x:c>
      <x:c r="H93" s="68" t="str"/>
    </x:row>
    <x:row r="94">
      <x:c r="A94" s="68" t="str">
        <x:v>作用类型</x:v>
      </x:c>
      <x:c r="B94" s="68" t="str">
        <x:v>ACT14</x:v>
      </x:c>
      <x:c r="C94" s="68" t="str">
        <x:v>冲旺</x:v>
      </x:c>
      <x:c r="D94" s="68" t="str">
        <x:v>描述关系或药神的具体作用机制，必须同时记录作用对象和成立条件。</x:v>
      </x:c>
      <x:c r="E94" s="68" t="str">
        <x:v>作用类型、效应类型</x:v>
      </x:c>
      <x:c r="F94" s="98" t="n">
        <x:v>14</x:v>
      </x:c>
      <x:c r="G94" s="68" t="str">
        <x:v>是</x:v>
      </x:c>
      <x:c r="H94" s="68" t="str"/>
    </x:row>
    <x:row r="95">
      <x:c r="A95" s="68" t="str">
        <x:v>作用类型</x:v>
      </x:c>
      <x:c r="B95" s="68" t="str">
        <x:v>ACT15</x:v>
      </x:c>
      <x:c r="C95" s="68" t="str">
        <x:v>冲弱</x:v>
      </x:c>
      <x:c r="D95" s="68" t="str">
        <x:v>描述关系或药神的具体作用机制，必须同时记录作用对象和成立条件。</x:v>
      </x:c>
      <x:c r="E95" s="68" t="str">
        <x:v>作用类型、效应类型</x:v>
      </x:c>
      <x:c r="F95" s="98" t="n">
        <x:v>15</x:v>
      </x:c>
      <x:c r="G95" s="68" t="str">
        <x:v>是</x:v>
      </x:c>
      <x:c r="H95" s="68" t="str"/>
    </x:row>
    <x:row r="96">
      <x:c r="A96" s="68" t="str">
        <x:v>作用类型</x:v>
      </x:c>
      <x:c r="B96" s="68" t="str">
        <x:v>ACT16</x:v>
      </x:c>
      <x:c r="C96" s="68" t="str">
        <x:v>冲去</x:v>
      </x:c>
      <x:c r="D96" s="68" t="str">
        <x:v>描述关系或药神的具体作用机制，必须同时记录作用对象和成立条件。</x:v>
      </x:c>
      <x:c r="E96" s="68" t="str">
        <x:v>作用类型、效应类型</x:v>
      </x:c>
      <x:c r="F96" s="98" t="n">
        <x:v>16</x:v>
      </x:c>
      <x:c r="G96" s="68" t="str">
        <x:v>是</x:v>
      </x:c>
      <x:c r="H96" s="68" t="str"/>
    </x:row>
    <x:row r="97">
      <x:c r="A97" s="68" t="str">
        <x:v>作用类型</x:v>
      </x:c>
      <x:c r="B97" s="68" t="str">
        <x:v>ACT17</x:v>
      </x:c>
      <x:c r="C97" s="68" t="str">
        <x:v>刑动</x:v>
      </x:c>
      <x:c r="D97" s="68" t="str">
        <x:v>描述关系或药神的具体作用机制，必须同时记录作用对象和成立条件。</x:v>
      </x:c>
      <x:c r="E97" s="68" t="str">
        <x:v>作用类型、效应类型</x:v>
      </x:c>
      <x:c r="F97" s="98" t="n">
        <x:v>17</x:v>
      </x:c>
      <x:c r="G97" s="68" t="str">
        <x:v>是</x:v>
      </x:c>
      <x:c r="H97" s="68" t="str"/>
    </x:row>
    <x:row r="98">
      <x:c r="A98" s="68" t="str">
        <x:v>作用类型</x:v>
      </x:c>
      <x:c r="B98" s="68" t="str">
        <x:v>ACT18</x:v>
      </x:c>
      <x:c r="C98" s="68" t="str">
        <x:v>刑伤</x:v>
      </x:c>
      <x:c r="D98" s="68" t="str">
        <x:v>描述关系或药神的具体作用机制，必须同时记录作用对象和成立条件。</x:v>
      </x:c>
      <x:c r="E98" s="68" t="str">
        <x:v>作用类型、效应类型</x:v>
      </x:c>
      <x:c r="F98" s="98" t="n">
        <x:v>18</x:v>
      </x:c>
      <x:c r="G98" s="68" t="str">
        <x:v>是</x:v>
      </x:c>
      <x:c r="H98" s="68" t="str"/>
    </x:row>
    <x:row r="99">
      <x:c r="A99" s="68" t="str">
        <x:v>作用类型</x:v>
      </x:c>
      <x:c r="B99" s="68" t="str">
        <x:v>ACT19</x:v>
      </x:c>
      <x:c r="C99" s="68" t="str">
        <x:v>激活</x:v>
      </x:c>
      <x:c r="D99" s="68" t="str">
        <x:v>描述关系或药神的具体作用机制，必须同时记录作用对象和成立条件。</x:v>
      </x:c>
      <x:c r="E99" s="68" t="str">
        <x:v>作用类型、效应类型</x:v>
      </x:c>
      <x:c r="F99" s="98" t="n">
        <x:v>19</x:v>
      </x:c>
      <x:c r="G99" s="68" t="str">
        <x:v>是</x:v>
      </x:c>
      <x:c r="H99" s="68" t="str"/>
    </x:row>
    <x:row r="100">
      <x:c r="A100" s="68" t="str">
        <x:v>作用类型</x:v>
      </x:c>
      <x:c r="B100" s="68" t="str">
        <x:v>ACT20</x:v>
      </x:c>
      <x:c r="C100" s="68" t="str">
        <x:v>破坏根气</x:v>
      </x:c>
      <x:c r="D100" s="68" t="str">
        <x:v>描述关系或药神的具体作用机制，必须同时记录作用对象和成立条件。</x:v>
      </x:c>
      <x:c r="E100" s="68" t="str">
        <x:v>作用类型、效应类型</x:v>
      </x:c>
      <x:c r="F100" s="98" t="n">
        <x:v>20</x:v>
      </x:c>
      <x:c r="G100" s="68" t="str">
        <x:v>是</x:v>
      </x:c>
      <x:c r="H100" s="68" t="str"/>
    </x:row>
    <x:row r="101">
      <x:c r="A101" s="68" t="str">
        <x:v>作用类型</x:v>
      </x:c>
      <x:c r="B101" s="68" t="str">
        <x:v>ACT21</x:v>
      </x:c>
      <x:c r="C101" s="68" t="str">
        <x:v>引动藏干</x:v>
      </x:c>
      <x:c r="D101" s="68" t="str">
        <x:v>描述关系或药神的具体作用机制，必须同时记录作用对象和成立条件。</x:v>
      </x:c>
      <x:c r="E101" s="68" t="str">
        <x:v>作用类型、效应类型</x:v>
      </x:c>
      <x:c r="F101" s="98" t="n">
        <x:v>21</x:v>
      </x:c>
      <x:c r="G101" s="68" t="str">
        <x:v>是</x:v>
      </x:c>
      <x:c r="H101" s="68" t="str"/>
    </x:row>
    <x:row r="102">
      <x:c r="A102" s="68" t="str">
        <x:v>作用类型</x:v>
      </x:c>
      <x:c r="B102" s="68" t="str">
        <x:v>ACT22</x:v>
      </x:c>
      <x:c r="C102" s="68" t="str">
        <x:v>开库</x:v>
      </x:c>
      <x:c r="D102" s="68" t="str">
        <x:v>描述关系或药神的具体作用机制，必须同时记录作用对象和成立条件。</x:v>
      </x:c>
      <x:c r="E102" s="68" t="str">
        <x:v>作用类型、效应类型</x:v>
      </x:c>
      <x:c r="F102" s="98" t="n">
        <x:v>22</x:v>
      </x:c>
      <x:c r="G102" s="68" t="str">
        <x:v>是</x:v>
      </x:c>
      <x:c r="H102" s="68" t="str"/>
    </x:row>
    <x:row r="103">
      <x:c r="A103" s="68" t="str">
        <x:v>作用类型</x:v>
      </x:c>
      <x:c r="B103" s="68" t="str">
        <x:v>ACT23</x:v>
      </x:c>
      <x:c r="C103" s="68" t="str">
        <x:v>通关</x:v>
      </x:c>
      <x:c r="D103" s="68" t="str">
        <x:v>描述关系或药神的具体作用机制，必须同时记录作用对象和成立条件。</x:v>
      </x:c>
      <x:c r="E103" s="68" t="str">
        <x:v>作用类型、效应类型</x:v>
      </x:c>
      <x:c r="F103" s="98" t="n">
        <x:v>23</x:v>
      </x:c>
      <x:c r="G103" s="68" t="str">
        <x:v>是</x:v>
      </x:c>
      <x:c r="H103" s="68" t="str"/>
    </x:row>
    <x:row r="104">
      <x:c r="A104" s="68" t="str">
        <x:v>作用类型</x:v>
      </x:c>
      <x:c r="B104" s="68" t="str">
        <x:v>ACT24</x:v>
      </x:c>
      <x:c r="C104" s="68" t="str">
        <x:v>阻断</x:v>
      </x:c>
      <x:c r="D104" s="68" t="str">
        <x:v>描述关系或药神的具体作用机制，必须同时记录作用对象和成立条件。</x:v>
      </x:c>
      <x:c r="E104" s="68" t="str">
        <x:v>作用类型、效应类型</x:v>
      </x:c>
      <x:c r="F104" s="98" t="n">
        <x:v>24</x:v>
      </x:c>
      <x:c r="G104" s="68" t="str">
        <x:v>是</x:v>
      </x:c>
      <x:c r="H104" s="68" t="str"/>
    </x:row>
    <x:row r="105">
      <x:c r="A105" s="68" t="str">
        <x:v>作用类型</x:v>
      </x:c>
      <x:c r="B105" s="68" t="str">
        <x:v>ACT25</x:v>
      </x:c>
      <x:c r="C105" s="68" t="str">
        <x:v>润</x:v>
      </x:c>
      <x:c r="D105" s="68" t="str">
        <x:v>描述关系或药神的具体作用机制，必须同时记录作用对象和成立条件。</x:v>
      </x:c>
      <x:c r="E105" s="68" t="str">
        <x:v>作用类型、效应类型</x:v>
      </x:c>
      <x:c r="F105" s="98" t="n">
        <x:v>25</x:v>
      </x:c>
      <x:c r="G105" s="68" t="str">
        <x:v>是</x:v>
      </x:c>
      <x:c r="H105" s="68" t="str"/>
    </x:row>
    <x:row r="106">
      <x:c r="A106" s="68" t="str">
        <x:v>作用类型</x:v>
      </x:c>
      <x:c r="B106" s="68" t="str">
        <x:v>ACT26</x:v>
      </x:c>
      <x:c r="C106" s="68" t="str">
        <x:v>暖</x:v>
      </x:c>
      <x:c r="D106" s="68" t="str">
        <x:v>描述关系或药神的具体作用机制，必须同时记录作用对象和成立条件。</x:v>
      </x:c>
      <x:c r="E106" s="68" t="str">
        <x:v>作用类型、效应类型</x:v>
      </x:c>
      <x:c r="F106" s="98" t="n">
        <x:v>26</x:v>
      </x:c>
      <x:c r="G106" s="68" t="str">
        <x:v>是</x:v>
      </x:c>
      <x:c r="H106" s="68" t="str"/>
    </x:row>
    <x:row r="107">
      <x:c r="A107" s="68" t="str">
        <x:v>作用类型</x:v>
      </x:c>
      <x:c r="B107" s="68" t="str">
        <x:v>ACT27</x:v>
      </x:c>
      <x:c r="C107" s="68" t="str">
        <x:v>燥湿</x:v>
      </x:c>
      <x:c r="D107" s="68" t="str">
        <x:v>描述关系或药神的具体作用机制，必须同时记录作用对象和成立条件。</x:v>
      </x:c>
      <x:c r="E107" s="68" t="str">
        <x:v>作用类型、效应类型</x:v>
      </x:c>
      <x:c r="F107" s="98" t="n">
        <x:v>27</x:v>
      </x:c>
      <x:c r="G107" s="68" t="str">
        <x:v>是</x:v>
      </x:c>
      <x:c r="H107" s="68" t="str"/>
    </x:row>
    <x:row r="108">
      <x:c r="A108" s="68" t="str">
        <x:v>作用类型</x:v>
      </x:c>
      <x:c r="B108" s="68" t="str">
        <x:v>ACT28</x:v>
      </x:c>
      <x:c r="C108" s="68" t="str">
        <x:v>清杂</x:v>
      </x:c>
      <x:c r="D108" s="68" t="str">
        <x:v>描述关系或药神的具体作用机制，必须同时记录作用对象和成立条件。</x:v>
      </x:c>
      <x:c r="E108" s="68" t="str">
        <x:v>作用类型、效应类型</x:v>
      </x:c>
      <x:c r="F108" s="98" t="n">
        <x:v>28</x:v>
      </x:c>
      <x:c r="G108" s="68" t="str">
        <x:v>是</x:v>
      </x:c>
      <x:c r="H108" s="68" t="str"/>
    </x:row>
    <x:row r="109">
      <x:c r="A109" s="68" t="str">
        <x:v>作用类型</x:v>
      </x:c>
      <x:c r="B109" s="68" t="str">
        <x:v>ACT29</x:v>
      </x:c>
      <x:c r="C109" s="68" t="str">
        <x:v>护格</x:v>
      </x:c>
      <x:c r="D109" s="68" t="str">
        <x:v>描述关系或药神的具体作用机制，必须同时记录作用对象和成立条件。</x:v>
      </x:c>
      <x:c r="E109" s="68" t="str">
        <x:v>作用类型、效应类型</x:v>
      </x:c>
      <x:c r="F109" s="98" t="n">
        <x:v>29</x:v>
      </x:c>
      <x:c r="G109" s="68" t="str">
        <x:v>是</x:v>
      </x:c>
      <x:c r="H109" s="68" t="str"/>
    </x:row>
    <x:row r="110">
      <x:c r="A110" s="68" t="str">
        <x:v>作用类型</x:v>
      </x:c>
      <x:c r="B110" s="68" t="str">
        <x:v>ACT30</x:v>
      </x:c>
      <x:c r="C110" s="68" t="str">
        <x:v>救应</x:v>
      </x:c>
      <x:c r="D110" s="68" t="str">
        <x:v>描述关系或药神的具体作用机制，必须同时记录作用对象和成立条件。</x:v>
      </x:c>
      <x:c r="E110" s="68" t="str">
        <x:v>作用类型、效应类型</x:v>
      </x:c>
      <x:c r="F110" s="98" t="n">
        <x:v>30</x:v>
      </x:c>
      <x:c r="G110" s="68" t="str">
        <x:v>是</x:v>
      </x:c>
      <x:c r="H110" s="68" t="str"/>
    </x:row>
    <x:row r="111">
      <x:c r="A111" s="68" t="str">
        <x:v>作用类型</x:v>
      </x:c>
      <x:c r="B111" s="68" t="str">
        <x:v>ACT31</x:v>
      </x:c>
      <x:c r="C111" s="68" t="str">
        <x:v>其他</x:v>
      </x:c>
      <x:c r="D111" s="68" t="str">
        <x:v>描述关系或药神的具体作用机制，必须同时记录作用对象和成立条件。</x:v>
      </x:c>
      <x:c r="E111" s="68" t="str">
        <x:v>作用类型、效应类型</x:v>
      </x:c>
      <x:c r="F111" s="98" t="n">
        <x:v>31</x:v>
      </x:c>
      <x:c r="G111" s="68" t="str">
        <x:v>是</x:v>
      </x:c>
      <x:c r="H111" s="68" t="str"/>
    </x:row>
    <x:row r="112">
      <x:c r="A112" s="68" t="str">
        <x:v>作用方向</x:v>
      </x:c>
      <x:c r="B112" s="68" t="str">
        <x:v>DIR01</x:v>
      </x:c>
      <x:c r="C112" s="68" t="str">
        <x:v>增强</x:v>
      </x:c>
      <x:c r="D112" s="68" t="str">
        <x:v>描述力量或功能被增强、减弱、转化、激活或阻断的方向。</x:v>
      </x:c>
      <x:c r="E112" s="68" t="str">
        <x:v>作用方向</x:v>
      </x:c>
      <x:c r="F112" s="98" t="n">
        <x:v>1</x:v>
      </x:c>
      <x:c r="G112" s="68" t="str">
        <x:v>是</x:v>
      </x:c>
      <x:c r="H112" s="68" t="str"/>
    </x:row>
    <x:row r="113">
      <x:c r="A113" s="68" t="str">
        <x:v>作用方向</x:v>
      </x:c>
      <x:c r="B113" s="68" t="str">
        <x:v>DIR02</x:v>
      </x:c>
      <x:c r="C113" s="68" t="str">
        <x:v>减弱</x:v>
      </x:c>
      <x:c r="D113" s="68" t="str">
        <x:v>描述力量或功能被增强、减弱、转化、激活或阻断的方向。</x:v>
      </x:c>
      <x:c r="E113" s="68" t="str">
        <x:v>作用方向</x:v>
      </x:c>
      <x:c r="F113" s="98" t="n">
        <x:v>2</x:v>
      </x:c>
      <x:c r="G113" s="68" t="str">
        <x:v>是</x:v>
      </x:c>
      <x:c r="H113" s="68" t="str"/>
    </x:row>
    <x:row r="114">
      <x:c r="A114" s="68" t="str">
        <x:v>作用方向</x:v>
      </x:c>
      <x:c r="B114" s="68" t="str">
        <x:v>DIR03</x:v>
      </x:c>
      <x:c r="C114" s="68" t="str">
        <x:v>转化</x:v>
      </x:c>
      <x:c r="D114" s="68" t="str">
        <x:v>描述力量或功能被增强、减弱、转化、激活或阻断的方向。</x:v>
      </x:c>
      <x:c r="E114" s="68" t="str">
        <x:v>作用方向</x:v>
      </x:c>
      <x:c r="F114" s="98" t="n">
        <x:v>3</x:v>
      </x:c>
      <x:c r="G114" s="68" t="str">
        <x:v>是</x:v>
      </x:c>
      <x:c r="H114" s="68" t="str"/>
    </x:row>
    <x:row r="115">
      <x:c r="A115" s="68" t="str">
        <x:v>作用方向</x:v>
      </x:c>
      <x:c r="B115" s="68" t="str">
        <x:v>DIR04</x:v>
      </x:c>
      <x:c r="C115" s="68" t="str">
        <x:v>冻结</x:v>
      </x:c>
      <x:c r="D115" s="68" t="str">
        <x:v>描述力量或功能被增强、减弱、转化、激活或阻断的方向。</x:v>
      </x:c>
      <x:c r="E115" s="68" t="str">
        <x:v>作用方向</x:v>
      </x:c>
      <x:c r="F115" s="98" t="n">
        <x:v>4</x:v>
      </x:c>
      <x:c r="G115" s="68" t="str">
        <x:v>是</x:v>
      </x:c>
      <x:c r="H115" s="68" t="str"/>
    </x:row>
    <x:row r="116">
      <x:c r="A116" s="68" t="str">
        <x:v>作用方向</x:v>
      </x:c>
      <x:c r="B116" s="68" t="str">
        <x:v>DIR05</x:v>
      </x:c>
      <x:c r="C116" s="68" t="str">
        <x:v>激活</x:v>
      </x:c>
      <x:c r="D116" s="68" t="str">
        <x:v>描述力量或功能被增强、减弱、转化、激活或阻断的方向。</x:v>
      </x:c>
      <x:c r="E116" s="68" t="str">
        <x:v>作用方向</x:v>
      </x:c>
      <x:c r="F116" s="98" t="n">
        <x:v>5</x:v>
      </x:c>
      <x:c r="G116" s="68" t="str">
        <x:v>是</x:v>
      </x:c>
      <x:c r="H116" s="68" t="str"/>
    </x:row>
    <x:row r="117">
      <x:c r="A117" s="68" t="str">
        <x:v>作用方向</x:v>
      </x:c>
      <x:c r="B117" s="68" t="str">
        <x:v>DIR06</x:v>
      </x:c>
      <x:c r="C117" s="68" t="str">
        <x:v>阻断</x:v>
      </x:c>
      <x:c r="D117" s="68" t="str">
        <x:v>描述力量或功能被增强、减弱、转化、激活或阻断的方向。</x:v>
      </x:c>
      <x:c r="E117" s="68" t="str">
        <x:v>作用方向</x:v>
      </x:c>
      <x:c r="F117" s="98" t="n">
        <x:v>6</x:v>
      </x:c>
      <x:c r="G117" s="68" t="str">
        <x:v>是</x:v>
      </x:c>
      <x:c r="H117" s="68" t="str"/>
    </x:row>
    <x:row r="118">
      <x:c r="A118" s="68" t="str">
        <x:v>作用方向</x:v>
      </x:c>
      <x:c r="B118" s="68" t="str">
        <x:v>DIR07</x:v>
      </x:c>
      <x:c r="C118" s="68" t="str">
        <x:v>不变</x:v>
      </x:c>
      <x:c r="D118" s="68" t="str">
        <x:v>描述力量或功能被增强、减弱、转化、激活或阻断的方向。</x:v>
      </x:c>
      <x:c r="E118" s="68" t="str">
        <x:v>作用方向</x:v>
      </x:c>
      <x:c r="F118" s="98" t="n">
        <x:v>7</x:v>
      </x:c>
      <x:c r="G118" s="68" t="str">
        <x:v>是</x:v>
      </x:c>
      <x:c r="H118" s="68" t="str"/>
    </x:row>
    <x:row r="119">
      <x:c r="A119" s="68" t="str">
        <x:v>作用方向</x:v>
      </x:c>
      <x:c r="B119" s="68" t="str">
        <x:v>DIR08</x:v>
      </x:c>
      <x:c r="C119" s="68" t="str">
        <x:v>条件性</x:v>
      </x:c>
      <x:c r="D119" s="68" t="str">
        <x:v>描述力量或功能被增强、减弱、转化、激活或阻断的方向。</x:v>
      </x:c>
      <x:c r="E119" s="68" t="str">
        <x:v>作用方向</x:v>
      </x:c>
      <x:c r="F119" s="98" t="n">
        <x:v>8</x:v>
      </x:c>
      <x:c r="G119" s="68" t="str">
        <x:v>是</x:v>
      </x:c>
      <x:c r="H119" s="68" t="str"/>
    </x:row>
    <x:row r="120">
      <x:c r="A120" s="68" t="str">
        <x:v>作用方向</x:v>
      </x:c>
      <x:c r="B120" s="68" t="str">
        <x:v>DIR09</x:v>
      </x:c>
      <x:c r="C120" s="68" t="str">
        <x:v>待定</x:v>
      </x:c>
      <x:c r="D120" s="68" t="str">
        <x:v>描述力量或功能被增强、减弱、转化、激活或阻断的方向。</x:v>
      </x:c>
      <x:c r="E120" s="68" t="str">
        <x:v>作用方向</x:v>
      </x:c>
      <x:c r="F120" s="98" t="n">
        <x:v>9</x:v>
      </x:c>
      <x:c r="G120" s="68" t="str">
        <x:v>是</x:v>
      </x:c>
      <x:c r="H120" s="68" t="str"/>
    </x:row>
    <x:row r="121">
      <x:c r="A121" s="68" t="str">
        <x:v>作用等级</x:v>
      </x:c>
      <x:c r="B121" s="68" t="str">
        <x:v>EFF01</x:v>
      </x:c>
      <x:c r="C121" s="68" t="str">
        <x:v>弱</x:v>
      </x:c>
      <x:c r="D121" s="68" t="str">
        <x:v>描述作用强度，必须由月令、根气、透干、路径与叠加关系支持。</x:v>
      </x:c>
      <x:c r="E121" s="68" t="str">
        <x:v>作用等级</x:v>
      </x:c>
      <x:c r="F121" s="98" t="n">
        <x:v>1</x:v>
      </x:c>
      <x:c r="G121" s="68" t="str">
        <x:v>是</x:v>
      </x:c>
      <x:c r="H121" s="68" t="str"/>
    </x:row>
    <x:row r="122">
      <x:c r="A122" s="68" t="str">
        <x:v>作用等级</x:v>
      </x:c>
      <x:c r="B122" s="68" t="str">
        <x:v>EFF02</x:v>
      </x:c>
      <x:c r="C122" s="68" t="str">
        <x:v>中</x:v>
      </x:c>
      <x:c r="D122" s="68" t="str">
        <x:v>描述作用强度，必须由月令、根气、透干、路径与叠加关系支持。</x:v>
      </x:c>
      <x:c r="E122" s="68" t="str">
        <x:v>作用等级</x:v>
      </x:c>
      <x:c r="F122" s="98" t="n">
        <x:v>2</x:v>
      </x:c>
      <x:c r="G122" s="68" t="str">
        <x:v>是</x:v>
      </x:c>
      <x:c r="H122" s="68" t="str"/>
    </x:row>
    <x:row r="123">
      <x:c r="A123" s="68" t="str">
        <x:v>作用等级</x:v>
      </x:c>
      <x:c r="B123" s="68" t="str">
        <x:v>EFF03</x:v>
      </x:c>
      <x:c r="C123" s="68" t="str">
        <x:v>强</x:v>
      </x:c>
      <x:c r="D123" s="68" t="str">
        <x:v>描述作用强度，必须由月令、根气、透干、路径与叠加关系支持。</x:v>
      </x:c>
      <x:c r="E123" s="68" t="str">
        <x:v>作用等级</x:v>
      </x:c>
      <x:c r="F123" s="98" t="n">
        <x:v>3</x:v>
      </x:c>
      <x:c r="G123" s="68" t="str">
        <x:v>是</x:v>
      </x:c>
      <x:c r="H123" s="68" t="str"/>
    </x:row>
    <x:row r="124">
      <x:c r="A124" s="68" t="str">
        <x:v>作用等级</x:v>
      </x:c>
      <x:c r="B124" s="68" t="str">
        <x:v>EFF04</x:v>
      </x:c>
      <x:c r="C124" s="68" t="str">
        <x:v>决定性</x:v>
      </x:c>
      <x:c r="D124" s="68" t="str">
        <x:v>描述作用强度，必须由月令、根气、透干、路径与叠加关系支持。</x:v>
      </x:c>
      <x:c r="E124" s="68" t="str">
        <x:v>作用等级</x:v>
      </x:c>
      <x:c r="F124" s="98" t="n">
        <x:v>4</x:v>
      </x:c>
      <x:c r="G124" s="68" t="str">
        <x:v>是</x:v>
      </x:c>
      <x:c r="H124" s="68" t="str"/>
    </x:row>
    <x:row r="125">
      <x:c r="A125" s="68" t="str">
        <x:v>作用等级</x:v>
      </x:c>
      <x:c r="B125" s="68" t="str">
        <x:v>EFF05</x:v>
      </x:c>
      <x:c r="C125" s="68" t="str">
        <x:v>待定</x:v>
      </x:c>
      <x:c r="D125" s="68" t="str">
        <x:v>描述作用强度，必须由月令、根气、透干、路径与叠加关系支持。</x:v>
      </x:c>
      <x:c r="E125" s="68" t="str">
        <x:v>作用等级</x:v>
      </x:c>
      <x:c r="F125" s="98" t="n">
        <x:v>5</x:v>
      </x:c>
      <x:c r="G125" s="68" t="str">
        <x:v>是</x:v>
      </x:c>
      <x:c r="H125" s="68" t="str"/>
    </x:row>
    <x:row r="126">
      <x:c r="A126" s="68" t="str">
        <x:v>优先级</x:v>
      </x:c>
      <x:c r="B126" s="68" t="str">
        <x:v>P0</x:v>
      </x:c>
      <x:c r="C126" s="68" t="str">
        <x:v>P0_硬约束</x:v>
      </x:c>
      <x:c r="D126" s="68" t="str">
        <x:v>用于规则冲突时的顺序控制；P0为硬约束，其余为证据优先度。</x:v>
      </x:c>
      <x:c r="E126" s="68" t="str">
        <x:v>优先级</x:v>
      </x:c>
      <x:c r="F126" s="98" t="n">
        <x:v>1</x:v>
      </x:c>
      <x:c r="G126" s="68" t="str">
        <x:v>是</x:v>
      </x:c>
      <x:c r="H126" s="68" t="str"/>
    </x:row>
    <x:row r="127">
      <x:c r="A127" s="68" t="str">
        <x:v>优先级</x:v>
      </x:c>
      <x:c r="B127" s="68" t="str">
        <x:v>P1</x:v>
      </x:c>
      <x:c r="C127" s="68" t="str">
        <x:v>P1_高</x:v>
      </x:c>
      <x:c r="D127" s="68" t="str">
        <x:v>用于规则冲突时的顺序控制；P0为硬约束，其余为证据优先度。</x:v>
      </x:c>
      <x:c r="E127" s="68" t="str">
        <x:v>优先级</x:v>
      </x:c>
      <x:c r="F127" s="98" t="n">
        <x:v>2</x:v>
      </x:c>
      <x:c r="G127" s="68" t="str">
        <x:v>是</x:v>
      </x:c>
      <x:c r="H127" s="68" t="str"/>
    </x:row>
    <x:row r="128">
      <x:c r="A128" s="68" t="str">
        <x:v>优先级</x:v>
      </x:c>
      <x:c r="B128" s="68" t="str">
        <x:v>P2</x:v>
      </x:c>
      <x:c r="C128" s="68" t="str">
        <x:v>P2_中</x:v>
      </x:c>
      <x:c r="D128" s="68" t="str">
        <x:v>用于规则冲突时的顺序控制；P0为硬约束，其余为证据优先度。</x:v>
      </x:c>
      <x:c r="E128" s="68" t="str">
        <x:v>优先级</x:v>
      </x:c>
      <x:c r="F128" s="98" t="n">
        <x:v>3</x:v>
      </x:c>
      <x:c r="G128" s="68" t="str">
        <x:v>是</x:v>
      </x:c>
      <x:c r="H128" s="68" t="str"/>
    </x:row>
    <x:row r="129">
      <x:c r="A129" s="68" t="str">
        <x:v>优先级</x:v>
      </x:c>
      <x:c r="B129" s="68" t="str">
        <x:v>P3</x:v>
      </x:c>
      <x:c r="C129" s="68" t="str">
        <x:v>P3_低</x:v>
      </x:c>
      <x:c r="D129" s="68" t="str">
        <x:v>用于规则冲突时的顺序控制；P0为硬约束，其余为证据优先度。</x:v>
      </x:c>
      <x:c r="E129" s="68" t="str">
        <x:v>优先级</x:v>
      </x:c>
      <x:c r="F129" s="98" t="n">
        <x:v>4</x:v>
      </x:c>
      <x:c r="G129" s="68" t="str">
        <x:v>是</x:v>
      </x:c>
      <x:c r="H129" s="68" t="str"/>
    </x:row>
    <x:row r="130">
      <x:c r="A130" s="68" t="str">
        <x:v>规则性质</x:v>
      </x:c>
      <x:c r="B130" s="68" t="str">
        <x:v>RTP01</x:v>
      </x:c>
      <x:c r="C130" s="68" t="str">
        <x:v>硬约束</x:v>
      </x:c>
      <x:c r="D130" s="68" t="str">
        <x:v>成立时必须满足；违反即不能接受对应结论。</x:v>
      </x:c>
      <x:c r="E130" s="68" t="str">
        <x:v>规则性质</x:v>
      </x:c>
      <x:c r="F130" s="98" t="n">
        <x:v>1</x:v>
      </x:c>
      <x:c r="G130" s="68" t="str">
        <x:v>是</x:v>
      </x:c>
      <x:c r="H130" s="68" t="str"/>
    </x:row>
    <x:row r="131">
      <x:c r="A131" s="68" t="str">
        <x:v>规则性质</x:v>
      </x:c>
      <x:c r="B131" s="68" t="str">
        <x:v>RTP02</x:v>
      </x:c>
      <x:c r="C131" s="68" t="str">
        <x:v>软约束</x:v>
      </x:c>
      <x:c r="D131" s="68" t="str">
        <x:v>提供倾向性判断，需要与其他证据共同使用。</x:v>
      </x:c>
      <x:c r="E131" s="68" t="str">
        <x:v>规则性质</x:v>
      </x:c>
      <x:c r="F131" s="98" t="n">
        <x:v>2</x:v>
      </x:c>
      <x:c r="G131" s="68" t="str">
        <x:v>是</x:v>
      </x:c>
      <x:c r="H131" s="68" t="str"/>
    </x:row>
    <x:row r="132">
      <x:c r="A132" s="68" t="str">
        <x:v>规则性质</x:v>
      </x:c>
      <x:c r="B132" s="68" t="str">
        <x:v>RTP03</x:v>
      </x:c>
      <x:c r="C132" s="68" t="str">
        <x:v>辅助证据</x:v>
      </x:c>
      <x:c r="D132" s="68" t="str">
        <x:v>仅增加或削弱候选结论置信度，不能单独定性。</x:v>
      </x:c>
      <x:c r="E132" s="68" t="str">
        <x:v>规则性质</x:v>
      </x:c>
      <x:c r="F132" s="98" t="n">
        <x:v>3</x:v>
      </x:c>
      <x:c r="G132" s="68" t="str">
        <x:v>是</x:v>
      </x:c>
      <x:c r="H132" s="68" t="str"/>
    </x:row>
    <x:row r="133">
      <x:c r="A133" s="68" t="str">
        <x:v>规则性质</x:v>
      </x:c>
      <x:c r="B133" s="68" t="str">
        <x:v>RTP04</x:v>
      </x:c>
      <x:c r="C133" s="68" t="str">
        <x:v>否决规则</x:v>
      </x:c>
      <x:c r="D133" s="68" t="str">
        <x:v>出现即推翻某一候选结论或迫使其降级。</x:v>
      </x:c>
      <x:c r="E133" s="68" t="str">
        <x:v>规则性质</x:v>
      </x:c>
      <x:c r="F133" s="98" t="n">
        <x:v>4</x:v>
      </x:c>
      <x:c r="G133" s="68" t="str">
        <x:v>是</x:v>
      </x:c>
      <x:c r="H133" s="68" t="str"/>
    </x:row>
    <x:row r="134">
      <x:c r="A134" s="68" t="str">
        <x:v>规则性质</x:v>
      </x:c>
      <x:c r="B134" s="68" t="str">
        <x:v>RTP05</x:v>
      </x:c>
      <x:c r="C134" s="68" t="str">
        <x:v>例外规则</x:v>
      </x:c>
      <x:c r="D134" s="68" t="str">
        <x:v>在特定边界情境下修正一般规则。</x:v>
      </x:c>
      <x:c r="E134" s="68" t="str">
        <x:v>规则性质</x:v>
      </x:c>
      <x:c r="F134" s="98" t="n">
        <x:v>5</x:v>
      </x:c>
      <x:c r="G134" s="68" t="str">
        <x:v>是</x:v>
      </x:c>
      <x:c r="H134" s="68" t="str"/>
    </x:row>
    <x:row r="135">
      <x:c r="A135" s="68" t="str">
        <x:v>置信等级</x:v>
      </x:c>
      <x:c r="B135" s="68" t="str">
        <x:v>CONF01</x:v>
      </x:c>
      <x:c r="C135" s="68" t="str">
        <x:v>确定</x:v>
      </x:c>
      <x:c r="D135" s="68" t="str">
        <x:v>客观映射或充分条件明确，反证空间很小。</x:v>
      </x:c>
      <x:c r="E135" s="68" t="str">
        <x:v>置信等级</x:v>
      </x:c>
      <x:c r="F135" s="98" t="n">
        <x:v>1</x:v>
      </x:c>
      <x:c r="G135" s="68" t="str">
        <x:v>是</x:v>
      </x:c>
      <x:c r="H135" s="68" t="str"/>
    </x:row>
    <x:row r="136">
      <x:c r="A136" s="68" t="str">
        <x:v>置信等级</x:v>
      </x:c>
      <x:c r="B136" s="68" t="str">
        <x:v>CONF02</x:v>
      </x:c>
      <x:c r="C136" s="68" t="str">
        <x:v>较高</x:v>
      </x:c>
      <x:c r="D136" s="68" t="str">
        <x:v>主要证据一致，存在少量边界或流派差异。</x:v>
      </x:c>
      <x:c r="E136" s="68" t="str">
        <x:v>置信等级</x:v>
      </x:c>
      <x:c r="F136" s="98" t="n">
        <x:v>2</x:v>
      </x:c>
      <x:c r="G136" s="68" t="str">
        <x:v>是</x:v>
      </x:c>
      <x:c r="H136" s="68" t="str"/>
    </x:row>
    <x:row r="137">
      <x:c r="A137" s="68" t="str">
        <x:v>置信等级</x:v>
      </x:c>
      <x:c r="B137" s="68" t="str">
        <x:v>CONF03</x:v>
      </x:c>
      <x:c r="C137" s="68" t="str">
        <x:v>中等</x:v>
      </x:c>
      <x:c r="D137" s="68" t="str">
        <x:v>证据有冲突或依赖尚未完全验证，需要保留条件。</x:v>
      </x:c>
      <x:c r="E137" s="68" t="str">
        <x:v>置信等级</x:v>
      </x:c>
      <x:c r="F137" s="98" t="n">
        <x:v>3</x:v>
      </x:c>
      <x:c r="G137" s="68" t="str">
        <x:v>是</x:v>
      </x:c>
      <x:c r="H137" s="68" t="str"/>
    </x:row>
    <x:row r="138">
      <x:c r="A138" s="68" t="str">
        <x:v>置信等级</x:v>
      </x:c>
      <x:c r="B138" s="68" t="str">
        <x:v>CONF04</x:v>
      </x:c>
      <x:c r="C138" s="68" t="str">
        <x:v>低</x:v>
      </x:c>
      <x:c r="D138" s="68" t="str">
        <x:v>证据不足、边界较大或只可作为探索性判断。</x:v>
      </x:c>
      <x:c r="E138" s="68" t="str">
        <x:v>置信等级</x:v>
      </x:c>
      <x:c r="F138" s="98" t="n">
        <x:v>4</x:v>
      </x:c>
      <x:c r="G138" s="68" t="str">
        <x:v>是</x:v>
      </x:c>
      <x:c r="H138" s="68" t="str"/>
    </x:row>
    <x:row r="139">
      <x:c r="A139" s="68" t="str">
        <x:v>置信等级</x:v>
      </x:c>
      <x:c r="B139" s="68" t="str">
        <x:v>CONF05</x:v>
      </x:c>
      <x:c r="C139" s="68" t="str">
        <x:v>待验证</x:v>
      </x:c>
      <x:c r="D139" s="68" t="str">
        <x:v>尚未通过文献、案例或回归测试。</x:v>
      </x:c>
      <x:c r="E139" s="68" t="str">
        <x:v>置信等级</x:v>
      </x:c>
      <x:c r="F139" s="98" t="n">
        <x:v>5</x:v>
      </x:c>
      <x:c r="G139" s="68" t="str">
        <x:v>是</x:v>
      </x:c>
      <x:c r="H139" s="68" t="str"/>
    </x:row>
    <x:row r="140">
      <x:c r="A140" s="68" t="str">
        <x:v>流派标签</x:v>
      </x:c>
      <x:c r="B140" s="68" t="str">
        <x:v>SCH01</x:v>
      </x:c>
      <x:c r="C140" s="68" t="str">
        <x:v>子平格局</x:v>
      </x:c>
      <x:c r="D140" s="68" t="str">
        <x:v>标记规则的理论来源或适用体系，发生分歧时转入M21治理。</x:v>
      </x:c>
      <x:c r="E140" s="68" t="str">
        <x:v>流派标签</x:v>
      </x:c>
      <x:c r="F140" s="98" t="n">
        <x:v>1</x:v>
      </x:c>
      <x:c r="G140" s="68" t="str">
        <x:v>是</x:v>
      </x:c>
      <x:c r="H140" s="68" t="str"/>
    </x:row>
    <x:row r="141">
      <x:c r="A141" s="68" t="str">
        <x:v>流派标签</x:v>
      </x:c>
      <x:c r="B141" s="68" t="str">
        <x:v>SCH02</x:v>
      </x:c>
      <x:c r="C141" s="68" t="str">
        <x:v>旺衰扶抑</x:v>
      </x:c>
      <x:c r="D141" s="68" t="str">
        <x:v>标记规则的理论来源或适用体系，发生分歧时转入M21治理。</x:v>
      </x:c>
      <x:c r="E141" s="68" t="str">
        <x:v>流派标签</x:v>
      </x:c>
      <x:c r="F141" s="98" t="n">
        <x:v>2</x:v>
      </x:c>
      <x:c r="G141" s="68" t="str">
        <x:v>是</x:v>
      </x:c>
      <x:c r="H141" s="68" t="str"/>
    </x:row>
    <x:row r="142">
      <x:c r="A142" s="68" t="str">
        <x:v>流派标签</x:v>
      </x:c>
      <x:c r="B142" s="68" t="str">
        <x:v>SCH03</x:v>
      </x:c>
      <x:c r="C142" s="68" t="str">
        <x:v>调候</x:v>
      </x:c>
      <x:c r="D142" s="68" t="str">
        <x:v>标记规则的理论来源或适用体系，发生分歧时转入M21治理。</x:v>
      </x:c>
      <x:c r="E142" s="68" t="str">
        <x:v>流派标签</x:v>
      </x:c>
      <x:c r="F142" s="98" t="n">
        <x:v>3</x:v>
      </x:c>
      <x:c r="G142" s="68" t="str">
        <x:v>是</x:v>
      </x:c>
      <x:c r="H142" s="68" t="str"/>
    </x:row>
    <x:row r="143">
      <x:c r="A143" s="68" t="str">
        <x:v>流派标签</x:v>
      </x:c>
      <x:c r="B143" s="68" t="str">
        <x:v>SCH04</x:v>
      </x:c>
      <x:c r="C143" s="68" t="str">
        <x:v>病药</x:v>
      </x:c>
      <x:c r="D143" s="68" t="str">
        <x:v>标记规则的理论来源或适用体系，发生分歧时转入M21治理。</x:v>
      </x:c>
      <x:c r="E143" s="68" t="str">
        <x:v>流派标签</x:v>
      </x:c>
      <x:c r="F143" s="98" t="n">
        <x:v>4</x:v>
      </x:c>
      <x:c r="G143" s="68" t="str">
        <x:v>是</x:v>
      </x:c>
      <x:c r="H143" s="68" t="str"/>
    </x:row>
    <x:row r="144">
      <x:c r="A144" s="68" t="str">
        <x:v>流派标签</x:v>
      </x:c>
      <x:c r="B144" s="68" t="str">
        <x:v>SCH05</x:v>
      </x:c>
      <x:c r="C144" s="68" t="str">
        <x:v>盲派象法</x:v>
      </x:c>
      <x:c r="D144" s="68" t="str">
        <x:v>标记规则的理论来源或适用体系，发生分歧时转入M21治理。</x:v>
      </x:c>
      <x:c r="E144" s="68" t="str">
        <x:v>流派标签</x:v>
      </x:c>
      <x:c r="F144" s="98" t="n">
        <x:v>5</x:v>
      </x:c>
      <x:c r="G144" s="68" t="str">
        <x:v>是</x:v>
      </x:c>
      <x:c r="H144" s="68" t="str"/>
    </x:row>
    <x:row r="145">
      <x:c r="A145" s="68" t="str">
        <x:v>流派标签</x:v>
      </x:c>
      <x:c r="B145" s="68" t="str">
        <x:v>SCH06</x:v>
      </x:c>
      <x:c r="C145" s="68" t="str">
        <x:v>现代综合</x:v>
      </x:c>
      <x:c r="D145" s="68" t="str">
        <x:v>标记规则的理论来源或适用体系，发生分歧时转入M21治理。</x:v>
      </x:c>
      <x:c r="E145" s="68" t="str">
        <x:v>流派标签</x:v>
      </x:c>
      <x:c r="F145" s="98" t="n">
        <x:v>6</x:v>
      </x:c>
      <x:c r="G145" s="68" t="str">
        <x:v>是</x:v>
      </x:c>
      <x:c r="H145" s="68" t="str"/>
    </x:row>
    <x:row r="146">
      <x:c r="A146" s="68" t="str">
        <x:v>流派标签</x:v>
      </x:c>
      <x:c r="B146" s="68" t="str">
        <x:v>SCH07</x:v>
      </x:c>
      <x:c r="C146" s="68" t="str">
        <x:v>跨流派共识</x:v>
      </x:c>
      <x:c r="D146" s="68" t="str">
        <x:v>标记规则的理论来源或适用体系，发生分歧时转入M21治理。</x:v>
      </x:c>
      <x:c r="E146" s="68" t="str">
        <x:v>流派标签</x:v>
      </x:c>
      <x:c r="F146" s="98" t="n">
        <x:v>7</x:v>
      </x:c>
      <x:c r="G146" s="68" t="str">
        <x:v>是</x:v>
      </x:c>
      <x:c r="H146" s="68" t="str"/>
    </x:row>
    <x:row r="147">
      <x:c r="A147" s="68" t="str">
        <x:v>流派标签</x:v>
      </x:c>
      <x:c r="B147" s="68" t="str">
        <x:v>SCH08</x:v>
      </x:c>
      <x:c r="C147" s="68" t="str">
        <x:v>待定</x:v>
      </x:c>
      <x:c r="D147" s="68" t="str">
        <x:v>标记规则的理论来源或适用体系，发生分歧时转入M21治理。</x:v>
      </x:c>
      <x:c r="E147" s="68" t="str">
        <x:v>流派标签</x:v>
      </x:c>
      <x:c r="F147" s="98" t="n">
        <x:v>8</x:v>
      </x:c>
      <x:c r="G147" s="68" t="str">
        <x:v>是</x:v>
      </x:c>
      <x:c r="H147" s="68" t="str"/>
    </x:row>
    <x:row r="148">
      <x:c r="A148" s="68" t="str">
        <x:v>规则状态</x:v>
      </x:c>
      <x:c r="B148" s="68" t="str">
        <x:v>RST01</x:v>
      </x:c>
      <x:c r="C148" s="68" t="str">
        <x:v>草稿</x:v>
      </x:c>
      <x:c r="D148" s="68" t="str">
        <x:v>标记规则在知识库生命周期中的采用与验证状态。</x:v>
      </x:c>
      <x:c r="E148" s="68" t="str">
        <x:v>规则状态</x:v>
      </x:c>
      <x:c r="F148" s="98" t="n">
        <x:v>1</x:v>
      </x:c>
      <x:c r="G148" s="68" t="str">
        <x:v>是</x:v>
      </x:c>
      <x:c r="H148" s="68" t="str"/>
    </x:row>
    <x:row r="149">
      <x:c r="A149" s="68" t="str">
        <x:v>规则状态</x:v>
      </x:c>
      <x:c r="B149" s="68" t="str">
        <x:v>RST02</x:v>
      </x:c>
      <x:c r="C149" s="68" t="str">
        <x:v>待验证</x:v>
      </x:c>
      <x:c r="D149" s="68" t="str">
        <x:v>标记规则在知识库生命周期中的采用与验证状态。</x:v>
      </x:c>
      <x:c r="E149" s="68" t="str">
        <x:v>规则状态</x:v>
      </x:c>
      <x:c r="F149" s="98" t="n">
        <x:v>2</x:v>
      </x:c>
      <x:c r="G149" s="68" t="str">
        <x:v>是</x:v>
      </x:c>
      <x:c r="H149" s="68" t="str"/>
    </x:row>
    <x:row r="150">
      <x:c r="A150" s="68" t="str">
        <x:v>规则状态</x:v>
      </x:c>
      <x:c r="B150" s="68" t="str">
        <x:v>RST03</x:v>
      </x:c>
      <x:c r="C150" s="68" t="str">
        <x:v>已验证</x:v>
      </x:c>
      <x:c r="D150" s="68" t="str">
        <x:v>标记规则在知识库生命周期中的采用与验证状态。</x:v>
      </x:c>
      <x:c r="E150" s="68" t="str">
        <x:v>规则状态</x:v>
      </x:c>
      <x:c r="F150" s="98" t="n">
        <x:v>3</x:v>
      </x:c>
      <x:c r="G150" s="68" t="str">
        <x:v>是</x:v>
      </x:c>
      <x:c r="H150" s="68" t="str"/>
    </x:row>
    <x:row r="151">
      <x:c r="A151" s="68" t="str">
        <x:v>规则状态</x:v>
      </x:c>
      <x:c r="B151" s="68" t="str">
        <x:v>RST04</x:v>
      </x:c>
      <x:c r="C151" s="68" t="str">
        <x:v>采用</x:v>
      </x:c>
      <x:c r="D151" s="68" t="str">
        <x:v>标记规则在知识库生命周期中的采用与验证状态。</x:v>
      </x:c>
      <x:c r="E151" s="68" t="str">
        <x:v>规则状态</x:v>
      </x:c>
      <x:c r="F151" s="98" t="n">
        <x:v>4</x:v>
      </x:c>
      <x:c r="G151" s="68" t="str">
        <x:v>是</x:v>
      </x:c>
      <x:c r="H151" s="68" t="str"/>
    </x:row>
    <x:row r="152">
      <x:c r="A152" s="68" t="str">
        <x:v>规则状态</x:v>
      </x:c>
      <x:c r="B152" s="68" t="str">
        <x:v>RST05</x:v>
      </x:c>
      <x:c r="C152" s="68" t="str">
        <x:v>停用</x:v>
      </x:c>
      <x:c r="D152" s="68" t="str">
        <x:v>标记规则在知识库生命周期中的采用与验证状态。</x:v>
      </x:c>
      <x:c r="E152" s="68" t="str">
        <x:v>规则状态</x:v>
      </x:c>
      <x:c r="F152" s="98" t="n">
        <x:v>5</x:v>
      </x:c>
      <x:c r="G152" s="68" t="str">
        <x:v>是</x:v>
      </x:c>
      <x:c r="H152" s="68" t="str"/>
    </x:row>
    <x:row r="153">
      <x:c r="A153" s="68" t="str">
        <x:v>规则状态</x:v>
      </x:c>
      <x:c r="B153" s="68" t="str">
        <x:v>RST06</x:v>
      </x:c>
      <x:c r="C153" s="68" t="str">
        <x:v>示例</x:v>
      </x:c>
      <x:c r="D153" s="68" t="str">
        <x:v>标记规则在知识库生命周期中的采用与验证状态。</x:v>
      </x:c>
      <x:c r="E153" s="68" t="str">
        <x:v>规则状态</x:v>
      </x:c>
      <x:c r="F153" s="98" t="n">
        <x:v>6</x:v>
      </x:c>
      <x:c r="G153" s="68" t="str">
        <x:v>是</x:v>
      </x:c>
      <x:c r="H153" s="68" t="str"/>
    </x:row>
    <x:row r="154">
      <x:c r="A154" s="68" t="str">
        <x:v>审核状态</x:v>
      </x:c>
      <x:c r="B154" s="68" t="str">
        <x:v>REV01</x:v>
      </x:c>
      <x:c r="C154" s="68" t="str">
        <x:v>未审核</x:v>
      </x:c>
      <x:c r="D154" s="68" t="str">
        <x:v>标记规则是否完成初审、复审与正式通过。</x:v>
      </x:c>
      <x:c r="E154" s="68" t="str">
        <x:v>审核状态</x:v>
      </x:c>
      <x:c r="F154" s="98" t="n">
        <x:v>1</x:v>
      </x:c>
      <x:c r="G154" s="68" t="str">
        <x:v>是</x:v>
      </x:c>
      <x:c r="H154" s="68" t="str"/>
    </x:row>
    <x:row r="155">
      <x:c r="A155" s="68" t="str">
        <x:v>审核状态</x:v>
      </x:c>
      <x:c r="B155" s="68" t="str">
        <x:v>REV02</x:v>
      </x:c>
      <x:c r="C155" s="68" t="str">
        <x:v>初审</x:v>
      </x:c>
      <x:c r="D155" s="68" t="str">
        <x:v>标记规则是否完成初审、复审与正式通过。</x:v>
      </x:c>
      <x:c r="E155" s="68" t="str">
        <x:v>审核状态</x:v>
      </x:c>
      <x:c r="F155" s="98" t="n">
        <x:v>2</x:v>
      </x:c>
      <x:c r="G155" s="68" t="str">
        <x:v>是</x:v>
      </x:c>
      <x:c r="H155" s="68" t="str"/>
    </x:row>
    <x:row r="156">
      <x:c r="A156" s="68" t="str">
        <x:v>审核状态</x:v>
      </x:c>
      <x:c r="B156" s="68" t="str">
        <x:v>REV03</x:v>
      </x:c>
      <x:c r="C156" s="68" t="str">
        <x:v>复审</x:v>
      </x:c>
      <x:c r="D156" s="68" t="str">
        <x:v>标记规则是否完成初审、复审与正式通过。</x:v>
      </x:c>
      <x:c r="E156" s="68" t="str">
        <x:v>审核状态</x:v>
      </x:c>
      <x:c r="F156" s="98" t="n">
        <x:v>3</x:v>
      </x:c>
      <x:c r="G156" s="68" t="str">
        <x:v>是</x:v>
      </x:c>
      <x:c r="H156" s="68" t="str"/>
    </x:row>
    <x:row r="157">
      <x:c r="A157" s="68" t="str">
        <x:v>审核状态</x:v>
      </x:c>
      <x:c r="B157" s="68" t="str">
        <x:v>REV04</x:v>
      </x:c>
      <x:c r="C157" s="68" t="str">
        <x:v>已通过</x:v>
      </x:c>
      <x:c r="D157" s="68" t="str">
        <x:v>标记规则是否完成初审、复审与正式通过。</x:v>
      </x:c>
      <x:c r="E157" s="68" t="str">
        <x:v>审核状态</x:v>
      </x:c>
      <x:c r="F157" s="98" t="n">
        <x:v>4</x:v>
      </x:c>
      <x:c r="G157" s="68" t="str">
        <x:v>是</x:v>
      </x:c>
      <x:c r="H157" s="68" t="str"/>
    </x:row>
    <x:row r="158">
      <x:c r="A158" s="68" t="str">
        <x:v>审核状态</x:v>
      </x:c>
      <x:c r="B158" s="68" t="str">
        <x:v>REV05</x:v>
      </x:c>
      <x:c r="C158" s="68" t="str">
        <x:v>退回</x:v>
      </x:c>
      <x:c r="D158" s="68" t="str">
        <x:v>标记规则是否完成初审、复审与正式通过。</x:v>
      </x:c>
      <x:c r="E158" s="68" t="str">
        <x:v>审核状态</x:v>
      </x:c>
      <x:c r="F158" s="98" t="n">
        <x:v>5</x:v>
      </x:c>
      <x:c r="G158" s="68" t="str">
        <x:v>是</x:v>
      </x:c>
      <x:c r="H158" s="68" t="str"/>
    </x:row>
    <x:row r="159">
      <x:c r="A159" s="68" t="str">
        <x:v>旺衰等级</x:v>
      </x:c>
      <x:c r="B159" s="68" t="str">
        <x:v>WS1</x:v>
      </x:c>
      <x:c r="C159" s="68" t="str">
        <x:v>极弱</x:v>
      </x:c>
      <x:c r="D159" s="68" t="str">
        <x:v>有效根、源与同党极少，且受制泄耗成势。</x:v>
      </x:c>
      <x:c r="E159" s="68" t="str">
        <x:v>原始力量、对象原始旺衰、旺衰候选、有效力量、桥梁强度、起点强度</x:v>
      </x:c>
      <x:c r="F159" s="98" t="n">
        <x:v>1</x:v>
      </x:c>
      <x:c r="G159" s="68" t="str">
        <x:v>是</x:v>
      </x:c>
      <x:c r="H159" s="68" t="str"/>
    </x:row>
    <x:row r="160">
      <x:c r="A160" s="68" t="str">
        <x:v>旺衰等级</x:v>
      </x:c>
      <x:c r="B160" s="68" t="str">
        <x:v>WS2</x:v>
      </x:c>
      <x:c r="C160" s="68" t="str">
        <x:v>弱</x:v>
      </x:c>
      <x:c r="D160" s="68" t="str">
        <x:v>生扶与承载明显不足，但尚未达到从弱或完全失根。</x:v>
      </x:c>
      <x:c r="E160" s="68" t="str">
        <x:v>原始力量、对象原始旺衰、旺衰候选、有效力量、桥梁强度、起点强度</x:v>
      </x:c>
      <x:c r="F160" s="98" t="n">
        <x:v>2</x:v>
      </x:c>
      <x:c r="G160" s="68" t="str">
        <x:v>是</x:v>
      </x:c>
      <x:c r="H160" s="68" t="str"/>
    </x:row>
    <x:row r="161">
      <x:c r="A161" s="68" t="str">
        <x:v>旺衰等级</x:v>
      </x:c>
      <x:c r="B161" s="68" t="str">
        <x:v>WS3</x:v>
      </x:c>
      <x:c r="C161" s="68" t="str">
        <x:v>中和偏弱</x:v>
      </x:c>
      <x:c r="D161" s="68" t="str">
        <x:v>整体接近平衡，克泄耗略占优势。</x:v>
      </x:c>
      <x:c r="E161" s="68" t="str">
        <x:v>原始力量、对象原始旺衰、旺衰候选、有效力量、桥梁强度、起点强度</x:v>
      </x:c>
      <x:c r="F161" s="98" t="n">
        <x:v>3</x:v>
      </x:c>
      <x:c r="G161" s="68" t="str">
        <x:v>是</x:v>
      </x:c>
      <x:c r="H161" s="68" t="str"/>
    </x:row>
    <x:row r="162">
      <x:c r="A162" s="68" t="str">
        <x:v>旺衰等级</x:v>
      </x:c>
      <x:c r="B162" s="68" t="str">
        <x:v>WS4</x:v>
      </x:c>
      <x:c r="C162" s="68" t="str">
        <x:v>中和</x:v>
      </x:c>
      <x:c r="D162" s="68" t="str">
        <x:v>生扶与克泄耗大致均衡，无明显一方主导。</x:v>
      </x:c>
      <x:c r="E162" s="68" t="str">
        <x:v>原始力量、对象原始旺衰、旺衰候选、有效力量、桥梁强度、起点强度</x:v>
      </x:c>
      <x:c r="F162" s="98" t="n">
        <x:v>4</x:v>
      </x:c>
      <x:c r="G162" s="68" t="str">
        <x:v>是</x:v>
      </x:c>
      <x:c r="H162" s="68" t="str"/>
    </x:row>
    <x:row r="163">
      <x:c r="A163" s="68" t="str">
        <x:v>旺衰等级</x:v>
      </x:c>
      <x:c r="B163" s="68" t="str">
        <x:v>WS5</x:v>
      </x:c>
      <x:c r="C163" s="68" t="str">
        <x:v>中和偏旺</x:v>
      </x:c>
      <x:c r="D163" s="68" t="str">
        <x:v>整体接近平衡，得令、根助或同党略占优势。</x:v>
      </x:c>
      <x:c r="E163" s="68" t="str">
        <x:v>原始力量、对象原始旺衰、旺衰候选、有效力量、桥梁强度、起点强度</x:v>
      </x:c>
      <x:c r="F163" s="98" t="n">
        <x:v>5</x:v>
      </x:c>
      <x:c r="G163" s="68" t="str">
        <x:v>是</x:v>
      </x:c>
      <x:c r="H163" s="68" t="str"/>
    </x:row>
    <x:row r="164">
      <x:c r="A164" s="68" t="str">
        <x:v>旺衰等级</x:v>
      </x:c>
      <x:c r="B164" s="68" t="str">
        <x:v>WS6</x:v>
      </x:c>
      <x:c r="C164" s="68" t="str">
        <x:v>旺</x:v>
      </x:c>
      <x:c r="D164" s="68" t="str">
        <x:v>生扶、根气或成势明显，克泄耗不足以制衡。</x:v>
      </x:c>
      <x:c r="E164" s="68" t="str">
        <x:v>原始力量、对象原始旺衰、旺衰候选、有效力量、桥梁强度、起点强度</x:v>
      </x:c>
      <x:c r="F164" s="98" t="n">
        <x:v>6</x:v>
      </x:c>
      <x:c r="G164" s="68" t="str">
        <x:v>是</x:v>
      </x:c>
      <x:c r="H164" s="68" t="str"/>
    </x:row>
    <x:row r="165">
      <x:c r="A165" s="68" t="str">
        <x:v>旺衰等级</x:v>
      </x:c>
      <x:c r="B165" s="68" t="str">
        <x:v>WS7</x:v>
      </x:c>
      <x:c r="C165" s="68" t="str">
        <x:v>极旺</x:v>
      </x:c>
      <x:c r="D165" s="68" t="str">
        <x:v>力量高度集中成势，普通制衡逻辑需谨慎并审特殊格局。</x:v>
      </x:c>
      <x:c r="E165" s="68" t="str">
        <x:v>原始力量、对象原始旺衰、旺衰候选、有效力量、桥梁强度、起点强度</x:v>
      </x:c>
      <x:c r="F165" s="98" t="n">
        <x:v>7</x:v>
      </x:c>
      <x:c r="G165" s="68" t="str">
        <x:v>是</x:v>
      </x:c>
      <x:c r="H165" s="68" t="str"/>
    </x:row>
    <x:row r="166">
      <x:c r="A166" s="68" t="str">
        <x:v>旺衰等级</x:v>
      </x:c>
      <x:c r="B166" s="68" t="str">
        <x:v>WS0</x:v>
      </x:c>
      <x:c r="C166" s="68" t="str">
        <x:v>待定</x:v>
      </x:c>
      <x:c r="D166" s="68" t="str">
        <x:v>旺衰等级的标准选项：待定。具体成立条件由对应模块规则定义。</x:v>
      </x:c>
      <x:c r="E166" s="68" t="str">
        <x:v>原始力量、对象原始旺衰、旺衰候选、有效力量、桥梁强度、起点强度</x:v>
      </x:c>
      <x:c r="F166" s="98" t="n">
        <x:v>8</x:v>
      </x:c>
      <x:c r="G166" s="68" t="str">
        <x:v>是</x:v>
      </x:c>
      <x:c r="H166" s="68" t="str"/>
    </x:row>
    <x:row r="167">
      <x:c r="A167" s="68" t="str">
        <x:v>成立等级</x:v>
      </x:c>
      <x:c r="B167" s="68" t="str">
        <x:v>EST01</x:v>
      </x:c>
      <x:c r="C167" s="68" t="str">
        <x:v>不成立</x:v>
      </x:c>
      <x:c r="D167" s="68" t="str">
        <x:v>成立等级的标准选项：不成立。具体成立条件由对应模块规则定义。</x:v>
      </x:c>
      <x:c r="E167" s="68" t="str">
        <x:v>成立等级</x:v>
      </x:c>
      <x:c r="F167" s="98" t="n">
        <x:v>1</x:v>
      </x:c>
      <x:c r="G167" s="68" t="str">
        <x:v>是</x:v>
      </x:c>
      <x:c r="H167" s="68" t="str"/>
    </x:row>
    <x:row r="168">
      <x:c r="A168" s="68" t="str">
        <x:v>成立等级</x:v>
      </x:c>
      <x:c r="B168" s="68" t="str">
        <x:v>EST02</x:v>
      </x:c>
      <x:c r="C168" s="68" t="str">
        <x:v>弱成立</x:v>
      </x:c>
      <x:c r="D168" s="68" t="str">
        <x:v>成立等级的标准选项：弱成立。具体成立条件由对应模块规则定义。</x:v>
      </x:c>
      <x:c r="E168" s="68" t="str">
        <x:v>成立等级</x:v>
      </x:c>
      <x:c r="F168" s="98" t="n">
        <x:v>2</x:v>
      </x:c>
      <x:c r="G168" s="68" t="str">
        <x:v>是</x:v>
      </x:c>
      <x:c r="H168" s="68" t="str"/>
    </x:row>
    <x:row r="169">
      <x:c r="A169" s="68" t="str">
        <x:v>成立等级</x:v>
      </x:c>
      <x:c r="B169" s="68" t="str">
        <x:v>EST03</x:v>
      </x:c>
      <x:c r="C169" s="68" t="str">
        <x:v>基本成立</x:v>
      </x:c>
      <x:c r="D169" s="68" t="str">
        <x:v>成立等级的标准选项：基本成立。具体成立条件由对应模块规则定义。</x:v>
      </x:c>
      <x:c r="E169" s="68" t="str">
        <x:v>成立等级</x:v>
      </x:c>
      <x:c r="F169" s="98" t="n">
        <x:v>3</x:v>
      </x:c>
      <x:c r="G169" s="68" t="str">
        <x:v>是</x:v>
      </x:c>
      <x:c r="H169" s="68" t="str"/>
    </x:row>
    <x:row r="170">
      <x:c r="A170" s="68" t="str">
        <x:v>成立等级</x:v>
      </x:c>
      <x:c r="B170" s="68" t="str">
        <x:v>EST04</x:v>
      </x:c>
      <x:c r="C170" s="68" t="str">
        <x:v>明显成立</x:v>
      </x:c>
      <x:c r="D170" s="68" t="str">
        <x:v>成立等级的标准选项：明显成立。具体成立条件由对应模块规则定义。</x:v>
      </x:c>
      <x:c r="E170" s="68" t="str">
        <x:v>成立等级</x:v>
      </x:c>
      <x:c r="F170" s="98" t="n">
        <x:v>4</x:v>
      </x:c>
      <x:c r="G170" s="68" t="str">
        <x:v>是</x:v>
      </x:c>
      <x:c r="H170" s="68" t="str"/>
    </x:row>
    <x:row r="171">
      <x:c r="A171" s="68" t="str">
        <x:v>成立等级</x:v>
      </x:c>
      <x:c r="B171" s="68" t="str">
        <x:v>EST05</x:v>
      </x:c>
      <x:c r="C171" s="68" t="str">
        <x:v>完整成立</x:v>
      </x:c>
      <x:c r="D171" s="68" t="str">
        <x:v>成立等级的标准选项：完整成立。具体成立条件由对应模块规则定义。</x:v>
      </x:c>
      <x:c r="E171" s="68" t="str">
        <x:v>成立等级</x:v>
      </x:c>
      <x:c r="F171" s="98" t="n">
        <x:v>5</x:v>
      </x:c>
      <x:c r="G171" s="68" t="str">
        <x:v>是</x:v>
      </x:c>
      <x:c r="H171" s="68" t="str"/>
    </x:row>
    <x:row r="172">
      <x:c r="A172" s="68" t="str">
        <x:v>成立等级</x:v>
      </x:c>
      <x:c r="B172" s="68" t="str">
        <x:v>EST06</x:v>
      </x:c>
      <x:c r="C172" s="68" t="str">
        <x:v>待定</x:v>
      </x:c>
      <x:c r="D172" s="68" t="str">
        <x:v>成立等级的标准选项：待定。具体成立条件由对应模块规则定义。</x:v>
      </x:c>
      <x:c r="E172" s="68" t="str">
        <x:v>成立等级</x:v>
      </x:c>
      <x:c r="F172" s="98" t="n">
        <x:v>6</x:v>
      </x:c>
      <x:c r="G172" s="68" t="str">
        <x:v>是</x:v>
      </x:c>
      <x:c r="H172" s="68" t="str"/>
    </x:row>
    <x:row r="173">
      <x:c r="A173" s="68" t="str">
        <x:v>可用性</x:v>
      </x:c>
      <x:c r="B173" s="68" t="str">
        <x:v>AVL01</x:v>
      </x:c>
      <x:c r="C173" s="68" t="str">
        <x:v>有效</x:v>
      </x:c>
      <x:c r="D173" s="68" t="str">
        <x:v>可用性的标准选项：有效。具体成立条件由对应模块规则定义。</x:v>
      </x:c>
      <x:c r="E173" s="68" t="str">
        <x:v>调候五行有效性</x:v>
      </x:c>
      <x:c r="F173" s="98" t="n">
        <x:v>1</x:v>
      </x:c>
      <x:c r="G173" s="68" t="str">
        <x:v>是</x:v>
      </x:c>
      <x:c r="H173" s="68" t="str"/>
    </x:row>
    <x:row r="174">
      <x:c r="A174" s="68" t="str">
        <x:v>可用性</x:v>
      </x:c>
      <x:c r="B174" s="68" t="str">
        <x:v>AVL02</x:v>
      </x:c>
      <x:c r="C174" s="68" t="str">
        <x:v>受限</x:v>
      </x:c>
      <x:c r="D174" s="68" t="str">
        <x:v>可用性的标准选项：受限。具体成立条件由对应模块规则定义。</x:v>
      </x:c>
      <x:c r="E174" s="68" t="str">
        <x:v>调候五行有效性</x:v>
      </x:c>
      <x:c r="F174" s="98" t="n">
        <x:v>2</x:v>
      </x:c>
      <x:c r="G174" s="68" t="str">
        <x:v>是</x:v>
      </x:c>
      <x:c r="H174" s="68" t="str"/>
    </x:row>
    <x:row r="175">
      <x:c r="A175" s="68" t="str">
        <x:v>可用性</x:v>
      </x:c>
      <x:c r="B175" s="68" t="str">
        <x:v>AVL03</x:v>
      </x:c>
      <x:c r="C175" s="68" t="str">
        <x:v>失效</x:v>
      </x:c>
      <x:c r="D175" s="68" t="str">
        <x:v>可用性的标准选项：失效。具体成立条件由对应模块规则定义。</x:v>
      </x:c>
      <x:c r="E175" s="68" t="str">
        <x:v>调候五行有效性</x:v>
      </x:c>
      <x:c r="F175" s="98" t="n">
        <x:v>3</x:v>
      </x:c>
      <x:c r="G175" s="68" t="str">
        <x:v>是</x:v>
      </x:c>
      <x:c r="H175" s="68" t="str"/>
    </x:row>
    <x:row r="176">
      <x:c r="A176" s="68" t="str">
        <x:v>可用性</x:v>
      </x:c>
      <x:c r="B176" s="68" t="str">
        <x:v>AVL04</x:v>
      </x:c>
      <x:c r="C176" s="68" t="str">
        <x:v>过度</x:v>
      </x:c>
      <x:c r="D176" s="68" t="str">
        <x:v>可用性的标准选项：过度。具体成立条件由对应模块规则定义。</x:v>
      </x:c>
      <x:c r="E176" s="68" t="str">
        <x:v>调候五行有效性</x:v>
      </x:c>
      <x:c r="F176" s="98" t="n">
        <x:v>4</x:v>
      </x:c>
      <x:c r="G176" s="68" t="str">
        <x:v>是</x:v>
      </x:c>
      <x:c r="H176" s="68" t="str"/>
    </x:row>
    <x:row r="177">
      <x:c r="A177" s="68" t="str">
        <x:v>可用性</x:v>
      </x:c>
      <x:c r="B177" s="68" t="str">
        <x:v>AVL05</x:v>
      </x:c>
      <x:c r="C177" s="68" t="str">
        <x:v>待定</x:v>
      </x:c>
      <x:c r="D177" s="68" t="str">
        <x:v>可用性的标准选项：待定。具体成立条件由对应模块规则定义。</x:v>
      </x:c>
      <x:c r="E177" s="68" t="str">
        <x:v>调候五行有效性</x:v>
      </x:c>
      <x:c r="F177" s="98" t="n">
        <x:v>5</x:v>
      </x:c>
      <x:c r="G177" s="68" t="str">
        <x:v>是</x:v>
      </x:c>
      <x:c r="H177" s="68" t="str"/>
    </x:row>
    <x:row r="178">
      <x:c r="A178" s="68" t="str">
        <x:v>是否条件</x:v>
      </x:c>
      <x:c r="B178" s="68" t="str">
        <x:v>YNC01</x:v>
      </x:c>
      <x:c r="C178" s="68" t="str">
        <x:v>是</x:v>
      </x:c>
      <x:c r="D178" s="68" t="str">
        <x:v>是否条件的标准选项：是。具体成立条件由对应模块规则定义。</x:v>
      </x:c>
      <x:c r="E178"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8" s="98" t="n">
        <x:v>1</x:v>
      </x:c>
      <x:c r="G178" s="68" t="str">
        <x:v>是</x:v>
      </x:c>
      <x:c r="H178" s="68" t="str"/>
    </x:row>
    <x:row r="179">
      <x:c r="A179" s="68" t="str">
        <x:v>是否条件</x:v>
      </x:c>
      <x:c r="B179" s="68" t="str">
        <x:v>YNC02</x:v>
      </x:c>
      <x:c r="C179" s="68" t="str">
        <x:v>否</x:v>
      </x:c>
      <x:c r="D179" s="68" t="str">
        <x:v>是否条件的标准选项：否。具体成立条件由对应模块规则定义。</x:v>
      </x:c>
      <x:c r="E179"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9" s="98" t="n">
        <x:v>2</x:v>
      </x:c>
      <x:c r="G179" s="68" t="str">
        <x:v>是</x:v>
      </x:c>
      <x:c r="H179" s="68" t="str"/>
    </x:row>
    <x:row r="180">
      <x:c r="A180" s="68" t="str">
        <x:v>是否条件</x:v>
      </x:c>
      <x:c r="B180" s="68" t="str">
        <x:v>YNC03</x:v>
      </x:c>
      <x:c r="C180" s="68" t="str">
        <x:v>条件性</x:v>
      </x:c>
      <x:c r="D180" s="68" t="str">
        <x:v>是否条件的标准选项：条件性。具体成立条件由对应模块规则定义。</x:v>
      </x:c>
      <x:c r="E180"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0" s="98" t="n">
        <x:v>3</x:v>
      </x:c>
      <x:c r="G180" s="68" t="str">
        <x:v>是</x:v>
      </x:c>
      <x:c r="H180" s="68" t="str"/>
    </x:row>
    <x:row r="181">
      <x:c r="A181" s="68" t="str">
        <x:v>是否条件</x:v>
      </x:c>
      <x:c r="B181" s="68" t="str">
        <x:v>YNC04</x:v>
      </x:c>
      <x:c r="C181" s="68" t="str">
        <x:v>待定</x:v>
      </x:c>
      <x:c r="D181" s="68" t="str">
        <x:v>是否条件的标准选项：待定。具体成立条件由对应模块规则定义。</x:v>
      </x:c>
      <x:c r="E181"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1" s="98" t="n">
        <x:v>4</x:v>
      </x:c>
      <x:c r="G181" s="68" t="str">
        <x:v>是</x:v>
      </x:c>
      <x:c r="H181" s="68" t="str"/>
    </x:row>
    <x:row r="182">
      <x:c r="A182" s="68" t="str">
        <x:v>十神</x:v>
      </x:c>
      <x:c r="B182" s="68" t="str">
        <x:v>SG-BJ</x:v>
      </x:c>
      <x:c r="C182" s="68" t="str">
        <x:v>比肩</x:v>
      </x:c>
      <x:c r="D182" s="68" t="str">
        <x:v>相对日主的生克与阴阳关系映射，旺衰、功能和喜忌需分别判断。</x:v>
      </x:c>
      <x:c r="E182" s="68" t="str">
        <x:v>十神、对应十神</x:v>
      </x:c>
      <x:c r="F182" s="98" t="n">
        <x:v>1</x:v>
      </x:c>
      <x:c r="G182" s="68" t="str">
        <x:v>是</x:v>
      </x:c>
      <x:c r="H182" s="68" t="str"/>
    </x:row>
    <x:row r="183">
      <x:c r="A183" s="68" t="str">
        <x:v>十神</x:v>
      </x:c>
      <x:c r="B183" s="68" t="str">
        <x:v>SG-JC</x:v>
      </x:c>
      <x:c r="C183" s="68" t="str">
        <x:v>劫财</x:v>
      </x:c>
      <x:c r="D183" s="68" t="str">
        <x:v>相对日主的生克与阴阳关系映射，旺衰、功能和喜忌需分别判断。</x:v>
      </x:c>
      <x:c r="E183" s="68" t="str">
        <x:v>十神、对应十神</x:v>
      </x:c>
      <x:c r="F183" s="98" t="n">
        <x:v>2</x:v>
      </x:c>
      <x:c r="G183" s="68" t="str">
        <x:v>是</x:v>
      </x:c>
      <x:c r="H183" s="68" t="str"/>
    </x:row>
    <x:row r="184">
      <x:c r="A184" s="68" t="str">
        <x:v>十神</x:v>
      </x:c>
      <x:c r="B184" s="68" t="str">
        <x:v>SG-SS</x:v>
      </x:c>
      <x:c r="C184" s="68" t="str">
        <x:v>食神</x:v>
      </x:c>
      <x:c r="D184" s="68" t="str">
        <x:v>相对日主的生克与阴阳关系映射，旺衰、功能和喜忌需分别判断。</x:v>
      </x:c>
      <x:c r="E184" s="68" t="str">
        <x:v>十神、对应十神</x:v>
      </x:c>
      <x:c r="F184" s="98" t="n">
        <x:v>3</x:v>
      </x:c>
      <x:c r="G184" s="68" t="str">
        <x:v>是</x:v>
      </x:c>
      <x:c r="H184" s="68" t="str"/>
    </x:row>
    <x:row r="185">
      <x:c r="A185" s="68" t="str">
        <x:v>十神</x:v>
      </x:c>
      <x:c r="B185" s="68" t="str">
        <x:v>SG-SG</x:v>
      </x:c>
      <x:c r="C185" s="68" t="str">
        <x:v>伤官</x:v>
      </x:c>
      <x:c r="D185" s="68" t="str">
        <x:v>相对日主的生克与阴阳关系映射，旺衰、功能和喜忌需分别判断。</x:v>
      </x:c>
      <x:c r="E185" s="68" t="str">
        <x:v>十神、对应十神</x:v>
      </x:c>
      <x:c r="F185" s="98" t="n">
        <x:v>4</x:v>
      </x:c>
      <x:c r="G185" s="68" t="str">
        <x:v>是</x:v>
      </x:c>
      <x:c r="H185" s="68" t="str"/>
    </x:row>
    <x:row r="186">
      <x:c r="A186" s="68" t="str">
        <x:v>十神</x:v>
      </x:c>
      <x:c r="B186" s="68" t="str">
        <x:v>SG-PC</x:v>
      </x:c>
      <x:c r="C186" s="68" t="str">
        <x:v>偏财</x:v>
      </x:c>
      <x:c r="D186" s="68" t="str">
        <x:v>相对日主的生克与阴阳关系映射，旺衰、功能和喜忌需分别判断。</x:v>
      </x:c>
      <x:c r="E186" s="68" t="str">
        <x:v>十神、对应十神</x:v>
      </x:c>
      <x:c r="F186" s="98" t="n">
        <x:v>5</x:v>
      </x:c>
      <x:c r="G186" s="68" t="str">
        <x:v>是</x:v>
      </x:c>
      <x:c r="H186" s="68" t="str"/>
    </x:row>
    <x:row r="187">
      <x:c r="A187" s="68" t="str">
        <x:v>十神</x:v>
      </x:c>
      <x:c r="B187" s="68" t="str">
        <x:v>SG-ZC</x:v>
      </x:c>
      <x:c r="C187" s="68" t="str">
        <x:v>正财</x:v>
      </x:c>
      <x:c r="D187" s="68" t="str">
        <x:v>相对日主的生克与阴阳关系映射，旺衰、功能和喜忌需分别判断。</x:v>
      </x:c>
      <x:c r="E187" s="68" t="str">
        <x:v>十神、对应十神</x:v>
      </x:c>
      <x:c r="F187" s="98" t="n">
        <x:v>6</x:v>
      </x:c>
      <x:c r="G187" s="68" t="str">
        <x:v>是</x:v>
      </x:c>
      <x:c r="H187" s="68" t="str"/>
    </x:row>
    <x:row r="188">
      <x:c r="A188" s="68" t="str">
        <x:v>十神</x:v>
      </x:c>
      <x:c r="B188" s="68" t="str">
        <x:v>SG-QS</x:v>
      </x:c>
      <x:c r="C188" s="68" t="str">
        <x:v>七杀</x:v>
      </x:c>
      <x:c r="D188" s="68" t="str">
        <x:v>相对日主的生克与阴阳关系映射，旺衰、功能和喜忌需分别判断。</x:v>
      </x:c>
      <x:c r="E188" s="68" t="str">
        <x:v>十神、对应十神</x:v>
      </x:c>
      <x:c r="F188" s="98" t="n">
        <x:v>7</x:v>
      </x:c>
      <x:c r="G188" s="68" t="str">
        <x:v>是</x:v>
      </x:c>
      <x:c r="H188" s="68" t="str"/>
    </x:row>
    <x:row r="189">
      <x:c r="A189" s="68" t="str">
        <x:v>十神</x:v>
      </x:c>
      <x:c r="B189" s="68" t="str">
        <x:v>SG-ZG</x:v>
      </x:c>
      <x:c r="C189" s="68" t="str">
        <x:v>正官</x:v>
      </x:c>
      <x:c r="D189" s="68" t="str">
        <x:v>相对日主的生克与阴阳关系映射，旺衰、功能和喜忌需分别判断。</x:v>
      </x:c>
      <x:c r="E189" s="68" t="str">
        <x:v>十神、对应十神</x:v>
      </x:c>
      <x:c r="F189" s="98" t="n">
        <x:v>8</x:v>
      </x:c>
      <x:c r="G189" s="68" t="str">
        <x:v>是</x:v>
      </x:c>
      <x:c r="H189" s="68" t="str"/>
    </x:row>
    <x:row r="190">
      <x:c r="A190" s="68" t="str">
        <x:v>十神</x:v>
      </x:c>
      <x:c r="B190" s="68" t="str">
        <x:v>SG-PY</x:v>
      </x:c>
      <x:c r="C190" s="68" t="str">
        <x:v>偏印</x:v>
      </x:c>
      <x:c r="D190" s="68" t="str">
        <x:v>相对日主的生克与阴阳关系映射，旺衰、功能和喜忌需分别判断。</x:v>
      </x:c>
      <x:c r="E190" s="68" t="str">
        <x:v>十神、对应十神</x:v>
      </x:c>
      <x:c r="F190" s="98" t="n">
        <x:v>9</x:v>
      </x:c>
      <x:c r="G190" s="68" t="str">
        <x:v>是</x:v>
      </x:c>
      <x:c r="H190" s="68" t="str"/>
    </x:row>
    <x:row r="191">
      <x:c r="A191" s="68" t="str">
        <x:v>十神</x:v>
      </x:c>
      <x:c r="B191" s="68" t="str">
        <x:v>SG-ZY</x:v>
      </x:c>
      <x:c r="C191" s="68" t="str">
        <x:v>正印</x:v>
      </x:c>
      <x:c r="D191" s="68" t="str">
        <x:v>相对日主的生克与阴阳关系映射，旺衰、功能和喜忌需分别判断。</x:v>
      </x:c>
      <x:c r="E191" s="68" t="str">
        <x:v>十神、对应十神</x:v>
      </x:c>
      <x:c r="F191" s="98" t="n">
        <x:v>10</x:v>
      </x:c>
      <x:c r="G191" s="68" t="str">
        <x:v>是</x:v>
      </x:c>
      <x:c r="H191" s="68" t="str"/>
    </x:row>
    <x:row r="192">
      <x:c r="A192" s="68" t="str">
        <x:v>十神存在方式</x:v>
      </x:c>
      <x:c r="B192" s="68" t="str">
        <x:v>EXI01</x:v>
      </x:c>
      <x:c r="C192" s="68" t="str">
        <x:v>透干</x:v>
      </x:c>
      <x:c r="D192" s="68" t="str">
        <x:v>十神存在方式的标准选项：透干。具体成立条件由对应模块规则定义。</x:v>
      </x:c>
      <x:c r="E192" s="68" t="str">
        <x:v>存在方式</x:v>
      </x:c>
      <x:c r="F192" s="98" t="n">
        <x:v>1</x:v>
      </x:c>
      <x:c r="G192" s="68" t="str">
        <x:v>是</x:v>
      </x:c>
      <x:c r="H192" s="68" t="str"/>
    </x:row>
    <x:row r="193">
      <x:c r="A193" s="68" t="str">
        <x:v>十神存在方式</x:v>
      </x:c>
      <x:c r="B193" s="68" t="str">
        <x:v>EXI02</x:v>
      </x:c>
      <x:c r="C193" s="68" t="str">
        <x:v>藏支本气</x:v>
      </x:c>
      <x:c r="D193" s="68" t="str">
        <x:v>十神存在方式的标准选项：藏支本气。具体成立条件由对应模块规则定义。</x:v>
      </x:c>
      <x:c r="E193" s="68" t="str">
        <x:v>存在方式</x:v>
      </x:c>
      <x:c r="F193" s="98" t="n">
        <x:v>2</x:v>
      </x:c>
      <x:c r="G193" s="68" t="str">
        <x:v>是</x:v>
      </x:c>
      <x:c r="H193" s="68" t="str"/>
    </x:row>
    <x:row r="194">
      <x:c r="A194" s="68" t="str">
        <x:v>十神存在方式</x:v>
      </x:c>
      <x:c r="B194" s="68" t="str">
        <x:v>EXI03</x:v>
      </x:c>
      <x:c r="C194" s="68" t="str">
        <x:v>藏支中气</x:v>
      </x:c>
      <x:c r="D194" s="68" t="str">
        <x:v>十神存在方式的标准选项：藏支中气。具体成立条件由对应模块规则定义。</x:v>
      </x:c>
      <x:c r="E194" s="68" t="str">
        <x:v>存在方式</x:v>
      </x:c>
      <x:c r="F194" s="98" t="n">
        <x:v>3</x:v>
      </x:c>
      <x:c r="G194" s="68" t="str">
        <x:v>是</x:v>
      </x:c>
      <x:c r="H194" s="68" t="str"/>
    </x:row>
    <x:row r="195">
      <x:c r="A195" s="68" t="str">
        <x:v>十神存在方式</x:v>
      </x:c>
      <x:c r="B195" s="68" t="str">
        <x:v>EXI04</x:v>
      </x:c>
      <x:c r="C195" s="68" t="str">
        <x:v>藏支余气</x:v>
      </x:c>
      <x:c r="D195" s="68" t="str">
        <x:v>十神存在方式的标准选项：藏支余气。具体成立条件由对应模块规则定义。</x:v>
      </x:c>
      <x:c r="E195" s="68" t="str">
        <x:v>存在方式</x:v>
      </x:c>
      <x:c r="F195" s="98" t="n">
        <x:v>4</x:v>
      </x:c>
      <x:c r="G195" s="68" t="str">
        <x:v>是</x:v>
      </x:c>
      <x:c r="H195" s="68" t="str"/>
    </x:row>
    <x:row r="196">
      <x:c r="A196" s="68" t="str">
        <x:v>十神存在方式</x:v>
      </x:c>
      <x:c r="B196" s="68" t="str">
        <x:v>EXI05</x:v>
      </x:c>
      <x:c r="C196" s="68" t="str">
        <x:v>多处出现</x:v>
      </x:c>
      <x:c r="D196" s="68" t="str">
        <x:v>十神存在方式的标准选项：多处出现。具体成立条件由对应模块规则定义。</x:v>
      </x:c>
      <x:c r="E196" s="68" t="str">
        <x:v>存在方式</x:v>
      </x:c>
      <x:c r="F196" s="98" t="n">
        <x:v>5</x:v>
      </x:c>
      <x:c r="G196" s="68" t="str">
        <x:v>是</x:v>
      </x:c>
      <x:c r="H196" s="68" t="str"/>
    </x:row>
    <x:row r="197">
      <x:c r="A197" s="68" t="str">
        <x:v>十神存在方式</x:v>
      </x:c>
      <x:c r="B197" s="68" t="str">
        <x:v>EXI06</x:v>
      </x:c>
      <x:c r="C197" s="68" t="str">
        <x:v>完全不现</x:v>
      </x:c>
      <x:c r="D197" s="68" t="str">
        <x:v>十神存在方式的标准选项：完全不现。具体成立条件由对应模块规则定义。</x:v>
      </x:c>
      <x:c r="E197" s="68" t="str">
        <x:v>存在方式</x:v>
      </x:c>
      <x:c r="F197" s="98" t="n">
        <x:v>6</x:v>
      </x:c>
      <x:c r="G197" s="68" t="str">
        <x:v>是</x:v>
      </x:c>
      <x:c r="H197" s="68" t="str"/>
    </x:row>
    <x:row r="198">
      <x:c r="A198" s="68" t="str">
        <x:v>十神存在方式</x:v>
      </x:c>
      <x:c r="B198" s="68" t="str">
        <x:v>EXI07</x:v>
      </x:c>
      <x:c r="C198" s="68" t="str">
        <x:v>待定</x:v>
      </x:c>
      <x:c r="D198" s="68" t="str">
        <x:v>十神存在方式的标准选项：待定。具体成立条件由对应模块规则定义。</x:v>
      </x:c>
      <x:c r="E198" s="68" t="str">
        <x:v>存在方式</x:v>
      </x:c>
      <x:c r="F198" s="98" t="n">
        <x:v>7</x:v>
      </x:c>
      <x:c r="G198" s="68" t="str">
        <x:v>是</x:v>
      </x:c>
      <x:c r="H198" s="68" t="str"/>
    </x:row>
    <x:row r="199">
      <x:c r="A199" s="68" t="str">
        <x:v>十神功能状态</x:v>
      </x:c>
      <x:c r="B199" s="68" t="str">
        <x:v>SGF01</x:v>
      </x:c>
      <x:c r="C199" s="68" t="str">
        <x:v>正常发挥</x:v>
      </x:c>
      <x:c r="D199" s="68" t="str">
        <x:v>十神功能状态的标准选项：正常发挥。具体成立条件由对应模块规则定义。</x:v>
      </x:c>
      <x:c r="E199" s="68" t="str">
        <x:v>功能状态</x:v>
      </x:c>
      <x:c r="F199" s="98" t="n">
        <x:v>1</x:v>
      </x:c>
      <x:c r="G199" s="68" t="str">
        <x:v>是</x:v>
      </x:c>
      <x:c r="H199" s="68" t="str"/>
    </x:row>
    <x:row r="200">
      <x:c r="A200" s="68" t="str">
        <x:v>十神功能状态</x:v>
      </x:c>
      <x:c r="B200" s="68" t="str">
        <x:v>SGF02</x:v>
      </x:c>
      <x:c r="C200" s="68" t="str">
        <x:v>受限</x:v>
      </x:c>
      <x:c r="D200" s="68" t="str">
        <x:v>十神功能状态的标准选项：受限。具体成立条件由对应模块规则定义。</x:v>
      </x:c>
      <x:c r="E200" s="68" t="str">
        <x:v>功能状态</x:v>
      </x:c>
      <x:c r="F200" s="98" t="n">
        <x:v>2</x:v>
      </x:c>
      <x:c r="G200" s="68" t="str">
        <x:v>是</x:v>
      </x:c>
      <x:c r="H200" s="68" t="str"/>
    </x:row>
    <x:row r="201">
      <x:c r="A201" s="68" t="str">
        <x:v>十神功能状态</x:v>
      </x:c>
      <x:c r="B201" s="68" t="str">
        <x:v>SGF03</x:v>
      </x:c>
      <x:c r="C201" s="68" t="str">
        <x:v>转化</x:v>
      </x:c>
      <x:c r="D201" s="68" t="str">
        <x:v>十神功能状态的标准选项：转化。具体成立条件由对应模块规则定义。</x:v>
      </x:c>
      <x:c r="E201" s="68" t="str">
        <x:v>功能状态</x:v>
      </x:c>
      <x:c r="F201" s="98" t="n">
        <x:v>3</x:v>
      </x:c>
      <x:c r="G201" s="68" t="str">
        <x:v>是</x:v>
      </x:c>
      <x:c r="H201" s="68" t="str"/>
    </x:row>
    <x:row r="202">
      <x:c r="A202" s="68" t="str">
        <x:v>十神功能状态</x:v>
      </x:c>
      <x:c r="B202" s="68" t="str">
        <x:v>SGF04</x:v>
      </x:c>
      <x:c r="C202" s="68" t="str">
        <x:v>失效</x:v>
      </x:c>
      <x:c r="D202" s="68" t="str">
        <x:v>十神功能状态的标准选项：失效。具体成立条件由对应模块规则定义。</x:v>
      </x:c>
      <x:c r="E202" s="68" t="str">
        <x:v>功能状态</x:v>
      </x:c>
      <x:c r="F202" s="98" t="n">
        <x:v>4</x:v>
      </x:c>
      <x:c r="G202" s="68" t="str">
        <x:v>是</x:v>
      </x:c>
      <x:c r="H202" s="68" t="str"/>
    </x:row>
    <x:row r="203">
      <x:c r="A203" s="68" t="str">
        <x:v>十神功能状态</x:v>
      </x:c>
      <x:c r="B203" s="68" t="str">
        <x:v>SGF05</x:v>
      </x:c>
      <x:c r="C203" s="68" t="str">
        <x:v>过度</x:v>
      </x:c>
      <x:c r="D203" s="68" t="str">
        <x:v>十神功能状态的标准选项：过度。具体成立条件由对应模块规则定义。</x:v>
      </x:c>
      <x:c r="E203" s="68" t="str">
        <x:v>功能状态</x:v>
      </x:c>
      <x:c r="F203" s="98" t="n">
        <x:v>5</x:v>
      </x:c>
      <x:c r="G203" s="68" t="str">
        <x:v>是</x:v>
      </x:c>
      <x:c r="H203" s="68" t="str"/>
    </x:row>
    <x:row r="204">
      <x:c r="A204" s="68" t="str">
        <x:v>十神功能状态</x:v>
      </x:c>
      <x:c r="B204" s="68" t="str">
        <x:v>SGF06</x:v>
      </x:c>
      <x:c r="C204" s="68" t="str">
        <x:v>制化平衡</x:v>
      </x:c>
      <x:c r="D204" s="68" t="str">
        <x:v>十神功能状态的标准选项：制化平衡。具体成立条件由对应模块规则定义。</x:v>
      </x:c>
      <x:c r="E204" s="68" t="str">
        <x:v>功能状态</x:v>
      </x:c>
      <x:c r="F204" s="98" t="n">
        <x:v>6</x:v>
      </x:c>
      <x:c r="G204" s="68" t="str">
        <x:v>是</x:v>
      </x:c>
      <x:c r="H204" s="68" t="str"/>
    </x:row>
    <x:row r="205">
      <x:c r="A205" s="68" t="str">
        <x:v>十神功能状态</x:v>
      </x:c>
      <x:c r="B205" s="68" t="str">
        <x:v>SGF07</x:v>
      </x:c>
      <x:c r="C205" s="68" t="str">
        <x:v>制化失衡</x:v>
      </x:c>
      <x:c r="D205" s="68" t="str">
        <x:v>十神功能状态的标准选项：制化失衡。具体成立条件由对应模块规则定义。</x:v>
      </x:c>
      <x:c r="E205" s="68" t="str">
        <x:v>功能状态</x:v>
      </x:c>
      <x:c r="F205" s="98" t="n">
        <x:v>7</x:v>
      </x:c>
      <x:c r="G205" s="68" t="str">
        <x:v>是</x:v>
      </x:c>
      <x:c r="H205" s="68" t="str"/>
    </x:row>
    <x:row r="206">
      <x:c r="A206" s="68" t="str">
        <x:v>十神功能状态</x:v>
      </x:c>
      <x:c r="B206" s="68" t="str">
        <x:v>SGF08</x:v>
      </x:c>
      <x:c r="C206" s="68" t="str">
        <x:v>待定</x:v>
      </x:c>
      <x:c r="D206" s="68" t="str">
        <x:v>十神功能状态的标准选项：待定。具体成立条件由对应模块规则定义。</x:v>
      </x:c>
      <x:c r="E206" s="68" t="str">
        <x:v>功能状态</x:v>
      </x:c>
      <x:c r="F206" s="98" t="n">
        <x:v>8</x:v>
      </x:c>
      <x:c r="G206" s="68" t="str">
        <x:v>是</x:v>
      </x:c>
      <x:c r="H206" s="68" t="str"/>
    </x:row>
    <x:row r="207">
      <x:c r="A207" s="68" t="str">
        <x:v>喜忌定位</x:v>
      </x:c>
      <x:c r="B207" s="68" t="str">
        <x:v>YJ01</x:v>
      </x:c>
      <x:c r="C207" s="68" t="str">
        <x:v>主用神</x:v>
      </x:c>
      <x:c r="D207" s="68" t="str">
        <x:v>直接解决全局首要矛盾，且副作用可控的第一顺位五行或十神。</x:v>
      </x:c>
      <x:c r="E207" s="68" t="str">
        <x:v>喜忌候选、综合定位</x:v>
      </x:c>
      <x:c r="F207" s="98" t="n">
        <x:v>1</x:v>
      </x:c>
      <x:c r="G207" s="68" t="str">
        <x:v>是</x:v>
      </x:c>
      <x:c r="H207" s="68" t="str"/>
    </x:row>
    <x:row r="208">
      <x:c r="A208" s="68" t="str">
        <x:v>喜忌定位</x:v>
      </x:c>
      <x:c r="B208" s="68" t="str">
        <x:v>YJ02</x:v>
      </x:c>
      <x:c r="C208" s="68" t="str">
        <x:v>辅助用神</x:v>
      </x:c>
      <x:c r="D208" s="68" t="str">
        <x:v>协助主用完成制化、承载、通关或护格的次级用神。</x:v>
      </x:c>
      <x:c r="E208" s="68" t="str">
        <x:v>喜忌候选、综合定位</x:v>
      </x:c>
      <x:c r="F208" s="98" t="n">
        <x:v>2</x:v>
      </x:c>
      <x:c r="G208" s="68" t="str">
        <x:v>是</x:v>
      </x:c>
      <x:c r="H208" s="68" t="str"/>
    </x:row>
    <x:row r="209">
      <x:c r="A209" s="68" t="str">
        <x:v>喜忌定位</x:v>
      </x:c>
      <x:c r="B209" s="68" t="str">
        <x:v>YJ03</x:v>
      </x:c>
      <x:c r="C209" s="68" t="str">
        <x:v>喜神</x:v>
      </x:c>
      <x:c r="D209" s="68" t="str">
        <x:v>总体有利但不直接承担首要治病或成格功能。</x:v>
      </x:c>
      <x:c r="E209" s="68" t="str">
        <x:v>喜忌候选、综合定位</x:v>
      </x:c>
      <x:c r="F209" s="98" t="n">
        <x:v>3</x:v>
      </x:c>
      <x:c r="G209" s="68" t="str">
        <x:v>是</x:v>
      </x:c>
      <x:c r="H209" s="68" t="str"/>
    </x:row>
    <x:row r="210">
      <x:c r="A210" s="68" t="str">
        <x:v>喜忌定位</x:v>
      </x:c>
      <x:c r="B210" s="68" t="str">
        <x:v>YJ04</x:v>
      </x:c>
      <x:c r="C210" s="68" t="str">
        <x:v>条件性喜神</x:v>
      </x:c>
      <x:c r="D210" s="68" t="str">
        <x:v>只在明确条件满足时有利，条件不满足可能转为中性或忌。</x:v>
      </x:c>
      <x:c r="E210" s="68" t="str">
        <x:v>喜忌候选、综合定位</x:v>
      </x:c>
      <x:c r="F210" s="98" t="n">
        <x:v>4</x:v>
      </x:c>
      <x:c r="G210" s="68" t="str">
        <x:v>是</x:v>
      </x:c>
      <x:c r="H210" s="68" t="str"/>
    </x:row>
    <x:row r="211">
      <x:c r="A211" s="68" t="str">
        <x:v>喜忌定位</x:v>
      </x:c>
      <x:c r="B211" s="68" t="str">
        <x:v>YJ05</x:v>
      </x:c>
      <x:c r="C211" s="68" t="str">
        <x:v>中性</x:v>
      </x:c>
      <x:c r="D211" s="68" t="str">
        <x:v>对全局主要矛盾影响有限，或正负作用大致相抵。</x:v>
      </x:c>
      <x:c r="E211" s="68" t="str">
        <x:v>喜忌候选、综合定位</x:v>
      </x:c>
      <x:c r="F211" s="98" t="n">
        <x:v>5</x:v>
      </x:c>
      <x:c r="G211" s="68" t="str">
        <x:v>是</x:v>
      </x:c>
      <x:c r="H211" s="68" t="str"/>
    </x:row>
    <x:row r="212">
      <x:c r="A212" s="68" t="str">
        <x:v>喜忌定位</x:v>
      </x:c>
      <x:c r="B212" s="68" t="str">
        <x:v>YJ06</x:v>
      </x:c>
      <x:c r="C212" s="68" t="str">
        <x:v>条件性忌神</x:v>
      </x:c>
      <x:c r="D212" s="68" t="str">
        <x:v>在某些结构或强度下造成问题，非无条件为忌。</x:v>
      </x:c>
      <x:c r="E212" s="68" t="str">
        <x:v>喜忌候选、综合定位</x:v>
      </x:c>
      <x:c r="F212" s="98" t="n">
        <x:v>6</x:v>
      </x:c>
      <x:c r="G212" s="68" t="str">
        <x:v>是</x:v>
      </x:c>
      <x:c r="H212" s="68" t="str"/>
    </x:row>
    <x:row r="213">
      <x:c r="A213" s="68" t="str">
        <x:v>喜忌定位</x:v>
      </x:c>
      <x:c r="B213" s="68" t="str">
        <x:v>YJ07</x:v>
      </x:c>
      <x:c r="C213" s="68" t="str">
        <x:v>忌神</x:v>
      </x:c>
      <x:c r="D213" s="68" t="str">
        <x:v>明显强化原局之病、破坏格局或加重失衡。</x:v>
      </x:c>
      <x:c r="E213" s="68" t="str">
        <x:v>喜忌候选、综合定位</x:v>
      </x:c>
      <x:c r="F213" s="98" t="n">
        <x:v>7</x:v>
      </x:c>
      <x:c r="G213" s="68" t="str">
        <x:v>是</x:v>
      </x:c>
      <x:c r="H213" s="68" t="str"/>
    </x:row>
    <x:row r="214">
      <x:c r="A214" s="68" t="str">
        <x:v>喜忌定位</x:v>
      </x:c>
      <x:c r="B214" s="68" t="str">
        <x:v>YJ08</x:v>
      </x:c>
      <x:c r="C214" s="68" t="str">
        <x:v>仇神</x:v>
      </x:c>
      <x:c r="D214" s="68" t="str">
        <x:v>生助忌神、克制用神或破坏救应的间接不利力量。</x:v>
      </x:c>
      <x:c r="E214" s="68" t="str">
        <x:v>喜忌候选、综合定位</x:v>
      </x:c>
      <x:c r="F214" s="98" t="n">
        <x:v>8</x:v>
      </x:c>
      <x:c r="G214" s="68" t="str">
        <x:v>是</x:v>
      </x:c>
      <x:c r="H214" s="68" t="str"/>
    </x:row>
    <x:row r="215">
      <x:c r="A215" s="68" t="str">
        <x:v>喜忌定位</x:v>
      </x:c>
      <x:c r="B215" s="68" t="str">
        <x:v>YJ09</x:v>
      </x:c>
      <x:c r="C215" s="68" t="str">
        <x:v>待定</x:v>
      </x:c>
      <x:c r="D215" s="68" t="str">
        <x:v>喜忌定位的标准选项：待定。具体成立条件由对应模块规则定义。</x:v>
      </x:c>
      <x:c r="E215" s="68" t="str">
        <x:v>喜忌候选、综合定位</x:v>
      </x:c>
      <x:c r="F215" s="98" t="n">
        <x:v>9</x:v>
      </x:c>
      <x:c r="G215" s="68" t="str">
        <x:v>是</x:v>
      </x:c>
      <x:c r="H215" s="68" t="str"/>
    </x:row>
    <x:row r="216">
      <x:c r="A216" s="68" t="str">
        <x:v>格局类别</x:v>
      </x:c>
      <x:c r="B216" s="68" t="str">
        <x:v>GCT01</x:v>
      </x:c>
      <x:c r="C216" s="68" t="str">
        <x:v>普通格局</x:v>
      </x:c>
      <x:c r="D216" s="68" t="str">
        <x:v>格局类别的标准选项：普通格局。具体成立条件由对应模块规则定义。</x:v>
      </x:c>
      <x:c r="E216" s="68" t="str">
        <x:v>格局类别</x:v>
      </x:c>
      <x:c r="F216" s="98" t="n">
        <x:v>1</x:v>
      </x:c>
      <x:c r="G216" s="68" t="str">
        <x:v>是</x:v>
      </x:c>
      <x:c r="H216" s="68" t="str"/>
    </x:row>
    <x:row r="217">
      <x:c r="A217" s="68" t="str">
        <x:v>格局类别</x:v>
      </x:c>
      <x:c r="B217" s="68" t="str">
        <x:v>GCT02</x:v>
      </x:c>
      <x:c r="C217" s="68" t="str">
        <x:v>建禄羊刃</x:v>
      </x:c>
      <x:c r="D217" s="68" t="str">
        <x:v>格局类别的标准选项：建禄羊刃。具体成立条件由对应模块规则定义。</x:v>
      </x:c>
      <x:c r="E217" s="68" t="str">
        <x:v>格局类别</x:v>
      </x:c>
      <x:c r="F217" s="98" t="n">
        <x:v>2</x:v>
      </x:c>
      <x:c r="G217" s="68" t="str">
        <x:v>是</x:v>
      </x:c>
      <x:c r="H217" s="68" t="str"/>
    </x:row>
    <x:row r="218">
      <x:c r="A218" s="68" t="str">
        <x:v>格局类别</x:v>
      </x:c>
      <x:c r="B218" s="68" t="str">
        <x:v>GCT03</x:v>
      </x:c>
      <x:c r="C218" s="68" t="str">
        <x:v>特殊格局</x:v>
      </x:c>
      <x:c r="D218" s="68" t="str">
        <x:v>格局类别的标准选项：特殊格局。具体成立条件由对应模块规则定义。</x:v>
      </x:c>
      <x:c r="E218" s="68" t="str">
        <x:v>格局类别</x:v>
      </x:c>
      <x:c r="F218" s="98" t="n">
        <x:v>3</x:v>
      </x:c>
      <x:c r="G218" s="68" t="str">
        <x:v>是</x:v>
      </x:c>
      <x:c r="H218" s="68" t="str"/>
    </x:row>
    <x:row r="219">
      <x:c r="A219" s="68" t="str">
        <x:v>格局类别</x:v>
      </x:c>
      <x:c r="B219" s="68" t="str">
        <x:v>GCT04</x:v>
      </x:c>
      <x:c r="C219" s="68" t="str">
        <x:v>从格</x:v>
      </x:c>
      <x:c r="D219" s="68" t="str">
        <x:v>格局类别的标准选项：从格。具体成立条件由对应模块规则定义。</x:v>
      </x:c>
      <x:c r="E219" s="68" t="str">
        <x:v>格局类别</x:v>
      </x:c>
      <x:c r="F219" s="98" t="n">
        <x:v>4</x:v>
      </x:c>
      <x:c r="G219" s="68" t="str">
        <x:v>是</x:v>
      </x:c>
      <x:c r="H219" s="68" t="str"/>
    </x:row>
    <x:row r="220">
      <x:c r="A220" s="68" t="str">
        <x:v>格局类别</x:v>
      </x:c>
      <x:c r="B220" s="68" t="str">
        <x:v>GCT05</x:v>
      </x:c>
      <x:c r="C220" s="68" t="str">
        <x:v>化气格</x:v>
      </x:c>
      <x:c r="D220" s="68" t="str">
        <x:v>格局类别的标准选项：化气格。具体成立条件由对应模块规则定义。</x:v>
      </x:c>
      <x:c r="E220" s="68" t="str">
        <x:v>格局类别</x:v>
      </x:c>
      <x:c r="F220" s="98" t="n">
        <x:v>5</x:v>
      </x:c>
      <x:c r="G220" s="68" t="str">
        <x:v>是</x:v>
      </x:c>
      <x:c r="H220" s="68" t="str"/>
    </x:row>
    <x:row r="221">
      <x:c r="A221" s="68" t="str">
        <x:v>格局类别</x:v>
      </x:c>
      <x:c r="B221" s="68" t="str">
        <x:v>GCT06</x:v>
      </x:c>
      <x:c r="C221" s="68" t="str">
        <x:v>专旺候选</x:v>
      </x:c>
      <x:c r="D221" s="68" t="str">
        <x:v>格局类别的标准选项：专旺候选。具体成立条件由对应模块规则定义。</x:v>
      </x:c>
      <x:c r="E221" s="68" t="str">
        <x:v>格局类别</x:v>
      </x:c>
      <x:c r="F221" s="98" t="n">
        <x:v>6</x:v>
      </x:c>
      <x:c r="G221" s="68" t="str">
        <x:v>是</x:v>
      </x:c>
      <x:c r="H221" s="68" t="str"/>
    </x:row>
    <x:row r="222">
      <x:c r="A222" s="68" t="str">
        <x:v>格局类别</x:v>
      </x:c>
      <x:c r="B222" s="68" t="str">
        <x:v>GCT07</x:v>
      </x:c>
      <x:c r="C222" s="68" t="str">
        <x:v>其他</x:v>
      </x:c>
      <x:c r="D222" s="68" t="str">
        <x:v>格局类别的标准选项：其他。具体成立条件由对应模块规则定义。</x:v>
      </x:c>
      <x:c r="E222" s="68" t="str">
        <x:v>格局类别</x:v>
      </x:c>
      <x:c r="F222" s="98" t="n">
        <x:v>7</x:v>
      </x:c>
      <x:c r="G222" s="68" t="str">
        <x:v>是</x:v>
      </x:c>
      <x:c r="H222" s="68" t="str"/>
    </x:row>
    <x:row r="223">
      <x:c r="A223" s="68" t="str">
        <x:v>格局状态</x:v>
      </x:c>
      <x:c r="B223" s="68" t="str">
        <x:v>GST01</x:v>
      </x:c>
      <x:c r="C223" s="68" t="str">
        <x:v>不成立</x:v>
      </x:c>
      <x:c r="D223" s="68" t="str">
        <x:v>候选缺少必要条件或存在明确否决条件。</x:v>
      </x:c>
      <x:c r="E223" s="68" t="str">
        <x:v>候选状态、格局状态</x:v>
      </x:c>
      <x:c r="F223" s="98" t="n">
        <x:v>1</x:v>
      </x:c>
      <x:c r="G223" s="68" t="str">
        <x:v>是</x:v>
      </x:c>
      <x:c r="H223" s="68" t="str"/>
    </x:row>
    <x:row r="224">
      <x:c r="A224" s="68" t="str">
        <x:v>格局状态</x:v>
      </x:c>
      <x:c r="B224" s="68" t="str">
        <x:v>GST02</x:v>
      </x:c>
      <x:c r="C224" s="68" t="str">
        <x:v>候选</x:v>
      </x:c>
      <x:c r="D224" s="68" t="str">
        <x:v>具备初步依据，尚未完成成败、破格和救应检验。</x:v>
      </x:c>
      <x:c r="E224" s="68" t="str">
        <x:v>候选状态、格局状态</x:v>
      </x:c>
      <x:c r="F224" s="98" t="n">
        <x:v>2</x:v>
      </x:c>
      <x:c r="G224" s="68" t="str">
        <x:v>是</x:v>
      </x:c>
      <x:c r="H224" s="68" t="str"/>
    </x:row>
    <x:row r="225">
      <x:c r="A225" s="68" t="str">
        <x:v>格局状态</x:v>
      </x:c>
      <x:c r="B225" s="68" t="str">
        <x:v>GST03</x:v>
      </x:c>
      <x:c r="C225" s="68" t="str">
        <x:v>基本成立</x:v>
      </x:c>
      <x:c r="D225" s="68" t="str">
        <x:v>核心条件满足，但清纯度、稳定性或比例仍有不足。</x:v>
      </x:c>
      <x:c r="E225" s="68" t="str">
        <x:v>候选状态、格局状态</x:v>
      </x:c>
      <x:c r="F225" s="98" t="n">
        <x:v>3</x:v>
      </x:c>
      <x:c r="G225" s="68" t="str">
        <x:v>是</x:v>
      </x:c>
      <x:c r="H225" s="68" t="str"/>
    </x:row>
    <x:row r="226">
      <x:c r="A226" s="68" t="str">
        <x:v>格局状态</x:v>
      </x:c>
      <x:c r="B226" s="68" t="str">
        <x:v>GST04</x:v>
      </x:c>
      <x:c r="C226" s="68" t="str">
        <x:v>成立但有破</x:v>
      </x:c>
      <x:c r="D226" s="68" t="str">
        <x:v>核心格局成立，同时存在未被修复的破格因素。</x:v>
      </x:c>
      <x:c r="E226" s="68" t="str">
        <x:v>候选状态、格局状态</x:v>
      </x:c>
      <x:c r="F226" s="98" t="n">
        <x:v>4</x:v>
      </x:c>
      <x:c r="G226" s="68" t="str">
        <x:v>是</x:v>
      </x:c>
      <x:c r="H226" s="68" t="str"/>
    </x:row>
    <x:row r="227">
      <x:c r="A227" s="68" t="str">
        <x:v>格局状态</x:v>
      </x:c>
      <x:c r="B227" s="68" t="str">
        <x:v>GST05</x:v>
      </x:c>
      <x:c r="C227" s="68" t="str">
        <x:v>有破有救</x:v>
      </x:c>
      <x:c r="D227" s="68" t="str">
        <x:v>存在破格因素，但有实际有效的救应机制。</x:v>
      </x:c>
      <x:c r="E227" s="68" t="str">
        <x:v>候选状态、格局状态</x:v>
      </x:c>
      <x:c r="F227" s="98" t="n">
        <x:v>5</x:v>
      </x:c>
      <x:c r="G227" s="68" t="str">
        <x:v>是</x:v>
      </x:c>
      <x:c r="H227" s="68" t="str"/>
    </x:row>
    <x:row r="228">
      <x:c r="A228" s="68" t="str">
        <x:v>格局状态</x:v>
      </x:c>
      <x:c r="B228" s="68" t="str">
        <x:v>GST06</x:v>
      </x:c>
      <x:c r="C228" s="68" t="str">
        <x:v>清纯成立</x:v>
      </x:c>
      <x:c r="D228" s="68" t="str">
        <x:v>核心条件完整，杂乱与破坏较少，运行相对稳定。</x:v>
      </x:c>
      <x:c r="E228" s="68" t="str">
        <x:v>候选状态、格局状态</x:v>
      </x:c>
      <x:c r="F228" s="98" t="n">
        <x:v>6</x:v>
      </x:c>
      <x:c r="G228" s="68" t="str">
        <x:v>是</x:v>
      </x:c>
      <x:c r="H228" s="68" t="str"/>
    </x:row>
    <x:row r="229">
      <x:c r="A229" s="68" t="str">
        <x:v>格局状态</x:v>
      </x:c>
      <x:c r="B229" s="68" t="str">
        <x:v>GST07</x:v>
      </x:c>
      <x:c r="C229" s="68" t="str">
        <x:v>特殊格局严格成立</x:v>
      </x:c>
      <x:c r="D229" s="68" t="str">
        <x:v>从格、化气格等全部关键硬条件成立，普通扶抑需让位。</x:v>
      </x:c>
      <x:c r="E229" s="68" t="str">
        <x:v>候选状态、格局状态</x:v>
      </x:c>
      <x:c r="F229" s="98" t="n">
        <x:v>7</x:v>
      </x:c>
      <x:c r="G229" s="68" t="str">
        <x:v>是</x:v>
      </x:c>
      <x:c r="H229" s="68" t="str"/>
    </x:row>
    <x:row r="230">
      <x:c r="A230" s="68" t="str">
        <x:v>格局状态</x:v>
      </x:c>
      <x:c r="B230" s="68" t="str">
        <x:v>GST08</x:v>
      </x:c>
      <x:c r="C230" s="68" t="str">
        <x:v>待定</x:v>
      </x:c>
      <x:c r="D230" s="68" t="str">
        <x:v>格局状态的标准选项：待定。具体成立条件由对应模块规则定义。</x:v>
      </x:c>
      <x:c r="E230" s="68" t="str">
        <x:v>候选状态、格局状态</x:v>
      </x:c>
      <x:c r="F230" s="98" t="n">
        <x:v>8</x:v>
      </x:c>
      <x:c r="G230" s="68" t="str">
        <x:v>是</x:v>
      </x:c>
      <x:c r="H230" s="68" t="str"/>
    </x:row>
    <x:row r="231">
      <x:c r="A231" s="68" t="str">
        <x:v>清纯程度</x:v>
      </x:c>
      <x:c r="B231" s="68" t="str">
        <x:v>CLR01</x:v>
      </x:c>
      <x:c r="C231" s="68" t="str">
        <x:v>清纯</x:v>
      </x:c>
      <x:c r="D231" s="68" t="str">
        <x:v>清纯程度的标准选项：清纯。具体成立条件由对应模块规则定义。</x:v>
      </x:c>
      <x:c r="E231" s="68" t="str">
        <x:v>主气清纯度、清纯程度</x:v>
      </x:c>
      <x:c r="F231" s="98" t="n">
        <x:v>1</x:v>
      </x:c>
      <x:c r="G231" s="68" t="str">
        <x:v>是</x:v>
      </x:c>
      <x:c r="H231" s="68" t="str"/>
    </x:row>
    <x:row r="232">
      <x:c r="A232" s="68" t="str">
        <x:v>清纯程度</x:v>
      </x:c>
      <x:c r="B232" s="68" t="str">
        <x:v>CLR02</x:v>
      </x:c>
      <x:c r="C232" s="68" t="str">
        <x:v>较清</x:v>
      </x:c>
      <x:c r="D232" s="68" t="str">
        <x:v>清纯程度的标准选项：较清。具体成立条件由对应模块规则定义。</x:v>
      </x:c>
      <x:c r="E232" s="68" t="str">
        <x:v>主气清纯度、清纯程度</x:v>
      </x:c>
      <x:c r="F232" s="98" t="n">
        <x:v>2</x:v>
      </x:c>
      <x:c r="G232" s="68" t="str">
        <x:v>是</x:v>
      </x:c>
      <x:c r="H232" s="68" t="str"/>
    </x:row>
    <x:row r="233">
      <x:c r="A233" s="68" t="str">
        <x:v>清纯程度</x:v>
      </x:c>
      <x:c r="B233" s="68" t="str">
        <x:v>CLR03</x:v>
      </x:c>
      <x:c r="C233" s="68" t="str">
        <x:v>有杂</x:v>
      </x:c>
      <x:c r="D233" s="68" t="str">
        <x:v>清纯程度的标准选项：有杂。具体成立条件由对应模块规则定义。</x:v>
      </x:c>
      <x:c r="E233" s="68" t="str">
        <x:v>主气清纯度、清纯程度</x:v>
      </x:c>
      <x:c r="F233" s="98" t="n">
        <x:v>3</x:v>
      </x:c>
      <x:c r="G233" s="68" t="str">
        <x:v>是</x:v>
      </x:c>
      <x:c r="H233" s="68" t="str"/>
    </x:row>
    <x:row r="234">
      <x:c r="A234" s="68" t="str">
        <x:v>清纯程度</x:v>
      </x:c>
      <x:c r="B234" s="68" t="str">
        <x:v>CLR04</x:v>
      </x:c>
      <x:c r="C234" s="68" t="str">
        <x:v>混杂</x:v>
      </x:c>
      <x:c r="D234" s="68" t="str">
        <x:v>清纯程度的标准选项：混杂。具体成立条件由对应模块规则定义。</x:v>
      </x:c>
      <x:c r="E234" s="68" t="str">
        <x:v>主气清纯度、清纯程度</x:v>
      </x:c>
      <x:c r="F234" s="98" t="n">
        <x:v>4</x:v>
      </x:c>
      <x:c r="G234" s="68" t="str">
        <x:v>是</x:v>
      </x:c>
      <x:c r="H234" s="68" t="str"/>
    </x:row>
    <x:row r="235">
      <x:c r="A235" s="68" t="str">
        <x:v>清纯程度</x:v>
      </x:c>
      <x:c r="B235" s="68" t="str">
        <x:v>CLR05</x:v>
      </x:c>
      <x:c r="C235" s="68" t="str">
        <x:v>严重混杂</x:v>
      </x:c>
      <x:c r="D235" s="68" t="str">
        <x:v>清纯程度的标准选项：严重混杂。具体成立条件由对应模块规则定义。</x:v>
      </x:c>
      <x:c r="E235" s="68" t="str">
        <x:v>主气清纯度、清纯程度</x:v>
      </x:c>
      <x:c r="F235" s="98" t="n">
        <x:v>5</x:v>
      </x:c>
      <x:c r="G235" s="68" t="str">
        <x:v>是</x:v>
      </x:c>
      <x:c r="H235" s="68" t="str"/>
    </x:row>
    <x:row r="236">
      <x:c r="A236" s="68" t="str">
        <x:v>清纯程度</x:v>
      </x:c>
      <x:c r="B236" s="68" t="str">
        <x:v>CLR06</x:v>
      </x:c>
      <x:c r="C236" s="68" t="str">
        <x:v>待定</x:v>
      </x:c>
      <x:c r="D236" s="68" t="str">
        <x:v>清纯程度的标准选项：待定。具体成立条件由对应模块规则定义。</x:v>
      </x:c>
      <x:c r="E236" s="68" t="str">
        <x:v>主气清纯度、清纯程度</x:v>
      </x:c>
      <x:c r="F236" s="98" t="n">
        <x:v>6</x:v>
      </x:c>
      <x:c r="G236" s="68" t="str">
        <x:v>是</x:v>
      </x:c>
      <x:c r="H236" s="68" t="str"/>
    </x:row>
    <x:row r="237">
      <x:c r="A237" s="68" t="str">
        <x:v>破格等级</x:v>
      </x:c>
      <x:c r="B237" s="68" t="str">
        <x:v>BRK01</x:v>
      </x:c>
      <x:c r="C237" s="68" t="str">
        <x:v>无破</x:v>
      </x:c>
      <x:c r="D237" s="68" t="str">
        <x:v>破格等级的标准选项：无破。具体成立条件由对应模块规则定义。</x:v>
      </x:c>
      <x:c r="E237" s="68" t="str">
        <x:v>破格等级</x:v>
      </x:c>
      <x:c r="F237" s="98" t="n">
        <x:v>1</x:v>
      </x:c>
      <x:c r="G237" s="68" t="str">
        <x:v>是</x:v>
      </x:c>
      <x:c r="H237" s="68" t="str"/>
    </x:row>
    <x:row r="238">
      <x:c r="A238" s="68" t="str">
        <x:v>破格等级</x:v>
      </x:c>
      <x:c r="B238" s="68" t="str">
        <x:v>BRK02</x:v>
      </x:c>
      <x:c r="C238" s="68" t="str">
        <x:v>轻微</x:v>
      </x:c>
      <x:c r="D238" s="68" t="str">
        <x:v>破格等级的标准选项：轻微。具体成立条件由对应模块规则定义。</x:v>
      </x:c>
      <x:c r="E238" s="68" t="str">
        <x:v>破格等级</x:v>
      </x:c>
      <x:c r="F238" s="98" t="n">
        <x:v>2</x:v>
      </x:c>
      <x:c r="G238" s="68" t="str">
        <x:v>是</x:v>
      </x:c>
      <x:c r="H238" s="68" t="str"/>
    </x:row>
    <x:row r="239">
      <x:c r="A239" s="68" t="str">
        <x:v>破格等级</x:v>
      </x:c>
      <x:c r="B239" s="68" t="str">
        <x:v>BRK03</x:v>
      </x:c>
      <x:c r="C239" s="68" t="str">
        <x:v>一般</x:v>
      </x:c>
      <x:c r="D239" s="68" t="str">
        <x:v>破格等级的标准选项：一般。具体成立条件由对应模块规则定义。</x:v>
      </x:c>
      <x:c r="E239" s="68" t="str">
        <x:v>破格等级</x:v>
      </x:c>
      <x:c r="F239" s="98" t="n">
        <x:v>3</x:v>
      </x:c>
      <x:c r="G239" s="68" t="str">
        <x:v>是</x:v>
      </x:c>
      <x:c r="H239" s="68" t="str"/>
    </x:row>
    <x:row r="240">
      <x:c r="A240" s="68" t="str">
        <x:v>破格等级</x:v>
      </x:c>
      <x:c r="B240" s="68" t="str">
        <x:v>BRK04</x:v>
      </x:c>
      <x:c r="C240" s="68" t="str">
        <x:v>严重</x:v>
      </x:c>
      <x:c r="D240" s="68" t="str">
        <x:v>破格等级的标准选项：严重。具体成立条件由对应模块规则定义。</x:v>
      </x:c>
      <x:c r="E240" s="68" t="str">
        <x:v>破格等级</x:v>
      </x:c>
      <x:c r="F240" s="98" t="n">
        <x:v>4</x:v>
      </x:c>
      <x:c r="G240" s="68" t="str">
        <x:v>是</x:v>
      </x:c>
      <x:c r="H240" s="68" t="str"/>
    </x:row>
    <x:row r="241">
      <x:c r="A241" s="68" t="str">
        <x:v>破格等级</x:v>
      </x:c>
      <x:c r="B241" s="68" t="str">
        <x:v>BRK05</x:v>
      </x:c>
      <x:c r="C241" s="68" t="str">
        <x:v>根本破格</x:v>
      </x:c>
      <x:c r="D241" s="68" t="str">
        <x:v>破格等级的标准选项：根本破格。具体成立条件由对应模块规则定义。</x:v>
      </x:c>
      <x:c r="E241" s="68" t="str">
        <x:v>破格等级</x:v>
      </x:c>
      <x:c r="F241" s="98" t="n">
        <x:v>5</x:v>
      </x:c>
      <x:c r="G241" s="68" t="str">
        <x:v>是</x:v>
      </x:c>
      <x:c r="H241" s="68" t="str"/>
    </x:row>
    <x:row r="242">
      <x:c r="A242" s="68" t="str">
        <x:v>破格等级</x:v>
      </x:c>
      <x:c r="B242" s="68" t="str">
        <x:v>BRK06</x:v>
      </x:c>
      <x:c r="C242" s="68" t="str">
        <x:v>待定</x:v>
      </x:c>
      <x:c r="D242" s="68" t="str">
        <x:v>破格等级的标准选项：待定。具体成立条件由对应模块规则定义。</x:v>
      </x:c>
      <x:c r="E242" s="68" t="str">
        <x:v>破格等级</x:v>
      </x:c>
      <x:c r="F242" s="98" t="n">
        <x:v>6</x:v>
      </x:c>
      <x:c r="G242" s="68" t="str">
        <x:v>是</x:v>
      </x:c>
      <x:c r="H242" s="68" t="str"/>
    </x:row>
    <x:row r="243">
      <x:c r="A243" s="68" t="str">
        <x:v>救应有效性</x:v>
      </x:c>
      <x:c r="B243" s="68" t="str">
        <x:v>RES01</x:v>
      </x:c>
      <x:c r="C243" s="68" t="str">
        <x:v>无救应</x:v>
      </x:c>
      <x:c r="D243" s="68" t="str">
        <x:v>救应有效性的标准选项：无救应。具体成立条件由对应模块规则定义。</x:v>
      </x:c>
      <x:c r="E243" s="68" t="str">
        <x:v>救应有效性</x:v>
      </x:c>
      <x:c r="F243" s="98" t="n">
        <x:v>1</x:v>
      </x:c>
      <x:c r="G243" s="68" t="str">
        <x:v>是</x:v>
      </x:c>
      <x:c r="H243" s="68" t="str"/>
    </x:row>
    <x:row r="244">
      <x:c r="A244" s="68" t="str">
        <x:v>救应有效性</x:v>
      </x:c>
      <x:c r="B244" s="68" t="str">
        <x:v>RES02</x:v>
      </x:c>
      <x:c r="C244" s="68" t="str">
        <x:v>弱救应</x:v>
      </x:c>
      <x:c r="D244" s="68" t="str">
        <x:v>救应有效性的标准选项：弱救应。具体成立条件由对应模块规则定义。</x:v>
      </x:c>
      <x:c r="E244" s="68" t="str">
        <x:v>救应有效性</x:v>
      </x:c>
      <x:c r="F244" s="98" t="n">
        <x:v>2</x:v>
      </x:c>
      <x:c r="G244" s="68" t="str">
        <x:v>是</x:v>
      </x:c>
      <x:c r="H244" s="68" t="str"/>
    </x:row>
    <x:row r="245">
      <x:c r="A245" s="68" t="str">
        <x:v>救应有效性</x:v>
      </x:c>
      <x:c r="B245" s="68" t="str">
        <x:v>RES03</x:v>
      </x:c>
      <x:c r="C245" s="68" t="str">
        <x:v>部分有效</x:v>
      </x:c>
      <x:c r="D245" s="68" t="str">
        <x:v>救应有效性的标准选项：部分有效。具体成立条件由对应模块规则定义。</x:v>
      </x:c>
      <x:c r="E245" s="68" t="str">
        <x:v>救应有效性</x:v>
      </x:c>
      <x:c r="F245" s="98" t="n">
        <x:v>3</x:v>
      </x:c>
      <x:c r="G245" s="68" t="str">
        <x:v>是</x:v>
      </x:c>
      <x:c r="H245" s="68" t="str"/>
    </x:row>
    <x:row r="246">
      <x:c r="A246" s="68" t="str">
        <x:v>救应有效性</x:v>
      </x:c>
      <x:c r="B246" s="68" t="str">
        <x:v>RES04</x:v>
      </x:c>
      <x:c r="C246" s="68" t="str">
        <x:v>明显有效</x:v>
      </x:c>
      <x:c r="D246" s="68" t="str">
        <x:v>救应有效性的标准选项：明显有效。具体成立条件由对应模块规则定义。</x:v>
      </x:c>
      <x:c r="E246" s="68" t="str">
        <x:v>救应有效性</x:v>
      </x:c>
      <x:c r="F246" s="98" t="n">
        <x:v>4</x:v>
      </x:c>
      <x:c r="G246" s="68" t="str">
        <x:v>是</x:v>
      </x:c>
      <x:c r="H246" s="68" t="str"/>
    </x:row>
    <x:row r="247">
      <x:c r="A247" s="68" t="str">
        <x:v>救应有效性</x:v>
      </x:c>
      <x:c r="B247" s="68" t="str">
        <x:v>RES05</x:v>
      </x:c>
      <x:c r="C247" s="68" t="str">
        <x:v>完全救应</x:v>
      </x:c>
      <x:c r="D247" s="68" t="str">
        <x:v>救应有效性的标准选项：完全救应。具体成立条件由对应模块规则定义。</x:v>
      </x:c>
      <x:c r="E247" s="68" t="str">
        <x:v>救应有效性</x:v>
      </x:c>
      <x:c r="F247" s="98" t="n">
        <x:v>5</x:v>
      </x:c>
      <x:c r="G247" s="68" t="str">
        <x:v>是</x:v>
      </x:c>
      <x:c r="H247" s="68" t="str"/>
    </x:row>
    <x:row r="248">
      <x:c r="A248" s="68" t="str">
        <x:v>救应有效性</x:v>
      </x:c>
      <x:c r="B248" s="68" t="str">
        <x:v>RES06</x:v>
      </x:c>
      <x:c r="C248" s="68" t="str">
        <x:v>待定</x:v>
      </x:c>
      <x:c r="D248" s="68" t="str">
        <x:v>救应有效性的标准选项：待定。具体成立条件由对应模块规则定义。</x:v>
      </x:c>
      <x:c r="E248" s="68" t="str">
        <x:v>救应有效性</x:v>
      </x:c>
      <x:c r="F248" s="98" t="n">
        <x:v>6</x:v>
      </x:c>
      <x:c r="G248" s="68" t="str">
        <x:v>是</x:v>
      </x:c>
      <x:c r="H248" s="68" t="str"/>
    </x:row>
    <x:row r="249">
      <x:c r="A249" s="68" t="str">
        <x:v>病类</x:v>
      </x:c>
      <x:c r="B249" s="68" t="str">
        <x:v>DIS01</x:v>
      </x:c>
      <x:c r="C249" s="68" t="str">
        <x:v>旺衰病</x:v>
      </x:c>
      <x:c r="D249" s="68" t="str">
        <x:v>按旺衰、流通、制化、格局、调候或复合机制分类原局主要问题。</x:v>
      </x:c>
      <x:c r="E249" s="68" t="str">
        <x:v>病类</x:v>
      </x:c>
      <x:c r="F249" s="98" t="n">
        <x:v>1</x:v>
      </x:c>
      <x:c r="G249" s="68" t="str">
        <x:v>是</x:v>
      </x:c>
      <x:c r="H249" s="68" t="str"/>
    </x:row>
    <x:row r="250">
      <x:c r="A250" s="68" t="str">
        <x:v>病类</x:v>
      </x:c>
      <x:c r="B250" s="68" t="str">
        <x:v>DIS02</x:v>
      </x:c>
      <x:c r="C250" s="68" t="str">
        <x:v>流通病</x:v>
      </x:c>
      <x:c r="D250" s="68" t="str">
        <x:v>按旺衰、流通、制化、格局、调候或复合机制分类原局主要问题。</x:v>
      </x:c>
      <x:c r="E250" s="68" t="str">
        <x:v>病类</x:v>
      </x:c>
      <x:c r="F250" s="98" t="n">
        <x:v>2</x:v>
      </x:c>
      <x:c r="G250" s="68" t="str">
        <x:v>是</x:v>
      </x:c>
      <x:c r="H250" s="68" t="str"/>
    </x:row>
    <x:row r="251">
      <x:c r="A251" s="68" t="str">
        <x:v>病类</x:v>
      </x:c>
      <x:c r="B251" s="68" t="str">
        <x:v>DIS03</x:v>
      </x:c>
      <x:c r="C251" s="68" t="str">
        <x:v>制化病</x:v>
      </x:c>
      <x:c r="D251" s="68" t="str">
        <x:v>按旺衰、流通、制化、格局、调候或复合机制分类原局主要问题。</x:v>
      </x:c>
      <x:c r="E251" s="68" t="str">
        <x:v>病类</x:v>
      </x:c>
      <x:c r="F251" s="98" t="n">
        <x:v>3</x:v>
      </x:c>
      <x:c r="G251" s="68" t="str">
        <x:v>是</x:v>
      </x:c>
      <x:c r="H251" s="68" t="str"/>
    </x:row>
    <x:row r="252">
      <x:c r="A252" s="68" t="str">
        <x:v>病类</x:v>
      </x:c>
      <x:c r="B252" s="68" t="str">
        <x:v>DIS04</x:v>
      </x:c>
      <x:c r="C252" s="68" t="str">
        <x:v>格局病</x:v>
      </x:c>
      <x:c r="D252" s="68" t="str">
        <x:v>按旺衰、流通、制化、格局、调候或复合机制分类原局主要问题。</x:v>
      </x:c>
      <x:c r="E252" s="68" t="str">
        <x:v>病类</x:v>
      </x:c>
      <x:c r="F252" s="98" t="n">
        <x:v>4</x:v>
      </x:c>
      <x:c r="G252" s="68" t="str">
        <x:v>是</x:v>
      </x:c>
      <x:c r="H252" s="68" t="str"/>
    </x:row>
    <x:row r="253">
      <x:c r="A253" s="68" t="str">
        <x:v>病类</x:v>
      </x:c>
      <x:c r="B253" s="68" t="str">
        <x:v>DIS05</x:v>
      </x:c>
      <x:c r="C253" s="68" t="str">
        <x:v>调候病</x:v>
      </x:c>
      <x:c r="D253" s="68" t="str">
        <x:v>按旺衰、流通、制化、格局、调候或复合机制分类原局主要问题。</x:v>
      </x:c>
      <x:c r="E253" s="68" t="str">
        <x:v>病类</x:v>
      </x:c>
      <x:c r="F253" s="98" t="n">
        <x:v>5</x:v>
      </x:c>
      <x:c r="G253" s="68" t="str">
        <x:v>是</x:v>
      </x:c>
      <x:c r="H253" s="68" t="str"/>
    </x:row>
    <x:row r="254">
      <x:c r="A254" s="68" t="str">
        <x:v>病类</x:v>
      </x:c>
      <x:c r="B254" s="68" t="str">
        <x:v>DIS06</x:v>
      </x:c>
      <x:c r="C254" s="68" t="str">
        <x:v>复合病</x:v>
      </x:c>
      <x:c r="D254" s="68" t="str">
        <x:v>按旺衰、流通、制化、格局、调候或复合机制分类原局主要问题。</x:v>
      </x:c>
      <x:c r="E254" s="68" t="str">
        <x:v>病类</x:v>
      </x:c>
      <x:c r="F254" s="98" t="n">
        <x:v>6</x:v>
      </x:c>
      <x:c r="G254" s="68" t="str">
        <x:v>是</x:v>
      </x:c>
      <x:c r="H254" s="68" t="str"/>
    </x:row>
    <x:row r="255">
      <x:c r="A255" s="68" t="str">
        <x:v>病类</x:v>
      </x:c>
      <x:c r="B255" s="68" t="str">
        <x:v>DIS07</x:v>
      </x:c>
      <x:c r="C255" s="68" t="str">
        <x:v>待定</x:v>
      </x:c>
      <x:c r="D255" s="68" t="str">
        <x:v>按旺衰、流通、制化、格局、调候或复合机制分类原局主要问题。</x:v>
      </x:c>
      <x:c r="E255" s="68" t="str">
        <x:v>病类</x:v>
      </x:c>
      <x:c r="F255" s="98" t="n">
        <x:v>7</x:v>
      </x:c>
      <x:c r="G255" s="68" t="str">
        <x:v>是</x:v>
      </x:c>
      <x:c r="H255" s="68" t="str"/>
    </x:row>
    <x:row r="256">
      <x:c r="A256" s="68" t="str">
        <x:v>严重程度</x:v>
      </x:c>
      <x:c r="B256" s="68" t="str">
        <x:v>SEV01</x:v>
      </x:c>
      <x:c r="C256" s="68" t="str">
        <x:v>轻微</x:v>
      </x:c>
      <x:c r="D256" s="68" t="str">
        <x:v>严重程度的标准选项：轻微。具体成立条件由对应模块规则定义。</x:v>
      </x:c>
      <x:c r="E256" s="68" t="str">
        <x:v>严重程度</x:v>
      </x:c>
      <x:c r="F256" s="98" t="n">
        <x:v>1</x:v>
      </x:c>
      <x:c r="G256" s="68" t="str">
        <x:v>是</x:v>
      </x:c>
      <x:c r="H256" s="68" t="str"/>
    </x:row>
    <x:row r="257">
      <x:c r="A257" s="68" t="str">
        <x:v>严重程度</x:v>
      </x:c>
      <x:c r="B257" s="68" t="str">
        <x:v>SEV02</x:v>
      </x:c>
      <x:c r="C257" s="68" t="str">
        <x:v>一般</x:v>
      </x:c>
      <x:c r="D257" s="68" t="str">
        <x:v>严重程度的标准选项：一般。具体成立条件由对应模块规则定义。</x:v>
      </x:c>
      <x:c r="E257" s="68" t="str">
        <x:v>严重程度</x:v>
      </x:c>
      <x:c r="F257" s="98" t="n">
        <x:v>2</x:v>
      </x:c>
      <x:c r="G257" s="68" t="str">
        <x:v>是</x:v>
      </x:c>
      <x:c r="H257" s="68" t="str"/>
    </x:row>
    <x:row r="258">
      <x:c r="A258" s="68" t="str">
        <x:v>严重程度</x:v>
      </x:c>
      <x:c r="B258" s="68" t="str">
        <x:v>SEV03</x:v>
      </x:c>
      <x:c r="C258" s="68" t="str">
        <x:v>明显</x:v>
      </x:c>
      <x:c r="D258" s="68" t="str">
        <x:v>严重程度的标准选项：明显。具体成立条件由对应模块规则定义。</x:v>
      </x:c>
      <x:c r="E258" s="68" t="str">
        <x:v>严重程度</x:v>
      </x:c>
      <x:c r="F258" s="98" t="n">
        <x:v>3</x:v>
      </x:c>
      <x:c r="G258" s="68" t="str">
        <x:v>是</x:v>
      </x:c>
      <x:c r="H258" s="68" t="str"/>
    </x:row>
    <x:row r="259">
      <x:c r="A259" s="68" t="str">
        <x:v>严重程度</x:v>
      </x:c>
      <x:c r="B259" s="68" t="str">
        <x:v>SEV04</x:v>
      </x:c>
      <x:c r="C259" s="68" t="str">
        <x:v>严重</x:v>
      </x:c>
      <x:c r="D259" s="68" t="str">
        <x:v>严重程度的标准选项：严重。具体成立条件由对应模块规则定义。</x:v>
      </x:c>
      <x:c r="E259" s="68" t="str">
        <x:v>严重程度</x:v>
      </x:c>
      <x:c r="F259" s="98" t="n">
        <x:v>4</x:v>
      </x:c>
      <x:c r="G259" s="68" t="str">
        <x:v>是</x:v>
      </x:c>
      <x:c r="H259" s="68" t="str"/>
    </x:row>
    <x:row r="260">
      <x:c r="A260" s="68" t="str">
        <x:v>严重程度</x:v>
      </x:c>
      <x:c r="B260" s="68" t="str">
        <x:v>SEV05</x:v>
      </x:c>
      <x:c r="C260" s="68" t="str">
        <x:v>首要矛盾</x:v>
      </x:c>
      <x:c r="D260" s="68" t="str">
        <x:v>严重程度的标准选项：首要矛盾。具体成立条件由对应模块规则定义。</x:v>
      </x:c>
      <x:c r="E260" s="68" t="str">
        <x:v>严重程度</x:v>
      </x:c>
      <x:c r="F260" s="98" t="n">
        <x:v>5</x:v>
      </x:c>
      <x:c r="G260" s="68" t="str">
        <x:v>是</x:v>
      </x:c>
      <x:c r="H260" s="68" t="str"/>
    </x:row>
    <x:row r="261">
      <x:c r="A261" s="68" t="str">
        <x:v>严重程度</x:v>
      </x:c>
      <x:c r="B261" s="68" t="str">
        <x:v>SEV06</x:v>
      </x:c>
      <x:c r="C261" s="68" t="str">
        <x:v>待定</x:v>
      </x:c>
      <x:c r="D261" s="68" t="str">
        <x:v>严重程度的标准选项：待定。具体成立条件由对应模块规则定义。</x:v>
      </x:c>
      <x:c r="E261" s="68" t="str">
        <x:v>严重程度</x:v>
      </x:c>
      <x:c r="F261" s="98" t="n">
        <x:v>6</x:v>
      </x:c>
      <x:c r="G261" s="68" t="str">
        <x:v>是</x:v>
      </x:c>
      <x:c r="H261" s="68" t="str"/>
    </x:row>
    <x:row r="262">
      <x:c r="A262" s="68" t="str">
        <x:v>药理</x:v>
      </x:c>
      <x:c r="B262" s="68" t="str">
        <x:v>MED01</x:v>
      </x:c>
      <x:c r="C262" s="68" t="str">
        <x:v>扶</x:v>
      </x:c>
      <x:c r="D262" s="68" t="str">
        <x:v>描述药神如何解决原局之病，并需评估药力不足、过量与新病风险。</x:v>
      </x:c>
      <x:c r="E262" s="68" t="str">
        <x:v>药理</x:v>
      </x:c>
      <x:c r="F262" s="98" t="n">
        <x:v>1</x:v>
      </x:c>
      <x:c r="G262" s="68" t="str">
        <x:v>是</x:v>
      </x:c>
      <x:c r="H262" s="68" t="str"/>
    </x:row>
    <x:row r="263">
      <x:c r="A263" s="68" t="str">
        <x:v>药理</x:v>
      </x:c>
      <x:c r="B263" s="68" t="str">
        <x:v>MED02</x:v>
      </x:c>
      <x:c r="C263" s="68" t="str">
        <x:v>抑</x:v>
      </x:c>
      <x:c r="D263" s="68" t="str">
        <x:v>描述药神如何解决原局之病，并需评估药力不足、过量与新病风险。</x:v>
      </x:c>
      <x:c r="E263" s="68" t="str">
        <x:v>药理</x:v>
      </x:c>
      <x:c r="F263" s="98" t="n">
        <x:v>2</x:v>
      </x:c>
      <x:c r="G263" s="68" t="str">
        <x:v>是</x:v>
      </x:c>
      <x:c r="H263" s="68" t="str"/>
    </x:row>
    <x:row r="264">
      <x:c r="A264" s="68" t="str">
        <x:v>药理</x:v>
      </x:c>
      <x:c r="B264" s="68" t="str">
        <x:v>MED03</x:v>
      </x:c>
      <x:c r="C264" s="68" t="str">
        <x:v>泄</x:v>
      </x:c>
      <x:c r="D264" s="68" t="str">
        <x:v>描述药神如何解决原局之病，并需评估药力不足、过量与新病风险。</x:v>
      </x:c>
      <x:c r="E264" s="68" t="str">
        <x:v>药理</x:v>
      </x:c>
      <x:c r="F264" s="98" t="n">
        <x:v>3</x:v>
      </x:c>
      <x:c r="G264" s="68" t="str">
        <x:v>是</x:v>
      </x:c>
      <x:c r="H264" s="68" t="str"/>
    </x:row>
    <x:row r="265">
      <x:c r="A265" s="68" t="str">
        <x:v>药理</x:v>
      </x:c>
      <x:c r="B265" s="68" t="str">
        <x:v>MED04</x:v>
      </x:c>
      <x:c r="C265" s="68" t="str">
        <x:v>制</x:v>
      </x:c>
      <x:c r="D265" s="68" t="str">
        <x:v>描述药神如何解决原局之病，并需评估药力不足、过量与新病风险。</x:v>
      </x:c>
      <x:c r="E265" s="68" t="str">
        <x:v>药理</x:v>
      </x:c>
      <x:c r="F265" s="98" t="n">
        <x:v>4</x:v>
      </x:c>
      <x:c r="G265" s="68" t="str">
        <x:v>是</x:v>
      </x:c>
      <x:c r="H265" s="68" t="str"/>
    </x:row>
    <x:row r="266">
      <x:c r="A266" s="68" t="str">
        <x:v>药理</x:v>
      </x:c>
      <x:c r="B266" s="68" t="str">
        <x:v>MED05</x:v>
      </x:c>
      <x:c r="C266" s="68" t="str">
        <x:v>化</x:v>
      </x:c>
      <x:c r="D266" s="68" t="str">
        <x:v>描述药神如何解决原局之病，并需评估药力不足、过量与新病风险。</x:v>
      </x:c>
      <x:c r="E266" s="68" t="str">
        <x:v>药理</x:v>
      </x:c>
      <x:c r="F266" s="98" t="n">
        <x:v>5</x:v>
      </x:c>
      <x:c r="G266" s="68" t="str">
        <x:v>是</x:v>
      </x:c>
      <x:c r="H266" s="68" t="str"/>
    </x:row>
    <x:row r="267">
      <x:c r="A267" s="68" t="str">
        <x:v>药理</x:v>
      </x:c>
      <x:c r="B267" s="68" t="str">
        <x:v>MED06</x:v>
      </x:c>
      <x:c r="C267" s="68" t="str">
        <x:v>生</x:v>
      </x:c>
      <x:c r="D267" s="68" t="str">
        <x:v>描述药神如何解决原局之病，并需评估药力不足、过量与新病风险。</x:v>
      </x:c>
      <x:c r="E267" s="68" t="str">
        <x:v>药理</x:v>
      </x:c>
      <x:c r="F267" s="98" t="n">
        <x:v>6</x:v>
      </x:c>
      <x:c r="G267" s="68" t="str">
        <x:v>是</x:v>
      </x:c>
      <x:c r="H267" s="68" t="str"/>
    </x:row>
    <x:row r="268">
      <x:c r="A268" s="68" t="str">
        <x:v>药理</x:v>
      </x:c>
      <x:c r="B268" s="68" t="str">
        <x:v>MED07</x:v>
      </x:c>
      <x:c r="C268" s="68" t="str">
        <x:v>通</x:v>
      </x:c>
      <x:c r="D268" s="68" t="str">
        <x:v>描述药神如何解决原局之病，并需评估药力不足、过量与新病风险。</x:v>
      </x:c>
      <x:c r="E268" s="68" t="str">
        <x:v>药理</x:v>
      </x:c>
      <x:c r="F268" s="98" t="n">
        <x:v>7</x:v>
      </x:c>
      <x:c r="G268" s="68" t="str">
        <x:v>是</x:v>
      </x:c>
      <x:c r="H268" s="68" t="str"/>
    </x:row>
    <x:row r="269">
      <x:c r="A269" s="68" t="str">
        <x:v>药理</x:v>
      </x:c>
      <x:c r="B269" s="68" t="str">
        <x:v>MED08</x:v>
      </x:c>
      <x:c r="C269" s="68" t="str">
        <x:v>润</x:v>
      </x:c>
      <x:c r="D269" s="68" t="str">
        <x:v>描述药神如何解决原局之病，并需评估药力不足、过量与新病风险。</x:v>
      </x:c>
      <x:c r="E269" s="68" t="str">
        <x:v>药理</x:v>
      </x:c>
      <x:c r="F269" s="98" t="n">
        <x:v>8</x:v>
      </x:c>
      <x:c r="G269" s="68" t="str">
        <x:v>是</x:v>
      </x:c>
      <x:c r="H269" s="68" t="str"/>
    </x:row>
    <x:row r="270">
      <x:c r="A270" s="68" t="str">
        <x:v>药理</x:v>
      </x:c>
      <x:c r="B270" s="68" t="str">
        <x:v>MED09</x:v>
      </x:c>
      <x:c r="C270" s="68" t="str">
        <x:v>暖</x:v>
      </x:c>
      <x:c r="D270" s="68" t="str">
        <x:v>描述药神如何解决原局之病，并需评估药力不足、过量与新病风险。</x:v>
      </x:c>
      <x:c r="E270" s="68" t="str">
        <x:v>药理</x:v>
      </x:c>
      <x:c r="F270" s="98" t="n">
        <x:v>9</x:v>
      </x:c>
      <x:c r="G270" s="68" t="str">
        <x:v>是</x:v>
      </x:c>
      <x:c r="H270" s="68" t="str"/>
    </x:row>
    <x:row r="271">
      <x:c r="A271" s="68" t="str">
        <x:v>药理</x:v>
      </x:c>
      <x:c r="B271" s="68" t="str">
        <x:v>MED10</x:v>
      </x:c>
      <x:c r="C271" s="68" t="str">
        <x:v>燥湿</x:v>
      </x:c>
      <x:c r="D271" s="68" t="str">
        <x:v>描述药神如何解决原局之病，并需评估药力不足、过量与新病风险。</x:v>
      </x:c>
      <x:c r="E271" s="68" t="str">
        <x:v>药理</x:v>
      </x:c>
      <x:c r="F271" s="98" t="n">
        <x:v>10</x:v>
      </x:c>
      <x:c r="G271" s="68" t="str">
        <x:v>是</x:v>
      </x:c>
      <x:c r="H271" s="68" t="str"/>
    </x:row>
    <x:row r="272">
      <x:c r="A272" s="68" t="str">
        <x:v>药理</x:v>
      </x:c>
      <x:c r="B272" s="68" t="str">
        <x:v>MED11</x:v>
      </x:c>
      <x:c r="C272" s="68" t="str">
        <x:v>清杂</x:v>
      </x:c>
      <x:c r="D272" s="68" t="str">
        <x:v>描述药神如何解决原局之病，并需评估药力不足、过量与新病风险。</x:v>
      </x:c>
      <x:c r="E272" s="68" t="str">
        <x:v>药理</x:v>
      </x:c>
      <x:c r="F272" s="98" t="n">
        <x:v>11</x:v>
      </x:c>
      <x:c r="G272" s="68" t="str">
        <x:v>是</x:v>
      </x:c>
      <x:c r="H272" s="68" t="str"/>
    </x:row>
    <x:row r="273">
      <x:c r="A273" s="68" t="str">
        <x:v>药理</x:v>
      </x:c>
      <x:c r="B273" s="68" t="str">
        <x:v>MED12</x:v>
      </x:c>
      <x:c r="C273" s="68" t="str">
        <x:v>护格</x:v>
      </x:c>
      <x:c r="D273" s="68" t="str">
        <x:v>描述药神如何解决原局之病，并需评估药力不足、过量与新病风险。</x:v>
      </x:c>
      <x:c r="E273" s="68" t="str">
        <x:v>药理</x:v>
      </x:c>
      <x:c r="F273" s="98" t="n">
        <x:v>12</x:v>
      </x:c>
      <x:c r="G273" s="68" t="str">
        <x:v>是</x:v>
      </x:c>
      <x:c r="H273" s="68" t="str"/>
    </x:row>
    <x:row r="274">
      <x:c r="A274" s="68" t="str">
        <x:v>药理</x:v>
      </x:c>
      <x:c r="B274" s="68" t="str">
        <x:v>MED13</x:v>
      </x:c>
      <x:c r="C274" s="68" t="str">
        <x:v>救应</x:v>
      </x:c>
      <x:c r="D274" s="68" t="str">
        <x:v>描述药神如何解决原局之病，并需评估药力不足、过量与新病风险。</x:v>
      </x:c>
      <x:c r="E274" s="68" t="str">
        <x:v>药理</x:v>
      </x:c>
      <x:c r="F274" s="98" t="n">
        <x:v>13</x:v>
      </x:c>
      <x:c r="G274" s="68" t="str">
        <x:v>是</x:v>
      </x:c>
      <x:c r="H274" s="68" t="str"/>
    </x:row>
    <x:row r="275">
      <x:c r="A275" s="68" t="str">
        <x:v>药理</x:v>
      </x:c>
      <x:c r="B275" s="68" t="str">
        <x:v>MED14</x:v>
      </x:c>
      <x:c r="C275" s="68" t="str">
        <x:v>复合药理</x:v>
      </x:c>
      <x:c r="D275" s="68" t="str">
        <x:v>描述药神如何解决原局之病，并需评估药力不足、过量与新病风险。</x:v>
      </x:c>
      <x:c r="E275" s="68" t="str">
        <x:v>药理</x:v>
      </x:c>
      <x:c r="F275" s="98" t="n">
        <x:v>14</x:v>
      </x:c>
      <x:c r="G275" s="68" t="str">
        <x:v>是</x:v>
      </x:c>
      <x:c r="H275" s="68" t="str"/>
    </x:row>
    <x:row r="276">
      <x:c r="A276" s="68" t="str">
        <x:v>药理</x:v>
      </x:c>
      <x:c r="B276" s="68" t="str">
        <x:v>MED15</x:v>
      </x:c>
      <x:c r="C276" s="68" t="str">
        <x:v>待定</x:v>
      </x:c>
      <x:c r="D276" s="68" t="str">
        <x:v>描述药神如何解决原局之病，并需评估药力不足、过量与新病风险。</x:v>
      </x:c>
      <x:c r="E276" s="68" t="str">
        <x:v>药理</x:v>
      </x:c>
      <x:c r="F276" s="98" t="n">
        <x:v>15</x:v>
      </x:c>
      <x:c r="G276" s="68" t="str">
        <x:v>是</x:v>
      </x:c>
      <x:c r="H276" s="68" t="str"/>
    </x:row>
    <x:row r="277">
      <x:c r="A277" s="68" t="str">
        <x:v>温度状态</x:v>
      </x:c>
      <x:c r="B277" s="68" t="str">
        <x:v>TMP01</x:v>
      </x:c>
      <x:c r="C277" s="68" t="str">
        <x:v>极寒</x:v>
      </x:c>
      <x:c r="D277" s="68" t="str">
        <x:v>温度状态的标准选项：极寒。具体成立条件由对应模块规则定义。</x:v>
      </x:c>
      <x:c r="E277" s="68" t="str">
        <x:v>温度状态</x:v>
      </x:c>
      <x:c r="F277" s="98" t="n">
        <x:v>1</x:v>
      </x:c>
      <x:c r="G277" s="68" t="str">
        <x:v>是</x:v>
      </x:c>
      <x:c r="H277" s="68" t="str"/>
    </x:row>
    <x:row r="278">
      <x:c r="A278" s="68" t="str">
        <x:v>温度状态</x:v>
      </x:c>
      <x:c r="B278" s="68" t="str">
        <x:v>TMP02</x:v>
      </x:c>
      <x:c r="C278" s="68" t="str">
        <x:v>偏寒</x:v>
      </x:c>
      <x:c r="D278" s="68" t="str">
        <x:v>温度状态的标准选项：偏寒。具体成立条件由对应模块规则定义。</x:v>
      </x:c>
      <x:c r="E278" s="68" t="str">
        <x:v>温度状态</x:v>
      </x:c>
      <x:c r="F278" s="98" t="n">
        <x:v>2</x:v>
      </x:c>
      <x:c r="G278" s="68" t="str">
        <x:v>是</x:v>
      </x:c>
      <x:c r="H278" s="68" t="str"/>
    </x:row>
    <x:row r="279">
      <x:c r="A279" s="68" t="str">
        <x:v>温度状态</x:v>
      </x:c>
      <x:c r="B279" s="68" t="str">
        <x:v>TMP03</x:v>
      </x:c>
      <x:c r="C279" s="68" t="str">
        <x:v>平衡</x:v>
      </x:c>
      <x:c r="D279" s="68" t="str">
        <x:v>温度状态的标准选项：平衡。具体成立条件由对应模块规则定义。</x:v>
      </x:c>
      <x:c r="E279" s="68" t="str">
        <x:v>温度状态</x:v>
      </x:c>
      <x:c r="F279" s="98" t="n">
        <x:v>3</x:v>
      </x:c>
      <x:c r="G279" s="68" t="str">
        <x:v>是</x:v>
      </x:c>
      <x:c r="H279" s="68" t="str"/>
    </x:row>
    <x:row r="280">
      <x:c r="A280" s="68" t="str">
        <x:v>温度状态</x:v>
      </x:c>
      <x:c r="B280" s="68" t="str">
        <x:v>TMP04</x:v>
      </x:c>
      <x:c r="C280" s="68" t="str">
        <x:v>偏暖</x:v>
      </x:c>
      <x:c r="D280" s="68" t="str">
        <x:v>温度状态的标准选项：偏暖。具体成立条件由对应模块规则定义。</x:v>
      </x:c>
      <x:c r="E280" s="68" t="str">
        <x:v>温度状态</x:v>
      </x:c>
      <x:c r="F280" s="98" t="n">
        <x:v>4</x:v>
      </x:c>
      <x:c r="G280" s="68" t="str">
        <x:v>是</x:v>
      </x:c>
      <x:c r="H280" s="68" t="str"/>
    </x:row>
    <x:row r="281">
      <x:c r="A281" s="68" t="str">
        <x:v>温度状态</x:v>
      </x:c>
      <x:c r="B281" s="68" t="str">
        <x:v>TMP05</x:v>
      </x:c>
      <x:c r="C281" s="68" t="str">
        <x:v>极热</x:v>
      </x:c>
      <x:c r="D281" s="68" t="str">
        <x:v>温度状态的标准选项：极热。具体成立条件由对应模块规则定义。</x:v>
      </x:c>
      <x:c r="E281" s="68" t="str">
        <x:v>温度状态</x:v>
      </x:c>
      <x:c r="F281" s="98" t="n">
        <x:v>5</x:v>
      </x:c>
      <x:c r="G281" s="68" t="str">
        <x:v>是</x:v>
      </x:c>
      <x:c r="H281" s="68" t="str"/>
    </x:row>
    <x:row r="282">
      <x:c r="A282" s="68" t="str">
        <x:v>温度状态</x:v>
      </x:c>
      <x:c r="B282" s="68" t="str">
        <x:v>TMP06</x:v>
      </x:c>
      <x:c r="C282" s="68" t="str">
        <x:v>待定</x:v>
      </x:c>
      <x:c r="D282" s="68" t="str">
        <x:v>温度状态的标准选项：待定。具体成立条件由对应模块规则定义。</x:v>
      </x:c>
      <x:c r="E282" s="68" t="str">
        <x:v>温度状态</x:v>
      </x:c>
      <x:c r="F282" s="98" t="n">
        <x:v>6</x:v>
      </x:c>
      <x:c r="G282" s="68" t="str">
        <x:v>是</x:v>
      </x:c>
      <x:c r="H282" s="68" t="str"/>
    </x:row>
    <x:row r="283">
      <x:c r="A283" s="68" t="str">
        <x:v>湿度状态</x:v>
      </x:c>
      <x:c r="B283" s="68" t="str">
        <x:v>HUM01</x:v>
      </x:c>
      <x:c r="C283" s="68" t="str">
        <x:v>极湿</x:v>
      </x:c>
      <x:c r="D283" s="68" t="str">
        <x:v>湿度状态的标准选项：极湿。具体成立条件由对应模块规则定义。</x:v>
      </x:c>
      <x:c r="E283" s="68" t="str">
        <x:v>湿度状态</x:v>
      </x:c>
      <x:c r="F283" s="98" t="n">
        <x:v>1</x:v>
      </x:c>
      <x:c r="G283" s="68" t="str">
        <x:v>是</x:v>
      </x:c>
      <x:c r="H283" s="68" t="str"/>
    </x:row>
    <x:row r="284">
      <x:c r="A284" s="68" t="str">
        <x:v>湿度状态</x:v>
      </x:c>
      <x:c r="B284" s="68" t="str">
        <x:v>HUM02</x:v>
      </x:c>
      <x:c r="C284" s="68" t="str">
        <x:v>偏湿</x:v>
      </x:c>
      <x:c r="D284" s="68" t="str">
        <x:v>湿度状态的标准选项：偏湿。具体成立条件由对应模块规则定义。</x:v>
      </x:c>
      <x:c r="E284" s="68" t="str">
        <x:v>湿度状态</x:v>
      </x:c>
      <x:c r="F284" s="98" t="n">
        <x:v>2</x:v>
      </x:c>
      <x:c r="G284" s="68" t="str">
        <x:v>是</x:v>
      </x:c>
      <x:c r="H284" s="68" t="str"/>
    </x:row>
    <x:row r="285">
      <x:c r="A285" s="68" t="str">
        <x:v>湿度状态</x:v>
      </x:c>
      <x:c r="B285" s="68" t="str">
        <x:v>HUM03</x:v>
      </x:c>
      <x:c r="C285" s="68" t="str">
        <x:v>平衡</x:v>
      </x:c>
      <x:c r="D285" s="68" t="str">
        <x:v>湿度状态的标准选项：平衡。具体成立条件由对应模块规则定义。</x:v>
      </x:c>
      <x:c r="E285" s="68" t="str">
        <x:v>湿度状态</x:v>
      </x:c>
      <x:c r="F285" s="98" t="n">
        <x:v>3</x:v>
      </x:c>
      <x:c r="G285" s="68" t="str">
        <x:v>是</x:v>
      </x:c>
      <x:c r="H285" s="68" t="str"/>
    </x:row>
    <x:row r="286">
      <x:c r="A286" s="68" t="str">
        <x:v>湿度状态</x:v>
      </x:c>
      <x:c r="B286" s="68" t="str">
        <x:v>HUM04</x:v>
      </x:c>
      <x:c r="C286" s="68" t="str">
        <x:v>偏燥</x:v>
      </x:c>
      <x:c r="D286" s="68" t="str">
        <x:v>湿度状态的标准选项：偏燥。具体成立条件由对应模块规则定义。</x:v>
      </x:c>
      <x:c r="E286" s="68" t="str">
        <x:v>湿度状态</x:v>
      </x:c>
      <x:c r="F286" s="98" t="n">
        <x:v>4</x:v>
      </x:c>
      <x:c r="G286" s="68" t="str">
        <x:v>是</x:v>
      </x:c>
      <x:c r="H286" s="68" t="str"/>
    </x:row>
    <x:row r="287">
      <x:c r="A287" s="68" t="str">
        <x:v>湿度状态</x:v>
      </x:c>
      <x:c r="B287" s="68" t="str">
        <x:v>HUM05</x:v>
      </x:c>
      <x:c r="C287" s="68" t="str">
        <x:v>极燥</x:v>
      </x:c>
      <x:c r="D287" s="68" t="str">
        <x:v>湿度状态的标准选项：极燥。具体成立条件由对应模块规则定义。</x:v>
      </x:c>
      <x:c r="E287" s="68" t="str">
        <x:v>湿度状态</x:v>
      </x:c>
      <x:c r="F287" s="98" t="n">
        <x:v>5</x:v>
      </x:c>
      <x:c r="G287" s="68" t="str">
        <x:v>是</x:v>
      </x:c>
      <x:c r="H287" s="68" t="str"/>
    </x:row>
    <x:row r="288">
      <x:c r="A288" s="68" t="str">
        <x:v>湿度状态</x:v>
      </x:c>
      <x:c r="B288" s="68" t="str">
        <x:v>HUM06</x:v>
      </x:c>
      <x:c r="C288" s="68" t="str">
        <x:v>待定</x:v>
      </x:c>
      <x:c r="D288" s="68" t="str">
        <x:v>湿度状态的标准选项：待定。具体成立条件由对应模块规则定义。</x:v>
      </x:c>
      <x:c r="E288" s="68" t="str">
        <x:v>湿度状态</x:v>
      </x:c>
      <x:c r="F288" s="98" t="n">
        <x:v>6</x:v>
      </x:c>
      <x:c r="G288" s="68" t="str">
        <x:v>是</x:v>
      </x:c>
      <x:c r="H288" s="68" t="str"/>
    </x:row>
    <x:row r="289">
      <x:c r="A289" s="68" t="str">
        <x:v>评估轴</x:v>
      </x:c>
      <x:c r="B289" s="68" t="str">
        <x:v>AX01</x:v>
      </x:c>
      <x:c r="C289" s="68" t="str">
        <x:v>寒暖轴</x:v>
      </x:c>
      <x:c r="D289" s="68" t="str">
        <x:v>评估轴的标准选项：寒暖轴。具体成立条件由对应模块规则定义。</x:v>
      </x:c>
      <x:c r="E289" s="68" t="str">
        <x:v>评估轴</x:v>
      </x:c>
      <x:c r="F289" s="98" t="n">
        <x:v>1</x:v>
      </x:c>
      <x:c r="G289" s="68" t="str">
        <x:v>是</x:v>
      </x:c>
      <x:c r="H289" s="68" t="str"/>
    </x:row>
    <x:row r="290">
      <x:c r="A290" s="68" t="str">
        <x:v>评估轴</x:v>
      </x:c>
      <x:c r="B290" s="68" t="str">
        <x:v>AX02</x:v>
      </x:c>
      <x:c r="C290" s="68" t="str">
        <x:v>燥湿轴</x:v>
      </x:c>
      <x:c r="D290" s="68" t="str">
        <x:v>评估轴的标准选项：燥湿轴。具体成立条件由对应模块规则定义。</x:v>
      </x:c>
      <x:c r="E290" s="68" t="str">
        <x:v>评估轴</x:v>
      </x:c>
      <x:c r="F290" s="98" t="n">
        <x:v>2</x:v>
      </x:c>
      <x:c r="G290" s="68" t="str">
        <x:v>是</x:v>
      </x:c>
      <x:c r="H290" s="68" t="str"/>
    </x:row>
    <x:row r="291">
      <x:c r="A291" s="68" t="str">
        <x:v>评估轴</x:v>
      </x:c>
      <x:c r="B291" s="68" t="str">
        <x:v>AX03</x:v>
      </x:c>
      <x:c r="C291" s="68" t="str">
        <x:v>寒暖燥湿综合</x:v>
      </x:c>
      <x:c r="D291" s="68" t="str">
        <x:v>评估轴的标准选项：寒暖燥湿综合。具体成立条件由对应模块规则定义。</x:v>
      </x:c>
      <x:c r="E291" s="68" t="str">
        <x:v>评估轴</x:v>
      </x:c>
      <x:c r="F291" s="98" t="n">
        <x:v>3</x:v>
      </x:c>
      <x:c r="G291" s="68" t="str">
        <x:v>是</x:v>
      </x:c>
      <x:c r="H291" s="68" t="str"/>
    </x:row>
    <x:row r="292">
      <x:c r="A292" s="68" t="str">
        <x:v>调候紧急度</x:v>
      </x:c>
      <x:c r="B292" s="68" t="str">
        <x:v>URG01</x:v>
      </x:c>
      <x:c r="C292" s="68" t="str">
        <x:v>低</x:v>
      </x:c>
      <x:c r="D292" s="68" t="str">
        <x:v>调候紧急度的标准选项：低。具体成立条件由对应模块规则定义。</x:v>
      </x:c>
      <x:c r="E292" s="68" t="str">
        <x:v>调候紧急度</x:v>
      </x:c>
      <x:c r="F292" s="98" t="n">
        <x:v>1</x:v>
      </x:c>
      <x:c r="G292" s="68" t="str">
        <x:v>是</x:v>
      </x:c>
      <x:c r="H292" s="68" t="str"/>
    </x:row>
    <x:row r="293">
      <x:c r="A293" s="68" t="str">
        <x:v>调候紧急度</x:v>
      </x:c>
      <x:c r="B293" s="68" t="str">
        <x:v>URG02</x:v>
      </x:c>
      <x:c r="C293" s="68" t="str">
        <x:v>中</x:v>
      </x:c>
      <x:c r="D293" s="68" t="str">
        <x:v>调候紧急度的标准选项：中。具体成立条件由对应模块规则定义。</x:v>
      </x:c>
      <x:c r="E293" s="68" t="str">
        <x:v>调候紧急度</x:v>
      </x:c>
      <x:c r="F293" s="98" t="n">
        <x:v>2</x:v>
      </x:c>
      <x:c r="G293" s="68" t="str">
        <x:v>是</x:v>
      </x:c>
      <x:c r="H293" s="68" t="str"/>
    </x:row>
    <x:row r="294">
      <x:c r="A294" s="68" t="str">
        <x:v>调候紧急度</x:v>
      </x:c>
      <x:c r="B294" s="68" t="str">
        <x:v>URG03</x:v>
      </x:c>
      <x:c r="C294" s="68" t="str">
        <x:v>高</x:v>
      </x:c>
      <x:c r="D294" s="68" t="str">
        <x:v>调候紧急度的标准选项：高。具体成立条件由对应模块规则定义。</x:v>
      </x:c>
      <x:c r="E294" s="68" t="str">
        <x:v>调候紧急度</x:v>
      </x:c>
      <x:c r="F294" s="98" t="n">
        <x:v>3</x:v>
      </x:c>
      <x:c r="G294" s="68" t="str">
        <x:v>是</x:v>
      </x:c>
      <x:c r="H294" s="68" t="str"/>
    </x:row>
    <x:row r="295">
      <x:c r="A295" s="68" t="str">
        <x:v>调候紧急度</x:v>
      </x:c>
      <x:c r="B295" s="68" t="str">
        <x:v>URG04</x:v>
      </x:c>
      <x:c r="C295" s="68" t="str">
        <x:v>首要</x:v>
      </x:c>
      <x:c r="D295" s="68" t="str">
        <x:v>调候紧急度的标准选项：首要。具体成立条件由对应模块规则定义。</x:v>
      </x:c>
      <x:c r="E295" s="68" t="str">
        <x:v>调候紧急度</x:v>
      </x:c>
      <x:c r="F295" s="98" t="n">
        <x:v>4</x:v>
      </x:c>
      <x:c r="G295" s="68" t="str">
        <x:v>是</x:v>
      </x:c>
      <x:c r="H295" s="68" t="str"/>
    </x:row>
    <x:row r="296">
      <x:c r="A296" s="68" t="str">
        <x:v>调候紧急度</x:v>
      </x:c>
      <x:c r="B296" s="68" t="str">
        <x:v>URG05</x:v>
      </x:c>
      <x:c r="C296" s="68" t="str">
        <x:v>待定</x:v>
      </x:c>
      <x:c r="D296" s="68" t="str">
        <x:v>调候紧急度的标准选项：待定。具体成立条件由对应模块规则定义。</x:v>
      </x:c>
      <x:c r="E296" s="68" t="str">
        <x:v>调候紧急度</x:v>
      </x:c>
      <x:c r="F296" s="98" t="n">
        <x:v>5</x:v>
      </x:c>
      <x:c r="G296" s="68" t="str">
        <x:v>是</x:v>
      </x:c>
      <x:c r="H296" s="68" t="str"/>
    </x:row>
    <x:row r="297">
      <x:c r="A297" s="68" t="str">
        <x:v>流通状态</x:v>
      </x:c>
      <x:c r="B297" s="68" t="str">
        <x:v>FLOW01</x:v>
      </x:c>
      <x:c r="C297" s="68" t="str">
        <x:v>通畅</x:v>
      </x:c>
      <x:c r="D297" s="68" t="str">
        <x:v>流通状态的标准选项：通畅。具体成立条件由对应模块规则定义。</x:v>
      </x:c>
      <x:c r="E297" s="68" t="str">
        <x:v>流通状态</x:v>
      </x:c>
      <x:c r="F297" s="98" t="n">
        <x:v>1</x:v>
      </x:c>
      <x:c r="G297" s="68" t="str">
        <x:v>是</x:v>
      </x:c>
      <x:c r="H297" s="68" t="str"/>
    </x:row>
    <x:row r="298">
      <x:c r="A298" s="68" t="str">
        <x:v>流通状态</x:v>
      </x:c>
      <x:c r="B298" s="68" t="str">
        <x:v>FLOW02</x:v>
      </x:c>
      <x:c r="C298" s="68" t="str">
        <x:v>基本通畅</x:v>
      </x:c>
      <x:c r="D298" s="68" t="str">
        <x:v>流通状态的标准选项：基本通畅。具体成立条件由对应模块规则定义。</x:v>
      </x:c>
      <x:c r="E298" s="68" t="str">
        <x:v>流通状态</x:v>
      </x:c>
      <x:c r="F298" s="98" t="n">
        <x:v>2</x:v>
      </x:c>
      <x:c r="G298" s="68" t="str">
        <x:v>是</x:v>
      </x:c>
      <x:c r="H298" s="68" t="str"/>
    </x:row>
    <x:row r="299">
      <x:c r="A299" s="68" t="str">
        <x:v>流通状态</x:v>
      </x:c>
      <x:c r="B299" s="68" t="str">
        <x:v>FLOW03</x:v>
      </x:c>
      <x:c r="C299" s="68" t="str">
        <x:v>局部阻塞</x:v>
      </x:c>
      <x:c r="D299" s="68" t="str">
        <x:v>流通状态的标准选项：局部阻塞。具体成立条件由对应模块规则定义。</x:v>
      </x:c>
      <x:c r="E299" s="68" t="str">
        <x:v>流通状态</x:v>
      </x:c>
      <x:c r="F299" s="98" t="n">
        <x:v>3</x:v>
      </x:c>
      <x:c r="G299" s="68" t="str">
        <x:v>是</x:v>
      </x:c>
      <x:c r="H299" s="68" t="str"/>
    </x:row>
    <x:row r="300">
      <x:c r="A300" s="68" t="str">
        <x:v>流通状态</x:v>
      </x:c>
      <x:c r="B300" s="68" t="str">
        <x:v>FLOW04</x:v>
      </x:c>
      <x:c r="C300" s="68" t="str">
        <x:v>明显阻断</x:v>
      </x:c>
      <x:c r="D300" s="68" t="str">
        <x:v>流通状态的标准选项：明显阻断。具体成立条件由对应模块规则定义。</x:v>
      </x:c>
      <x:c r="E300" s="68" t="str">
        <x:v>流通状态</x:v>
      </x:c>
      <x:c r="F300" s="98" t="n">
        <x:v>4</x:v>
      </x:c>
      <x:c r="G300" s="68" t="str">
        <x:v>是</x:v>
      </x:c>
      <x:c r="H300" s="68" t="str"/>
    </x:row>
    <x:row r="301">
      <x:c r="A301" s="68" t="str">
        <x:v>流通状态</x:v>
      </x:c>
      <x:c r="B301" s="68" t="str">
        <x:v>FLOW05</x:v>
      </x:c>
      <x:c r="C301" s="68" t="str">
        <x:v>无有效路径</x:v>
      </x:c>
      <x:c r="D301" s="68" t="str">
        <x:v>流通状态的标准选项：无有效路径。具体成立条件由对应模块规则定义。</x:v>
      </x:c>
      <x:c r="E301" s="68" t="str">
        <x:v>流通状态</x:v>
      </x:c>
      <x:c r="F301" s="98" t="n">
        <x:v>5</x:v>
      </x:c>
      <x:c r="G301" s="68" t="str">
        <x:v>是</x:v>
      </x:c>
      <x:c r="H301" s="68" t="str"/>
    </x:row>
    <x:row r="302">
      <x:c r="A302" s="68" t="str">
        <x:v>流通状态</x:v>
      </x:c>
      <x:c r="B302" s="68" t="str">
        <x:v>FLOW06</x:v>
      </x:c>
      <x:c r="C302" s="68" t="str">
        <x:v>待定</x:v>
      </x:c>
      <x:c r="D302" s="68" t="str">
        <x:v>流通状态的标准选项：待定。具体成立条件由对应模块规则定义。</x:v>
      </x:c>
      <x:c r="E302" s="68" t="str">
        <x:v>流通状态</x:v>
      </x:c>
      <x:c r="F302" s="98" t="n">
        <x:v>6</x:v>
      </x:c>
      <x:c r="G302" s="68" t="str">
        <x:v>是</x:v>
      </x:c>
      <x:c r="H302" s="68" t="str"/>
    </x:row>
    <x:row r="303">
      <x:c r="A303" s="68" t="str">
        <x:v>卡点类型</x:v>
      </x:c>
      <x:c r="B303" s="68" t="str">
        <x:v>BLOCK01</x:v>
      </x:c>
      <x:c r="C303" s="68" t="str">
        <x:v>缺桥</x:v>
      </x:c>
      <x:c r="D303" s="68" t="str">
        <x:v>卡点类型的标准选项：缺桥。具体成立条件由对应模块规则定义。</x:v>
      </x:c>
      <x:c r="E303" s="68" t="str">
        <x:v>卡点类型</x:v>
      </x:c>
      <x:c r="F303" s="98" t="n">
        <x:v>1</x:v>
      </x:c>
      <x:c r="G303" s="68" t="str">
        <x:v>是</x:v>
      </x:c>
      <x:c r="H303" s="68" t="str"/>
    </x:row>
    <x:row r="304">
      <x:c r="A304" s="68" t="str">
        <x:v>卡点类型</x:v>
      </x:c>
      <x:c r="B304" s="68" t="str">
        <x:v>BLOCK02</x:v>
      </x:c>
      <x:c r="C304" s="68" t="str">
        <x:v>桥梁太弱</x:v>
      </x:c>
      <x:c r="D304" s="68" t="str">
        <x:v>卡点类型的标准选项：桥梁太弱。具体成立条件由对应模块规则定义。</x:v>
      </x:c>
      <x:c r="E304" s="68" t="str">
        <x:v>卡点类型</x:v>
      </x:c>
      <x:c r="F304" s="98" t="n">
        <x:v>2</x:v>
      </x:c>
      <x:c r="G304" s="68" t="str">
        <x:v>是</x:v>
      </x:c>
      <x:c r="H304" s="68" t="str"/>
    </x:row>
    <x:row r="305">
      <x:c r="A305" s="68" t="str">
        <x:v>卡点类型</x:v>
      </x:c>
      <x:c r="B305" s="68" t="str">
        <x:v>BLOCK03</x:v>
      </x:c>
      <x:c r="C305" s="68" t="str">
        <x:v>桥梁被克</x:v>
      </x:c>
      <x:c r="D305" s="68" t="str">
        <x:v>卡点类型的标准选项：桥梁被克。具体成立条件由对应模块规则定义。</x:v>
      </x:c>
      <x:c r="E305" s="68" t="str">
        <x:v>卡点类型</x:v>
      </x:c>
      <x:c r="F305" s="98" t="n">
        <x:v>3</x:v>
      </x:c>
      <x:c r="G305" s="68" t="str">
        <x:v>是</x:v>
      </x:c>
      <x:c r="H305" s="68" t="str"/>
    </x:row>
    <x:row r="306">
      <x:c r="A306" s="68" t="str">
        <x:v>卡点类型</x:v>
      </x:c>
      <x:c r="B306" s="68" t="str">
        <x:v>BLOCK04</x:v>
      </x:c>
      <x:c r="C306" s="68" t="str">
        <x:v>桥梁被合绊</x:v>
      </x:c>
      <x:c r="D306" s="68" t="str">
        <x:v>卡点类型的标准选项：桥梁被合绊。具体成立条件由对应模块规则定义。</x:v>
      </x:c>
      <x:c r="E306" s="68" t="str">
        <x:v>卡点类型</x:v>
      </x:c>
      <x:c r="F306" s="98" t="n">
        <x:v>4</x:v>
      </x:c>
      <x:c r="G306" s="68" t="str">
        <x:v>是</x:v>
      </x:c>
      <x:c r="H306" s="68" t="str"/>
    </x:row>
    <x:row r="307">
      <x:c r="A307" s="68" t="str">
        <x:v>卡点类型</x:v>
      </x:c>
      <x:c r="B307" s="68" t="str">
        <x:v>BLOCK05</x:v>
      </x:c>
      <x:c r="C307" s="68" t="str">
        <x:v>源头过旺无泄</x:v>
      </x:c>
      <x:c r="D307" s="68" t="str">
        <x:v>卡点类型的标准选项：源头过旺无泄。具体成立条件由对应模块规则定义。</x:v>
      </x:c>
      <x:c r="E307" s="68" t="str">
        <x:v>卡点类型</x:v>
      </x:c>
      <x:c r="F307" s="98" t="n">
        <x:v>5</x:v>
      </x:c>
      <x:c r="G307" s="68" t="str">
        <x:v>是</x:v>
      </x:c>
      <x:c r="H307" s="68" t="str"/>
    </x:row>
    <x:row r="308">
      <x:c r="A308" s="68" t="str">
        <x:v>卡点类型</x:v>
      </x:c>
      <x:c r="B308" s="68" t="str">
        <x:v>BLOCK06</x:v>
      </x:c>
      <x:c r="C308" s="68" t="str">
        <x:v>终点过弱不能承载</x:v>
      </x:c>
      <x:c r="D308" s="68" t="str">
        <x:v>卡点类型的标准选项：终点过弱不能承载。具体成立条件由对应模块规则定义。</x:v>
      </x:c>
      <x:c r="E308" s="68" t="str">
        <x:v>卡点类型</x:v>
      </x:c>
      <x:c r="F308" s="98" t="n">
        <x:v>6</x:v>
      </x:c>
      <x:c r="G308" s="68" t="str">
        <x:v>是</x:v>
      </x:c>
      <x:c r="H308" s="68" t="str"/>
    </x:row>
    <x:row r="309">
      <x:c r="A309" s="68" t="str">
        <x:v>卡点类型</x:v>
      </x:c>
      <x:c r="B309" s="68" t="str">
        <x:v>BLOCK07</x:v>
      </x:c>
      <x:c r="C309" s="68" t="str">
        <x:v>终点过旺反制</x:v>
      </x:c>
      <x:c r="D309" s="68" t="str">
        <x:v>卡点类型的标准选项：终点过旺反制。具体成立条件由对应模块规则定义。</x:v>
      </x:c>
      <x:c r="E309" s="68" t="str">
        <x:v>卡点类型</x:v>
      </x:c>
      <x:c r="F309" s="98" t="n">
        <x:v>7</x:v>
      </x:c>
      <x:c r="G309" s="68" t="str">
        <x:v>是</x:v>
      </x:c>
      <x:c r="H309" s="68" t="str"/>
    </x:row>
    <x:row r="310">
      <x:c r="A310" s="68" t="str">
        <x:v>卡点类型</x:v>
      </x:c>
      <x:c r="B310" s="68" t="str">
        <x:v>BLOCK08</x:v>
      </x:c>
      <x:c r="C310" s="68" t="str">
        <x:v>两强相战</x:v>
      </x:c>
      <x:c r="D310" s="68" t="str">
        <x:v>卡点类型的标准选项：两强相战。具体成立条件由对应模块规则定义。</x:v>
      </x:c>
      <x:c r="E310" s="68" t="str">
        <x:v>卡点类型</x:v>
      </x:c>
      <x:c r="F310" s="98" t="n">
        <x:v>8</x:v>
      </x:c>
      <x:c r="G310" s="68" t="str">
        <x:v>是</x:v>
      </x:c>
      <x:c r="H310" s="68" t="str"/>
    </x:row>
    <x:row r="311">
      <x:c r="A311" s="68" t="str">
        <x:v>卡点类型</x:v>
      </x:c>
      <x:c r="B311" s="68" t="str">
        <x:v>BLOCK09</x:v>
      </x:c>
      <x:c r="C311" s="68" t="str">
        <x:v>寒凝</x:v>
      </x:c>
      <x:c r="D311" s="68" t="str">
        <x:v>卡点类型的标准选项：寒凝。具体成立条件由对应模块规则定义。</x:v>
      </x:c>
      <x:c r="E311" s="68" t="str">
        <x:v>卡点类型</x:v>
      </x:c>
      <x:c r="F311" s="98" t="n">
        <x:v>9</x:v>
      </x:c>
      <x:c r="G311" s="68" t="str">
        <x:v>是</x:v>
      </x:c>
      <x:c r="H311" s="68" t="str"/>
    </x:row>
    <x:row r="312">
      <x:c r="A312" s="68" t="str">
        <x:v>卡点类型</x:v>
      </x:c>
      <x:c r="B312" s="68" t="str">
        <x:v>BLOCK10</x:v>
      </x:c>
      <x:c r="C312" s="68" t="str">
        <x:v>燥枯</x:v>
      </x:c>
      <x:c r="D312" s="68" t="str">
        <x:v>卡点类型的标准选项：燥枯。具体成立条件由对应模块规则定义。</x:v>
      </x:c>
      <x:c r="E312" s="68" t="str">
        <x:v>卡点类型</x:v>
      </x:c>
      <x:c r="F312" s="98" t="n">
        <x:v>10</x:v>
      </x:c>
      <x:c r="G312" s="68" t="str">
        <x:v>是</x:v>
      </x:c>
      <x:c r="H312" s="68" t="str"/>
    </x:row>
    <x:row r="313">
      <x:c r="A313" s="68" t="str">
        <x:v>卡点类型</x:v>
      </x:c>
      <x:c r="B313" s="68" t="str">
        <x:v>BLOCK11</x:v>
      </x:c>
      <x:c r="C313" s="68" t="str">
        <x:v>链路过长</x:v>
      </x:c>
      <x:c r="D313" s="68" t="str">
        <x:v>卡点类型的标准选项：链路过长。具体成立条件由对应模块规则定义。</x:v>
      </x:c>
      <x:c r="E313" s="68" t="str">
        <x:v>卡点类型</x:v>
      </x:c>
      <x:c r="F313" s="98" t="n">
        <x:v>11</x:v>
      </x:c>
      <x:c r="G313" s="68" t="str">
        <x:v>是</x:v>
      </x:c>
      <x:c r="H313" s="68" t="str"/>
    </x:row>
    <x:row r="314">
      <x:c r="A314" s="68" t="str">
        <x:v>卡点类型</x:v>
      </x:c>
      <x:c r="B314" s="68" t="str">
        <x:v>BLOCK12</x:v>
      </x:c>
      <x:c r="C314" s="68" t="str">
        <x:v>回流壅塞</x:v>
      </x:c>
      <x:c r="D314" s="68" t="str">
        <x:v>卡点类型的标准选项：回流壅塞。具体成立条件由对应模块规则定义。</x:v>
      </x:c>
      <x:c r="E314" s="68" t="str">
        <x:v>卡点类型</x:v>
      </x:c>
      <x:c r="F314" s="98" t="n">
        <x:v>12</x:v>
      </x:c>
      <x:c r="G314" s="68" t="str">
        <x:v>是</x:v>
      </x:c>
      <x:c r="H314" s="68" t="str"/>
    </x:row>
    <x:row r="315">
      <x:c r="A315" s="68" t="str">
        <x:v>卡点类型</x:v>
      </x:c>
      <x:c r="B315" s="68" t="str">
        <x:v>BLOCK13</x:v>
      </x:c>
      <x:c r="C315" s="68" t="str">
        <x:v>其他</x:v>
      </x:c>
      <x:c r="D315" s="68" t="str">
        <x:v>卡点类型的标准选项：其他。具体成立条件由对应模块规则定义。</x:v>
      </x:c>
      <x:c r="E315" s="68" t="str">
        <x:v>卡点类型</x:v>
      </x:c>
      <x:c r="F315" s="98" t="n">
        <x:v>13</x:v>
      </x:c>
      <x:c r="G315" s="68" t="str">
        <x:v>是</x:v>
      </x:c>
      <x:c r="H315" s="68" t="str"/>
    </x:row>
    <x:row r="316">
      <x:c r="A316" s="68" t="str">
        <x:v>组合类别</x:v>
      </x:c>
      <x:c r="B316" s="68" t="str">
        <x:v>COMB01</x:v>
      </x:c>
      <x:c r="C316" s="68" t="str">
        <x:v>生化型</x:v>
      </x:c>
      <x:c r="D316" s="68" t="str">
        <x:v>组合类别的标准选项：生化型。具体成立条件由对应模块规则定义。</x:v>
      </x:c>
      <x:c r="E316" s="68" t="str">
        <x:v>组合类别</x:v>
      </x:c>
      <x:c r="F316" s="98" t="n">
        <x:v>1</x:v>
      </x:c>
      <x:c r="G316" s="68" t="str">
        <x:v>是</x:v>
      </x:c>
      <x:c r="H316" s="68" t="str"/>
    </x:row>
    <x:row r="317">
      <x:c r="A317" s="68" t="str">
        <x:v>组合类别</x:v>
      </x:c>
      <x:c r="B317" s="68" t="str">
        <x:v>COMB02</x:v>
      </x:c>
      <x:c r="C317" s="68" t="str">
        <x:v>制化型</x:v>
      </x:c>
      <x:c r="D317" s="68" t="str">
        <x:v>组合类别的标准选项：制化型。具体成立条件由对应模块规则定义。</x:v>
      </x:c>
      <x:c r="E317" s="68" t="str">
        <x:v>组合类别</x:v>
      </x:c>
      <x:c r="F317" s="98" t="n">
        <x:v>2</x:v>
      </x:c>
      <x:c r="G317" s="68" t="str">
        <x:v>是</x:v>
      </x:c>
      <x:c r="H317" s="68" t="str"/>
    </x:row>
    <x:row r="318">
      <x:c r="A318" s="68" t="str">
        <x:v>组合类别</x:v>
      </x:c>
      <x:c r="B318" s="68" t="str">
        <x:v>COMB03</x:v>
      </x:c>
      <x:c r="C318" s="68" t="str">
        <x:v>平衡承载型</x:v>
      </x:c>
      <x:c r="D318" s="68" t="str">
        <x:v>组合类别的标准选项：平衡承载型。具体成立条件由对应模块规则定义。</x:v>
      </x:c>
      <x:c r="E318" s="68" t="str">
        <x:v>组合类别</x:v>
      </x:c>
      <x:c r="F318" s="98" t="n">
        <x:v>3</x:v>
      </x:c>
      <x:c r="G318" s="68" t="str">
        <x:v>是</x:v>
      </x:c>
      <x:c r="H318" s="68" t="str"/>
    </x:row>
    <x:row r="319">
      <x:c r="A319" s="68" t="str">
        <x:v>组合类别</x:v>
      </x:c>
      <x:c r="B319" s="68" t="str">
        <x:v>COMB04</x:v>
      </x:c>
      <x:c r="C319" s="68" t="str">
        <x:v>冲突病态型</x:v>
      </x:c>
      <x:c r="D319" s="68" t="str">
        <x:v>组合类别的标准选项：冲突病态型。具体成立条件由对应模块规则定义。</x:v>
      </x:c>
      <x:c r="E319" s="68" t="str">
        <x:v>组合类别</x:v>
      </x:c>
      <x:c r="F319" s="98" t="n">
        <x:v>4</x:v>
      </x:c>
      <x:c r="G319" s="68" t="str">
        <x:v>是</x:v>
      </x:c>
      <x:c r="H319" s="68" t="str"/>
    </x:row>
    <x:row r="320">
      <x:c r="A320" s="68" t="str">
        <x:v>组合类别</x:v>
      </x:c>
      <x:c r="B320" s="68" t="str">
        <x:v>COMB05</x:v>
      </x:c>
      <x:c r="C320" s="68" t="str">
        <x:v>其他</x:v>
      </x:c>
      <x:c r="D320" s="68" t="str">
        <x:v>组合类别的标准选项：其他。具体成立条件由对应模块规则定义。</x:v>
      </x:c>
      <x:c r="E320" s="68" t="str">
        <x:v>组合类别</x:v>
      </x:c>
      <x:c r="F320" s="98" t="n">
        <x:v>5</x:v>
      </x:c>
      <x:c r="G320" s="68" t="str">
        <x:v>是</x:v>
      </x:c>
      <x:c r="H320" s="68" t="str"/>
    </x:row>
    <x:row r="321">
      <x:c r="A321" s="68" t="str">
        <x:v>用神来源</x:v>
      </x:c>
      <x:c r="B321" s="68" t="str">
        <x:v>USE01</x:v>
      </x:c>
      <x:c r="C321" s="68" t="str">
        <x:v>扶抑用神</x:v>
      </x:c>
      <x:c r="D321" s="68" t="str">
        <x:v>用神来源的标准选项：扶抑用神。具体成立条件由对应模块规则定义。</x:v>
      </x:c>
      <x:c r="E321" s="68" t="str">
        <x:v>用神来源</x:v>
      </x:c>
      <x:c r="F321" s="98" t="n">
        <x:v>1</x:v>
      </x:c>
      <x:c r="G321" s="68" t="str">
        <x:v>是</x:v>
      </x:c>
      <x:c r="H321" s="68" t="str"/>
    </x:row>
    <x:row r="322">
      <x:c r="A322" s="68" t="str">
        <x:v>用神来源</x:v>
      </x:c>
      <x:c r="B322" s="68" t="str">
        <x:v>USE02</x:v>
      </x:c>
      <x:c r="C322" s="68" t="str">
        <x:v>格局用神</x:v>
      </x:c>
      <x:c r="D322" s="68" t="str">
        <x:v>用神来源的标准选项：格局用神。具体成立条件由对应模块规则定义。</x:v>
      </x:c>
      <x:c r="E322" s="68" t="str">
        <x:v>用神来源</x:v>
      </x:c>
      <x:c r="F322" s="98" t="n">
        <x:v>2</x:v>
      </x:c>
      <x:c r="G322" s="68" t="str">
        <x:v>是</x:v>
      </x:c>
      <x:c r="H322" s="68" t="str"/>
    </x:row>
    <x:row r="323">
      <x:c r="A323" s="68" t="str">
        <x:v>用神来源</x:v>
      </x:c>
      <x:c r="B323" s="68" t="str">
        <x:v>USE03</x:v>
      </x:c>
      <x:c r="C323" s="68" t="str">
        <x:v>通关用神</x:v>
      </x:c>
      <x:c r="D323" s="68" t="str">
        <x:v>用神来源的标准选项：通关用神。具体成立条件由对应模块规则定义。</x:v>
      </x:c>
      <x:c r="E323" s="68" t="str">
        <x:v>用神来源</x:v>
      </x:c>
      <x:c r="F323" s="98" t="n">
        <x:v>3</x:v>
      </x:c>
      <x:c r="G323" s="68" t="str">
        <x:v>是</x:v>
      </x:c>
      <x:c r="H323" s="68" t="str"/>
    </x:row>
    <x:row r="324">
      <x:c r="A324" s="68" t="str">
        <x:v>用神来源</x:v>
      </x:c>
      <x:c r="B324" s="68" t="str">
        <x:v>USE04</x:v>
      </x:c>
      <x:c r="C324" s="68" t="str">
        <x:v>调候用神</x:v>
      </x:c>
      <x:c r="D324" s="68" t="str">
        <x:v>用神来源的标准选项：调候用神。具体成立条件由对应模块规则定义。</x:v>
      </x:c>
      <x:c r="E324" s="68" t="str">
        <x:v>用神来源</x:v>
      </x:c>
      <x:c r="F324" s="98" t="n">
        <x:v>4</x:v>
      </x:c>
      <x:c r="G324" s="68" t="str">
        <x:v>是</x:v>
      </x:c>
      <x:c r="H324" s="68" t="str"/>
    </x:row>
    <x:row r="325">
      <x:c r="A325" s="68" t="str">
        <x:v>用神来源</x:v>
      </x:c>
      <x:c r="B325" s="68" t="str">
        <x:v>USE05</x:v>
      </x:c>
      <x:c r="C325" s="68" t="str">
        <x:v>病药用神</x:v>
      </x:c>
      <x:c r="D325" s="68" t="str">
        <x:v>用神来源的标准选项：病药用神。具体成立条件由对应模块规则定义。</x:v>
      </x:c>
      <x:c r="E325" s="68" t="str">
        <x:v>用神来源</x:v>
      </x:c>
      <x:c r="F325" s="98" t="n">
        <x:v>5</x:v>
      </x:c>
      <x:c r="G325" s="68" t="str">
        <x:v>是</x:v>
      </x:c>
      <x:c r="H325" s="68" t="str"/>
    </x:row>
    <x:row r="326">
      <x:c r="A326" s="68" t="str">
        <x:v>用神来源</x:v>
      </x:c>
      <x:c r="B326" s="68" t="str">
        <x:v>USE06</x:v>
      </x:c>
      <x:c r="C326" s="68" t="str">
        <x:v>复合来源</x:v>
      </x:c>
      <x:c r="D326" s="68" t="str">
        <x:v>用神来源的标准选项：复合来源。具体成立条件由对应模块规则定义。</x:v>
      </x:c>
      <x:c r="E326" s="68" t="str">
        <x:v>用神来源</x:v>
      </x:c>
      <x:c r="F326" s="98" t="n">
        <x:v>6</x:v>
      </x:c>
      <x:c r="G326" s="68" t="str">
        <x:v>是</x:v>
      </x:c>
      <x:c r="H326" s="68" t="str"/>
    </x:row>
    <x:row r="327">
      <x:c r="A327" s="68" t="str">
        <x:v>主次优先级</x:v>
      </x:c>
      <x:c r="B327" s="68" t="str">
        <x:v>UPR01</x:v>
      </x:c>
      <x:c r="C327" s="68" t="str">
        <x:v>第一顺位</x:v>
      </x:c>
      <x:c r="D327" s="68" t="str">
        <x:v>主次优先级的标准选项：第一顺位。具体成立条件由对应模块规则定义。</x:v>
      </x:c>
      <x:c r="E327" s="68" t="str">
        <x:v>主次优先级</x:v>
      </x:c>
      <x:c r="F327" s="98" t="n">
        <x:v>1</x:v>
      </x:c>
      <x:c r="G327" s="68" t="str">
        <x:v>是</x:v>
      </x:c>
      <x:c r="H327" s="68" t="str"/>
    </x:row>
    <x:row r="328">
      <x:c r="A328" s="68" t="str">
        <x:v>主次优先级</x:v>
      </x:c>
      <x:c r="B328" s="68" t="str">
        <x:v>UPR02</x:v>
      </x:c>
      <x:c r="C328" s="68" t="str">
        <x:v>第二顺位</x:v>
      </x:c>
      <x:c r="D328" s="68" t="str">
        <x:v>主次优先级的标准选项：第二顺位。具体成立条件由对应模块规则定义。</x:v>
      </x:c>
      <x:c r="E328" s="68" t="str">
        <x:v>主次优先级</x:v>
      </x:c>
      <x:c r="F328" s="98" t="n">
        <x:v>2</x:v>
      </x:c>
      <x:c r="G328" s="68" t="str">
        <x:v>是</x:v>
      </x:c>
      <x:c r="H328" s="68" t="str"/>
    </x:row>
    <x:row r="329">
      <x:c r="A329" s="68" t="str">
        <x:v>主次优先级</x:v>
      </x:c>
      <x:c r="B329" s="68" t="str">
        <x:v>UPR03</x:v>
      </x:c>
      <x:c r="C329" s="68" t="str">
        <x:v>第三顺位</x:v>
      </x:c>
      <x:c r="D329" s="68" t="str">
        <x:v>主次优先级的标准选项：第三顺位。具体成立条件由对应模块规则定义。</x:v>
      </x:c>
      <x:c r="E329" s="68" t="str">
        <x:v>主次优先级</x:v>
      </x:c>
      <x:c r="F329" s="98" t="n">
        <x:v>3</x:v>
      </x:c>
      <x:c r="G329" s="68" t="str">
        <x:v>是</x:v>
      </x:c>
      <x:c r="H329" s="68" t="str"/>
    </x:row>
    <x:row r="330">
      <x:c r="A330" s="68" t="str">
        <x:v>主次优先级</x:v>
      </x:c>
      <x:c r="B330" s="68" t="str">
        <x:v>UPR04</x:v>
      </x:c>
      <x:c r="C330" s="68" t="str">
        <x:v>条件顺位</x:v>
      </x:c>
      <x:c r="D330" s="68" t="str">
        <x:v>主次优先级的标准选项：条件顺位。具体成立条件由对应模块规则定义。</x:v>
      </x:c>
      <x:c r="E330" s="68" t="str">
        <x:v>主次优先级</x:v>
      </x:c>
      <x:c r="F330" s="98" t="n">
        <x:v>4</x:v>
      </x:c>
      <x:c r="G330" s="68" t="str">
        <x:v>是</x:v>
      </x:c>
      <x:c r="H330" s="68" t="str"/>
    </x:row>
    <x:row r="331">
      <x:c r="A331" s="68" t="str">
        <x:v>主次优先级</x:v>
      </x:c>
      <x:c r="B331" s="68" t="str">
        <x:v>UPR05</x:v>
      </x:c>
      <x:c r="C331" s="68" t="str">
        <x:v>不采用</x:v>
      </x:c>
      <x:c r="D331" s="68" t="str">
        <x:v>主次优先级的标准选项：不采用。具体成立条件由对应模块规则定义。</x:v>
      </x:c>
      <x:c r="E331" s="68" t="str">
        <x:v>主次优先级</x:v>
      </x:c>
      <x:c r="F331" s="98" t="n">
        <x:v>5</x:v>
      </x:c>
      <x:c r="G331" s="68" t="str">
        <x:v>是</x:v>
      </x:c>
      <x:c r="H331" s="68" t="str"/>
    </x:row>
    <x:row r="332">
      <x:c r="A332" s="68" t="str">
        <x:v>主次优先级</x:v>
      </x:c>
      <x:c r="B332" s="68" t="str">
        <x:v>UPR06</x:v>
      </x:c>
      <x:c r="C332" s="68" t="str">
        <x:v>待定</x:v>
      </x:c>
      <x:c r="D332" s="68" t="str">
        <x:v>主次优先级的标准选项：待定。具体成立条件由对应模块规则定义。</x:v>
      </x:c>
      <x:c r="E332" s="68" t="str">
        <x:v>主次优先级</x:v>
      </x:c>
      <x:c r="F332" s="98" t="n">
        <x:v>6</x:v>
      </x:c>
      <x:c r="G332" s="68" t="str">
        <x:v>是</x:v>
      </x:c>
      <x:c r="H332" s="68" t="str"/>
    </x:row>
    <x:row r="333">
      <x:c r="A333" s="68" t="str">
        <x:v>必填性</x:v>
      </x:c>
      <x:c r="B333" s="68" t="str">
        <x:v>REQ01</x:v>
      </x:c>
      <x:c r="C333" s="68" t="str">
        <x:v>必填</x:v>
      </x:c>
      <x:c r="D333" s="68" t="str">
        <x:v>必填性的标准选项：必填。具体成立条件由对应模块规则定义。</x:v>
      </x:c>
      <x:c r="E333" s="68" t="str">
        <x:v>必填性</x:v>
      </x:c>
      <x:c r="F333" s="98" t="n">
        <x:v>1</x:v>
      </x:c>
      <x:c r="G333" s="68" t="str">
        <x:v>是</x:v>
      </x:c>
      <x:c r="H333" s="68" t="str"/>
    </x:row>
    <x:row r="334">
      <x:c r="A334" s="68" t="str">
        <x:v>必填性</x:v>
      </x:c>
      <x:c r="B334" s="68" t="str">
        <x:v>REQ02</x:v>
      </x:c>
      <x:c r="C334" s="68" t="str">
        <x:v>条件必填</x:v>
      </x:c>
      <x:c r="D334" s="68" t="str">
        <x:v>必填性的标准选项：条件必填。具体成立条件由对应模块规则定义。</x:v>
      </x:c>
      <x:c r="E334" s="68" t="str">
        <x:v>必填性</x:v>
      </x:c>
      <x:c r="F334" s="98" t="n">
        <x:v>2</x:v>
      </x:c>
      <x:c r="G334" s="68" t="str">
        <x:v>是</x:v>
      </x:c>
      <x:c r="H334" s="68" t="str"/>
    </x:row>
    <x:row r="335">
      <x:c r="A335" s="68" t="str">
        <x:v>必填性</x:v>
      </x:c>
      <x:c r="B335" s="68" t="str">
        <x:v>REQ03</x:v>
      </x:c>
      <x:c r="C335" s="68" t="str">
        <x:v>选填</x:v>
      </x:c>
      <x:c r="D335" s="68" t="str">
        <x:v>必填性的标准选项：选填。具体成立条件由对应模块规则定义。</x:v>
      </x:c>
      <x:c r="E335" s="68" t="str">
        <x:v>必填性</x:v>
      </x:c>
      <x:c r="F335" s="98" t="n">
        <x:v>3</x:v>
      </x:c>
      <x:c r="G335" s="68" t="str">
        <x:v>是</x:v>
      </x:c>
      <x:c r="H335" s="68" t="str"/>
    </x:row>
    <x:row r="336">
      <x:c r="A336" s="68" t="str">
        <x:v>必填性</x:v>
      </x:c>
      <x:c r="B336" s="68" t="str">
        <x:v>REQ04</x:v>
      </x:c>
      <x:c r="C336" s="68" t="str">
        <x:v>内部字段</x:v>
      </x:c>
      <x:c r="D336" s="68" t="str">
        <x:v>必填性的标准选项：内部字段。具体成立条件由对应模块规则定义。</x:v>
      </x:c>
      <x:c r="E336" s="68" t="str">
        <x:v>必填性</x:v>
      </x:c>
      <x:c r="F336" s="98" t="n">
        <x:v>4</x:v>
      </x:c>
      <x:c r="G336" s="68" t="str">
        <x:v>是</x:v>
      </x:c>
      <x:c r="H336" s="68" t="str"/>
    </x:row>
    <x:row r="337">
      <x:c r="A337" s="68" t="str">
        <x:v>输出层级</x:v>
      </x:c>
      <x:c r="B337" s="68" t="str">
        <x:v>OUT01</x:v>
      </x:c>
      <x:c r="C337" s="68" t="str">
        <x:v>内部推理</x:v>
      </x:c>
      <x:c r="D337" s="68" t="str">
        <x:v>输出层级的标准选项：内部推理。具体成立条件由对应模块规则定义。</x:v>
      </x:c>
      <x:c r="E337" s="68" t="str">
        <x:v>输出层级</x:v>
      </x:c>
      <x:c r="F337" s="98" t="n">
        <x:v>1</x:v>
      </x:c>
      <x:c r="G337" s="68" t="str">
        <x:v>是</x:v>
      </x:c>
      <x:c r="H337" s="68" t="str"/>
    </x:row>
    <x:row r="338">
      <x:c r="A338" s="68" t="str">
        <x:v>输出层级</x:v>
      </x:c>
      <x:c r="B338" s="68" t="str">
        <x:v>OUT02</x:v>
      </x:c>
      <x:c r="C338" s="68" t="str">
        <x:v>分析师输出</x:v>
      </x:c>
      <x:c r="D338" s="68" t="str">
        <x:v>输出层级的标准选项：分析师输出。具体成立条件由对应模块规则定义。</x:v>
      </x:c>
      <x:c r="E338" s="68" t="str">
        <x:v>输出层级</x:v>
      </x:c>
      <x:c r="F338" s="98" t="n">
        <x:v>2</x:v>
      </x:c>
      <x:c r="G338" s="68" t="str">
        <x:v>是</x:v>
      </x:c>
      <x:c r="H338" s="68" t="str"/>
    </x:row>
    <x:row r="339">
      <x:c r="A339" s="68" t="str">
        <x:v>输出层级</x:v>
      </x:c>
      <x:c r="B339" s="68" t="str">
        <x:v>OUT03</x:v>
      </x:c>
      <x:c r="C339" s="68" t="str">
        <x:v>用户输出</x:v>
      </x:c>
      <x:c r="D339" s="68" t="str">
        <x:v>输出层级的标准选项：用户输出。具体成立条件由对应模块规则定义。</x:v>
      </x:c>
      <x:c r="E339" s="68" t="str">
        <x:v>输出层级</x:v>
      </x:c>
      <x:c r="F339" s="98" t="n">
        <x:v>3</x:v>
      </x:c>
      <x:c r="G339" s="68" t="str">
        <x:v>是</x:v>
      </x:c>
      <x:c r="H339" s="68" t="str"/>
    </x:row>
    <x:row r="340">
      <x:c r="A340" s="68" t="str">
        <x:v>输出层级</x:v>
      </x:c>
      <x:c r="B340" s="68" t="str">
        <x:v>OUT04</x:v>
      </x:c>
      <x:c r="C340" s="68" t="str">
        <x:v>三层通用</x:v>
      </x:c>
      <x:c r="D340" s="68" t="str">
        <x:v>输出层级的标准选项：三层通用。具体成立条件由对应模块规则定义。</x:v>
      </x:c>
      <x:c r="E340" s="68" t="str">
        <x:v>输出层级</x:v>
      </x:c>
      <x:c r="F340" s="98" t="n">
        <x:v>4</x:v>
      </x:c>
      <x:c r="G340" s="68" t="str">
        <x:v>是</x:v>
      </x:c>
      <x:c r="H340" s="68" t="str"/>
    </x:row>
    <x:row r="341">
      <x:c r="A341" s="68" t="str">
        <x:v>数据类型</x:v>
      </x:c>
      <x:c r="B341" s="68" t="str">
        <x:v>DT01</x:v>
      </x:c>
      <x:c r="C341" s="68" t="str">
        <x:v>短文本</x:v>
      </x:c>
      <x:c r="D341" s="68" t="str">
        <x:v>数据类型的标准选项：短文本。具体成立条件由对应模块规则定义。</x:v>
      </x:c>
      <x:c r="E341" s="68" t="str">
        <x:v>数据类型</x:v>
      </x:c>
      <x:c r="F341" s="98" t="n">
        <x:v>1</x:v>
      </x:c>
      <x:c r="G341" s="68" t="str">
        <x:v>是</x:v>
      </x:c>
      <x:c r="H341" s="68" t="str"/>
    </x:row>
    <x:row r="342">
      <x:c r="A342" s="68" t="str">
        <x:v>数据类型</x:v>
      </x:c>
      <x:c r="B342" s="68" t="str">
        <x:v>DT02</x:v>
      </x:c>
      <x:c r="C342" s="68" t="str">
        <x:v>长文本</x:v>
      </x:c>
      <x:c r="D342" s="68" t="str">
        <x:v>数据类型的标准选项：长文本。具体成立条件由对应模块规则定义。</x:v>
      </x:c>
      <x:c r="E342" s="68" t="str">
        <x:v>数据类型</x:v>
      </x:c>
      <x:c r="F342" s="98" t="n">
        <x:v>2</x:v>
      </x:c>
      <x:c r="G342" s="68" t="str">
        <x:v>是</x:v>
      </x:c>
      <x:c r="H342" s="68" t="str"/>
    </x:row>
    <x:row r="343">
      <x:c r="A343" s="68" t="str">
        <x:v>数据类型</x:v>
      </x:c>
      <x:c r="B343" s="68" t="str">
        <x:v>DT03</x:v>
      </x:c>
      <x:c r="C343" s="68" t="str">
        <x:v>枚举</x:v>
      </x:c>
      <x:c r="D343" s="68" t="str">
        <x:v>数据类型的标准选项：枚举。具体成立条件由对应模块规则定义。</x:v>
      </x:c>
      <x:c r="E343" s="68" t="str">
        <x:v>数据类型</x:v>
      </x:c>
      <x:c r="F343" s="98" t="n">
        <x:v>3</x:v>
      </x:c>
      <x:c r="G343" s="68" t="str">
        <x:v>是</x:v>
      </x:c>
      <x:c r="H343" s="68" t="str"/>
    </x:row>
    <x:row r="344">
      <x:c r="A344" s="68" t="str">
        <x:v>数据类型</x:v>
      </x:c>
      <x:c r="B344" s="68" t="str">
        <x:v>DT04</x:v>
      </x:c>
      <x:c r="C344" s="68" t="str">
        <x:v>整数</x:v>
      </x:c>
      <x:c r="D344" s="68" t="str">
        <x:v>数据类型的标准选项：整数。具体成立条件由对应模块规则定义。</x:v>
      </x:c>
      <x:c r="E344" s="68" t="str">
        <x:v>数据类型</x:v>
      </x:c>
      <x:c r="F344" s="98" t="n">
        <x:v>4</x:v>
      </x:c>
      <x:c r="G344" s="68" t="str">
        <x:v>是</x:v>
      </x:c>
      <x:c r="H344" s="68" t="str"/>
    </x:row>
    <x:row r="345">
      <x:c r="A345" s="68" t="str">
        <x:v>数据类型</x:v>
      </x:c>
      <x:c r="B345" s="68" t="str">
        <x:v>DT05</x:v>
      </x:c>
      <x:c r="C345" s="68" t="str">
        <x:v>小数</x:v>
      </x:c>
      <x:c r="D345" s="68" t="str">
        <x:v>数据类型的标准选项：小数。具体成立条件由对应模块规则定义。</x:v>
      </x:c>
      <x:c r="E345" s="68" t="str">
        <x:v>数据类型</x:v>
      </x:c>
      <x:c r="F345" s="98" t="n">
        <x:v>5</x:v>
      </x:c>
      <x:c r="G345" s="68" t="str">
        <x:v>是</x:v>
      </x:c>
      <x:c r="H345" s="68" t="str"/>
    </x:row>
    <x:row r="346">
      <x:c r="A346" s="68" t="str">
        <x:v>数据类型</x:v>
      </x:c>
      <x:c r="B346" s="68" t="str">
        <x:v>DT06</x:v>
      </x:c>
      <x:c r="C346" s="68" t="str">
        <x:v>日期</x:v>
      </x:c>
      <x:c r="D346" s="68" t="str">
        <x:v>数据类型的标准选项：日期。具体成立条件由对应模块规则定义。</x:v>
      </x:c>
      <x:c r="E346" s="68" t="str">
        <x:v>数据类型</x:v>
      </x:c>
      <x:c r="F346" s="98" t="n">
        <x:v>6</x:v>
      </x:c>
      <x:c r="G346" s="68" t="str">
        <x:v>是</x:v>
      </x:c>
      <x:c r="H346" s="68" t="str"/>
    </x:row>
    <x:row r="347">
      <x:c r="A347" s="68" t="str">
        <x:v>数据类型</x:v>
      </x:c>
      <x:c r="B347" s="68" t="str">
        <x:v>DT07</x:v>
      </x:c>
      <x:c r="C347" s="68" t="str">
        <x:v>布尔/条件</x:v>
      </x:c>
      <x:c r="D347" s="68" t="str">
        <x:v>数据类型的标准选项：布尔/条件。具体成立条件由对应模块规则定义。</x:v>
      </x:c>
      <x:c r="E347" s="68" t="str">
        <x:v>数据类型</x:v>
      </x:c>
      <x:c r="F347" s="98" t="n">
        <x:v>7</x:v>
      </x:c>
      <x:c r="G347" s="68" t="str">
        <x:v>是</x:v>
      </x:c>
      <x:c r="H347" s="68" t="str"/>
    </x:row>
    <x:row r="348">
      <x:c r="A348" s="68" t="str">
        <x:v>数据类型</x:v>
      </x:c>
      <x:c r="B348" s="68" t="str">
        <x:v>DT08</x:v>
      </x:c>
      <x:c r="C348" s="68" t="str">
        <x:v>Rule_ID引用</x:v>
      </x:c>
      <x:c r="D348" s="68" t="str">
        <x:v>数据类型的标准选项：Rule_ID引用。具体成立条件由对应模块规则定义。</x:v>
      </x:c>
      <x:c r="E348" s="68" t="str">
        <x:v>数据类型</x:v>
      </x:c>
      <x:c r="F348" s="98" t="n">
        <x:v>8</x:v>
      </x:c>
      <x:c r="G348" s="68" t="str">
        <x:v>是</x:v>
      </x:c>
      <x:c r="H348" s="68" t="str"/>
    </x:row>
    <x:row r="349">
      <x:c r="A349" s="68" t="str">
        <x:v>数据类型</x:v>
      </x:c>
      <x:c r="B349" s="68" t="str">
        <x:v>DT09</x:v>
      </x:c>
      <x:c r="C349" s="68" t="str">
        <x:v>多值标签</x:v>
      </x:c>
      <x:c r="D349" s="68" t="str">
        <x:v>数据类型的标准选项：多值标签。具体成立条件由对应模块规则定义。</x:v>
      </x:c>
      <x:c r="E349" s="68" t="str">
        <x:v>数据类型</x:v>
      </x:c>
      <x:c r="F349" s="98" t="n">
        <x:v>9</x:v>
      </x:c>
      <x:c r="G349" s="68" t="str">
        <x:v>是</x:v>
      </x:c>
      <x:c r="H349" s="68" t="str"/>
    </x:row>
    <x:row r="350">
      <x:c r="A350" s="68" t="str">
        <x:v>性别</x:v>
      </x:c>
      <x:c r="B350" s="68" t="str">
        <x:v>SEX01</x:v>
      </x:c>
      <x:c r="C350" s="68" t="str">
        <x:v>男</x:v>
      </x:c>
      <x:c r="D350" s="68" t="str">
        <x:v>性别的标准选项：男。具体成立条件由对应模块规则定义。</x:v>
      </x:c>
      <x:c r="E350" s="68" t="str">
        <x:v>性别</x:v>
      </x:c>
      <x:c r="F350" s="98" t="n">
        <x:v>1</x:v>
      </x:c>
      <x:c r="G350" s="68" t="str">
        <x:v>是</x:v>
      </x:c>
      <x:c r="H350" s="68" t="str"/>
    </x:row>
    <x:row r="351">
      <x:c r="A351" s="68" t="str">
        <x:v>性别</x:v>
      </x:c>
      <x:c r="B351" s="68" t="str">
        <x:v>SEX02</x:v>
      </x:c>
      <x:c r="C351" s="68" t="str">
        <x:v>女</x:v>
      </x:c>
      <x:c r="D351" s="68" t="str">
        <x:v>性别的标准选项：女。具体成立条件由对应模块规则定义。</x:v>
      </x:c>
      <x:c r="E351" s="68" t="str">
        <x:v>性别</x:v>
      </x:c>
      <x:c r="F351" s="98" t="n">
        <x:v>2</x:v>
      </x:c>
      <x:c r="G351" s="68" t="str">
        <x:v>是</x:v>
      </x:c>
      <x:c r="H351" s="68" t="str"/>
    </x:row>
    <x:row r="352">
      <x:c r="A352" s="68" t="str">
        <x:v>性别</x:v>
      </x:c>
      <x:c r="B352" s="68" t="str">
        <x:v>SEX03</x:v>
      </x:c>
      <x:c r="C352" s="68" t="str">
        <x:v>未知/不适用</x:v>
      </x:c>
      <x:c r="D352" s="68" t="str">
        <x:v>性别的标准选项：未知/不适用。具体成立条件由对应模块规则定义。</x:v>
      </x:c>
      <x:c r="E352" s="68" t="str">
        <x:v>性别</x:v>
      </x:c>
      <x:c r="F352" s="98" t="n">
        <x:v>3</x:v>
      </x:c>
      <x:c r="G352" s="68" t="str">
        <x:v>是</x:v>
      </x:c>
      <x:c r="H352" s="68" t="str"/>
    </x:row>
    <x:row r="353">
      <x:c r="A353" s="68" t="str">
        <x:v>测试类型</x:v>
      </x:c>
      <x:c r="B353" s="68" t="str">
        <x:v>TEST01</x:v>
      </x:c>
      <x:c r="C353" s="68" t="str">
        <x:v>正例</x:v>
      </x:c>
      <x:c r="D353" s="68" t="str">
        <x:v>测试类型的标准选项：正例。具体成立条件由对应模块规则定义。</x:v>
      </x:c>
      <x:c r="E353" s="68" t="str">
        <x:v>测试类型</x:v>
      </x:c>
      <x:c r="F353" s="98" t="n">
        <x:v>1</x:v>
      </x:c>
      <x:c r="G353" s="68" t="str">
        <x:v>是</x:v>
      </x:c>
      <x:c r="H353" s="68" t="str"/>
    </x:row>
    <x:row r="354">
      <x:c r="A354" s="68" t="str">
        <x:v>测试类型</x:v>
      </x:c>
      <x:c r="B354" s="68" t="str">
        <x:v>TEST02</x:v>
      </x:c>
      <x:c r="C354" s="68" t="str">
        <x:v>反例</x:v>
      </x:c>
      <x:c r="D354" s="68" t="str">
        <x:v>测试类型的标准选项：反例。具体成立条件由对应模块规则定义。</x:v>
      </x:c>
      <x:c r="E354" s="68" t="str">
        <x:v>测试类型</x:v>
      </x:c>
      <x:c r="F354" s="98" t="n">
        <x:v>2</x:v>
      </x:c>
      <x:c r="G354" s="68" t="str">
        <x:v>是</x:v>
      </x:c>
      <x:c r="H354" s="68" t="str"/>
    </x:row>
    <x:row r="355">
      <x:c r="A355" s="68" t="str">
        <x:v>测试类型</x:v>
      </x:c>
      <x:c r="B355" s="68" t="str">
        <x:v>TEST03</x:v>
      </x:c>
      <x:c r="C355" s="68" t="str">
        <x:v>边界案例</x:v>
      </x:c>
      <x:c r="D355" s="68" t="str">
        <x:v>测试类型的标准选项：边界案例。具体成立条件由对应模块规则定义。</x:v>
      </x:c>
      <x:c r="E355" s="68" t="str">
        <x:v>测试类型</x:v>
      </x:c>
      <x:c r="F355" s="98" t="n">
        <x:v>3</x:v>
      </x:c>
      <x:c r="G355" s="68" t="str">
        <x:v>是</x:v>
      </x:c>
      <x:c r="H355" s="68" t="str"/>
    </x:row>
    <x:row r="356">
      <x:c r="A356" s="68" t="str">
        <x:v>测试类型</x:v>
      </x:c>
      <x:c r="B356" s="68" t="str">
        <x:v>TEST04</x:v>
      </x:c>
      <x:c r="C356" s="68" t="str">
        <x:v>回归测试</x:v>
      </x:c>
      <x:c r="D356" s="68" t="str">
        <x:v>测试类型的标准选项：回归测试。具体成立条件由对应模块规则定义。</x:v>
      </x:c>
      <x:c r="E356" s="68" t="str">
        <x:v>测试类型</x:v>
      </x:c>
      <x:c r="F356" s="98" t="n">
        <x:v>4</x:v>
      </x:c>
      <x:c r="G356" s="68" t="str">
        <x:v>是</x:v>
      </x:c>
      <x:c r="H356" s="68" t="str"/>
    </x:row>
    <x:row r="357">
      <x:c r="A357" s="68" t="str">
        <x:v>测试类型</x:v>
      </x:c>
      <x:c r="B357" s="68" t="str">
        <x:v>TEST05</x:v>
      </x:c>
      <x:c r="C357" s="68" t="str">
        <x:v>争议测试</x:v>
      </x:c>
      <x:c r="D357" s="68" t="str">
        <x:v>测试类型的标准选项：争议测试。具体成立条件由对应模块规则定义。</x:v>
      </x:c>
      <x:c r="E357" s="68" t="str">
        <x:v>测试类型</x:v>
      </x:c>
      <x:c r="F357" s="98" t="n">
        <x:v>5</x:v>
      </x:c>
      <x:c r="G357" s="68" t="str">
        <x:v>是</x:v>
      </x:c>
      <x:c r="H357" s="68" t="str"/>
    </x:row>
    <x:row r="358">
      <x:c r="A358" s="68" t="str">
        <x:v>测试类型</x:v>
      </x:c>
      <x:c r="B358" s="68" t="str">
        <x:v>TEST06</x:v>
      </x:c>
      <x:c r="C358" s="68" t="str">
        <x:v>综合案例</x:v>
      </x:c>
      <x:c r="D358" s="68" t="str">
        <x:v>测试类型的标准选项：综合案例。具体成立条件由对应模块规则定义。</x:v>
      </x:c>
      <x:c r="E358" s="68" t="str">
        <x:v>测试类型</x:v>
      </x:c>
      <x:c r="F358" s="98" t="n">
        <x:v>6</x:v>
      </x:c>
      <x:c r="G358" s="68" t="str">
        <x:v>是</x:v>
      </x:c>
      <x:c r="H358" s="68" t="str"/>
    </x:row>
    <x:row r="359">
      <x:c r="A359" s="68" t="str">
        <x:v>测试结果</x:v>
      </x:c>
      <x:c r="B359" s="68" t="str">
        <x:v>TRES01</x:v>
      </x:c>
      <x:c r="C359" s="68" t="str">
        <x:v>未测试</x:v>
      </x:c>
      <x:c r="D359" s="68" t="str">
        <x:v>测试结果的标准选项：未测试。具体成立条件由对应模块规则定义。</x:v>
      </x:c>
      <x:c r="E359" s="68" t="str">
        <x:v>复测结果、测试结果</x:v>
      </x:c>
      <x:c r="F359" s="98" t="n">
        <x:v>1</x:v>
      </x:c>
      <x:c r="G359" s="68" t="str">
        <x:v>是</x:v>
      </x:c>
      <x:c r="H359" s="68" t="str"/>
    </x:row>
    <x:row r="360">
      <x:c r="A360" s="68" t="str">
        <x:v>测试结果</x:v>
      </x:c>
      <x:c r="B360" s="68" t="str">
        <x:v>TRES02</x:v>
      </x:c>
      <x:c r="C360" s="68" t="str">
        <x:v>通过</x:v>
      </x:c>
      <x:c r="D360" s="68" t="str">
        <x:v>实际结果与预期一致，未发现需要修订的关键偏差。</x:v>
      </x:c>
      <x:c r="E360" s="68" t="str">
        <x:v>复测结果、测试结果</x:v>
      </x:c>
      <x:c r="F360" s="98" t="n">
        <x:v>2</x:v>
      </x:c>
      <x:c r="G360" s="68" t="str">
        <x:v>是</x:v>
      </x:c>
      <x:c r="H360" s="68" t="str"/>
    </x:row>
    <x:row r="361">
      <x:c r="A361" s="68" t="str">
        <x:v>测试结果</x:v>
      </x:c>
      <x:c r="B361" s="68" t="str">
        <x:v>TRES03</x:v>
      </x:c>
      <x:c r="C361" s="68" t="str">
        <x:v>部分通过</x:v>
      </x:c>
      <x:c r="D361" s="68" t="str">
        <x:v>主要结论正确，但边界、输出或中间步骤需要修订。</x:v>
      </x:c>
      <x:c r="E361" s="68" t="str">
        <x:v>复测结果、测试结果</x:v>
      </x:c>
      <x:c r="F361" s="98" t="n">
        <x:v>3</x:v>
      </x:c>
      <x:c r="G361" s="68" t="str">
        <x:v>是</x:v>
      </x:c>
      <x:c r="H361" s="68" t="str"/>
    </x:row>
    <x:row r="362">
      <x:c r="A362" s="68" t="str">
        <x:v>测试结果</x:v>
      </x:c>
      <x:c r="B362" s="68" t="str">
        <x:v>TRES04</x:v>
      </x:c>
      <x:c r="C362" s="68" t="str">
        <x:v>未通过</x:v>
      </x:c>
      <x:c r="D362" s="68" t="str">
        <x:v>实际结果与预期冲突，规则需要重写、降级或停用。</x:v>
      </x:c>
      <x:c r="E362" s="68" t="str">
        <x:v>复测结果、测试结果</x:v>
      </x:c>
      <x:c r="F362" s="98" t="n">
        <x:v>4</x:v>
      </x:c>
      <x:c r="G362" s="68" t="str">
        <x:v>是</x:v>
      </x:c>
      <x:c r="H362" s="68" t="str"/>
    </x:row>
    <x:row r="363">
      <x:c r="A363" s="68" t="str">
        <x:v>测试结果</x:v>
      </x:c>
      <x:c r="B363" s="68" t="str">
        <x:v>TRES05</x:v>
      </x:c>
      <x:c r="C363" s="68" t="str">
        <x:v>待复核</x:v>
      </x:c>
      <x:c r="D363" s="68" t="str">
        <x:v>测试结果的标准选项：待复核。具体成立条件由对应模块规则定义。</x:v>
      </x:c>
      <x:c r="E363" s="68" t="str">
        <x:v>复测结果、测试结果</x:v>
      </x:c>
      <x:c r="F363" s="98" t="n">
        <x:v>5</x:v>
      </x:c>
      <x:c r="G363" s="68" t="str">
        <x:v>是</x:v>
      </x:c>
      <x:c r="H363" s="68" t="str"/>
    </x:row>
    <x:row r="364">
      <x:c r="A364" s="68" t="str">
        <x:v>议题类型</x:v>
      </x:c>
      <x:c r="B364" s="68" t="str">
        <x:v>ISS01</x:v>
      </x:c>
      <x:c r="C364" s="68" t="str">
        <x:v>流派争议</x:v>
      </x:c>
      <x:c r="D364" s="68" t="str">
        <x:v>议题类型的标准选项：流派争议。具体成立条件由对应模块规则定义。</x:v>
      </x:c>
      <x:c r="E364" s="68" t="str">
        <x:v>议题类型</x:v>
      </x:c>
      <x:c r="F364" s="98" t="n">
        <x:v>1</x:v>
      </x:c>
      <x:c r="G364" s="68" t="str">
        <x:v>是</x:v>
      </x:c>
      <x:c r="H364" s="68" t="str"/>
    </x:row>
    <x:row r="365">
      <x:c r="A365" s="68" t="str">
        <x:v>议题类型</x:v>
      </x:c>
      <x:c r="B365" s="68" t="str">
        <x:v>ISS02</x:v>
      </x:c>
      <x:c r="C365" s="68" t="str">
        <x:v>规则冲突</x:v>
      </x:c>
      <x:c r="D365" s="68" t="str">
        <x:v>议题类型的标准选项：规则冲突。具体成立条件由对应模块规则定义。</x:v>
      </x:c>
      <x:c r="E365" s="68" t="str">
        <x:v>议题类型</x:v>
      </x:c>
      <x:c r="F365" s="98" t="n">
        <x:v>2</x:v>
      </x:c>
      <x:c r="G365" s="68" t="str">
        <x:v>是</x:v>
      </x:c>
      <x:c r="H365" s="68" t="str"/>
    </x:row>
    <x:row r="366">
      <x:c r="A366" s="68" t="str">
        <x:v>议题类型</x:v>
      </x:c>
      <x:c r="B366" s="68" t="str">
        <x:v>ISS03</x:v>
      </x:c>
      <x:c r="C366" s="68" t="str">
        <x:v>案例反证</x:v>
      </x:c>
      <x:c r="D366" s="68" t="str">
        <x:v>议题类型的标准选项：案例反证。具体成立条件由对应模块规则定义。</x:v>
      </x:c>
      <x:c r="E366" s="68" t="str">
        <x:v>议题类型</x:v>
      </x:c>
      <x:c r="F366" s="98" t="n">
        <x:v>3</x:v>
      </x:c>
      <x:c r="G366" s="68" t="str">
        <x:v>是</x:v>
      </x:c>
      <x:c r="H366" s="68" t="str"/>
    </x:row>
    <x:row r="367">
      <x:c r="A367" s="68" t="str">
        <x:v>议题类型</x:v>
      </x:c>
      <x:c r="B367" s="68" t="str">
        <x:v>ISS04</x:v>
      </x:c>
      <x:c r="C367" s="68" t="str">
        <x:v>定义修订</x:v>
      </x:c>
      <x:c r="D367" s="68" t="str">
        <x:v>议题类型的标准选项：定义修订。具体成立条件由对应模块规则定义。</x:v>
      </x:c>
      <x:c r="E367" s="68" t="str">
        <x:v>议题类型</x:v>
      </x:c>
      <x:c r="F367" s="98" t="n">
        <x:v>4</x:v>
      </x:c>
      <x:c r="G367" s="68" t="str">
        <x:v>是</x:v>
      </x:c>
      <x:c r="H367" s="68" t="str"/>
    </x:row>
    <x:row r="368">
      <x:c r="A368" s="68" t="str">
        <x:v>议题类型</x:v>
      </x:c>
      <x:c r="B368" s="68" t="str">
        <x:v>ISS05</x:v>
      </x:c>
      <x:c r="C368" s="68" t="str">
        <x:v>权重修订</x:v>
      </x:c>
      <x:c r="D368" s="68" t="str">
        <x:v>议题类型的标准选项：权重修订。具体成立条件由对应模块规则定义。</x:v>
      </x:c>
      <x:c r="E368" s="68" t="str">
        <x:v>议题类型</x:v>
      </x:c>
      <x:c r="F368" s="98" t="n">
        <x:v>5</x:v>
      </x:c>
      <x:c r="G368" s="68" t="str">
        <x:v>是</x:v>
      </x:c>
      <x:c r="H368" s="68" t="str"/>
    </x:row>
    <x:row r="369">
      <x:c r="A369" s="68" t="str">
        <x:v>议题类型</x:v>
      </x:c>
      <x:c r="B369" s="68" t="str">
        <x:v>ISS06</x:v>
      </x:c>
      <x:c r="C369" s="68" t="str">
        <x:v>例外补充</x:v>
      </x:c>
      <x:c r="D369" s="68" t="str">
        <x:v>议题类型的标准选项：例外补充。具体成立条件由对应模块规则定义。</x:v>
      </x:c>
      <x:c r="E369" s="68" t="str">
        <x:v>议题类型</x:v>
      </x:c>
      <x:c r="F369" s="98" t="n">
        <x:v>6</x:v>
      </x:c>
      <x:c r="G369" s="68" t="str">
        <x:v>是</x:v>
      </x:c>
      <x:c r="H369" s="68" t="str"/>
    </x:row>
    <x:row r="370">
      <x:c r="A370" s="68" t="str">
        <x:v>议题类型</x:v>
      </x:c>
      <x:c r="B370" s="68" t="str">
        <x:v>ISS07</x:v>
      </x:c>
      <x:c r="C370" s="68" t="str">
        <x:v>版本变更</x:v>
      </x:c>
      <x:c r="D370" s="68" t="str">
        <x:v>议题类型的标准选项：版本变更。具体成立条件由对应模块规则定义。</x:v>
      </x:c>
      <x:c r="E370" s="68" t="str">
        <x:v>议题类型</x:v>
      </x:c>
      <x:c r="F370" s="98" t="n">
        <x:v>7</x:v>
      </x:c>
      <x:c r="G370" s="68" t="str">
        <x:v>是</x:v>
      </x:c>
      <x:c r="H370" s="68" t="str"/>
    </x:row>
    <x:row r="371">
      <x:c r="A371" s="68" t="str">
        <x:v>争议级别</x:v>
      </x:c>
      <x:c r="B371" s="68" t="str">
        <x:v>DISP01</x:v>
      </x:c>
      <x:c r="C371" s="68" t="str">
        <x:v>无</x:v>
      </x:c>
      <x:c r="D371" s="68" t="str">
        <x:v>争议级别的标准选项：无。具体成立条件由对应模块规则定义。</x:v>
      </x:c>
      <x:c r="E371" s="68" t="str">
        <x:v>争议级别</x:v>
      </x:c>
      <x:c r="F371" s="98" t="n">
        <x:v>1</x:v>
      </x:c>
      <x:c r="G371" s="68" t="str">
        <x:v>是</x:v>
      </x:c>
      <x:c r="H371" s="68" t="str"/>
    </x:row>
    <x:row r="372">
      <x:c r="A372" s="68" t="str">
        <x:v>争议级别</x:v>
      </x:c>
      <x:c r="B372" s="68" t="str">
        <x:v>DISP02</x:v>
      </x:c>
      <x:c r="C372" s="68" t="str">
        <x:v>低</x:v>
      </x:c>
      <x:c r="D372" s="68" t="str">
        <x:v>争议级别的标准选项：低。具体成立条件由对应模块规则定义。</x:v>
      </x:c>
      <x:c r="E372" s="68" t="str">
        <x:v>争议级别</x:v>
      </x:c>
      <x:c r="F372" s="98" t="n">
        <x:v>2</x:v>
      </x:c>
      <x:c r="G372" s="68" t="str">
        <x:v>是</x:v>
      </x:c>
      <x:c r="H372" s="68" t="str"/>
    </x:row>
    <x:row r="373">
      <x:c r="A373" s="68" t="str">
        <x:v>争议级别</x:v>
      </x:c>
      <x:c r="B373" s="68" t="str">
        <x:v>DISP03</x:v>
      </x:c>
      <x:c r="C373" s="68" t="str">
        <x:v>中</x:v>
      </x:c>
      <x:c r="D373" s="68" t="str">
        <x:v>争议级别的标准选项：中。具体成立条件由对应模块规则定义。</x:v>
      </x:c>
      <x:c r="E373" s="68" t="str">
        <x:v>争议级别</x:v>
      </x:c>
      <x:c r="F373" s="98" t="n">
        <x:v>3</x:v>
      </x:c>
      <x:c r="G373" s="68" t="str">
        <x:v>是</x:v>
      </x:c>
      <x:c r="H373" s="68" t="str"/>
    </x:row>
    <x:row r="374">
      <x:c r="A374" s="68" t="str">
        <x:v>争议级别</x:v>
      </x:c>
      <x:c r="B374" s="68" t="str">
        <x:v>DISP04</x:v>
      </x:c>
      <x:c r="C374" s="68" t="str">
        <x:v>高</x:v>
      </x:c>
      <x:c r="D374" s="68" t="str">
        <x:v>争议级别的标准选项：高。具体成立条件由对应模块规则定义。</x:v>
      </x:c>
      <x:c r="E374" s="68" t="str">
        <x:v>争议级别</x:v>
      </x:c>
      <x:c r="F374" s="98" t="n">
        <x:v>4</x:v>
      </x:c>
      <x:c r="G374" s="68" t="str">
        <x:v>是</x:v>
      </x:c>
      <x:c r="H374" s="68" t="str"/>
    </x:row>
    <x:row r="375">
      <x:c r="A375" s="68" t="str">
        <x:v>变更类型</x:v>
      </x:c>
      <x:c r="B375" s="68" t="str">
        <x:v>CHG01</x:v>
      </x:c>
      <x:c r="C375" s="68" t="str">
        <x:v>新增</x:v>
      </x:c>
      <x:c r="D375" s="68" t="str">
        <x:v>变更类型的标准选项：新增。具体成立条件由对应模块规则定义。</x:v>
      </x:c>
      <x:c r="E375" s="68" t="str">
        <x:v>变更类型</x:v>
      </x:c>
      <x:c r="F375" s="98" t="n">
        <x:v>1</x:v>
      </x:c>
      <x:c r="G375" s="68" t="str">
        <x:v>是</x:v>
      </x:c>
      <x:c r="H375" s="68" t="str"/>
    </x:row>
    <x:row r="376">
      <x:c r="A376" s="68" t="str">
        <x:v>变更类型</x:v>
      </x:c>
      <x:c r="B376" s="68" t="str">
        <x:v>CHG02</x:v>
      </x:c>
      <x:c r="C376" s="68" t="str">
        <x:v>修订</x:v>
      </x:c>
      <x:c r="D376" s="68" t="str">
        <x:v>变更类型的标准选项：修订。具体成立条件由对应模块规则定义。</x:v>
      </x:c>
      <x:c r="E376" s="68" t="str">
        <x:v>变更类型</x:v>
      </x:c>
      <x:c r="F376" s="98" t="n">
        <x:v>2</x:v>
      </x:c>
      <x:c r="G376" s="68" t="str">
        <x:v>是</x:v>
      </x:c>
      <x:c r="H376" s="68" t="str"/>
    </x:row>
    <x:row r="377">
      <x:c r="A377" s="68" t="str">
        <x:v>变更类型</x:v>
      </x:c>
      <x:c r="B377" s="68" t="str">
        <x:v>CHG03</x:v>
      </x:c>
      <x:c r="C377" s="68" t="str">
        <x:v>拆分</x:v>
      </x:c>
      <x:c r="D377" s="68" t="str">
        <x:v>变更类型的标准选项：拆分。具体成立条件由对应模块规则定义。</x:v>
      </x:c>
      <x:c r="E377" s="68" t="str">
        <x:v>变更类型</x:v>
      </x:c>
      <x:c r="F377" s="98" t="n">
        <x:v>3</x:v>
      </x:c>
      <x:c r="G377" s="68" t="str">
        <x:v>是</x:v>
      </x:c>
      <x:c r="H377" s="68" t="str"/>
    </x:row>
    <x:row r="378">
      <x:c r="A378" s="68" t="str">
        <x:v>变更类型</x:v>
      </x:c>
      <x:c r="B378" s="68" t="str">
        <x:v>CHG04</x:v>
      </x:c>
      <x:c r="C378" s="68" t="str">
        <x:v>合并</x:v>
      </x:c>
      <x:c r="D378" s="68" t="str">
        <x:v>变更类型的标准选项：合并。具体成立条件由对应模块规则定义。</x:v>
      </x:c>
      <x:c r="E378" s="68" t="str">
        <x:v>变更类型</x:v>
      </x:c>
      <x:c r="F378" s="98" t="n">
        <x:v>4</x:v>
      </x:c>
      <x:c r="G378" s="68" t="str">
        <x:v>是</x:v>
      </x:c>
      <x:c r="H378" s="68" t="str"/>
    </x:row>
    <x:row r="379">
      <x:c r="A379" s="68" t="str">
        <x:v>变更类型</x:v>
      </x:c>
      <x:c r="B379" s="68" t="str">
        <x:v>CHG05</x:v>
      </x:c>
      <x:c r="C379" s="68" t="str">
        <x:v>停用</x:v>
      </x:c>
      <x:c r="D379" s="68" t="str">
        <x:v>变更类型的标准选项：停用。具体成立条件由对应模块规则定义。</x:v>
      </x:c>
      <x:c r="E379" s="68" t="str">
        <x:v>变更类型</x:v>
      </x:c>
      <x:c r="F379" s="98" t="n">
        <x:v>5</x:v>
      </x:c>
      <x:c r="G379" s="68" t="str">
        <x:v>是</x:v>
      </x:c>
      <x:c r="H379" s="68" t="str"/>
    </x:row>
    <x:row r="380">
      <x:c r="A380" s="68" t="str">
        <x:v>变更类型</x:v>
      </x:c>
      <x:c r="B380" s="68" t="str">
        <x:v>CHG06</x:v>
      </x:c>
      <x:c r="C380" s="68" t="str">
        <x:v>恢复</x:v>
      </x:c>
      <x:c r="D380" s="68" t="str">
        <x:v>变更类型的标准选项：恢复。具体成立条件由对应模块规则定义。</x:v>
      </x:c>
      <x:c r="E380" s="68" t="str">
        <x:v>变更类型</x:v>
      </x:c>
      <x:c r="F380" s="98" t="n">
        <x:v>6</x:v>
      </x:c>
      <x:c r="G380" s="68" t="str">
        <x:v>是</x:v>
      </x:c>
      <x:c r="H380" s="68" t="str"/>
    </x:row>
    <x:row r="381">
      <x:c r="A381" s="68" t="str">
        <x:v>变更类型</x:v>
      </x:c>
      <x:c r="B381" s="68" t="str">
        <x:v>CHG07</x:v>
      </x:c>
      <x:c r="C381" s="68" t="str">
        <x:v>仅文字优化</x:v>
      </x:c>
      <x:c r="D381" s="68" t="str">
        <x:v>变更类型的标准选项：仅文字优化。具体成立条件由对应模块规则定义。</x:v>
      </x:c>
      <x:c r="E381" s="68" t="str">
        <x:v>变更类型</x:v>
      </x:c>
      <x:c r="F381" s="98" t="n">
        <x:v>7</x:v>
      </x:c>
      <x:c r="G381" s="68" t="str">
        <x:v>是</x:v>
      </x:c>
      <x:c r="H381" s="68" t="str"/>
    </x:row>
    <x:row r="382">
      <x:c r="A382" s="68" t="str">
        <x:v>处理状态</x:v>
      </x:c>
      <x:c r="B382" s="68" t="str">
        <x:v>HND01</x:v>
      </x:c>
      <x:c r="C382" s="68" t="str">
        <x:v>待讨论</x:v>
      </x:c>
      <x:c r="D382" s="68" t="str">
        <x:v>处理状态的标准选项：待讨论。具体成立条件由对应模块规则定义。</x:v>
      </x:c>
      <x:c r="E382" s="68" t="str">
        <x:v>处理状态</x:v>
      </x:c>
      <x:c r="F382" s="98" t="n">
        <x:v>1</x:v>
      </x:c>
      <x:c r="G382" s="68" t="str">
        <x:v>是</x:v>
      </x:c>
      <x:c r="H382" s="68" t="str"/>
    </x:row>
    <x:row r="383">
      <x:c r="A383" s="68" t="str">
        <x:v>处理状态</x:v>
      </x:c>
      <x:c r="B383" s="68" t="str">
        <x:v>HND02</x:v>
      </x:c>
      <x:c r="C383" s="68" t="str">
        <x:v>待验证</x:v>
      </x:c>
      <x:c r="D383" s="68" t="str">
        <x:v>处理状态的标准选项：待验证。具体成立条件由对应模块规则定义。</x:v>
      </x:c>
      <x:c r="E383" s="68" t="str">
        <x:v>处理状态</x:v>
      </x:c>
      <x:c r="F383" s="98" t="n">
        <x:v>2</x:v>
      </x:c>
      <x:c r="G383" s="68" t="str">
        <x:v>是</x:v>
      </x:c>
      <x:c r="H383" s="68" t="str"/>
    </x:row>
    <x:row r="384">
      <x:c r="A384" s="68" t="str">
        <x:v>处理状态</x:v>
      </x:c>
      <x:c r="B384" s="68" t="str">
        <x:v>HND03</x:v>
      </x:c>
      <x:c r="C384" s="68" t="str">
        <x:v>已采纳</x:v>
      </x:c>
      <x:c r="D384" s="68" t="str">
        <x:v>处理状态的标准选项：已采纳。具体成立条件由对应模块规则定义。</x:v>
      </x:c>
      <x:c r="E384" s="68" t="str">
        <x:v>处理状态</x:v>
      </x:c>
      <x:c r="F384" s="98" t="n">
        <x:v>3</x:v>
      </x:c>
      <x:c r="G384" s="68" t="str">
        <x:v>是</x:v>
      </x:c>
      <x:c r="H384" s="68" t="str"/>
    </x:row>
    <x:row r="385">
      <x:c r="A385" s="68" t="str">
        <x:v>处理状态</x:v>
      </x:c>
      <x:c r="B385" s="68" t="str">
        <x:v>HND04</x:v>
      </x:c>
      <x:c r="C385" s="68" t="str">
        <x:v>不采纳</x:v>
      </x:c>
      <x:c r="D385" s="68" t="str">
        <x:v>处理状态的标准选项：不采纳。具体成立条件由对应模块规则定义。</x:v>
      </x:c>
      <x:c r="E385" s="68" t="str">
        <x:v>处理状态</x:v>
      </x:c>
      <x:c r="F385" s="98" t="n">
        <x:v>4</x:v>
      </x:c>
      <x:c r="G385" s="68" t="str">
        <x:v>是</x:v>
      </x:c>
      <x:c r="H385" s="68" t="str"/>
    </x:row>
    <x:row r="386">
      <x:c r="A386" s="68" t="str">
        <x:v>处理状态</x:v>
      </x:c>
      <x:c r="B386" s="68" t="str">
        <x:v>HND05</x:v>
      </x:c>
      <x:c r="C386" s="68" t="str">
        <x:v>延期</x:v>
      </x:c>
      <x:c r="D386" s="68" t="str">
        <x:v>处理状态的标准选项：延期。具体成立条件由对应模块规则定义。</x:v>
      </x:c>
      <x:c r="E386" s="68" t="str">
        <x:v>处理状态</x:v>
      </x:c>
      <x:c r="F386" s="98" t="n">
        <x:v>5</x:v>
      </x:c>
      <x:c r="G386" s="68" t="str">
        <x:v>是</x:v>
      </x:c>
      <x:c r="H386" s="68" t="str"/>
    </x:row>
    <x:row r="387">
      <x:c r="A387" s="68" t="str">
        <x:v>处理状态</x:v>
      </x:c>
      <x:c r="B387" s="68" t="str">
        <x:v>HND06</x:v>
      </x:c>
      <x:c r="C387" s="68" t="str">
        <x:v>已生效</x:v>
      </x:c>
      <x:c r="D387" s="68" t="str">
        <x:v>处理状态的标准选项：已生效。具体成立条件由对应模块规则定义。</x:v>
      </x:c>
      <x:c r="E387" s="68" t="str">
        <x:v>处理状态</x:v>
      </x:c>
      <x:c r="F387" s="98" t="n">
        <x:v>6</x:v>
      </x:c>
      <x:c r="G387" s="68" t="str">
        <x:v>是</x:v>
      </x:c>
      <x:c r="H387" s="68" t="str"/>
    </x:row>
    <x:row r="388">
      <x:c r="A388" s="68" t="str">
        <x:v>数据来源类型</x:v>
      </x:c>
      <x:c r="B388" s="68" t="str">
        <x:v>SRC01</x:v>
      </x:c>
      <x:c r="C388" s="68" t="str">
        <x:v>经典原文</x:v>
      </x:c>
      <x:c r="D388" s="68" t="str">
        <x:v>数据来源类型的标准选项：经典原文。具体成立条件由对应模块规则定义。</x:v>
      </x:c>
      <x:c r="E388" s="68" t="str">
        <x:v>数据来源类型</x:v>
      </x:c>
      <x:c r="F388" s="98" t="n">
        <x:v>1</x:v>
      </x:c>
      <x:c r="G388" s="68" t="str">
        <x:v>是</x:v>
      </x:c>
      <x:c r="H388" s="68" t="str"/>
    </x:row>
    <x:row r="389">
      <x:c r="A389" s="68" t="str">
        <x:v>数据来源类型</x:v>
      </x:c>
      <x:c r="B389" s="68" t="str">
        <x:v>SRC02</x:v>
      </x:c>
      <x:c r="C389" s="68" t="str">
        <x:v>古法注解</x:v>
      </x:c>
      <x:c r="D389" s="68" t="str">
        <x:v>数据来源类型的标准选项：古法注解。具体成立条件由对应模块规则定义。</x:v>
      </x:c>
      <x:c r="E389" s="68" t="str">
        <x:v>数据来源类型</x:v>
      </x:c>
      <x:c r="F389" s="98" t="n">
        <x:v>2</x:v>
      </x:c>
      <x:c r="G389" s="68" t="str">
        <x:v>是</x:v>
      </x:c>
      <x:c r="H389" s="68" t="str"/>
    </x:row>
    <x:row r="390">
      <x:c r="A390" s="68" t="str">
        <x:v>数据来源类型</x:v>
      </x:c>
      <x:c r="B390" s="68" t="str">
        <x:v>SRC03</x:v>
      </x:c>
      <x:c r="C390" s="68" t="str">
        <x:v>现代著作</x:v>
      </x:c>
      <x:c r="D390" s="68" t="str">
        <x:v>数据来源类型的标准选项：现代著作。具体成立条件由对应模块规则定义。</x:v>
      </x:c>
      <x:c r="E390" s="68" t="str">
        <x:v>数据来源类型</x:v>
      </x:c>
      <x:c r="F390" s="98" t="n">
        <x:v>3</x:v>
      </x:c>
      <x:c r="G390" s="68" t="str">
        <x:v>是</x:v>
      </x:c>
      <x:c r="H390" s="68" t="str"/>
    </x:row>
    <x:row r="391">
      <x:c r="A391" s="68" t="str">
        <x:v>数据来源类型</x:v>
      </x:c>
      <x:c r="B391" s="68" t="str">
        <x:v>SRC04</x:v>
      </x:c>
      <x:c r="C391" s="68" t="str">
        <x:v>实证案例</x:v>
      </x:c>
      <x:c r="D391" s="68" t="str">
        <x:v>数据来源类型的标准选项：实证案例。具体成立条件由对应模块规则定义。</x:v>
      </x:c>
      <x:c r="E391" s="68" t="str">
        <x:v>数据来源类型</x:v>
      </x:c>
      <x:c r="F391" s="98" t="n">
        <x:v>4</x:v>
      </x:c>
      <x:c r="G391" s="68" t="str">
        <x:v>是</x:v>
      </x:c>
      <x:c r="H391" s="68" t="str"/>
    </x:row>
    <x:row r="392">
      <x:c r="A392" s="68" t="str">
        <x:v>数据来源类型</x:v>
      </x:c>
      <x:c r="B392" s="68" t="str">
        <x:v>SRC05</x:v>
      </x:c>
      <x:c r="C392" s="68" t="str">
        <x:v>内部归纳</x:v>
      </x:c>
      <x:c r="D392" s="68" t="str">
        <x:v>数据来源类型的标准选项：内部归纳。具体成立条件由对应模块规则定义。</x:v>
      </x:c>
      <x:c r="E392" s="68" t="str">
        <x:v>数据来源类型</x:v>
      </x:c>
      <x:c r="F392" s="98" t="n">
        <x:v>5</x:v>
      </x:c>
      <x:c r="G392" s="68" t="str">
        <x:v>是</x:v>
      </x:c>
      <x:c r="H392" s="68" t="str"/>
    </x:row>
    <x:row r="393">
      <x:c r="A393" s="68" t="str">
        <x:v>数据来源类型</x:v>
      </x:c>
      <x:c r="B393" s="68" t="str">
        <x:v>SRC06</x:v>
      </x:c>
      <x:c r="C393" s="68" t="str">
        <x:v>争议规则</x:v>
      </x:c>
      <x:c r="D393" s="68" t="str">
        <x:v>数据来源类型的标准选项：争议规则。具体成立条件由对应模块规则定义。</x:v>
      </x:c>
      <x:c r="E393" s="68" t="str">
        <x:v>数据来源类型</x:v>
      </x:c>
      <x:c r="F393" s="98" t="n">
        <x:v>6</x:v>
      </x:c>
      <x:c r="G393" s="68" t="str">
        <x:v>是</x:v>
      </x:c>
      <x:c r="H393" s="68" t="str"/>
    </x:row>
    <x:row r="394">
      <x:c r="A394" s="68" t="str">
        <x:v>数据来源类型</x:v>
      </x:c>
      <x:c r="B394" s="68" t="str">
        <x:v>SRC07</x:v>
      </x:c>
      <x:c r="C394" s="68" t="str">
        <x:v>未知</x:v>
      </x:c>
      <x:c r="D394" s="68" t="str">
        <x:v>数据来源类型的标准选项：未知。具体成立条件由对应模块规则定义。</x:v>
      </x:c>
      <x:c r="E394" s="68" t="str">
        <x:v>数据来源类型</x:v>
      </x:c>
      <x:c r="F394" s="98" t="n">
        <x:v>7</x:v>
      </x:c>
      <x:c r="G394" s="68" t="str">
        <x:v>是</x:v>
      </x:c>
      <x:c r="H394" s="68" t="str"/>
    </x:row>
    <x:row r="395">
      <x:c r="A395" s="68" t="str">
        <x:v>建设阶段</x:v>
      </x:c>
      <x:c r="B395" s="68" t="str">
        <x:v>PH01</x:v>
      </x:c>
      <x:c r="C395" s="68" t="str">
        <x:v>第一阶段_基础关系</x:v>
      </x:c>
      <x:c r="D395" s="68" t="str">
        <x:v>标记模块在知识库建设路线中的先后阶段。</x:v>
      </x:c>
      <x:c r="E395" s="68" t="str">
        <x:v>建设阶段</x:v>
      </x:c>
      <x:c r="F395" s="98" t="n">
        <x:v>1</x:v>
      </x:c>
      <x:c r="G395" s="68" t="str">
        <x:v>是</x:v>
      </x:c>
      <x:c r="H395" s="68" t="str"/>
    </x:row>
    <x:row r="396">
      <x:c r="A396" s="68" t="str">
        <x:v>建设阶段</x:v>
      </x:c>
      <x:c r="B396" s="68" t="str">
        <x:v>PH02</x:v>
      </x:c>
      <x:c r="C396" s="68" t="str">
        <x:v>第二阶段_旺衰十神</x:v>
      </x:c>
      <x:c r="D396" s="68" t="str">
        <x:v>标记模块在知识库建设路线中的先后阶段。</x:v>
      </x:c>
      <x:c r="E396" s="68" t="str">
        <x:v>建设阶段</x:v>
      </x:c>
      <x:c r="F396" s="98" t="n">
        <x:v>2</x:v>
      </x:c>
      <x:c r="G396" s="68" t="str">
        <x:v>是</x:v>
      </x:c>
      <x:c r="H396" s="68" t="str"/>
    </x:row>
    <x:row r="397">
      <x:c r="A397" s="68" t="str">
        <x:v>建设阶段</x:v>
      </x:c>
      <x:c r="B397" s="68" t="str">
        <x:v>PH03</x:v>
      </x:c>
      <x:c r="C397" s="68" t="str">
        <x:v>第三阶段_流通格局</x:v>
      </x:c>
      <x:c r="D397" s="68" t="str">
        <x:v>标记模块在知识库建设路线中的先后阶段。</x:v>
      </x:c>
      <x:c r="E397" s="68" t="str">
        <x:v>建设阶段</x:v>
      </x:c>
      <x:c r="F397" s="98" t="n">
        <x:v>3</x:v>
      </x:c>
      <x:c r="G397" s="68" t="str">
        <x:v>是</x:v>
      </x:c>
      <x:c r="H397" s="68" t="str"/>
    </x:row>
    <x:row r="398">
      <x:c r="A398" s="68" t="str">
        <x:v>建设阶段</x:v>
      </x:c>
      <x:c r="B398" s="68" t="str">
        <x:v>PH04</x:v>
      </x:c>
      <x:c r="C398" s="68" t="str">
        <x:v>第四阶段_病药用神测试</x:v>
      </x:c>
      <x:c r="D398" s="68" t="str">
        <x:v>标记模块在知识库建设路线中的先后阶段。</x:v>
      </x:c>
      <x:c r="E398" s="68" t="str">
        <x:v>建设阶段</x:v>
      </x:c>
      <x:c r="F398" s="98" t="n">
        <x:v>4</x:v>
      </x:c>
      <x:c r="G398" s="68" t="str">
        <x:v>是</x:v>
      </x:c>
      <x:c r="H398" s="68" t="str"/>
    </x:row>
    <x:row r="399">
      <x:c r="A399" s="68" t="str">
        <x:v>当前状态</x:v>
      </x:c>
      <x:c r="B399" s="68" t="str">
        <x:v>CUR01</x:v>
      </x:c>
      <x:c r="C399" s="68" t="str">
        <x:v>未开始</x:v>
      </x:c>
      <x:c r="D399" s="68" t="str">
        <x:v>标记模块目前处于框架、填充、测试或发布阶段。</x:v>
      </x:c>
      <x:c r="E399" s="68" t="str">
        <x:v>当前状态</x:v>
      </x:c>
      <x:c r="F399" s="98" t="n">
        <x:v>1</x:v>
      </x:c>
      <x:c r="G399" s="68" t="str">
        <x:v>是</x:v>
      </x:c>
      <x:c r="H399" s="68" t="str"/>
    </x:row>
    <x:row r="400">
      <x:c r="A400" s="68" t="str">
        <x:v>当前状态</x:v>
      </x:c>
      <x:c r="B400" s="68" t="str">
        <x:v>CUR02</x:v>
      </x:c>
      <x:c r="C400" s="68" t="str">
        <x:v>框架完成</x:v>
      </x:c>
      <x:c r="D400" s="68" t="str">
        <x:v>标记模块目前处于框架、填充、测试或发布阶段。</x:v>
      </x:c>
      <x:c r="E400" s="68" t="str">
        <x:v>当前状态</x:v>
      </x:c>
      <x:c r="F400" s="98" t="n">
        <x:v>2</x:v>
      </x:c>
      <x:c r="G400" s="68" t="str">
        <x:v>是</x:v>
      </x:c>
      <x:c r="H400" s="68" t="str"/>
    </x:row>
    <x:row r="401">
      <x:c r="A401" s="68" t="str">
        <x:v>当前状态</x:v>
      </x:c>
      <x:c r="B401" s="68" t="str">
        <x:v>CUR03</x:v>
      </x:c>
      <x:c r="C401" s="68" t="str">
        <x:v>核心规则填充</x:v>
      </x:c>
      <x:c r="D401" s="68" t="str">
        <x:v>标记模块目前处于框架、填充、测试或发布阶段。</x:v>
      </x:c>
      <x:c r="E401" s="68" t="str">
        <x:v>当前状态</x:v>
      </x:c>
      <x:c r="F401" s="98" t="n">
        <x:v>3</x:v>
      </x:c>
      <x:c r="G401" s="68" t="str">
        <x:v>是</x:v>
      </x:c>
      <x:c r="H401" s="68" t="str"/>
    </x:row>
    <x:row r="402">
      <x:c r="A402" s="68" t="str">
        <x:v>当前状态</x:v>
      </x:c>
      <x:c r="B402" s="68" t="str">
        <x:v>CUR04</x:v>
      </x:c>
      <x:c r="C402" s="68" t="str">
        <x:v>测试中</x:v>
      </x:c>
      <x:c r="D402" s="68" t="str">
        <x:v>标记模块目前处于框架、填充、测试或发布阶段。</x:v>
      </x:c>
      <x:c r="E402" s="68" t="str">
        <x:v>当前状态</x:v>
      </x:c>
      <x:c r="F402" s="98" t="n">
        <x:v>4</x:v>
      </x:c>
      <x:c r="G402" s="68" t="str">
        <x:v>是</x:v>
      </x:c>
      <x:c r="H402" s="68" t="str"/>
    </x:row>
    <x:row r="403">
      <x:c r="A403" s="68" t="str">
        <x:v>当前状态</x:v>
      </x:c>
      <x:c r="B403" s="68" t="str">
        <x:v>CUR05</x:v>
      </x:c>
      <x:c r="C403" s="68" t="str">
        <x:v>已发布</x:v>
      </x:c>
      <x:c r="D403" s="68" t="str">
        <x:v>标记模块目前处于框架、填充、测试或发布阶段。</x:v>
      </x:c>
      <x:c r="E403" s="68" t="str">
        <x:v>当前状态</x:v>
      </x:c>
      <x:c r="F403" s="98" t="n">
        <x:v>5</x:v>
      </x:c>
      <x:c r="G403" s="68" t="str">
        <x:v>是</x:v>
      </x:c>
      <x:c r="H403" s="68" t="str"/>
    </x:row>
    <x:row r="404">
      <x:c r="A404" s="68" t="str">
        <x:v>版本号</x:v>
      </x:c>
      <x:c r="B404" s="68" t="str">
        <x:v>VER01</x:v>
      </x:c>
      <x:c r="C404" s="68" t="str">
        <x:v>V0.1</x:v>
      </x:c>
      <x:c r="D404" s="68" t="str">
        <x:v>版本号的标准选项：V0.1。具体成立条件由对应模块规则定义。</x:v>
      </x:c>
      <x:c r="E404" s="68" t="str">
        <x:v>版本号</x:v>
      </x:c>
      <x:c r="F404" s="98" t="n">
        <x:v>1</x:v>
      </x:c>
      <x:c r="G404" s="68" t="str">
        <x:v>是</x:v>
      </x:c>
      <x:c r="H404" s="68"/>
    </x:row>
    <x:row r="405">
      <x:c r="A405" s="68" t="str">
        <x:v>版本号</x:v>
      </x:c>
      <x:c r="B405" s="68" t="str">
        <x:v>VER02</x:v>
      </x:c>
      <x:c r="C405" s="68" t="str">
        <x:v>V0.2</x:v>
      </x:c>
      <x:c r="D405" s="68" t="str">
        <x:v>版本号的标准选项：V0.2。具体成立条件由对应模块规则定义。</x:v>
      </x:c>
      <x:c r="E405" s="68" t="str">
        <x:v>版本号</x:v>
      </x:c>
      <x:c r="F405" s="98" t="n">
        <x:v>2</x:v>
      </x:c>
      <x:c r="G405" s="68" t="str">
        <x:v>是</x:v>
      </x:c>
      <x:c r="H405" s="68"/>
    </x:row>
    <x:row r="406">
      <x:c r="A406" s="68" t="str">
        <x:v>版本号</x:v>
      </x:c>
      <x:c r="B406" s="68" t="str">
        <x:v>VER07</x:v>
      </x:c>
      <x:c r="C406" s="68" t="str">
        <x:v>V0.3</x:v>
      </x:c>
      <x:c r="D406" s="68" t="str">
        <x:v>版本号的标准选项：V0.3。完成M04与M05关系识别层核心规则。</x:v>
      </x:c>
      <x:c r="E406" s="68" t="str">
        <x:v>版本号</x:v>
      </x:c>
      <x:c r="F406" s="98" t="n">
        <x:v>3</x:v>
      </x:c>
      <x:c r="G406" s="68" t="str">
        <x:v>是</x:v>
      </x:c>
      <x:c r="H406" s="68" t="str">
        <x:v>关系识别规则版</x:v>
      </x:c>
    </x:row>
    <x:row r="407">
      <x:c r="A407" s="68" t="str">
        <x:v>版本号</x:v>
      </x:c>
      <x:c r="B407" s="68" t="str">
        <x:v>VER03</x:v>
      </x:c>
      <x:c r="C407" s="68" t="str">
        <x:v>V0.9</x:v>
      </x:c>
      <x:c r="D407" s="68" t="str">
        <x:v>版本号的标准选项：V0.9。具体成立条件由对应模块规则定义。</x:v>
      </x:c>
      <x:c r="E407" s="68" t="str">
        <x:v>版本号</x:v>
      </x:c>
      <x:c r="F407" s="98" t="n">
        <x:v>6</x:v>
      </x:c>
      <x:c r="G407" s="68" t="str">
        <x:v>是</x:v>
      </x:c>
      <x:c r="H407" s="68"/>
    </x:row>
    <x:row r="408">
      <x:c r="A408" s="68" t="str">
        <x:v>版本号</x:v>
      </x:c>
      <x:c r="B408" s="68" t="str">
        <x:v>VER04</x:v>
      </x:c>
      <x:c r="C408" s="68" t="str">
        <x:v>V1.0</x:v>
      </x:c>
      <x:c r="D408" s="68" t="str">
        <x:v>版本号的标准选项：V1.0。具体成立条件由对应模块规则定义。</x:v>
      </x:c>
      <x:c r="E408" s="68" t="str">
        <x:v>版本号</x:v>
      </x:c>
      <x:c r="F408" s="98" t="n">
        <x:v>7</x:v>
      </x:c>
      <x:c r="G408" s="68" t="str">
        <x:v>是</x:v>
      </x:c>
      <x:c r="H408" s="68"/>
    </x:row>
    <x:row r="409">
      <x:c r="A409" s="68" t="str">
        <x:v>版本号</x:v>
      </x:c>
      <x:c r="B409" s="68" t="str">
        <x:v>VER05</x:v>
      </x:c>
      <x:c r="C409" s="68" t="str">
        <x:v>V1.1</x:v>
      </x:c>
      <x:c r="D409" s="68" t="str">
        <x:v>版本号的标准选项：V1.1。具体成立条件由对应模块规则定义。</x:v>
      </x:c>
      <x:c r="E409" s="68" t="str">
        <x:v>版本号</x:v>
      </x:c>
      <x:c r="F409" s="98" t="n">
        <x:v>8</x:v>
      </x:c>
      <x:c r="G409" s="68" t="str">
        <x:v>是</x:v>
      </x:c>
      <x:c r="H409" s="68"/>
    </x:row>
    <x:row r="410">
      <x:c r="A410" t="str">
        <x:v>版本号</x:v>
      </x:c>
      <x:c r="B410" t="str">
        <x:v>VER06</x:v>
      </x:c>
      <x:c r="C410" t="str">
        <x:v>V2.0</x:v>
      </x:c>
      <x:c r="D410" t="str">
        <x:v>版本号的标准选项：V2.0。具体成立条件由对应模块规则定义。</x:v>
      </x:c>
      <x:c r="E410" t="str">
        <x:v>版本号</x:v>
      </x:c>
      <x:c r="F410" t="n">
        <x:v>9</x:v>
      </x:c>
      <x:c r="G410" t="str">
        <x:v>是</x:v>
      </x:c>
      <x:c r="H410"/>
    </x:row>
    <x:row r="411">
      <x:c r="A411" t="str">
        <x:v>规则子类</x:v>
      </x:c>
      <x:c r="B411" t="str">
        <x:v>M04-HE</x:v>
      </x:c>
      <x:c r="C411" t="str">
        <x:v>M04｜天干五合</x:v>
      </x:c>
      <x:c r="D411" t="str">
        <x:v>M04中用于固定五组天干五合配对的子类代码。</x:v>
      </x:c>
      <x:c r="E411" t="str">
        <x:v>子类代码</x:v>
      </x:c>
      <x:c r="F411" t="n">
        <x:v>1</x:v>
      </x:c>
      <x:c r="G411" t="str">
        <x:v>是</x:v>
      </x:c>
      <x:c r="H411" t="str">
        <x:v>首次用于V0.3</x:v>
      </x:c>
    </x:row>
    <x:row r="412">
      <x:c r="A412" t="str">
        <x:v>规则子类</x:v>
      </x:c>
      <x:c r="B412" t="str">
        <x:v>M04-KE</x:v>
      </x:c>
      <x:c r="C412" t="str">
        <x:v>M04｜天干相克</x:v>
      </x:c>
      <x:c r="D412" t="str">
        <x:v>M04中用于二十组有向天干相克路径的子类代码。</x:v>
      </x:c>
      <x:c r="E412" t="str">
        <x:v>子类代码</x:v>
      </x:c>
      <x:c r="F412" t="n">
        <x:v>2</x:v>
      </x:c>
      <x:c r="G412" t="str">
        <x:v>是</x:v>
      </x:c>
      <x:c r="H412" t="str">
        <x:v>首次用于V0.3</x:v>
      </x:c>
    </x:row>
    <x:row r="413">
      <x:c r="A413" t="str">
        <x:v>规则子类</x:v>
      </x:c>
      <x:c r="B413" t="str">
        <x:v>M04-POS</x:v>
      </x:c>
      <x:c r="C413" t="str">
        <x:v>M04｜柱位标记</x:v>
      </x:c>
      <x:c r="D413" t="str">
        <x:v>M04中用于年月、月日、日时、年日、月时、年时柱位实例化的子类代码。</x:v>
      </x:c>
      <x:c r="E413" t="str">
        <x:v>子类代码</x:v>
      </x:c>
      <x:c r="F413" t="n">
        <x:v>3</x:v>
      </x:c>
      <x:c r="G413" t="str">
        <x:v>是</x:v>
      </x:c>
      <x:c r="H413" t="str">
        <x:v>首次用于V0.3</x:v>
      </x:c>
    </x:row>
    <x:row r="414">
      <x:c r="A414" t="str">
        <x:v>规则子类</x:v>
      </x:c>
      <x:c r="B414" t="str">
        <x:v>M04-HHC</x:v>
      </x:c>
      <x:c r="C414" t="str">
        <x:v>M04｜合化候选</x:v>
      </x:c>
      <x:c r="D414" t="str">
        <x:v>M04中用于五合化神候选生成而不裁定合化成立的子类代码。</x:v>
      </x:c>
      <x:c r="E414" t="str">
        <x:v>子类代码</x:v>
      </x:c>
      <x:c r="F414" t="n">
        <x:v>4</x:v>
      </x:c>
      <x:c r="G414" t="str">
        <x:v>是</x:v>
      </x:c>
      <x:c r="H414" t="str">
        <x:v>首次用于V0.3</x:v>
      </x:c>
    </x:row>
    <x:row r="415">
      <x:c r="A415" t="str">
        <x:v>规则子类</x:v>
      </x:c>
      <x:c r="B415" t="str">
        <x:v>M04-ZHENG</x:v>
      </x:c>
      <x:c r="C415" t="str">
        <x:v>M04｜争合</x:v>
      </x:c>
      <x:c r="D415" t="str">
        <x:v>M04中用于同一五合配对一方重复、多关系共享节点的子类代码。</x:v>
      </x:c>
      <x:c r="E415" t="str">
        <x:v>子类代码</x:v>
      </x:c>
      <x:c r="F415" t="n">
        <x:v>5</x:v>
      </x:c>
      <x:c r="G415" t="str">
        <x:v>是</x:v>
      </x:c>
      <x:c r="H415" t="str">
        <x:v>首次用于V0.3</x:v>
      </x:c>
    </x:row>
    <x:row r="416">
      <x:c r="A416" t="str">
        <x:v>规则子类</x:v>
      </x:c>
      <x:c r="B416" t="str">
        <x:v>M04-DUHE</x:v>
      </x:c>
      <x:c r="C416" t="str">
        <x:v>M04｜妒合</x:v>
      </x:c>
      <x:c r="D416" t="str">
        <x:v>M04中用于保留妒合流派标签及术语边界的子类代码。</x:v>
      </x:c>
      <x:c r="E416" t="str">
        <x:v>子类代码</x:v>
      </x:c>
      <x:c r="F416" t="n">
        <x:v>6</x:v>
      </x:c>
      <x:c r="G416" t="str">
        <x:v>是</x:v>
      </x:c>
      <x:c r="H416" t="str">
        <x:v>首次用于V0.3</x:v>
      </x:c>
    </x:row>
    <x:row r="417">
      <x:c r="A417" t="str">
        <x:v>规则子类</x:v>
      </x:c>
      <x:c r="B417" t="str">
        <x:v>M04-GEHE</x:v>
      </x:c>
      <x:c r="C417" t="str">
        <x:v>M04｜隔合</x:v>
      </x:c>
      <x:c r="D417" t="str">
        <x:v>M04中用于隔位五合位置标签的子类代码。</x:v>
      </x:c>
      <x:c r="E417" t="str">
        <x:v>子类代码</x:v>
      </x:c>
      <x:c r="F417" t="n">
        <x:v>7</x:v>
      </x:c>
      <x:c r="G417" t="str">
        <x:v>是</x:v>
      </x:c>
      <x:c r="H417" t="str">
        <x:v>首次用于V0.3</x:v>
      </x:c>
    </x:row>
    <x:row r="418">
      <x:c r="A418" t="str">
        <x:v>规则子类</x:v>
      </x:c>
      <x:c r="B418" t="str">
        <x:v>M04-YAOHE</x:v>
      </x:c>
      <x:c r="C418" t="str">
        <x:v>M04｜遥合</x:v>
      </x:c>
      <x:c r="D418" t="str">
        <x:v>M04中用于年时遥隔五合位置标签的子类代码。</x:v>
      </x:c>
      <x:c r="E418" t="str">
        <x:v>子类代码</x:v>
      </x:c>
      <x:c r="F418" t="n">
        <x:v>8</x:v>
      </x:c>
      <x:c r="G418" t="str">
        <x:v>是</x:v>
      </x:c>
      <x:c r="H418" t="str">
        <x:v>首次用于V0.3</x:v>
      </x:c>
    </x:row>
    <x:row r="419">
      <x:c r="A419" t="str">
        <x:v>规则子类</x:v>
      </x:c>
      <x:c r="B419" t="str">
        <x:v>M04-OVER</x:v>
      </x:c>
      <x:c r="C419" t="str">
        <x:v>M04｜多重关系</x:v>
      </x:c>
      <x:c r="D419" t="str">
        <x:v>M04中用于合克并见、共享节点和多重关系实例的子类代码。</x:v>
      </x:c>
      <x:c r="E419" t="str">
        <x:v>子类代码</x:v>
      </x:c>
      <x:c r="F419" t="n">
        <x:v>9</x:v>
      </x:c>
      <x:c r="G419" t="str">
        <x:v>是</x:v>
      </x:c>
      <x:c r="H419" t="str">
        <x:v>首次用于V0.3</x:v>
      </x:c>
    </x:row>
    <x:row r="420">
      <x:c r="A420" t="str">
        <x:v>规则子类</x:v>
      </x:c>
      <x:c r="B420" t="str">
        <x:v>M04-BOUND</x:v>
      </x:c>
      <x:c r="C420" t="str">
        <x:v>M04｜识别边界</x:v>
      </x:c>
      <x:c r="D420" t="str">
        <x:v>M04中用于藏干、关系分类及识别—效应分层边界的子类代码。</x:v>
      </x:c>
      <x:c r="E420" t="str">
        <x:v>子类代码</x:v>
      </x:c>
      <x:c r="F420" t="n">
        <x:v>10</x:v>
      </x:c>
      <x:c r="G420" t="str">
        <x:v>是</x:v>
      </x:c>
      <x:c r="H420" t="str">
        <x:v>首次用于V0.3</x:v>
      </x:c>
    </x:row>
    <x:row r="421">
      <x:c r="A421" t="str">
        <x:v>规则子类</x:v>
      </x:c>
      <x:c r="B421" t="str">
        <x:v>M05-LIUHE</x:v>
      </x:c>
      <x:c r="C421" t="str">
        <x:v>M05｜六合</x:v>
      </x:c>
      <x:c r="D421" t="str">
        <x:v>M05中用于六组地支六合配对的子类代码。</x:v>
      </x:c>
      <x:c r="E421" t="str">
        <x:v>子类代码</x:v>
      </x:c>
      <x:c r="F421" t="n">
        <x:v>11</x:v>
      </x:c>
      <x:c r="G421" t="str">
        <x:v>是</x:v>
      </x:c>
      <x:c r="H421" t="str">
        <x:v>首次用于V0.3</x:v>
      </x:c>
    </x:row>
    <x:row r="422">
      <x:c r="A422" t="str">
        <x:v>规则子类</x:v>
      </x:c>
      <x:c r="B422" t="str">
        <x:v>M05-SANHE</x:v>
      </x:c>
      <x:c r="C422" t="str">
        <x:v>M05｜三合</x:v>
      </x:c>
      <x:c r="D422" t="str">
        <x:v>M05中用于四组三合完整结构的子类代码。</x:v>
      </x:c>
      <x:c r="E422" t="str">
        <x:v>子类代码</x:v>
      </x:c>
      <x:c r="F422" t="n">
        <x:v>12</x:v>
      </x:c>
      <x:c r="G422" t="str">
        <x:v>是</x:v>
      </x:c>
      <x:c r="H422" t="str">
        <x:v>首次用于V0.3</x:v>
      </x:c>
    </x:row>
    <x:row r="423">
      <x:c r="A423" t="str">
        <x:v>规则子类</x:v>
      </x:c>
      <x:c r="B423" t="str">
        <x:v>M05-BANHE</x:v>
      </x:c>
      <x:c r="C423" t="str">
        <x:v>M05｜半合</x:v>
      </x:c>
      <x:c r="D423" t="str">
        <x:v>M05中用于含中神的八组半合结构的子类代码。</x:v>
      </x:c>
      <x:c r="E423" t="str">
        <x:v>子类代码</x:v>
      </x:c>
      <x:c r="F423" t="n">
        <x:v>13</x:v>
      </x:c>
      <x:c r="G423" t="str">
        <x:v>是</x:v>
      </x:c>
      <x:c r="H423" t="str">
        <x:v>首次用于V0.3</x:v>
      </x:c>
    </x:row>
    <x:row r="424">
      <x:c r="A424" t="str">
        <x:v>规则子类</x:v>
      </x:c>
      <x:c r="B424" t="str">
        <x:v>M05-GONGHE</x:v>
      </x:c>
      <x:c r="C424" t="str">
        <x:v>M05｜拱合</x:v>
      </x:c>
      <x:c r="D424" t="str">
        <x:v>M05中用于三合两端齐、中神缺失的四组拱合结构的子类代码。</x:v>
      </x:c>
      <x:c r="E424" t="str">
        <x:v>子类代码</x:v>
      </x:c>
      <x:c r="F424" t="n">
        <x:v>14</x:v>
      </x:c>
      <x:c r="G424" t="str">
        <x:v>是</x:v>
      </x:c>
      <x:c r="H424" t="str">
        <x:v>首次用于V0.3</x:v>
      </x:c>
    </x:row>
    <x:row r="425">
      <x:c r="A425" t="str">
        <x:v>规则子类</x:v>
      </x:c>
      <x:c r="B425" t="str">
        <x:v>M05-SANHUI</x:v>
      </x:c>
      <x:c r="C425" t="str">
        <x:v>M05｜三会</x:v>
      </x:c>
      <x:c r="D425" t="str">
        <x:v>M05中用于四组三会完整结构的子类代码。</x:v>
      </x:c>
      <x:c r="E425" t="str">
        <x:v>子类代码</x:v>
      </x:c>
      <x:c r="F425" t="n">
        <x:v>15</x:v>
      </x:c>
      <x:c r="G425" t="str">
        <x:v>是</x:v>
      </x:c>
      <x:c r="H425" t="str">
        <x:v>首次用于V0.3</x:v>
      </x:c>
    </x:row>
    <x:row r="426">
      <x:c r="A426" t="str">
        <x:v>规则子类</x:v>
      </x:c>
      <x:c r="B426" t="str">
        <x:v>M05-CHONG</x:v>
      </x:c>
      <x:c r="C426" t="str">
        <x:v>M05｜六冲</x:v>
      </x:c>
      <x:c r="D426" t="str">
        <x:v>M05中用于六组地支相冲配对的子类代码。</x:v>
      </x:c>
      <x:c r="E426" t="str">
        <x:v>子类代码</x:v>
      </x:c>
      <x:c r="F426" t="n">
        <x:v>16</x:v>
      </x:c>
      <x:c r="G426" t="str">
        <x:v>是</x:v>
      </x:c>
      <x:c r="H426" t="str">
        <x:v>首次用于V0.3</x:v>
      </x:c>
    </x:row>
    <x:row r="427">
      <x:c r="A427" t="str">
        <x:v>规则子类</x:v>
      </x:c>
      <x:c r="B427" t="str">
        <x:v>M05-XING</x:v>
      </x:c>
      <x:c r="C427" t="str">
        <x:v>M05｜三刑</x:v>
      </x:c>
      <x:c r="D427" t="str">
        <x:v>M05中用于寅巳申、丑未戌与子卯刑的局部及完整结构子类代码。</x:v>
      </x:c>
      <x:c r="E427" t="str">
        <x:v>子类代码</x:v>
      </x:c>
      <x:c r="F427" t="n">
        <x:v>17</x:v>
      </x:c>
      <x:c r="G427" t="str">
        <x:v>是</x:v>
      </x:c>
      <x:c r="H427" t="str">
        <x:v>首次用于V0.3</x:v>
      </x:c>
    </x:row>
    <x:row r="428">
      <x:c r="A428" t="str">
        <x:v>规则子类</x:v>
      </x:c>
      <x:c r="B428" t="str">
        <x:v>M05-ZIXING</x:v>
      </x:c>
      <x:c r="C428" t="str">
        <x:v>M05｜自刑</x:v>
      </x:c>
      <x:c r="D428" t="str">
        <x:v>M05中用于辰、午、酉、亥重复自刑候选的子类代码。</x:v>
      </x:c>
      <x:c r="E428" t="str">
        <x:v>子类代码</x:v>
      </x:c>
      <x:c r="F428" t="n">
        <x:v>18</x:v>
      </x:c>
      <x:c r="G428" t="str">
        <x:v>是</x:v>
      </x:c>
      <x:c r="H428" t="str">
        <x:v>首次用于V0.3</x:v>
      </x:c>
    </x:row>
    <x:row r="429">
      <x:c r="A429" t="str">
        <x:v>规则子类</x:v>
      </x:c>
      <x:c r="B429" t="str">
        <x:v>M05-HAI</x:v>
      </x:c>
      <x:c r="C429" t="str">
        <x:v>M05｜六害</x:v>
      </x:c>
      <x:c r="D429" t="str">
        <x:v>M05中用于六组地支相害配对的子类代码。</x:v>
      </x:c>
      <x:c r="E429" t="str">
        <x:v>子类代码</x:v>
      </x:c>
      <x:c r="F429" t="n">
        <x:v>19</x:v>
      </x:c>
      <x:c r="G429" t="str">
        <x:v>是</x:v>
      </x:c>
      <x:c r="H429" t="str">
        <x:v>首次用于V0.3</x:v>
      </x:c>
    </x:row>
    <x:row r="430">
      <x:c r="A430" t="str">
        <x:v>规则子类</x:v>
      </x:c>
      <x:c r="B430" t="str">
        <x:v>M05-PO</x:v>
      </x:c>
      <x:c r="C430" t="str">
        <x:v>M05｜六破</x:v>
      </x:c>
      <x:c r="D430" t="str">
        <x:v>M05中用于六组地支相破配对及争议权重管理的子类代码。</x:v>
      </x:c>
      <x:c r="E430" t="str">
        <x:v>子类代码</x:v>
      </x:c>
      <x:c r="F430" t="n">
        <x:v>20</x:v>
      </x:c>
      <x:c r="G430" t="str">
        <x:v>是</x:v>
      </x:c>
      <x:c r="H430" t="str">
        <x:v>首次用于V0.3</x:v>
      </x:c>
    </x:row>
    <x:row r="431">
      <x:c r="A431" t="str">
        <x:v>规则子类</x:v>
      </x:c>
      <x:c r="B431" t="str">
        <x:v>M05-POS</x:v>
      </x:c>
      <x:c r="C431" t="str">
        <x:v>M05｜柱位标记</x:v>
      </x:c>
      <x:c r="D431" t="str">
        <x:v>M05中用于地支关系柱位实例化的子类代码。</x:v>
      </x:c>
      <x:c r="E431" t="str">
        <x:v>子类代码</x:v>
      </x:c>
      <x:c r="F431" t="n">
        <x:v>21</x:v>
      </x:c>
      <x:c r="G431" t="str">
        <x:v>是</x:v>
      </x:c>
      <x:c r="H431" t="str">
        <x:v>首次用于V0.3</x:v>
      </x:c>
    </x:row>
    <x:row r="432">
      <x:c r="A432" t="str">
        <x:v>规则子类</x:v>
      </x:c>
      <x:c r="B432" t="str">
        <x:v>M05-SUIYUN</x:v>
      </x:c>
      <x:c r="C432" t="str">
        <x:v>M05｜岁运补齐</x:v>
      </x:c>
      <x:c r="D432" t="str">
        <x:v>M05中用于静态原局部分结构与动态岁运补齐接口的子类代码。</x:v>
      </x:c>
      <x:c r="E432" t="str">
        <x:v>子类代码</x:v>
      </x:c>
      <x:c r="F432" t="n">
        <x:v>22</x:v>
      </x:c>
      <x:c r="G432" t="str">
        <x:v>是</x:v>
      </x:c>
      <x:c r="H432" t="str">
        <x:v>首次用于V0.3</x:v>
      </x:c>
    </x:row>
    <x:row r="433">
      <x:c r="A433" t="str">
        <x:v>规则子类</x:v>
      </x:c>
      <x:c r="B433" t="str">
        <x:v>M05-OVER</x:v>
      </x:c>
      <x:c r="C433" t="str">
        <x:v>M05｜多重关系</x:v>
      </x:c>
      <x:c r="D433" t="str">
        <x:v>M05中用于同一支或同一对支多重关系并存的子类代码。</x:v>
      </x:c>
      <x:c r="E433" t="str">
        <x:v>子类代码</x:v>
      </x:c>
      <x:c r="F433" t="n">
        <x:v>23</x:v>
      </x:c>
      <x:c r="G433" t="str">
        <x:v>是</x:v>
      </x:c>
      <x:c r="H433" t="str">
        <x:v>首次用于V0.3</x:v>
      </x:c>
    </x:row>
    <x:row r="434">
      <x:c r="A434" t="str">
        <x:v>规则子类</x:v>
      </x:c>
      <x:c r="B434" t="str">
        <x:v>M05-BOUND</x:v>
      </x:c>
      <x:c r="C434" t="str">
        <x:v>M05｜识别边界</x:v>
      </x:c>
      <x:c r="D434" t="str">
        <x:v>M05中用于完整度、藏干替代、成局与效应分层边界的子类代码。</x:v>
      </x:c>
      <x:c r="E434" t="str">
        <x:v>子类代码</x:v>
      </x:c>
      <x:c r="F434" t="n">
        <x:v>24</x:v>
      </x:c>
      <x:c r="G434" t="str">
        <x:v>是</x:v>
      </x:c>
      <x:c r="H434" t="str">
        <x:v>首次用于V0.3</x:v>
      </x:c>
    </x:row>
    <x:row r="435">
      <x:c r="A435" t="str">
        <x:v>版本号</x:v>
      </x:c>
      <x:c r="B435" t="str">
        <x:v>VER08</x:v>
      </x:c>
      <x:c r="C435" t="str">
        <x:v>V0.4</x:v>
      </x:c>
      <x:c r="D435" t="str">
        <x:v>版本号的标准选项：V0.4。完成M06干支关系实际效应核心规则。</x:v>
      </x:c>
      <x:c r="E435" t="str">
        <x:v>版本号</x:v>
      </x:c>
      <x:c r="F435" t="n">
        <x:v>4</x:v>
      </x:c>
      <x:c r="G435" t="str">
        <x:v>是</x:v>
      </x:c>
      <x:c r="H435" t="str">
        <x:v>关系效应规则版</x:v>
      </x:c>
    </x:row>
    <x:row r="436">
      <x:c r="A436" t="str">
        <x:v>规则子类</x:v>
      </x:c>
      <x:c r="B436" t="str">
        <x:v>M06-TGHE</x:v>
      </x:c>
      <x:c r="C436" t="str">
        <x:v>M06｜天干合效应</x:v>
      </x:c>
      <x:c r="D436" t="str">
        <x:v>M06中用于天干五合的合动、合绊、合住、位置与争合效应。</x:v>
      </x:c>
      <x:c r="E436" t="str">
        <x:v>子类代码</x:v>
      </x:c>
      <x:c r="F436" t="n">
        <x:v>25</x:v>
      </x:c>
      <x:c r="G436" t="str">
        <x:v>是</x:v>
      </x:c>
      <x:c r="H436" t="str">
        <x:v>首次用于V0.4</x:v>
      </x:c>
    </x:row>
    <x:row r="437">
      <x:c r="A437" t="str">
        <x:v>规则子类</x:v>
      </x:c>
      <x:c r="B437" t="str">
        <x:v>M06-TGHUA</x:v>
      </x:c>
      <x:c r="C437" t="str">
        <x:v>M06｜天干合化</x:v>
      </x:c>
      <x:c r="D437" t="str">
        <x:v>M06中用于五合化神门槛、固定化神方向、拒化与局部化意。</x:v>
      </x:c>
      <x:c r="E437" t="str">
        <x:v>子类代码</x:v>
      </x:c>
      <x:c r="F437" t="n">
        <x:v>26</x:v>
      </x:c>
      <x:c r="G437" t="str">
        <x:v>是</x:v>
      </x:c>
      <x:c r="H437" t="str">
        <x:v>首次用于V0.4</x:v>
      </x:c>
    </x:row>
    <x:row r="438">
      <x:c r="A438" t="str">
        <x:v>规则子类</x:v>
      </x:c>
      <x:c r="B438" t="str">
        <x:v>M06-TGKE</x:v>
      </x:c>
      <x:c r="C438" t="str">
        <x:v>M06｜天干相克效应</x:v>
      </x:c>
      <x:c r="D438" t="str">
        <x:v>M06中用于天干相克的强弱、互耗、生扶缓冲及合克并见。</x:v>
      </x:c>
      <x:c r="E438" t="str">
        <x:v>子类代码</x:v>
      </x:c>
      <x:c r="F438" t="n">
        <x:v>27</x:v>
      </x:c>
      <x:c r="G438" t="str">
        <x:v>是</x:v>
      </x:c>
      <x:c r="H438" t="str">
        <x:v>首次用于V0.4</x:v>
      </x:c>
    </x:row>
    <x:row r="439">
      <x:c r="A439" t="str">
        <x:v>规则子类</x:v>
      </x:c>
      <x:c r="B439" t="str">
        <x:v>M06-LIUHE</x:v>
      </x:c>
      <x:c r="C439" t="str">
        <x:v>M06｜六合效应</x:v>
      </x:c>
      <x:c r="D439" t="str">
        <x:v>M06中用于六合的合动、合绊、条件性化向与合冲裁决。</x:v>
      </x:c>
      <x:c r="E439" t="str">
        <x:v>子类代码</x:v>
      </x:c>
      <x:c r="F439" t="n">
        <x:v>28</x:v>
      </x:c>
      <x:c r="G439" t="str">
        <x:v>是</x:v>
      </x:c>
      <x:c r="H439" t="str">
        <x:v>首次用于V0.4</x:v>
      </x:c>
    </x:row>
    <x:row r="440">
      <x:c r="A440" t="str">
        <x:v>规则子类</x:v>
      </x:c>
      <x:c r="B440" t="str">
        <x:v>M06-SANHE</x:v>
      </x:c>
      <x:c r="C440" t="str">
        <x:v>M06｜三合效应</x:v>
      </x:c>
      <x:c r="D440" t="str">
        <x:v>M06中用于三合成局门槛、中神、透干、破局与原支保留。</x:v>
      </x:c>
      <x:c r="E440" t="str">
        <x:v>子类代码</x:v>
      </x:c>
      <x:c r="F440" t="n">
        <x:v>29</x:v>
      </x:c>
      <x:c r="G440" t="str">
        <x:v>是</x:v>
      </x:c>
      <x:c r="H440" t="str">
        <x:v>首次用于V0.4</x:v>
      </x:c>
    </x:row>
    <x:row r="441">
      <x:c r="A441" t="str">
        <x:v>规则子类</x:v>
      </x:c>
      <x:c r="B441" t="str">
        <x:v>M06-SANHUI</x:v>
      </x:c>
      <x:c r="C441" t="str">
        <x:v>M06｜三会效应</x:v>
      </x:c>
      <x:c r="D441" t="str">
        <x:v>M06中用于三会方局的季节气势、成局与共享节点归属。</x:v>
      </x:c>
      <x:c r="E441" t="str">
        <x:v>子类代码</x:v>
      </x:c>
      <x:c r="F441" t="n">
        <x:v>30</x:v>
      </x:c>
      <x:c r="G441" t="str">
        <x:v>是</x:v>
      </x:c>
      <x:c r="H441" t="str">
        <x:v>首次用于V0.4</x:v>
      </x:c>
    </x:row>
    <x:row r="442">
      <x:c r="A442" t="str">
        <x:v>规则子类</x:v>
      </x:c>
      <x:c r="B442" t="str">
        <x:v>M06-BANGONG</x:v>
      </x:c>
      <x:c r="C442" t="str">
        <x:v>M06｜半合拱合效应</x:v>
      </x:c>
      <x:c r="D442" t="str">
        <x:v>M06中用于半合与拱合分级、中神作用和岁运补齐。</x:v>
      </x:c>
      <x:c r="E442" t="str">
        <x:v>子类代码</x:v>
      </x:c>
      <x:c r="F442" t="n">
        <x:v>31</x:v>
      </x:c>
      <x:c r="G442" t="str">
        <x:v>是</x:v>
      </x:c>
      <x:c r="H442" t="str">
        <x:v>首次用于V0.4</x:v>
      </x:c>
    </x:row>
    <x:row r="443">
      <x:c r="A443" t="str">
        <x:v>规则子类</x:v>
      </x:c>
      <x:c r="B443" t="str">
        <x:v>M06-CHONG</x:v>
      </x:c>
      <x:c r="C443" t="str">
        <x:v>M06｜六冲效应</x:v>
      </x:c>
      <x:c r="D443" t="str">
        <x:v>M06中用于冲动、冲旺、冲弱、冲散、冲开、冲去、开库与根气变化。</x:v>
      </x:c>
      <x:c r="E443" t="str">
        <x:v>子类代码</x:v>
      </x:c>
      <x:c r="F443" t="n">
        <x:v>32</x:v>
      </x:c>
      <x:c r="G443" t="str">
        <x:v>是</x:v>
      </x:c>
      <x:c r="H443" t="str">
        <x:v>首次用于V0.4</x:v>
      </x:c>
    </x:row>
    <x:row r="444">
      <x:c r="A444" t="str">
        <x:v>规则子类</x:v>
      </x:c>
      <x:c r="B444" t="str">
        <x:v>M06-XING</x:v>
      </x:c>
      <x:c r="C444" t="str">
        <x:v>M06｜三刑效应</x:v>
      </x:c>
      <x:c r="D444" t="str">
        <x:v>M06中用于三刑的刑动、刑伤、藏干引动、完整度与重叠关系。</x:v>
      </x:c>
      <x:c r="E444" t="str">
        <x:v>子类代码</x:v>
      </x:c>
      <x:c r="F444" t="n">
        <x:v>33</x:v>
      </x:c>
      <x:c r="G444" t="str">
        <x:v>是</x:v>
      </x:c>
      <x:c r="H444" t="str">
        <x:v>首次用于V0.4</x:v>
      </x:c>
    </x:row>
    <x:row r="445">
      <x:c r="A445" t="str">
        <x:v>规则子类</x:v>
      </x:c>
      <x:c r="B445" t="str">
        <x:v>M06-ZIXING</x:v>
      </x:c>
      <x:c r="C445" t="str">
        <x:v>M06｜自刑效应</x:v>
      </x:c>
      <x:c r="D445" t="str">
        <x:v>M06中用于自刑启动、同气壅滞、弱支边界与主次裁决。</x:v>
      </x:c>
      <x:c r="E445" t="str">
        <x:v>子类代码</x:v>
      </x:c>
      <x:c r="F445" t="n">
        <x:v>34</x:v>
      </x:c>
      <x:c r="G445" t="str">
        <x:v>是</x:v>
      </x:c>
      <x:c r="H445" t="str">
        <x:v>首次用于V0.4</x:v>
      </x:c>
    </x:row>
    <x:row r="446">
      <x:c r="A446" t="str">
        <x:v>规则子类</x:v>
      </x:c>
      <x:c r="B446" t="str">
        <x:v>M06-HAI</x:v>
      </x:c>
      <x:c r="C446" t="str">
        <x:v>M06｜六害效应</x:v>
      </x:c>
      <x:c r="D446" t="str">
        <x:v>M06中用于六害的暗损、桥梁阻滞与低权重条件修正。</x:v>
      </x:c>
      <x:c r="E446" t="str">
        <x:v>子类代码</x:v>
      </x:c>
      <x:c r="F446" t="n">
        <x:v>35</x:v>
      </x:c>
      <x:c r="G446" t="str">
        <x:v>是</x:v>
      </x:c>
      <x:c r="H446" t="str">
        <x:v>首次用于V0.4</x:v>
      </x:c>
    </x:row>
    <x:row r="447">
      <x:c r="A447" t="str">
        <x:v>规则子类</x:v>
      </x:c>
      <x:c r="B447" t="str">
        <x:v>M06-PO</x:v>
      </x:c>
      <x:c r="C447" t="str">
        <x:v>M06｜六破效应</x:v>
      </x:c>
      <x:c r="D447" t="str">
        <x:v>M06中用于六破的连接松动、合局稳定性与低权重边界。</x:v>
      </x:c>
      <x:c r="E447" t="str">
        <x:v>子类代码</x:v>
      </x:c>
      <x:c r="F447" t="n">
        <x:v>36</x:v>
      </x:c>
      <x:c r="G447" t="str">
        <x:v>是</x:v>
      </x:c>
      <x:c r="H447" t="str">
        <x:v>首次用于V0.4</x:v>
      </x:c>
    </x:row>
    <x:row r="448">
      <x:c r="A448" t="str">
        <x:v>规则子类</x:v>
      </x:c>
      <x:c r="B448" t="str">
        <x:v>M06-OVER</x:v>
      </x:c>
      <x:c r="C448" t="str">
        <x:v>M06｜多重关系裁决</x:v>
      </x:c>
      <x:c r="D448" t="str">
        <x:v>M06中用于合冲刑害破并见、共享节点归属与五步链式裁决。</x:v>
      </x:c>
      <x:c r="E448" t="str">
        <x:v>子类代码</x:v>
      </x:c>
      <x:c r="F448" t="n">
        <x:v>37</x:v>
      </x:c>
      <x:c r="G448" t="str">
        <x:v>是</x:v>
      </x:c>
      <x:c r="H448" t="str">
        <x:v>首次用于V0.4</x:v>
      </x:c>
    </x:row>
    <x:row r="449">
      <x:c r="A449" t="str">
        <x:v>规则子类</x:v>
      </x:c>
      <x:c r="B449" t="str">
        <x:v>M06-BOUND</x:v>
      </x:c>
      <x:c r="C449" t="str">
        <x:v>M06｜效应边界</x:v>
      </x:c>
      <x:c r="D449" t="str">
        <x:v>M06中用于固定分值禁用、逐对象输出、根气与藏干边界及下游接口。</x:v>
      </x:c>
      <x:c r="E449" t="str">
        <x:v>子类代码</x:v>
      </x:c>
      <x:c r="F449" t="n">
        <x:v>38</x:v>
      </x:c>
      <x:c r="G449" t="str">
        <x:v>是</x:v>
      </x:c>
      <x:c r="H449" t="str">
        <x:v>首次用于V0.4</x:v>
      </x:c>
    </x:row>
    <x:row r="450">
      <x:c r="A450" t="str">
        <x:v>版本号</x:v>
      </x:c>
      <x:c r="B450" t="str">
        <x:v>VER09</x:v>
      </x:c>
      <x:c r="C450" t="str">
        <x:v>V0.5</x:v>
      </x:c>
      <x:c r="D450" t="str">
        <x:v>版本号的标准选项：V0.5。完成M07五行原始旺衰核心规则。</x:v>
      </x:c>
      <x:c r="E450" t="str">
        <x:v>版本号</x:v>
      </x:c>
      <x:c r="F450" t="n">
        <x:v>5</x:v>
      </x:c>
      <x:c r="G450" t="str">
        <x:v>是</x:v>
      </x:c>
      <x:c r="H450" t="str">
        <x:v>五行原始旺衰规则版</x:v>
      </x:c>
    </x:row>
    <x:row r="451">
      <x:c r="A451" t="str">
        <x:v>规则子类</x:v>
      </x:c>
      <x:c r="B451" t="str">
        <x:v>M07-SEAS</x:v>
      </x:c>
      <x:c r="C451" t="str">
        <x:v>M07｜季令证据</x:v>
      </x:c>
      <x:c r="D451" t="str">
        <x:v>M07中用于得令、旺相休囚死、四季土月、交节校验与季令去重。</x:v>
      </x:c>
      <x:c r="E451" t="str">
        <x:v>子类代码</x:v>
      </x:c>
      <x:c r="F451" t="n">
        <x:v>39</x:v>
      </x:c>
      <x:c r="G451" t="str">
        <x:v>是</x:v>
      </x:c>
      <x:c r="H451" t="str">
        <x:v>首次用于V0.5</x:v>
      </x:c>
    </x:row>
    <x:row r="452">
      <x:c r="A452" t="str">
        <x:v>规则子类</x:v>
      </x:c>
      <x:c r="B452" t="str">
        <x:v>M07-ROOT</x:v>
      </x:c>
      <x:c r="C452" t="str">
        <x:v>M07｜根气证据</x:v>
      </x:c>
      <x:c r="D452" t="str">
        <x:v>M07中用于本中余气根、多根、库根、无根、透根相应及原始根边界。</x:v>
      </x:c>
      <x:c r="E452" t="str">
        <x:v>子类代码</x:v>
      </x:c>
      <x:c r="F452" t="n">
        <x:v>40</x:v>
      </x:c>
      <x:c r="G452" t="str">
        <x:v>是</x:v>
      </x:c>
      <x:c r="H452" t="str">
        <x:v>首次用于V0.5</x:v>
      </x:c>
    </x:row>
    <x:row r="453">
      <x:c r="A453" t="str">
        <x:v>规则子类</x:v>
      </x:c>
      <x:c r="B453" t="str">
        <x:v>M07-STEM</x:v>
      </x:c>
      <x:c r="C453" t="str">
        <x:v>M07｜透干显露</x:v>
      </x:c>
      <x:c r="D453" t="str">
        <x:v>M07中用于单透、多透、浮干、藏而不透、透干位置与透根共源去重。</x:v>
      </x:c>
      <x:c r="E453" t="str">
        <x:v>子类代码</x:v>
      </x:c>
      <x:c r="F453" t="n">
        <x:v>41</x:v>
      </x:c>
      <x:c r="G453" t="str">
        <x:v>是</x:v>
      </x:c>
      <x:c r="H453" t="str">
        <x:v>首次用于V0.5</x:v>
      </x:c>
    </x:row>
    <x:row r="454">
      <x:c r="A454" t="str">
        <x:v>规则子类</x:v>
      </x:c>
      <x:c r="B454" t="str">
        <x:v>M07-SOURCE</x:v>
      </x:c>
      <x:c r="C454" t="str">
        <x:v>M07｜生源支持</x:v>
      </x:c>
      <x:c r="D454" t="str">
        <x:v>M07中用于直接生源、强弱生源、多源、供给上限与生源缺失。</x:v>
      </x:c>
      <x:c r="E454" t="str">
        <x:v>子类代码</x:v>
      </x:c>
      <x:c r="F454" t="n">
        <x:v>42</x:v>
      </x:c>
      <x:c r="G454" t="str">
        <x:v>是</x:v>
      </x:c>
      <x:c r="H454" t="str">
        <x:v>首次用于V0.5</x:v>
      </x:c>
    </x:row>
    <x:row r="455">
      <x:c r="A455" t="str">
        <x:v>规则子类</x:v>
      </x:c>
      <x:c r="B455" t="str">
        <x:v>M07-ALLY</x:v>
      </x:c>
      <x:c r="C455" t="str">
        <x:v>M07｜同党与数量</x:v>
      </x:c>
      <x:c r="D455" t="str">
        <x:v>M07中用于天干地支同党、干支呼应、集中度、阴阳同类与数量边界。</x:v>
      </x:c>
      <x:c r="E455" t="str">
        <x:v>子类代码</x:v>
      </x:c>
      <x:c r="F455" t="n">
        <x:v>43</x:v>
      </x:c>
      <x:c r="G455" t="str">
        <x:v>是</x:v>
      </x:c>
      <x:c r="H455" t="str">
        <x:v>首次用于V0.5</x:v>
      </x:c>
    </x:row>
    <x:row r="456">
      <x:c r="A456" t="str">
        <x:v>规则子类</x:v>
      </x:c>
      <x:c r="B456" t="str">
        <x:v>M07-MOMENT</x:v>
      </x:c>
      <x:c r="C456" t="str">
        <x:v>M07｜成势聚势</x:v>
      </x:c>
      <x:c r="D456" t="str">
        <x:v>M07中用于多维汇合、位置覆盖、方向性聚势、反季节成党与成势去重。</x:v>
      </x:c>
      <x:c r="E456" t="str">
        <x:v>子类代码</x:v>
      </x:c>
      <x:c r="F456" t="n">
        <x:v>44</x:v>
      </x:c>
      <x:c r="G456" t="str">
        <x:v>是</x:v>
      </x:c>
      <x:c r="H456" t="str">
        <x:v>首次用于V0.5</x:v>
      </x:c>
    </x:row>
    <x:row r="457">
      <x:c r="A457" t="str">
        <x:v>规则子类</x:v>
      </x:c>
      <x:c r="B457" t="str">
        <x:v>M07-CHAIN</x:v>
      </x:c>
      <x:c r="C457" t="str">
        <x:v>M07｜连续生扶</x:v>
      </x:c>
      <x:c r="D457" t="str">
        <x:v>M07中用于一段链、两段链、显露链、有根链、缺桥与链长衰减。</x:v>
      </x:c>
      <x:c r="E457" t="str">
        <x:v>子类代码</x:v>
      </x:c>
      <x:c r="F457" t="n">
        <x:v>45</x:v>
      </x:c>
      <x:c r="G457" t="str">
        <x:v>是</x:v>
      </x:c>
      <x:c r="H457" t="str">
        <x:v>首次用于V0.5</x:v>
      </x:c>
    </x:row>
    <x:row r="458">
      <x:c r="A458" t="str">
        <x:v>规则子类</x:v>
      </x:c>
      <x:c r="B458" t="str">
        <x:v>M07-AGG</x:v>
      </x:c>
      <x:c r="C458" t="str">
        <x:v>M07｜综合分级</x:v>
      </x:c>
      <x:c r="D458" t="str">
        <x:v>M07中用于证据矩阵、七级旺衰、极端门槛、中和区间与输出规范。</x:v>
      </x:c>
      <x:c r="E458" t="str">
        <x:v>子类代码</x:v>
      </x:c>
      <x:c r="F458" t="n">
        <x:v>46</x:v>
      </x:c>
      <x:c r="G458" t="str">
        <x:v>是</x:v>
      </x:c>
      <x:c r="H458" t="str">
        <x:v>首次用于V0.5</x:v>
      </x:c>
    </x:row>
    <x:row r="459">
      <x:c r="A459" t="str">
        <x:v>规则子类</x:v>
      </x:c>
      <x:c r="B459" t="str">
        <x:v>M07-BOUND</x:v>
      </x:c>
      <x:c r="C459" t="str">
        <x:v>M07｜原始旺衰边界</x:v>
      </x:c>
      <x:c r="D459" t="str">
        <x:v>M07中用于原始—有效分层、非机械计分、强弱喜忌分离与证据容量约束。</x:v>
      </x:c>
      <x:c r="E459" t="str">
        <x:v>子类代码</x:v>
      </x:c>
      <x:c r="F459" t="n">
        <x:v>47</x:v>
      </x:c>
      <x:c r="G459" t="str">
        <x:v>是</x:v>
      </x:c>
      <x:c r="H459" t="str">
        <x:v>首次用于V0.5</x:v>
      </x:c>
    </x:row>
    <x:row r="460">
      <x:c r="A460" t="str">
        <x:v>版本号</x:v>
      </x:c>
      <x:c r="B460" t="str">
        <x:v>VER10</x:v>
      </x:c>
      <x:c r="C460" t="str">
        <x:v>V0.6</x:v>
      </x:c>
      <x:c r="D460" t="str">
        <x:v>版本号的标准选项：V0.6。完成M08五行有效旺衰核心规则。</x:v>
      </x:c>
      <x:c r="E460" t="str">
        <x:v>版本号</x:v>
      </x:c>
      <x:c r="F460" t="n">
        <x:v>6</x:v>
      </x:c>
      <x:c r="G460" t="str">
        <x:v>是</x:v>
      </x:c>
      <x:c r="H460" t="str">
        <x:v>五行有效旺衰规则版</x:v>
      </x:c>
      <x:c r="I460"/>
      <x:c r="J460"/>
      <x:c r="K460"/>
      <x:c r="L460"/>
      <x:c r="M460"/>
      <x:c r="N460"/>
      <x:c r="O460"/>
      <x:c r="P460"/>
      <x:c r="Q460"/>
    </x:row>
    <x:row r="461">
      <x:c r="A461" t="str">
        <x:v>规则子类</x:v>
      </x:c>
      <x:c r="B461" t="str">
        <x:v>M08-ROOT</x:v>
      </x:c>
      <x:c r="C461" t="str">
        <x:v>M08｜根气有效性</x:v>
      </x:c>
      <x:c r="D461" t="str">
        <x:v>M08中用于根气受冲合刑害、墓库、改性与独立节点容量的有效性修正。</x:v>
      </x:c>
      <x:c r="E461" t="str">
        <x:v>子类代码</x:v>
      </x:c>
      <x:c r="F461" t="n">
        <x:v>48</x:v>
      </x:c>
      <x:c r="G461" t="str">
        <x:v>是</x:v>
      </x:c>
      <x:c r="H461" t="str">
        <x:v>首次用于V0.6</x:v>
      </x:c>
      <x:c r="I461"/>
      <x:c r="J461"/>
      <x:c r="K461"/>
      <x:c r="L461"/>
      <x:c r="M461"/>
      <x:c r="N461"/>
      <x:c r="O461"/>
      <x:c r="P461"/>
      <x:c r="Q461"/>
    </x:row>
    <x:row r="462">
      <x:c r="A462" t="str">
        <x:v>规则子类</x:v>
      </x:c>
      <x:c r="B462" t="str">
        <x:v>M08-SOURCE</x:v>
      </x:c>
      <x:c r="C462" t="str">
        <x:v>M08｜生源有效性</x:v>
      </x:c>
      <x:c r="D462" t="str">
        <x:v>M08中用于强弱生源、合绊改性、供给冗余、容量分配与生扶链中断。</x:v>
      </x:c>
      <x:c r="E462" t="str">
        <x:v>子类代码</x:v>
      </x:c>
      <x:c r="F462" t="n">
        <x:v>49</x:v>
      </x:c>
      <x:c r="G462" t="str">
        <x:v>是</x:v>
      </x:c>
      <x:c r="H462" t="str">
        <x:v>首次用于V0.6</x:v>
      </x:c>
      <x:c r="I462"/>
      <x:c r="J462"/>
      <x:c r="K462"/>
      <x:c r="L462"/>
      <x:c r="M462"/>
      <x:c r="N462"/>
      <x:c r="O462"/>
      <x:c r="P462"/>
      <x:c r="Q462"/>
    </x:row>
    <x:row r="463">
      <x:c r="A463" t="str">
        <x:v>规则子类</x:v>
      </x:c>
      <x:c r="B463" t="str">
        <x:v>M08-STEM</x:v>
      </x:c>
      <x:c r="C463" t="str">
        <x:v>M08｜透达有效性</x:v>
      </x:c>
      <x:c r="D463" t="str">
        <x:v>M08中用于透干、藏而不透、合绊合化、受克、位置与多透边际递减。</x:v>
      </x:c>
      <x:c r="E463" t="str">
        <x:v>子类代码</x:v>
      </x:c>
      <x:c r="F463" t="n">
        <x:v>50</x:v>
      </x:c>
      <x:c r="G463" t="str">
        <x:v>是</x:v>
      </x:c>
      <x:c r="H463" t="str">
        <x:v>首次用于V0.6</x:v>
      </x:c>
      <x:c r="I463"/>
      <x:c r="J463"/>
      <x:c r="K463"/>
      <x:c r="L463"/>
      <x:c r="M463"/>
      <x:c r="N463"/>
      <x:c r="O463"/>
      <x:c r="P463"/>
      <x:c r="Q463"/>
    </x:row>
    <x:row r="464">
      <x:c r="A464" t="str">
        <x:v>规则子类</x:v>
      </x:c>
      <x:c r="B464" t="str">
        <x:v>M08-CONTROL</x:v>
      </x:c>
      <x:c r="C464" t="str">
        <x:v>M08｜克制修正</x:v>
      </x:c>
      <x:c r="D464" t="str">
        <x:v>M08中用于强克弱、弱克强、势均相克、制化、通关与克力容量。</x:v>
      </x:c>
      <x:c r="E464" t="str">
        <x:v>子类代码</x:v>
      </x:c>
      <x:c r="F464" t="n">
        <x:v>51</x:v>
      </x:c>
      <x:c r="G464" t="str">
        <x:v>是</x:v>
      </x:c>
      <x:c r="H464" t="str">
        <x:v>首次用于V0.6</x:v>
      </x:c>
      <x:c r="I464"/>
      <x:c r="J464"/>
      <x:c r="K464"/>
      <x:c r="L464"/>
      <x:c r="M464"/>
      <x:c r="N464"/>
      <x:c r="O464"/>
      <x:c r="P464"/>
      <x:c r="Q464"/>
    </x:row>
    <x:row r="465">
      <x:c r="A465" t="str">
        <x:v>规则子类</x:v>
      </x:c>
      <x:c r="B465" t="str">
        <x:v>M08-LEAK</x:v>
      </x:c>
      <x:c r="C465" t="str">
        <x:v>M08｜泄气修正</x:v>
      </x:c>
      <x:c r="D465" t="str">
        <x:v>M08中用于主动泄气、弱泄、多路泄出、泄神受制与连续导流。</x:v>
      </x:c>
      <x:c r="E465" t="str">
        <x:v>子类代码</x:v>
      </x:c>
      <x:c r="F465" t="n">
        <x:v>52</x:v>
      </x:c>
      <x:c r="G465" t="str">
        <x:v>是</x:v>
      </x:c>
      <x:c r="H465" t="str">
        <x:v>首次用于V0.6</x:v>
      </x:c>
      <x:c r="I465"/>
      <x:c r="J465"/>
      <x:c r="K465"/>
      <x:c r="L465"/>
      <x:c r="M465"/>
      <x:c r="N465"/>
      <x:c r="O465"/>
      <x:c r="P465"/>
      <x:c r="Q465"/>
    </x:row>
    <x:row r="466">
      <x:c r="A466" t="str">
        <x:v>规则子类</x:v>
      </x:c>
      <x:c r="B466" t="str">
        <x:v>M08-DRAIN</x:v>
      </x:c>
      <x:c r="C466" t="str">
        <x:v>M08｜耗气修正</x:v>
      </x:c>
      <x:c r="D466" t="str">
        <x:v>M08中用于主动克耗、强弱耗对象、多路耗力、容量约束与承载不足。</x:v>
      </x:c>
      <x:c r="E466" t="str">
        <x:v>子类代码</x:v>
      </x:c>
      <x:c r="F466" t="n">
        <x:v>53</x:v>
      </x:c>
      <x:c r="G466" t="str">
        <x:v>是</x:v>
      </x:c>
      <x:c r="H466" t="str">
        <x:v>首次用于V0.6</x:v>
      </x:c>
      <x:c r="I466"/>
      <x:c r="J466"/>
      <x:c r="K466"/>
      <x:c r="L466"/>
      <x:c r="M466"/>
      <x:c r="N466"/>
      <x:c r="O466"/>
      <x:c r="P466"/>
      <x:c r="Q466"/>
    </x:row>
    <x:row r="467">
      <x:c r="A467" t="str">
        <x:v>规则子类</x:v>
      </x:c>
      <x:c r="B467" t="str">
        <x:v>M08-TRANS</x:v>
      </x:c>
      <x:c r="C467" t="str">
        <x:v>M08｜合化会局改性</x:v>
      </x:c>
      <x:c r="D467" t="str">
        <x:v>M08中用于天干合化、六合、三合、三会、半合、拱合及共享节点的力量重分配。</x:v>
      </x:c>
      <x:c r="E467" t="str">
        <x:v>子类代码</x:v>
      </x:c>
      <x:c r="F467" t="n">
        <x:v>54</x:v>
      </x:c>
      <x:c r="G467" t="str">
        <x:v>是</x:v>
      </x:c>
      <x:c r="H467" t="str">
        <x:v>首次用于V0.6</x:v>
      </x:c>
      <x:c r="I467"/>
      <x:c r="J467"/>
      <x:c r="K467"/>
      <x:c r="L467"/>
      <x:c r="M467"/>
      <x:c r="N467"/>
      <x:c r="O467"/>
      <x:c r="P467"/>
      <x:c r="Q467"/>
    </x:row>
    <x:row r="468">
      <x:c r="A468" t="str">
        <x:v>规则子类</x:v>
      </x:c>
      <x:c r="B468" t="str">
        <x:v>M08-REL</x:v>
      </x:c>
      <x:c r="C468" t="str">
        <x:v>M08｜冲刑害破修正</x:v>
      </x:c>
      <x:c r="D468" t="str">
        <x:v>M08中用于六冲、三刑、自刑、六害、六破及多重关系的净效应修正。</x:v>
      </x:c>
      <x:c r="E468" t="str">
        <x:v>子类代码</x:v>
      </x:c>
      <x:c r="F468" t="n">
        <x:v>55</x:v>
      </x:c>
      <x:c r="G468" t="str">
        <x:v>是</x:v>
      </x:c>
      <x:c r="H468" t="str">
        <x:v>首次用于V0.6</x:v>
      </x:c>
      <x:c r="I468"/>
      <x:c r="J468"/>
      <x:c r="K468"/>
      <x:c r="L468"/>
      <x:c r="M468"/>
      <x:c r="N468"/>
      <x:c r="O468"/>
      <x:c r="P468"/>
      <x:c r="Q468"/>
    </x:row>
    <x:row r="469">
      <x:c r="A469" t="str">
        <x:v>规则子类</x:v>
      </x:c>
      <x:c r="B469" t="str">
        <x:v>M08-CLIM</x:v>
      </x:c>
      <x:c r="C469" t="str">
        <x:v>M08｜寒暖燥湿修正</x:v>
      </x:c>
      <x:c r="D469" t="str">
        <x:v>M08中用于气候条件对五行透达、持续性、生发与可用性的接口修正。</x:v>
      </x:c>
      <x:c r="E469" t="str">
        <x:v>子类代码</x:v>
      </x:c>
      <x:c r="F469" t="n">
        <x:v>56</x:v>
      </x:c>
      <x:c r="G469" t="str">
        <x:v>是</x:v>
      </x:c>
      <x:c r="H469" t="str">
        <x:v>首次用于V0.6</x:v>
      </x:c>
      <x:c r="I469"/>
      <x:c r="J469"/>
      <x:c r="K469"/>
      <x:c r="L469"/>
      <x:c r="M469"/>
      <x:c r="N469"/>
      <x:c r="O469"/>
      <x:c r="P469"/>
      <x:c r="Q469"/>
    </x:row>
    <x:row r="470">
      <x:c r="A470" t="str">
        <x:v>规则子类</x:v>
      </x:c>
      <x:c r="B470" t="str">
        <x:v>M08-FLOW</x:v>
      </x:c>
      <x:c r="C470" t="str">
        <x:v>M08｜流通效率修正</x:v>
      </x:c>
      <x:c r="D470" t="str">
        <x:v>M08中用于桥梁、缺桥、壅塞、承载不足及生化链传递效率。</x:v>
      </x:c>
      <x:c r="E470" t="str">
        <x:v>子类代码</x:v>
      </x:c>
      <x:c r="F470" t="n">
        <x:v>57</x:v>
      </x:c>
      <x:c r="G470" t="str">
        <x:v>是</x:v>
      </x:c>
      <x:c r="H470" t="str">
        <x:v>首次用于V0.6</x:v>
      </x:c>
      <x:c r="I470"/>
      <x:c r="J470"/>
      <x:c r="K470"/>
      <x:c r="L470"/>
      <x:c r="M470"/>
      <x:c r="N470"/>
      <x:c r="O470"/>
      <x:c r="P470"/>
      <x:c r="Q470"/>
    </x:row>
    <x:row r="471">
      <x:c r="A471" t="str">
        <x:v>规则子类</x:v>
      </x:c>
      <x:c r="B471" t="str">
        <x:v>M08-AGG</x:v>
      </x:c>
      <x:c r="C471" t="str">
        <x:v>M08｜有效旺衰综合分级</x:v>
      </x:c>
      <x:c r="D471" t="str">
        <x:v>M08中用于七级有效旺衰、极端门槛、中和区间、反证与置信度。</x:v>
      </x:c>
      <x:c r="E471" t="str">
        <x:v>子类代码</x:v>
      </x:c>
      <x:c r="F471" t="n">
        <x:v>58</x:v>
      </x:c>
      <x:c r="G471" t="str">
        <x:v>是</x:v>
      </x:c>
      <x:c r="H471" t="str">
        <x:v>首次用于V0.6</x:v>
      </x:c>
      <x:c r="I471"/>
      <x:c r="J471"/>
      <x:c r="K471"/>
      <x:c r="L471"/>
      <x:c r="M471"/>
      <x:c r="N471"/>
      <x:c r="O471"/>
      <x:c r="P471"/>
      <x:c r="Q471"/>
    </x:row>
    <x:row r="472">
      <x:c r="A472" t="str">
        <x:v>规则子类</x:v>
      </x:c>
      <x:c r="B472" t="str">
        <x:v>M08-BOUND</x:v>
      </x:c>
      <x:c r="C472" t="str">
        <x:v>M08｜有效旺衰边界</x:v>
      </x:c>
      <x:c r="D472" t="str">
        <x:v>M08中用于喜忌隔离、证据去重、非机械计分与争议降置信。</x:v>
      </x:c>
      <x:c r="E472" t="str">
        <x:v>子类代码</x:v>
      </x:c>
      <x:c r="F472" t="n">
        <x:v>59</x:v>
      </x:c>
      <x:c r="G472" t="str">
        <x:v>是</x:v>
      </x:c>
      <x:c r="H472" t="str">
        <x:v>首次用于V0.6</x:v>
      </x:c>
      <x:c r="I472"/>
      <x:c r="J472"/>
      <x:c r="K472"/>
      <x:c r="L472"/>
      <x:c r="M472"/>
      <x:c r="N472"/>
      <x:c r="O472"/>
      <x:c r="P472"/>
      <x:c r="Q472"/>
    </x:row>
    <x:row r="473">
      <x:c r="A473" t="str">
        <x:v>版本号</x:v>
      </x:c>
      <x:c r="B473" t="str">
        <x:v>VER11</x:v>
      </x:c>
      <x:c r="C473" t="str">
        <x:v>V0.7</x:v>
      </x:c>
      <x:c r="D473" t="str">
        <x:v>版本号的标准选项：V0.7。完成M09日主旺衰核心规则。</x:v>
      </x:c>
      <x:c r="E473" t="str">
        <x:v>版本号</x:v>
      </x:c>
      <x:c r="F473" t="n">
        <x:v>7</x:v>
      </x:c>
      <x:c r="G473" t="str">
        <x:v>是</x:v>
      </x:c>
      <x:c r="H473" t="str">
        <x:v>日主旺衰规则版</x:v>
      </x:c>
    </x:row>
    <x:row r="474">
      <x:c r="A474" t="str">
        <x:v>规则子类</x:v>
      </x:c>
      <x:c r="B474" t="str">
        <x:v>M09-LING</x:v>
      </x:c>
      <x:c r="C474" t="str">
        <x:v>M09｜得令证据</x:v>
      </x:c>
      <x:c r="D474" t="str">
        <x:v>M09中用于季令强弱、得令非充分条件、失令反强、四季月及月令证据去重。</x:v>
      </x:c>
      <x:c r="E474" t="str">
        <x:v>子类代码</x:v>
      </x:c>
      <x:c r="F474" t="n">
        <x:v>60</x:v>
      </x:c>
      <x:c r="G474" t="str">
        <x:v>是</x:v>
      </x:c>
      <x:c r="H474" t="str">
        <x:v>首次用于V0.7</x:v>
      </x:c>
    </x:row>
    <x:row r="475">
      <x:c r="A475" t="str">
        <x:v>规则子类</x:v>
      </x:c>
      <x:c r="B475" t="str">
        <x:v>M09-DI</x:v>
      </x:c>
      <x:c r="C475" t="str">
        <x:v>M09｜得地证据</x:v>
      </x:c>
      <x:c r="D475" t="str">
        <x:v>M09中用于本中余气根、多根、无根、受冲根、日支根及根气可调用性。</x:v>
      </x:c>
      <x:c r="E475" t="str">
        <x:v>子类代码</x:v>
      </x:c>
      <x:c r="F475" t="n">
        <x:v>61</x:v>
      </x:c>
      <x:c r="G475" t="str">
        <x:v>是</x:v>
      </x:c>
      <x:c r="H475" t="str">
        <x:v>首次用于V0.7</x:v>
      </x:c>
    </x:row>
    <x:row r="476">
      <x:c r="A476" t="str">
        <x:v>规则子类</x:v>
      </x:c>
      <x:c r="B476" t="str">
        <x:v>M09-SHI</x:v>
      </x:c>
      <x:c r="C476" t="str">
        <x:v>M09｜得势证据</x:v>
      </x:c>
      <x:c r="D476" t="str">
        <x:v>M09中用于印比集团、数量质量、干支覆盖、扶身链、双集团对比与得势边界。</x:v>
      </x:c>
      <x:c r="E476" t="str">
        <x:v>子类代码</x:v>
      </x:c>
      <x:c r="F476" t="n">
        <x:v>62</x:v>
      </x:c>
      <x:c r="G476" t="str">
        <x:v>是</x:v>
      </x:c>
      <x:c r="H476" t="str">
        <x:v>首次用于V0.7</x:v>
      </x:c>
    </x:row>
    <x:row r="477">
      <x:c r="A477" t="str">
        <x:v>规则子类</x:v>
      </x:c>
      <x:c r="B477" t="str">
        <x:v>M09-SHENG</x:v>
      </x:c>
      <x:c r="C477" t="str">
        <x:v>M09｜得生证据</x:v>
      </x:c>
      <x:c r="D477" t="str">
        <x:v>M09中用于有效印源、印受损、强印无根、多印、生源容量、链式生扶与印比协同。</x:v>
      </x:c>
      <x:c r="E477" t="str">
        <x:v>子类代码</x:v>
      </x:c>
      <x:c r="F477" t="n">
        <x:v>63</x:v>
      </x:c>
      <x:c r="G477" t="str">
        <x:v>是</x:v>
      </x:c>
      <x:c r="H477" t="str">
        <x:v>首次用于V0.7</x:v>
      </x:c>
    </x:row>
    <x:row r="478">
      <x:c r="A478" t="str">
        <x:v>规则子类</x:v>
      </x:c>
      <x:c r="B478" t="str">
        <x:v>M09-KE</x:v>
      </x:c>
      <x:c r="C478" t="str">
        <x:v>M09｜受制证据</x:v>
      </x:c>
      <x:c r="D478" t="str">
        <x:v>M09中用于官杀制身、官杀成势、制化修正、杀印流向、承载差异与容量去重。</x:v>
      </x:c>
      <x:c r="E478" t="str">
        <x:v>子类代码</x:v>
      </x:c>
      <x:c r="F478" t="n">
        <x:v>64</x:v>
      </x:c>
      <x:c r="G478" t="str">
        <x:v>是</x:v>
      </x:c>
      <x:c r="H478" t="str">
        <x:v>首次用于V0.7</x:v>
      </x:c>
    </x:row>
    <x:row r="479">
      <x:c r="A479" t="str">
        <x:v>规则子类</x:v>
      </x:c>
      <x:c r="B479" t="str">
        <x:v>M09-XIE</x:v>
      </x:c>
      <x:c r="C479" t="str">
        <x:v>M09｜受泄证据</x:v>
      </x:c>
      <x:c r="D479" t="str">
        <x:v>M09中用于食伤泄身、泄身成势、印制食伤、连续泄耗及泄克分型。</x:v>
      </x:c>
      <x:c r="E479" t="str">
        <x:v>子类代码</x:v>
      </x:c>
      <x:c r="F479" t="n">
        <x:v>65</x:v>
      </x:c>
      <x:c r="G479" t="str">
        <x:v>是</x:v>
      </x:c>
      <x:c r="H479" t="str">
        <x:v>首次用于V0.7</x:v>
      </x:c>
    </x:row>
    <x:row r="480">
      <x:c r="A480" t="str">
        <x:v>规则子类</x:v>
      </x:c>
      <x:c r="B480" t="str">
        <x:v>M09-HAO</x:v>
      </x:c>
      <x:c r="C480" t="str">
        <x:v>M09｜受耗证据</x:v>
      </x:c>
      <x:c r="D480" t="str">
        <x:v>M09中用于财星耗身、财势、财受制、强身任财、泄耗链去重及多负荷边界。</x:v>
      </x:c>
      <x:c r="E480" t="str">
        <x:v>子类代码</x:v>
      </x:c>
      <x:c r="F480" t="n">
        <x:v>66</x:v>
      </x:c>
      <x:c r="G480" t="str">
        <x:v>是</x:v>
      </x:c>
      <x:c r="H480" t="str">
        <x:v>首次用于V0.7</x:v>
      </x:c>
    </x:row>
    <x:row r="481">
      <x:c r="A481" t="str">
        <x:v>规则子类</x:v>
      </x:c>
      <x:c r="B481" t="str">
        <x:v>M09-SYN</x:v>
      </x:c>
      <x:c r="C481" t="str">
        <x:v>M09｜综合比较</x:v>
      </x:c>
      <x:c r="D481" t="str">
        <x:v>M09中用于扶身侧与负荷侧净优势、强证据优先、节点去重、双强双弱与冲突降置信。</x:v>
      </x:c>
      <x:c r="E481" t="str">
        <x:v>子类代码</x:v>
      </x:c>
      <x:c r="F481" t="n">
        <x:v>67</x:v>
      </x:c>
      <x:c r="G481" t="str">
        <x:v>是</x:v>
      </x:c>
      <x:c r="H481" t="str">
        <x:v>首次用于V0.7</x:v>
      </x:c>
    </x:row>
    <x:row r="482">
      <x:c r="A482" t="str">
        <x:v>规则子类</x:v>
      </x:c>
      <x:c r="B482" t="str">
        <x:v>M09-GRADE</x:v>
      </x:c>
      <x:c r="C482" t="str">
        <x:v>M09｜七级综合分级</x:v>
      </x:c>
      <x:c r="D482" t="str">
        <x:v>M09中用于极弱、弱、中和偏弱、中和、中和偏旺、旺、极旺及相邻等级边界。</x:v>
      </x:c>
      <x:c r="E482" t="str">
        <x:v>子类代码</x:v>
      </x:c>
      <x:c r="F482" t="n">
        <x:v>68</x:v>
      </x:c>
      <x:c r="G482" t="str">
        <x:v>是</x:v>
      </x:c>
      <x:c r="H482" t="str">
        <x:v>首次用于V0.7</x:v>
      </x:c>
    </x:row>
    <x:row r="483">
      <x:c r="A483" t="str">
        <x:v>规则子类</x:v>
      </x:c>
      <x:c r="B483" t="str">
        <x:v>M09-BOUND</x:v>
      </x:c>
      <x:c r="C483" t="str">
        <x:v>M09｜日主旺衰边界</x:v>
      </x:c>
      <x:c r="D483" t="str">
        <x:v>M09中用于非机械计分、数量边界、喜忌隔离、特殊格局接口、静动态分离与输出规范。</x:v>
      </x:c>
      <x:c r="E483" t="str">
        <x:v>子类代码</x:v>
      </x:c>
      <x:c r="F483" t="n">
        <x:v>69</x:v>
      </x:c>
      <x:c r="G483" t="str">
        <x:v>是</x:v>
      </x:c>
      <x:c r="H483" t="str">
        <x:v>首次用于V0.7</x:v>
      </x:c>
    </x:row>
    <x:row r="484">
      <x:c r="A484" t="str">
        <x:v>版本号</x:v>
      </x:c>
      <x:c r="B484" t="str">
        <x:v>VER12</x:v>
      </x:c>
      <x:c r="C484" t="str">
        <x:v>V0.8</x:v>
      </x:c>
      <x:c r="D484" t="str">
        <x:v>版本号的标准选项：V0.8。完成M10十神旺衰功能核心规则。</x:v>
      </x:c>
      <x:c r="E484" t="str">
        <x:v>版本号</x:v>
      </x:c>
      <x:c r="F484" t="n">
        <x:v>8</x:v>
      </x:c>
      <x:c r="G484" t="str">
        <x:v>是</x:v>
      </x:c>
      <x:c r="H484" t="str">
        <x:v>十神旺衰功能规则版</x:v>
      </x:c>
    </x:row>
    <x:row r="485">
      <x:c r="A485" t="str">
        <x:v>规则子类</x:v>
      </x:c>
      <x:c r="B485" t="str">
        <x:v>M10-PRES</x:v>
      </x:c>
      <x:c r="C485" t="str">
        <x:v>M10｜十神存在性</x:v>
      </x:c>
      <x:c r="D485" t="str">
        <x:v>M10中用于透干、藏支、多处出现、完全不现、正偏并见及静动态存在边界。</x:v>
      </x:c>
      <x:c r="E485" t="str">
        <x:v>子类代码</x:v>
      </x:c>
      <x:c r="F485" t="n">
        <x:v>70</x:v>
      </x:c>
      <x:c r="G485" t="str">
        <x:v>是</x:v>
      </x:c>
      <x:c r="H485" t="str">
        <x:v>首次用于V0.8</x:v>
      </x:c>
    </x:row>
    <x:row r="486">
      <x:c r="A486" t="str">
        <x:v>规则子类</x:v>
      </x:c>
      <x:c r="B486" t="str">
        <x:v>M10-POWER</x:v>
      </x:c>
      <x:c r="C486" t="str">
        <x:v>M10｜十神有效力量</x:v>
      </x:c>
      <x:c r="D486" t="str">
        <x:v>M10中用于从M08继承有效力量、多节点汇总、季令根气、生源制约及七级分级。</x:v>
      </x:c>
      <x:c r="E486" t="str">
        <x:v>子类代码</x:v>
      </x:c>
      <x:c r="F486" t="n">
        <x:v>71</x:v>
      </x:c>
      <x:c r="G486" t="str">
        <x:v>是</x:v>
      </x:c>
      <x:c r="H486" t="str">
        <x:v>首次用于V0.8</x:v>
      </x:c>
    </x:row>
    <x:row r="487">
      <x:c r="A487" t="str">
        <x:v>规则子类</x:v>
      </x:c>
      <x:c r="B487" t="str">
        <x:v>M10-PURE</x:v>
      </x:c>
      <x:c r="C487" t="str">
        <x:v>M10｜十神清纯度</x:v>
      </x:c>
      <x:c r="D487" t="str">
        <x:v>M10中用于正偏并见、主次清晰、混杂程度及清纯度与喜忌分离。</x:v>
      </x:c>
      <x:c r="E487" t="str">
        <x:v>子类代码</x:v>
      </x:c>
      <x:c r="F487" t="n">
        <x:v>72</x:v>
      </x:c>
      <x:c r="G487" t="str">
        <x:v>是</x:v>
      </x:c>
      <x:c r="H487" t="str">
        <x:v>首次用于V0.8</x:v>
      </x:c>
    </x:row>
    <x:row r="488">
      <x:c r="A488" t="str">
        <x:v>规则子类</x:v>
      </x:c>
      <x:c r="B488" t="str">
        <x:v>M10-BIJIE</x:v>
      </x:c>
      <x:c r="C488" t="str">
        <x:v>M10｜比劫功能</x:v>
      </x:c>
      <x:c r="D488" t="str">
        <x:v>M10中用于比肩劫财的扶身、抗制、制财、成势、过度和双重功能。</x:v>
      </x:c>
      <x:c r="E488" t="str">
        <x:v>子类代码</x:v>
      </x:c>
      <x:c r="F488" t="n">
        <x:v>73</x:v>
      </x:c>
      <x:c r="G488" t="str">
        <x:v>是</x:v>
      </x:c>
      <x:c r="H488" t="str">
        <x:v>首次用于V0.8</x:v>
      </x:c>
    </x:row>
    <x:row r="489">
      <x:c r="A489" t="str">
        <x:v>规则子类</x:v>
      </x:c>
      <x:c r="B489" t="str">
        <x:v>M10-YIN</x:v>
      </x:c>
      <x:c r="C489" t="str">
        <x:v>M10｜印星功能</x:v>
      </x:c>
      <x:c r="D489" t="str">
        <x:v>M10中用于印星生身、化官杀、制食伤、财制印、印比协同及印过度。</x:v>
      </x:c>
      <x:c r="E489" t="str">
        <x:v>子类代码</x:v>
      </x:c>
      <x:c r="F489" t="n">
        <x:v>74</x:v>
      </x:c>
      <x:c r="G489" t="str">
        <x:v>是</x:v>
      </x:c>
      <x:c r="H489" t="str">
        <x:v>首次用于V0.8</x:v>
      </x:c>
    </x:row>
    <x:row r="490">
      <x:c r="A490" t="str">
        <x:v>规则子类</x:v>
      </x:c>
      <x:c r="B490" t="str">
        <x:v>M10-SHISHANG</x:v>
      </x:c>
      <x:c r="C490" t="str">
        <x:v>M10｜食伤功能</x:v>
      </x:c>
      <x:c r="D490" t="str">
        <x:v>M10中用于泄身、生财、制杀、克官、泄秀、过泄及枭制食伤。</x:v>
      </x:c>
      <x:c r="E490" t="str">
        <x:v>子类代码</x:v>
      </x:c>
      <x:c r="F490" t="n">
        <x:v>75</x:v>
      </x:c>
      <x:c r="G490" t="str">
        <x:v>是</x:v>
      </x:c>
      <x:c r="H490" t="str">
        <x:v>首次用于V0.8</x:v>
      </x:c>
    </x:row>
    <x:row r="491">
      <x:c r="A491" t="str">
        <x:v>规则子类</x:v>
      </x:c>
      <x:c r="B491" t="str">
        <x:v>M10-CAI</x:v>
      </x:c>
      <x:c r="C491" t="str">
        <x:v>M10｜财星功能</x:v>
      </x:c>
      <x:c r="D491" t="str">
        <x:v>M10中用于财星耗身、生官杀、制印、受比劫制、任财与财多身弱候选。</x:v>
      </x:c>
      <x:c r="E491" t="str">
        <x:v>子类代码</x:v>
      </x:c>
      <x:c r="F491" t="n">
        <x:v>76</x:v>
      </x:c>
      <x:c r="G491" t="str">
        <x:v>是</x:v>
      </x:c>
      <x:c r="H491" t="str">
        <x:v>首次用于V0.8</x:v>
      </x:c>
    </x:row>
    <x:row r="492">
      <x:c r="A492" t="str">
        <x:v>规则子类</x:v>
      </x:c>
      <x:c r="B492" t="str">
        <x:v>M10-GUANSHA</x:v>
      </x:c>
      <x:c r="C492" t="str">
        <x:v>M10｜官杀功能</x:v>
      </x:c>
      <x:c r="D492" t="str">
        <x:v>M10中用于官杀制身、生印、制化、官杀混杂、清化及日主承载。</x:v>
      </x:c>
      <x:c r="E492" t="str">
        <x:v>子类代码</x:v>
      </x:c>
      <x:c r="F492" t="n">
        <x:v>77</x:v>
      </x:c>
      <x:c r="G492" t="str">
        <x:v>是</x:v>
      </x:c>
      <x:c r="H492" t="str">
        <x:v>首次用于V0.8</x:v>
      </x:c>
    </x:row>
    <x:row r="493">
      <x:c r="A493" t="str">
        <x:v>规则子类</x:v>
      </x:c>
      <x:c r="B493" t="str">
        <x:v>M10-BAL</x:v>
      </x:c>
      <x:c r="C493" t="str">
        <x:v>M10｜功能制化状态</x:v>
      </x:c>
      <x:c r="D493" t="str">
        <x:v>M10中用于正常、受限、转化、失效、过度、制化平衡和制化失衡。</x:v>
      </x:c>
      <x:c r="E493" t="str">
        <x:v>子类代码</x:v>
      </x:c>
      <x:c r="F493" t="n">
        <x:v>78</x:v>
      </x:c>
      <x:c r="G493" t="str">
        <x:v>是</x:v>
      </x:c>
      <x:c r="H493" t="str">
        <x:v>首次用于V0.8</x:v>
      </x:c>
    </x:row>
    <x:row r="494">
      <x:c r="A494" t="str">
        <x:v>规则子类</x:v>
      </x:c>
      <x:c r="B494" t="str">
        <x:v>M10-ROLE</x:v>
      </x:c>
      <x:c r="C494" t="str">
        <x:v>M10｜组合格局接口</x:v>
      </x:c>
      <x:c r="D494" t="str">
        <x:v>M10中用于向M11/M14生成食神制杀、伤官配印、官印、杀印、食伤生财等候选。</x:v>
      </x:c>
      <x:c r="E494" t="str">
        <x:v>子类代码</x:v>
      </x:c>
      <x:c r="F494" t="n">
        <x:v>79</x:v>
      </x:c>
      <x:c r="G494" t="str">
        <x:v>是</x:v>
      </x:c>
      <x:c r="H494" t="str">
        <x:v>首次用于V0.8</x:v>
      </x:c>
    </x:row>
    <x:row r="495">
      <x:c r="A495" t="str">
        <x:v>规则子类</x:v>
      </x:c>
      <x:c r="B495" t="str">
        <x:v>M10-XIJI</x:v>
      </x:c>
      <x:c r="C495" t="str">
        <x:v>M10｜喜忌候选</x:v>
      </x:c>
      <x:c r="D495" t="str">
        <x:v>M10中用于根据日主承载、主要矛盾、收益与副作用生成条件性喜忌候选。</x:v>
      </x:c>
      <x:c r="E495" t="str">
        <x:v>子类代码</x:v>
      </x:c>
      <x:c r="F495" t="n">
        <x:v>80</x:v>
      </x:c>
      <x:c r="G495" t="str">
        <x:v>是</x:v>
      </x:c>
      <x:c r="H495" t="str">
        <x:v>首次用于V0.8</x:v>
      </x:c>
    </x:row>
    <x:row r="496">
      <x:c r="A496" t="str">
        <x:v>规则子类</x:v>
      </x:c>
      <x:c r="B496" t="str">
        <x:v>M10-BOUND</x:v>
      </x:c>
      <x:c r="C496" t="str">
        <x:v>M10｜十神判断边界</x:v>
      </x:c>
      <x:c r="D496" t="str">
        <x:v>M10中用于旺衰吉凶分离、象义事件隔离、静动态分离、争议治理和标准输出。</x:v>
      </x:c>
      <x:c r="E496" t="str">
        <x:v>子类代码</x:v>
      </x:c>
      <x:c r="F496" t="n">
        <x:v>81</x:v>
      </x:c>
      <x:c r="G496" t="str">
        <x:v>是</x:v>
      </x:c>
      <x:c r="H496" t="str">
        <x:v>首次用于V0.8</x:v>
      </x:c>
    </x:row>
    <x:row r="497">
      <x:c r="A497" t="str">
        <x:v>版本号</x:v>
      </x:c>
      <x:c r="B497" t="str">
        <x:v>VER13</x:v>
      </x:c>
      <x:c r="C497" t="str">
        <x:v>V0.9</x:v>
      </x:c>
      <x:c r="D497" t="str">
        <x:v>版本号的标准选项：V0.9。完成M11十神组合成立核心规则。</x:v>
      </x:c>
      <x:c r="E497" t="str">
        <x:v>版本号</x:v>
      </x:c>
      <x:c r="F497" t="n">
        <x:v>9</x:v>
      </x:c>
      <x:c r="G497" t="str">
        <x:v>是</x:v>
      </x:c>
      <x:c r="H497" t="str">
        <x:v>十神组合成立规则版</x:v>
      </x:c>
    </x:row>
    <x:row r="498">
      <x:c r="A498" t="str">
        <x:v>规则子类</x:v>
      </x:c>
      <x:c r="B498" t="str">
        <x:v>M11-GEN</x:v>
      </x:c>
      <x:c r="C498" t="str">
        <x:v>M11｜组合通用判定</x:v>
      </x:c>
      <x:c r="D498" t="str">
        <x:v>M11中用于候选生成、路径必要性、力量匹配、日主承载、容量去重、破坏救应及格局分层。</x:v>
      </x:c>
      <x:c r="E498" t="str">
        <x:v>子类代码</x:v>
      </x:c>
      <x:c r="F498" t="n">
        <x:v>82</x:v>
      </x:c>
      <x:c r="G498" t="str">
        <x:v>是</x:v>
      </x:c>
      <x:c r="H498" t="str">
        <x:v>首次用于V0.9</x:v>
      </x:c>
    </x:row>
    <x:row r="499">
      <x:c r="A499" t="str">
        <x:v>规则子类</x:v>
      </x:c>
      <x:c r="B499" t="str">
        <x:v>M11-SHIZHI</x:v>
      </x:c>
      <x:c r="C499" t="str">
        <x:v>M11｜食神制杀</x:v>
      </x:c>
      <x:c r="D499" t="str">
        <x:v>M11中用于食神制杀的主体客体、制杀比例、枭夺食、财制枭、制杀太过与承载。</x:v>
      </x:c>
      <x:c r="E499" t="str">
        <x:v>子类代码</x:v>
      </x:c>
      <x:c r="F499" t="n">
        <x:v>83</x:v>
      </x:c>
      <x:c r="G499" t="str">
        <x:v>是</x:v>
      </x:c>
      <x:c r="H499" t="str">
        <x:v>首次用于V0.9</x:v>
      </x:c>
    </x:row>
    <x:row r="500">
      <x:c r="A500" t="str">
        <x:v>规则子类</x:v>
      </x:c>
      <x:c r="B500" t="str">
        <x:v>M11-SHAYIN</x:v>
      </x:c>
      <x:c r="C500" t="str">
        <x:v>M11｜杀印相生</x:v>
      </x:c>
      <x:c r="D500" t="str">
        <x:v>M11中用于七杀生印、印生身、化杀不及、财坏印及制化路线竞争。</x:v>
      </x:c>
      <x:c r="E500" t="str">
        <x:v>子类代码</x:v>
      </x:c>
      <x:c r="F500" t="n">
        <x:v>84</x:v>
      </x:c>
      <x:c r="G500" t="str">
        <x:v>是</x:v>
      </x:c>
      <x:c r="H500" t="str">
        <x:v>首次用于V0.9</x:v>
      </x:c>
    </x:row>
    <x:row r="501">
      <x:c r="A501" t="str">
        <x:v>规则子类</x:v>
      </x:c>
      <x:c r="B501" t="str">
        <x:v>M11-GUANYIN</x:v>
      </x:c>
      <x:c r="C501" t="str">
        <x:v>M11｜官印相生</x:v>
      </x:c>
      <x:c r="D501" t="str">
        <x:v>M11中用于官生印、印生身、伤官破官、财星双效与清纯增强。</x:v>
      </x:c>
      <x:c r="E501" t="str">
        <x:v>子类代码</x:v>
      </x:c>
      <x:c r="F501" t="n">
        <x:v>85</x:v>
      </x:c>
      <x:c r="G501" t="str">
        <x:v>是</x:v>
      </x:c>
      <x:c r="H501" t="str">
        <x:v>首次用于V0.9</x:v>
      </x:c>
    </x:row>
    <x:row r="502">
      <x:c r="A502" t="str">
        <x:v>规则子类</x:v>
      </x:c>
      <x:c r="B502" t="str">
        <x:v>M11-SHANGYIN</x:v>
      </x:c>
      <x:c r="C502" t="str">
        <x:v>M11｜伤官配印</x:v>
      </x:c>
      <x:c r="D502" t="str">
        <x:v>M11中用于伤官与印星力量匹配、财坏印、印制太过、日主承载及救官。</x:v>
      </x:c>
      <x:c r="E502" t="str">
        <x:v>子类代码</x:v>
      </x:c>
      <x:c r="F502" t="n">
        <x:v>86</x:v>
      </x:c>
      <x:c r="G502" t="str">
        <x:v>是</x:v>
      </x:c>
      <x:c r="H502" t="str">
        <x:v>首次用于V0.9</x:v>
      </x:c>
    </x:row>
    <x:row r="503">
      <x:c r="A503" t="str">
        <x:v>规则子类</x:v>
      </x:c>
      <x:c r="B503" t="str">
        <x:v>M11-SHENGCAI</x:v>
      </x:c>
      <x:c r="C503" t="str">
        <x:v>M11｜食伤生财</x:v>
      </x:c>
      <x:c r="D503" t="str">
        <x:v>M11中用于食神生财、伤官生财、财星承载、比劫破财、印制食伤及身强弱负荷。</x:v>
      </x:c>
      <x:c r="E503" t="str">
        <x:v>子类代码</x:v>
      </x:c>
      <x:c r="F503" t="n">
        <x:v>87</x:v>
      </x:c>
      <x:c r="G503" t="str">
        <x:v>是</x:v>
      </x:c>
      <x:c r="H503" t="str">
        <x:v>首次用于V0.9</x:v>
      </x:c>
    </x:row>
    <x:row r="504">
      <x:c r="A504" t="str">
        <x:v>规则子类</x:v>
      </x:c>
      <x:c r="B504" t="str">
        <x:v>M11-CAIGUAN</x:v>
      </x:c>
      <x:c r="C504" t="str">
        <x:v>M11｜财官生化链</x:v>
      </x:c>
      <x:c r="D504" t="str">
        <x:v>M11中用于财生官、财生杀、财官印相生、财坏印副作用及日主承载。</x:v>
      </x:c>
      <x:c r="E504" t="str">
        <x:v>子类代码</x:v>
      </x:c>
      <x:c r="F504" t="n">
        <x:v>88</x:v>
      </x:c>
      <x:c r="G504" t="str">
        <x:v>是</x:v>
      </x:c>
      <x:c r="H504" t="str">
        <x:v>首次用于V0.9</x:v>
      </x:c>
    </x:row>
    <x:row r="505">
      <x:c r="A505" t="str">
        <x:v>规则子类</x:v>
      </x:c>
      <x:c r="B505" t="str">
        <x:v>M11-BALANCE</x:v>
      </x:c>
      <x:c r="C505" t="str">
        <x:v>M11｜平衡承载组合</x:v>
      </x:c>
      <x:c r="D505" t="str">
        <x:v>M11中用于身财两停、身官两停、身杀两停、身旺任财官及身弱得印比承载。</x:v>
      </x:c>
      <x:c r="E505" t="str">
        <x:v>子类代码</x:v>
      </x:c>
      <x:c r="F505" t="n">
        <x:v>89</x:v>
      </x:c>
      <x:c r="G505" t="str">
        <x:v>是</x:v>
      </x:c>
      <x:c r="H505" t="str">
        <x:v>首次用于V0.9</x:v>
      </x:c>
    </x:row>
    <x:row r="506">
      <x:c r="A506" t="str">
        <x:v>规则子类</x:v>
      </x:c>
      <x:c r="B506" t="str">
        <x:v>M11-PATH</x:v>
      </x:c>
      <x:c r="C506" t="str">
        <x:v>M11｜其他制化路径</x:v>
      </x:c>
      <x:c r="D506" t="str">
        <x:v>M11中用于比劫制财护身、羊刃驾杀、印化官杀与食伤泄秀等结构。</x:v>
      </x:c>
      <x:c r="E506" t="str">
        <x:v>子类代码</x:v>
      </x:c>
      <x:c r="F506" t="n">
        <x:v>90</x:v>
      </x:c>
      <x:c r="G506" t="str">
        <x:v>是</x:v>
      </x:c>
      <x:c r="H506" t="str">
        <x:v>首次用于V0.9</x:v>
      </x:c>
    </x:row>
    <x:row r="507">
      <x:c r="A507" t="str">
        <x:v>规则子类</x:v>
      </x:c>
      <x:c r="B507" t="str">
        <x:v>M11-CONFLICT</x:v>
      </x:c>
      <x:c r="C507" t="str">
        <x:v>M11｜冲突病态组合</x:v>
      </x:c>
      <x:c r="D507" t="str">
        <x:v>M11中用于伤官见官、枭神夺食、比劫夺财、财坏印、官杀混杂、制杀太过、财多身弱等。</x:v>
      </x:c>
      <x:c r="E507" t="str">
        <x:v>子类代码</x:v>
      </x:c>
      <x:c r="F507" t="n">
        <x:v>91</x:v>
      </x:c>
      <x:c r="G507" t="str">
        <x:v>是</x:v>
      </x:c>
      <x:c r="H507" t="str">
        <x:v>首次用于V0.9</x:v>
      </x:c>
    </x:row>
    <x:row r="508">
      <x:c r="A508" t="str">
        <x:v>规则子类</x:v>
      </x:c>
      <x:c r="B508" t="str">
        <x:v>M11-BOUND</x:v>
      </x:c>
      <x:c r="C508" t="str">
        <x:v>M11｜组合判断边界</x:v>
      </x:c>
      <x:c r="D508" t="str">
        <x:v>M11中用于组合命名、位置、藏干、共享节点、静动态、口诀条件化、流派治理和标准输出。</x:v>
      </x:c>
      <x:c r="E508" t="str">
        <x:v>子类代码</x:v>
      </x:c>
      <x:c r="F508" t="n">
        <x:v>92</x:v>
      </x:c>
      <x:c r="G508" t="str">
        <x:v>是</x:v>
      </x:c>
      <x:c r="H508" t="str">
        <x:v>首次用于V0.9</x:v>
      </x:c>
    </x:row>
    <x:row r="509">
      <x:c r="A509" t="str">
        <x:v>版本号</x:v>
      </x:c>
      <x:c r="B509" t="str">
        <x:v>VER14</x:v>
      </x:c>
      <x:c r="C509" t="str">
        <x:v>V1.0</x:v>
      </x:c>
      <x:c r="D509" t="str">
        <x:v>版本号的标准选项：V1.0。完成M12五行流通卡点核心规则。</x:v>
      </x:c>
      <x:c r="E509" t="str">
        <x:v>版本号</x:v>
      </x:c>
      <x:c r="F509" t="n">
        <x:v>10</x:v>
      </x:c>
      <x:c r="G509" t="str">
        <x:v>是</x:v>
      </x:c>
      <x:c r="H509" t="str">
        <x:v>五行流通卡点规则版</x:v>
      </x:c>
    </x:row>
    <x:row r="510">
      <x:c r="A510" t="str">
        <x:v>规则子类</x:v>
      </x:c>
      <x:c r="B510" t="str">
        <x:v>M12-GEN</x:v>
      </x:c>
      <x:c r="C510" t="str">
        <x:v>M12｜流通通用模型</x:v>
      </x:c>
      <x:c r="D510" t="str">
        <x:v>M12中用于起点—桥梁—终点模型、有效力量、路径长度、节点容量、主路径与局部/全局流通边界。</x:v>
      </x:c>
      <x:c r="E510" t="str">
        <x:v>子类代码</x:v>
      </x:c>
      <x:c r="F510" t="n">
        <x:v>93</x:v>
      </x:c>
      <x:c r="G510" t="str">
        <x:v>是</x:v>
      </x:c>
      <x:c r="H510" t="str">
        <x:v>首次用于V1.0</x:v>
      </x:c>
    </x:row>
    <x:row r="511">
      <x:c r="A511" t="str">
        <x:v>规则子类</x:v>
      </x:c>
      <x:c r="B511" t="str">
        <x:v>M12-SOURCE</x:v>
      </x:c>
      <x:c r="C511" t="str">
        <x:v>M12｜源头状态</x:v>
      </x:c>
      <x:c r="D511" t="str">
        <x:v>M12中用于强源无泄、弱源不足、源头受克合、多源供给与入口拥堵。</x:v>
      </x:c>
      <x:c r="E511" t="str">
        <x:v>子类代码</x:v>
      </x:c>
      <x:c r="F511" t="n">
        <x:v>94</x:v>
      </x:c>
      <x:c r="G511" t="str">
        <x:v>是</x:v>
      </x:c>
      <x:c r="H511" t="str">
        <x:v>首次用于V1.0</x:v>
      </x:c>
    </x:row>
    <x:row r="512">
      <x:c r="A512" t="str">
        <x:v>规则子类</x:v>
      </x:c>
      <x:c r="B512" t="str">
        <x:v>M12-BRIDGE</x:v>
      </x:c>
      <x:c r="C512" t="str">
        <x:v>M12｜桥梁有效性</x:v>
      </x:c>
      <x:c r="D512" t="str">
        <x:v>M12中用于桥梁强弱、受克、合绊、改性、寒凝燥枯、共享容量与通关稳定性。</x:v>
      </x:c>
      <x:c r="E512" t="str">
        <x:v>子类代码</x:v>
      </x:c>
      <x:c r="F512" t="n">
        <x:v>95</x:v>
      </x:c>
      <x:c r="G512" t="str">
        <x:v>是</x:v>
      </x:c>
      <x:c r="H512" t="str">
        <x:v>首次用于V1.0</x:v>
      </x:c>
    </x:row>
    <x:row r="513">
      <x:c r="A513" t="str">
        <x:v>规则子类</x:v>
      </x:c>
      <x:c r="B513" t="str">
        <x:v>M12-END</x:v>
      </x:c>
      <x:c r="C513" t="str">
        <x:v>M12｜终点承载</x:v>
      </x:c>
      <x:c r="D513" t="str">
        <x:v>M12中用于终点过弱、过旺反制、受克、改性、多源汇聚及阶段性终点承载。</x:v>
      </x:c>
      <x:c r="E513" t="str">
        <x:v>子类代码</x:v>
      </x:c>
      <x:c r="F513" t="n">
        <x:v>96</x:v>
      </x:c>
      <x:c r="G513" t="str">
        <x:v>是</x:v>
      </x:c>
      <x:c r="H513" t="str">
        <x:v>首次用于V1.0</x:v>
      </x:c>
    </x:row>
    <x:row r="514">
      <x:c r="A514" t="str">
        <x:v>规则子类</x:v>
      </x:c>
      <x:c r="B514" t="str">
        <x:v>M12-BLOCK</x:v>
      </x:c>
      <x:c r="C514" t="str">
        <x:v>M12｜典型卡点</x:v>
      </x:c>
      <x:c r="D514" t="str">
        <x:v>M12中用于缺桥、桥弱、桥被克合、源头无泄、终点失衡、两强相战、寒凝燥枯、链长与回流壅塞。</x:v>
      </x:c>
      <x:c r="E514" t="str">
        <x:v>子类代码</x:v>
      </x:c>
      <x:c r="F514" t="n">
        <x:v>97</x:v>
      </x:c>
      <x:c r="G514" t="str">
        <x:v>是</x:v>
      </x:c>
      <x:c r="H514" t="str">
        <x:v>首次用于V1.0</x:v>
      </x:c>
    </x:row>
    <x:row r="515">
      <x:c r="A515" t="str">
        <x:v>规则子类</x:v>
      </x:c>
      <x:c r="B515" t="str">
        <x:v>M12-WUXING</x:v>
      </x:c>
      <x:c r="C515" t="str">
        <x:v>M12｜五行生化与通关</x:v>
      </x:c>
      <x:c r="D515" t="str">
        <x:v>M12中用于五组连续生化链及五组克战通关的标准路径。</x:v>
      </x:c>
      <x:c r="E515" t="str">
        <x:v>子类代码</x:v>
      </x:c>
      <x:c r="F515" t="n">
        <x:v>98</x:v>
      </x:c>
      <x:c r="G515" t="str">
        <x:v>是</x:v>
      </x:c>
      <x:c r="H515" t="str">
        <x:v>首次用于V1.0</x:v>
      </x:c>
    </x:row>
    <x:row r="516">
      <x:c r="A516" t="str">
        <x:v>规则子类</x:v>
      </x:c>
      <x:c r="B516" t="str">
        <x:v>M12-TENGOD</x:v>
      </x:c>
      <x:c r="C516" t="str">
        <x:v>M12｜十神功能路径</x:v>
      </x:c>
      <x:c r="D516" t="str">
        <x:v>M12中用于官杀印身、身食伤财、食伤财官杀、财官印等十神连续流通路径。</x:v>
      </x:c>
      <x:c r="E516" t="str">
        <x:v>子类代码</x:v>
      </x:c>
      <x:c r="F516" t="n">
        <x:v>99</x:v>
      </x:c>
      <x:c r="G516" t="str">
        <x:v>是</x:v>
      </x:c>
      <x:c r="H516" t="str">
        <x:v>首次用于V1.0</x:v>
      </x:c>
    </x:row>
    <x:row r="517">
      <x:c r="A517" t="str">
        <x:v>规则子类</x:v>
      </x:c>
      <x:c r="B517" t="str">
        <x:v>M12-TONGGUAN</x:v>
      </x:c>
      <x:c r="C517" t="str">
        <x:v>M12｜通关候选与副作用</x:v>
      </x:c>
      <x:c r="D517" t="str">
        <x:v>M12中用于通关双向条件、力量门槛、受克合、寒湿燥热及破坏组合等副作用。</x:v>
      </x:c>
      <x:c r="E517" t="str">
        <x:v>子类代码</x:v>
      </x:c>
      <x:c r="F517" t="n">
        <x:v>100</x:v>
      </x:c>
      <x:c r="G517" t="str">
        <x:v>是</x:v>
      </x:c>
      <x:c r="H517" t="str">
        <x:v>首次用于V1.0</x:v>
      </x:c>
    </x:row>
    <x:row r="518">
      <x:c r="A518" t="str">
        <x:v>规则子类</x:v>
      </x:c>
      <x:c r="B518" t="str">
        <x:v>M12-AGG</x:v>
      </x:c>
      <x:c r="C518" t="str">
        <x:v>M12｜流通综合输出</x:v>
      </x:c>
      <x:c r="D518" t="str">
        <x:v>M12中用于主路径、主卡点、反向证据、通关排序和标准输出。</x:v>
      </x:c>
      <x:c r="E518" t="str">
        <x:v>子类代码</x:v>
      </x:c>
      <x:c r="F518" t="n">
        <x:v>101</x:v>
      </x:c>
      <x:c r="G518" t="str">
        <x:v>是</x:v>
      </x:c>
      <x:c r="H518" t="str">
        <x:v>首次用于V1.0</x:v>
      </x:c>
    </x:row>
    <x:row r="519">
      <x:c r="A519" t="str">
        <x:v>规则子类</x:v>
      </x:c>
      <x:c r="B519" t="str">
        <x:v>M12-BOUND</x:v>
      </x:c>
      <x:c r="C519" t="str">
        <x:v>M12｜流通判断边界</x:v>
      </x:c>
      <x:c r="D519" t="str">
        <x:v>M12中用于禁止缺啥补啥、旺衰与流通分离、流通与喜忌分离及静动态边界。</x:v>
      </x:c>
      <x:c r="E519" t="str">
        <x:v>子类代码</x:v>
      </x:c>
      <x:c r="F519" t="n">
        <x:v>102</x:v>
      </x:c>
      <x:c r="G519" t="str">
        <x:v>是</x:v>
      </x:c>
      <x:c r="H519" t="str">
        <x:v>首次用于V1.0</x:v>
      </x:c>
    </x:row>
    <x:row r="520">
      <x:c r="A520" t="str">
        <x:v>版本号</x:v>
      </x:c>
      <x:c r="B520" t="str">
        <x:v>VER15</x:v>
      </x:c>
      <x:c r="C520" t="str">
        <x:v>V1.1</x:v>
      </x:c>
      <x:c r="D520" t="str">
        <x:v>版本号的标准选项：V1.1。完成M13寒暖燥湿核心规则。</x:v>
      </x:c>
      <x:c r="E520" t="str">
        <x:v>版本号</x:v>
      </x:c>
      <x:c r="F520" t="n">
        <x:v>11</x:v>
      </x:c>
      <x:c r="G520" t="str">
        <x:v>是</x:v>
      </x:c>
      <x:c r="H520" t="str">
        <x:v>寒暖燥湿规则版</x:v>
      </x:c>
    </x:row>
    <x:row r="521">
      <x:c r="A521" t="str">
        <x:v>规则子类</x:v>
      </x:c>
      <x:c r="B521" t="str">
        <x:v>M13-GEN</x:v>
      </x:c>
      <x:c r="C521" t="str">
        <x:v>M13｜调候通用模型</x:v>
      </x:c>
      <x:c r="D521" t="str">
        <x:v>M13中用于寒暖/燥湿双轴、月令基准、五级状态、有效力量、调候与扶抑分离及极端优先级。</x:v>
      </x:c>
      <x:c r="E521" t="str">
        <x:v>子类代码</x:v>
      </x:c>
      <x:c r="F521" t="n">
        <x:v>103</x:v>
      </x:c>
      <x:c r="G521" t="str">
        <x:v>是</x:v>
      </x:c>
      <x:c r="H521" t="str">
        <x:v>首次用于V1.1</x:v>
      </x:c>
    </x:row>
    <x:row r="522">
      <x:c r="A522" t="str">
        <x:v>规则子类</x:v>
      </x:c>
      <x:c r="B522" t="str">
        <x:v>M13-SEASON</x:v>
      </x:c>
      <x:c r="C522" t="str">
        <x:v>M13｜月令气候基准</x:v>
      </x:c>
      <x:c r="D522" t="str">
        <x:v>M13中用于十二月令的初始温度、湿度倾向及其条件化修正。</x:v>
      </x:c>
      <x:c r="E522" t="str">
        <x:v>子类代码</x:v>
      </x:c>
      <x:c r="F522" t="n">
        <x:v>104</x:v>
      </x:c>
      <x:c r="G522" t="str">
        <x:v>是</x:v>
      </x:c>
      <x:c r="H522" t="str">
        <x:v>首次用于V1.1</x:v>
      </x:c>
    </x:row>
    <x:row r="523">
      <x:c r="A523" t="str">
        <x:v>规则子类</x:v>
      </x:c>
      <x:c r="B523" t="str">
        <x:v>M13-TEMP</x:v>
      </x:c>
      <x:c r="C523" t="str">
        <x:v>M13｜寒暖修正</x:v>
      </x:c>
      <x:c r="D523" t="str">
        <x:v>M13中用于火水木土金对温度轴的有效修正、平衡与极端功能化。</x:v>
      </x:c>
      <x:c r="E523" t="str">
        <x:v>子类代码</x:v>
      </x:c>
      <x:c r="F523" t="n">
        <x:v>105</x:v>
      </x:c>
      <x:c r="G523" t="str">
        <x:v>是</x:v>
      </x:c>
      <x:c r="H523" t="str">
        <x:v>首次用于V1.1</x:v>
      </x:c>
    </x:row>
    <x:row r="524">
      <x:c r="A524" t="str">
        <x:v>规则子类</x:v>
      </x:c>
      <x:c r="B524" t="str">
        <x:v>M13-HUMID</x:v>
      </x:c>
      <x:c r="C524" t="str">
        <x:v>M13｜燥湿修正</x:v>
      </x:c>
      <x:c r="D524" t="str">
        <x:v>M13中用于水、湿土、燥土、火、木对湿度轴的修正及极端功能化。</x:v>
      </x:c>
      <x:c r="E524" t="str">
        <x:v>子类代码</x:v>
      </x:c>
      <x:c r="F524" t="n">
        <x:v>106</x:v>
      </x:c>
      <x:c r="G524" t="str">
        <x:v>是</x:v>
      </x:c>
      <x:c r="H524" t="str">
        <x:v>首次用于V1.1</x:v>
      </x:c>
    </x:row>
    <x:row r="525">
      <x:c r="A525" t="str">
        <x:v>规则子类</x:v>
      </x:c>
      <x:c r="B525" t="str">
        <x:v>M13-COMBO</x:v>
      </x:c>
      <x:c r="C525" t="str">
        <x:v>M13｜双轴组合状态</x:v>
      </x:c>
      <x:c r="D525" t="str">
        <x:v>M13中用于寒湿、寒燥、暖湿、暖燥及温度平衡下偏湿偏燥等复合状态。</x:v>
      </x:c>
      <x:c r="E525" t="str">
        <x:v>子类代码</x:v>
      </x:c>
      <x:c r="F525" t="n">
        <x:v>107</x:v>
      </x:c>
      <x:c r="G525" t="str">
        <x:v>是</x:v>
      </x:c>
      <x:c r="H525" t="str">
        <x:v>首次用于V1.1</x:v>
      </x:c>
    </x:row>
    <x:row r="526">
      <x:c r="A526" t="str">
        <x:v>规则子类</x:v>
      </x:c>
      <x:c r="B526" t="str">
        <x:v>M13-EFFECT</x:v>
      </x:c>
      <x:c r="C526" t="str">
        <x:v>M13｜调候元素有效性</x:v>
      </x:c>
      <x:c r="D526" t="str">
        <x:v>M13中用于调候五行不现、无根、有根、受克、合绊、改性、过度和作用路径。</x:v>
      </x:c>
      <x:c r="E526" t="str">
        <x:v>子类代码</x:v>
      </x:c>
      <x:c r="F526" t="n">
        <x:v>108</x:v>
      </x:c>
      <x:c r="G526" t="str">
        <x:v>是</x:v>
      </x:c>
      <x:c r="H526" t="str">
        <x:v>首次用于V1.1</x:v>
      </x:c>
    </x:row>
    <x:row r="527">
      <x:c r="A527" t="str">
        <x:v>规则子类</x:v>
      </x:c>
      <x:c r="B527" t="str">
        <x:v>M13-CONFLICT</x:v>
      </x:c>
      <x:c r="C527" t="str">
        <x:v>M13｜调候冲突与优先级</x:v>
      </x:c>
      <x:c r="D527" t="str">
        <x:v>M13中用于调候与扶抑、格局、通关的一致、冲突、特殊格局约束及根本病升级。</x:v>
      </x:c>
      <x:c r="E527" t="str">
        <x:v>子类代码</x:v>
      </x:c>
      <x:c r="F527" t="n">
        <x:v>109</x:v>
      </x:c>
      <x:c r="G527" t="str">
        <x:v>是</x:v>
      </x:c>
      <x:c r="H527" t="str">
        <x:v>首次用于V1.1</x:v>
      </x:c>
    </x:row>
    <x:row r="528">
      <x:c r="A528" t="str">
        <x:v>规则子类</x:v>
      </x:c>
      <x:c r="B528" t="str">
        <x:v>M13-BOUND</x:v>
      </x:c>
      <x:c r="C528" t="str">
        <x:v>M13｜调候判断边界</x:v>
      </x:c>
      <x:c r="D528" t="str">
        <x:v>M13中用于冬夏非自动极端、剂量边界、土性条件化、事件隔离和标准输出。</x:v>
      </x:c>
      <x:c r="E528" t="str">
        <x:v>子类代码</x:v>
      </x:c>
      <x:c r="F528" t="n">
        <x:v>110</x:v>
      </x:c>
      <x:c r="G528" t="str">
        <x:v>是</x:v>
      </x:c>
      <x:c r="H528" t="str">
        <x:v>首次用于V1.1</x:v>
      </x:c>
    </x:row>
    <x:row r="529">
      <x:c r="A529" t="str">
        <x:v>版本号</x:v>
      </x:c>
      <x:c r="B529" t="str">
        <x:v>VER16</x:v>
      </x:c>
      <x:c r="C529" t="str">
        <x:v>V1.2</x:v>
      </x:c>
      <x:c r="D529" t="str">
        <x:v>版本号的标准选项：V1.2。完成M14格局候选判断核心规则。</x:v>
      </x:c>
      <x:c r="E529" t="str">
        <x:v>版本号</x:v>
      </x:c>
      <x:c r="F529" t="n">
        <x:v>12</x:v>
      </x:c>
      <x:c r="G529" t="str">
        <x:v>是</x:v>
      </x:c>
      <x:c r="H529" t="str">
        <x:v>格局候选判断规则版</x:v>
      </x:c>
    </x:row>
    <x:row r="530">
      <x:c r="A530" t="str">
        <x:v>规则子类</x:v>
      </x:c>
      <x:c r="B530" t="str">
        <x:v>M14-GEN</x:v>
      </x:c>
      <x:c r="C530" t="str">
        <x:v>M14｜候选通用规则</x:v>
      </x:c>
      <x:c r="D530" t="str">
        <x:v>M14中用于多候选生成、月令主气、中余气透干、格神有效性、日主配合、清纯度与组合分层。</x:v>
      </x:c>
      <x:c r="E530" t="str">
        <x:v>子类代码</x:v>
      </x:c>
      <x:c r="F530" t="n">
        <x:v>111</x:v>
      </x:c>
      <x:c r="G530" t="str">
        <x:v>是</x:v>
      </x:c>
      <x:c r="H530" t="str">
        <x:v>首次用于V1.2</x:v>
      </x:c>
    </x:row>
    <x:row r="531">
      <x:c r="A531" t="str">
        <x:v>规则子类</x:v>
      </x:c>
      <x:c r="B531" t="str">
        <x:v>M14-GUAN</x:v>
      </x:c>
      <x:c r="C531" t="str">
        <x:v>M14｜正官格候选</x:v>
      </x:c>
      <x:c r="D531" t="str">
        <x:v>M14中用于正官格的月令来源、官印财官增强、伤官破官与官杀混杂。</x:v>
      </x:c>
      <x:c r="E531" t="str">
        <x:v>子类代码</x:v>
      </x:c>
      <x:c r="F531" t="n">
        <x:v>112</x:v>
      </x:c>
      <x:c r="G531" t="str">
        <x:v>是</x:v>
      </x:c>
      <x:c r="H531" t="str">
        <x:v>首次用于V1.2</x:v>
      </x:c>
    </x:row>
    <x:row r="532">
      <x:c r="A532" t="str">
        <x:v>规则子类</x:v>
      </x:c>
      <x:c r="B532" t="str">
        <x:v>M14-SHA</x:v>
      </x:c>
      <x:c r="C532" t="str">
        <x:v>M14｜七杀格候选</x:v>
      </x:c>
      <x:c r="D532" t="str">
        <x:v>M14中用于七杀格的月令来源、食制杀印增强、杀弱否决与官杀混杂。</x:v>
      </x:c>
      <x:c r="E532" t="str">
        <x:v>子类代码</x:v>
      </x:c>
      <x:c r="F532" t="n">
        <x:v>113</x:v>
      </x:c>
      <x:c r="G532" t="str">
        <x:v>是</x:v>
      </x:c>
      <x:c r="H532" t="str">
        <x:v>首次用于V1.2</x:v>
      </x:c>
    </x:row>
    <x:row r="533">
      <x:c r="A533" t="str">
        <x:v>规则子类</x:v>
      </x:c>
      <x:c r="B533" t="str">
        <x:v>M14-YIN</x:v>
      </x:c>
      <x:c r="C533" t="str">
        <x:v>M14｜印格候选</x:v>
      </x:c>
      <x:c r="D533" t="str">
        <x:v>M14中用于正印、偏印候选、官印杀印增强、财破印与印枭混杂。</x:v>
      </x:c>
      <x:c r="E533" t="str">
        <x:v>子类代码</x:v>
      </x:c>
      <x:c r="F533" t="n">
        <x:v>114</x:v>
      </x:c>
      <x:c r="G533" t="str">
        <x:v>是</x:v>
      </x:c>
      <x:c r="H533" t="str">
        <x:v>首次用于V1.2</x:v>
      </x:c>
    </x:row>
    <x:row r="534">
      <x:c r="A534" t="str">
        <x:v>规则子类</x:v>
      </x:c>
      <x:c r="B534" t="str">
        <x:v>M14-CAI</x:v>
      </x:c>
      <x:c r="C534" t="str">
        <x:v>M14｜财格候选</x:v>
      </x:c>
      <x:c r="D534" t="str">
        <x:v>M14中用于正财、偏财候选、食伤生财、财官相生、比劫破财与身弱承载。</x:v>
      </x:c>
      <x:c r="E534" t="str">
        <x:v>子类代码</x:v>
      </x:c>
      <x:c r="F534" t="n">
        <x:v>115</x:v>
      </x:c>
      <x:c r="G534" t="str">
        <x:v>是</x:v>
      </x:c>
      <x:c r="H534" t="str">
        <x:v>首次用于V1.2</x:v>
      </x:c>
    </x:row>
    <x:row r="535">
      <x:c r="A535" t="str">
        <x:v>规则子类</x:v>
      </x:c>
      <x:c r="B535" t="str">
        <x:v>M14-SHISHANG</x:v>
      </x:c>
      <x:c r="C535" t="str">
        <x:v>M14｜食伤格候选</x:v>
      </x:c>
      <x:c r="D535" t="str">
        <x:v>M14中用于食神格、伤官格、生财、制杀、配印、枭夺食与伤官见官。</x:v>
      </x:c>
      <x:c r="E535" t="str">
        <x:v>子类代码</x:v>
      </x:c>
      <x:c r="F535" t="n">
        <x:v>116</x:v>
      </x:c>
      <x:c r="G535" t="str">
        <x:v>是</x:v>
      </x:c>
      <x:c r="H535" t="str">
        <x:v>首次用于V1.2</x:v>
      </x:c>
    </x:row>
    <x:row r="536">
      <x:c r="A536" t="str">
        <x:v>规则子类</x:v>
      </x:c>
      <x:c r="B536" t="str">
        <x:v>M14-JIANREN</x:v>
      </x:c>
      <x:c r="C536" t="str">
        <x:v>M14｜建禄羊刃候选</x:v>
      </x:c>
      <x:c r="D536" t="str">
        <x:v>M14中用于建禄、羊刃月令映射、取用方向、驾杀、壅塞及阴干羊刃争议。</x:v>
      </x:c>
      <x:c r="E536" t="str">
        <x:v>子类代码</x:v>
      </x:c>
      <x:c r="F536" t="n">
        <x:v>117</x:v>
      </x:c>
      <x:c r="G536" t="str">
        <x:v>是</x:v>
      </x:c>
      <x:c r="H536" t="str">
        <x:v>首次用于V1.2</x:v>
      </x:c>
    </x:row>
    <x:row r="537">
      <x:c r="A537" t="str">
        <x:v>规则子类</x:v>
      </x:c>
      <x:c r="B537" t="str">
        <x:v>M14-CONG</x:v>
      </x:c>
      <x:c r="C537" t="str">
        <x:v>M14｜从格候选</x:v>
      </x:c>
      <x:c r="D537" t="str">
        <x:v>M14中用于从财、从官杀、从儿、从旺、从强、从势、假从及强根否决。</x:v>
      </x:c>
      <x:c r="E537" t="str">
        <x:v>子类代码</x:v>
      </x:c>
      <x:c r="F537" t="n">
        <x:v>118</x:v>
      </x:c>
      <x:c r="G537" t="str">
        <x:v>是</x:v>
      </x:c>
      <x:c r="H537" t="str">
        <x:v>首次用于V1.2</x:v>
      </x:c>
    </x:row>
    <x:row r="538">
      <x:c r="A538" t="str">
        <x:v>规则子类</x:v>
      </x:c>
      <x:c r="B538" t="str">
        <x:v>M14-HUAQI</x:v>
      </x:c>
      <x:c r="C538" t="str">
        <x:v>M14｜化气格候选</x:v>
      </x:c>
      <x:c r="D538" t="str">
        <x:v>M14中用于化气通用硬门槛及甲己、乙庚、丙辛、丁壬、戊癸五组化气候选。</x:v>
      </x:c>
      <x:c r="E538" t="str">
        <x:v>子类代码</x:v>
      </x:c>
      <x:c r="F538" t="n">
        <x:v>119</x:v>
      </x:c>
      <x:c r="G538" t="str">
        <x:v>是</x:v>
      </x:c>
      <x:c r="H538" t="str">
        <x:v>首次用于V1.2</x:v>
      </x:c>
    </x:row>
    <x:row r="539">
      <x:c r="A539" t="str">
        <x:v>规则子类</x:v>
      </x:c>
      <x:c r="B539" t="str">
        <x:v>M14-ZHUAN</x:v>
      </x:c>
      <x:c r="C539" t="str">
        <x:v>M14｜专旺候选</x:v>
      </x:c>
      <x:c r="D539" t="str">
        <x:v>M14中用于专旺通用门槛及曲直、炎上、稼穑、从革、润下五类候选。</x:v>
      </x:c>
      <x:c r="E539" t="str">
        <x:v>子类代码</x:v>
      </x:c>
      <x:c r="F539" t="n">
        <x:v>120</x:v>
      </x:c>
      <x:c r="G539" t="str">
        <x:v>是</x:v>
      </x:c>
      <x:c r="H539" t="str">
        <x:v>首次用于V1.2</x:v>
      </x:c>
    </x:row>
    <x:row r="540">
      <x:c r="A540" t="str">
        <x:v>规则子类</x:v>
      </x:c>
      <x:c r="B540" t="str">
        <x:v>M14-RANK</x:v>
      </x:c>
      <x:c r="C540" t="str">
        <x:v>M14｜候选排序</x:v>
      </x:c>
      <x:c r="D540" t="str">
        <x:v>M14中用于月令优先、特殊格严格、有效性优先、全局主导、并列保留与标准候选输出。</x:v>
      </x:c>
      <x:c r="E540" t="str">
        <x:v>子类代码</x:v>
      </x:c>
      <x:c r="F540" t="n">
        <x:v>121</x:v>
      </x:c>
      <x:c r="G540" t="str">
        <x:v>是</x:v>
      </x:c>
      <x:c r="H540" t="str">
        <x:v>首次用于V1.2</x:v>
      </x:c>
    </x:row>
    <x:row r="541">
      <x:c r="A541" t="str">
        <x:v>规则子类</x:v>
      </x:c>
      <x:c r="B541" t="str">
        <x:v>M14-BOUND</x:v>
      </x:c>
      <x:c r="C541" t="str">
        <x:v>M14｜格局候选边界</x:v>
      </x:c>
      <x:c r="D541" t="str">
        <x:v>M14中用于候选与成格分离、禁止月令一字定格、事件隔离与静动态分离。</x:v>
      </x:c>
      <x:c r="E541" t="str">
        <x:v>子类代码</x:v>
      </x:c>
      <x:c r="F541" t="n">
        <x:v>122</x:v>
      </x:c>
      <x:c r="G541" t="str">
        <x:v>是</x:v>
      </x:c>
      <x:c r="H541" t="str">
        <x:v>首次用于V1.2</x:v>
      </x:c>
    </x:row>
    <x:row r="542">
      <x:c r="A542" t="str">
        <x:v>版本号</x:v>
      </x:c>
      <x:c r="B542" t="str">
        <x:v>VER17</x:v>
      </x:c>
      <x:c r="C542" t="str">
        <x:v>V1.3</x:v>
      </x:c>
      <x:c r="D542" t="str">
        <x:v>版本号的标准选项：V1.3。完成M15格局成败救应核心规则。</x:v>
      </x:c>
      <x:c r="E542" t="str">
        <x:v>版本号</x:v>
      </x:c>
      <x:c r="F542" t="n">
        <x:v>13</x:v>
      </x:c>
      <x:c r="G542" t="str">
        <x:v>是</x:v>
      </x:c>
      <x:c r="H542" t="str">
        <x:v>格局成败救应规则版</x:v>
      </x:c>
    </x:row>
    <x:row r="543">
      <x:c r="A543" t="str">
        <x:v>规则子类</x:v>
      </x:c>
      <x:c r="B543" t="str">
        <x:v>M15-GEN</x:v>
      </x:c>
      <x:c r="C543" t="str">
        <x:v>M15｜成败通用规则</x:v>
      </x:c>
      <x:c r="D543" t="str">
        <x:v>M15中用于基本成立、清纯成立、轻微/一般/严重/根本破格、多重破格、救应与层次分离。</x:v>
      </x:c>
      <x:c r="E543" t="str">
        <x:v>子类代码</x:v>
      </x:c>
      <x:c r="F543" t="n">
        <x:v>123</x:v>
      </x:c>
      <x:c r="G543" t="str">
        <x:v>是</x:v>
      </x:c>
      <x:c r="H543" t="str">
        <x:v>首次用于V1.3</x:v>
      </x:c>
    </x:row>
    <x:row r="544">
      <x:c r="A544" t="str">
        <x:v>规则子类</x:v>
      </x:c>
      <x:c r="B544" t="str">
        <x:v>M15-GUAN</x:v>
      </x:c>
      <x:c r="C544" t="str">
        <x:v>M15｜正官格成败</x:v>
      </x:c>
      <x:c r="D544" t="str">
        <x:v>M15中用于正官格成格、官印财官增强、伤官破官、官杀混杂及清化救应。</x:v>
      </x:c>
      <x:c r="E544" t="str">
        <x:v>子类代码</x:v>
      </x:c>
      <x:c r="F544" t="n">
        <x:v>124</x:v>
      </x:c>
      <x:c r="G544" t="str">
        <x:v>是</x:v>
      </x:c>
      <x:c r="H544" t="str">
        <x:v>首次用于V1.3</x:v>
      </x:c>
    </x:row>
    <x:row r="545">
      <x:c r="A545" t="str">
        <x:v>规则子类</x:v>
      </x:c>
      <x:c r="B545" t="str">
        <x:v>M15-SHA</x:v>
      </x:c>
      <x:c r="C545" t="str">
        <x:v>M15｜七杀格成败</x:v>
      </x:c>
      <x:c r="D545" t="str">
        <x:v>M15中用于七杀格承载、食神制杀、杀印相生、无制无化、制杀太过、枭夺食及救应。</x:v>
      </x:c>
      <x:c r="E545" t="str">
        <x:v>子类代码</x:v>
      </x:c>
      <x:c r="F545" t="n">
        <x:v>125</x:v>
      </x:c>
      <x:c r="G545" t="str">
        <x:v>是</x:v>
      </x:c>
      <x:c r="H545" t="str">
        <x:v>首次用于V1.3</x:v>
      </x:c>
    </x:row>
    <x:row r="546">
      <x:c r="A546" t="str">
        <x:v>规则子类</x:v>
      </x:c>
      <x:c r="B546" t="str">
        <x:v>M15-YIN</x:v>
      </x:c>
      <x:c r="C546" t="str">
        <x:v>M15｜印格成败</x:v>
      </x:c>
      <x:c r="D546" t="str">
        <x:v>M15中用于正偏印格、官印杀印、财坏印、印多身滞、枭夺食、印枭混杂及护印救应。</x:v>
      </x:c>
      <x:c r="E546" t="str">
        <x:v>子类代码</x:v>
      </x:c>
      <x:c r="F546" t="n">
        <x:v>126</x:v>
      </x:c>
      <x:c r="G546" t="str">
        <x:v>是</x:v>
      </x:c>
      <x:c r="H546" t="str">
        <x:v>首次用于V1.3</x:v>
      </x:c>
    </x:row>
    <x:row r="547">
      <x:c r="A547" t="str">
        <x:v>规则子类</x:v>
      </x:c>
      <x:c r="B547" t="str">
        <x:v>M15-CAI</x:v>
      </x:c>
      <x:c r="C547" t="str">
        <x:v>M15｜财格成败</x:v>
      </x:c>
      <x:c r="D547" t="str">
        <x:v>M15中用于财格承载、食伤生财、财官相生、身弱不任、比劫夺财、财坏印及护财救应。</x:v>
      </x:c>
      <x:c r="E547" t="str">
        <x:v>子类代码</x:v>
      </x:c>
      <x:c r="F547" t="n">
        <x:v>127</x:v>
      </x:c>
      <x:c r="G547" t="str">
        <x:v>是</x:v>
      </x:c>
      <x:c r="H547" t="str">
        <x:v>首次用于V1.3</x:v>
      </x:c>
    </x:row>
    <x:row r="548">
      <x:c r="A548" t="str">
        <x:v>规则子类</x:v>
      </x:c>
      <x:c r="B548" t="str">
        <x:v>M15-SHISHANG</x:v>
      </x:c>
      <x:c r="C548" t="str">
        <x:v>M15｜食伤格成败</x:v>
      </x:c>
      <x:c r="D548" t="str">
        <x:v>M15中用于食神格、伤官格、生财、制杀、配印、枭夺食、伤官见官及对应救应。</x:v>
      </x:c>
      <x:c r="E548" t="str">
        <x:v>子类代码</x:v>
      </x:c>
      <x:c r="F548" t="n">
        <x:v>128</x:v>
      </x:c>
      <x:c r="G548" t="str">
        <x:v>是</x:v>
      </x:c>
      <x:c r="H548" t="str">
        <x:v>首次用于V1.3</x:v>
      </x:c>
    </x:row>
    <x:row r="549">
      <x:c r="A549" t="str">
        <x:v>规则子类</x:v>
      </x:c>
      <x:c r="B549" t="str">
        <x:v>M15-JIANREN</x:v>
      </x:c>
      <x:c r="C549" t="str">
        <x:v>M15｜建禄羊刃成败</x:v>
      </x:c>
      <x:c r="D549" t="str">
        <x:v>M15中用于建禄与羊刃的成格、泄秀、制衡、驾杀、壅塞、杀弱与制刃太过。</x:v>
      </x:c>
      <x:c r="E549" t="str">
        <x:v>子类代码</x:v>
      </x:c>
      <x:c r="F549" t="n">
        <x:v>129</x:v>
      </x:c>
      <x:c r="G549" t="str">
        <x:v>是</x:v>
      </x:c>
      <x:c r="H549" t="str">
        <x:v>首次用于V1.3</x:v>
      </x:c>
    </x:row>
    <x:row r="550">
      <x:c r="A550" t="str">
        <x:v>规则子类</x:v>
      </x:c>
      <x:c r="B550" t="str">
        <x:v>M15-CONG</x:v>
      </x:c>
      <x:c r="C550" t="str">
        <x:v>M15｜从格成败</x:v>
      </x:c>
      <x:c r="D550" t="str">
        <x:v>M15中用于真从、从财、从官杀、从儿、从旺、从强、从势、假从及有效逆神破格。</x:v>
      </x:c>
      <x:c r="E550" t="str">
        <x:v>子类代码</x:v>
      </x:c>
      <x:c r="F550" t="n">
        <x:v>130</x:v>
      </x:c>
      <x:c r="G550" t="str">
        <x:v>是</x:v>
      </x:c>
      <x:c r="H550" t="str">
        <x:v>首次用于V1.3</x:v>
      </x:c>
    </x:row>
    <x:row r="551">
      <x:c r="A551" t="str">
        <x:v>规则子类</x:v>
      </x:c>
      <x:c r="B551" t="str">
        <x:v>M15-HUAQI</x:v>
      </x:c>
      <x:c r="C551" t="str">
        <x:v>M15｜化气格成败</x:v>
      </x:c>
      <x:c r="D551" t="str">
        <x:v>M15中用于真化、化神有权、原气强根、争合破化、化神受损、假化与救化。</x:v>
      </x:c>
      <x:c r="E551" t="str">
        <x:v>子类代码</x:v>
      </x:c>
      <x:c r="F551" t="n">
        <x:v>131</x:v>
      </x:c>
      <x:c r="G551" t="str">
        <x:v>是</x:v>
      </x:c>
      <x:c r="H551" t="str">
        <x:v>首次用于V1.3</x:v>
      </x:c>
    </x:row>
    <x:row r="552">
      <x:c r="A552" t="str">
        <x:v>规则子类</x:v>
      </x:c>
      <x:c r="B552" t="str">
        <x:v>M15-ZHUAN</x:v>
      </x:c>
      <x:c r="C552" t="str">
        <x:v>M15｜专旺格成败</x:v>
      </x:c>
      <x:c r="D552" t="str">
        <x:v>M15中用于专旺、曲直、炎上、稼穑、从革、润下严格成立及逆克与关键杂气破格。</x:v>
      </x:c>
      <x:c r="E552" t="str">
        <x:v>子类代码</x:v>
      </x:c>
      <x:c r="F552" t="n">
        <x:v>132</x:v>
      </x:c>
      <x:c r="G552" t="str">
        <x:v>是</x:v>
      </x:c>
      <x:c r="H552" t="str">
        <x:v>首次用于V1.3</x:v>
      </x:c>
    </x:row>
    <x:row r="553">
      <x:c r="A553" t="str">
        <x:v>规则子类</x:v>
      </x:c>
      <x:c r="B553" t="str">
        <x:v>M15-RESCUE</x:v>
      </x:c>
      <x:c r="C553" t="str">
        <x:v>M15｜救应有效性</x:v>
      </x:c>
      <x:c r="D553" t="str">
        <x:v>M15中用于无救应、弱/部分/明显/完全救应、副作用、容量、协同、对象限定与事实保留。</x:v>
      </x:c>
      <x:c r="E553" t="str">
        <x:v>子类代码</x:v>
      </x:c>
      <x:c r="F553" t="n">
        <x:v>133</x:v>
      </x:c>
      <x:c r="G553" t="str">
        <x:v>是</x:v>
      </x:c>
      <x:c r="H553" t="str">
        <x:v>首次用于V1.3</x:v>
      </x:c>
    </x:row>
    <x:row r="554">
      <x:c r="A554" t="str">
        <x:v>规则子类</x:v>
      </x:c>
      <x:c r="B554" t="str">
        <x:v>M15-BOUND</x:v>
      </x:c>
      <x:c r="C554" t="str">
        <x:v>M15｜格局成败边界</x:v>
      </x:c>
      <x:c r="D554" t="str">
        <x:v>M15中用于成立与层次分离、有破非自动否决、事件隔离及原局/岁运分离。</x:v>
      </x:c>
      <x:c r="E554" t="str">
        <x:v>子类代码</x:v>
      </x:c>
      <x:c r="F554" t="n">
        <x:v>134</x:v>
      </x:c>
      <x:c r="G554" t="str">
        <x:v>是</x:v>
      </x:c>
      <x:c r="H554" t="str">
        <x:v>首次用于V1.3</x:v>
      </x:c>
    </x:row>
  </x:sheetData>
  <x:mergeCells>
    <x:mergeCell ref="A1:Q1"/>
    <x:mergeCell ref="A2:Q2"/>
    <x:mergeCell ref="A3:Q3"/>
  </x:mergeCells>
  <x:pageMargins left="0.7" right="0.7" top="0.75" bottom="0.75" header="0.3" footer="0.3"/>
  <x:tableParts count="4">
    <x:tablePart xmlns:r="http://schemas.openxmlformats.org/officeDocument/2006/relationships" r:id="R4e9c1b9d2c4d49a1"/>
    <x:tablePart xmlns:r="http://schemas.openxmlformats.org/officeDocument/2006/relationships" r:id="Rba3d3dd839c24a8e"/>
    <x:tablePart xmlns:r="http://schemas.openxmlformats.org/officeDocument/2006/relationships" r:id="R4cec54cc785c4105"/>
    <x:tablePart xmlns:r="http://schemas.openxmlformats.org/officeDocument/2006/relationships" r:id="Rcbaa3a03f3794971"/>
  </x:tableParts>
</x:worksheet>
</file>

<file path=xl/worksheets/sheet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12" hidden="0" customWidth="1"/>
    <x:col min="10" max="10" width="12"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0" hidden="0" customWidth="1"/>
    <x:col min="19" max="19" width="16" hidden="0" customWidth="1"/>
    <x:col min="20" max="20" width="30" hidden="0" customWidth="1"/>
    <x:col min="21" max="21" width="30" hidden="0" customWidth="1"/>
    <x:col min="22" max="22" width="30"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30" hidden="0" customWidth="1"/>
    <x:col min="30" max="30" width="30" hidden="0" customWidth="1"/>
    <x:col min="31" max="31" width="13" hidden="0" customWidth="1"/>
  </x:cols>
  <x:sheetData>
    <x:row r="1" ht="28" customHeight="1">
      <x:c r="A1" s="32" t="str">
        <x:v>M02｜干支、五行与藏干基础数据</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row>
    <x:row r="2" ht="36" customHeight="1">
      <x:c r="A2" s="39" t="str">
        <x:v>已录入40条正式基础规则：十天干、十二地支藏干、五行生克、十神映射及关键治理边界。此表只保存基础事实，不直接决定旺衰、吉凶或用神。</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row>
    <x:row r="3" ht="30" customHeight="1">
      <x:c r="A3" s="47" t="str">
        <x:v>前置依赖：无　｜　主要输出：统一干支、藏干、五行与十神映射　｜　直接下游：M03/M04/M05/M07/M09/M10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row>
    <x:row r="5" ht="38" customHeight="1">
      <x:c r="A5" s="61" t="str">
        <x:v>Record_ID</x:v>
      </x:c>
      <x:c r="B5" s="61" t="str">
        <x:v>模块代码</x:v>
      </x:c>
      <x:c r="C5" s="61" t="str">
        <x:v>子类代码</x:v>
      </x:c>
      <x:c r="D5" s="61" t="str">
        <x:v>序号</x:v>
      </x:c>
      <x:c r="E5" s="61" t="str">
        <x:v>版本号</x:v>
      </x:c>
      <x:c r="F5" s="61" t="str">
        <x:v>记录类型</x:v>
      </x:c>
      <x:c r="G5" s="61" t="str">
        <x:v>对象类别</x:v>
      </x:c>
      <x:c r="H5" s="61" t="str">
        <x:v>对象</x:v>
      </x:c>
      <x:c r="I5" s="61" t="str">
        <x:v>阴阳</x:v>
      </x:c>
      <x:c r="J5" s="61" t="str">
        <x:v>五行</x:v>
      </x:c>
      <x:c r="K5" s="61" t="str">
        <x:v>藏干一</x:v>
      </x:c>
      <x:c r="L5" s="61" t="str">
        <x:v>藏干一层级</x:v>
      </x:c>
      <x:c r="M5" s="61" t="str">
        <x:v>藏干二</x:v>
      </x:c>
      <x:c r="N5" s="61" t="str">
        <x:v>藏干二层级</x:v>
      </x:c>
      <x:c r="O5" s="61" t="str">
        <x:v>藏干三</x:v>
      </x:c>
      <x:c r="P5" s="61" t="str">
        <x:v>藏干三层级</x:v>
      </x:c>
      <x:c r="Q5" s="61" t="str">
        <x:v>季节/月令属性</x:v>
      </x:c>
      <x:c r="R5" s="61" t="str">
        <x:v>基础定义</x:v>
      </x:c>
      <x:c r="S5" s="61" t="str">
        <x:v>十神映射规则</x:v>
      </x:c>
      <x:c r="T5" s="61" t="str">
        <x:v>前置条件</x:v>
      </x:c>
      <x:c r="U5" s="61" t="str">
        <x:v>必要条件</x:v>
      </x:c>
      <x:c r="V5" s="61" t="str">
        <x:v>例外条件</x:v>
      </x:c>
      <x:c r="W5" s="61" t="str">
        <x:v>结论标签</x:v>
      </x:c>
      <x:c r="X5" s="61" t="str">
        <x:v>标准输出</x:v>
      </x:c>
      <x:c r="Y5" s="61" t="str">
        <x:v>置信等级</x:v>
      </x:c>
      <x:c r="Z5" s="61" t="str">
        <x:v>流派标签</x:v>
      </x:c>
      <x:c r="AA5" s="61" t="str">
        <x:v>来源/依据</x:v>
      </x:c>
      <x:c r="AB5" s="61" t="str">
        <x:v>页码/链接</x:v>
      </x:c>
      <x:c r="AC5" s="61" t="str">
        <x:v>规则状态</x:v>
      </x:c>
      <x:c r="AD5" s="61" t="str">
        <x:v>审核状态</x:v>
      </x:c>
      <x:c r="AE5" s="61" t="str">
        <x:v>更新日期</x:v>
      </x:c>
    </x:row>
    <x:row r="6" ht="66" customHeight="1">
      <x:c r="A6" s="76" t="str">
        <x:f>IF(OR(C6="",D6=""),"",B6&amp;"-"&amp;UPPER(C6)&amp;"-"&amp;TEXT(D6,"0000")&amp;"-"&amp;E6)</x:f>
        <x:v>M02-DEMO-9999-V0.1</x:v>
      </x:c>
      <x:c r="B6" s="76" t="str">
        <x:v>M02</x:v>
      </x:c>
      <x:c r="C6" s="76" t="str">
        <x:v>DEMO</x:v>
      </x:c>
      <x:c r="D6" s="78" t="n">
        <x:v>9999</x:v>
      </x:c>
      <x:c r="E6" s="76" t="str">
        <x:v>V0.1</x:v>
      </x:c>
      <x:c r="F6" s="76" t="str">
        <x:v>示例</x:v>
      </x:c>
      <x:c r="G6" s="76" t="str">
        <x:v>地支</x:v>
      </x:c>
      <x:c r="H6" s="76" t="str">
        <x:v>子</x:v>
      </x:c>
      <x:c r="I6" s="76" t="str">
        <x:v>阳</x:v>
      </x:c>
      <x:c r="J6" s="76" t="str">
        <x:v>水</x:v>
      </x:c>
      <x:c r="K6" s="76" t="str">
        <x:v>癸</x:v>
      </x:c>
      <x:c r="L6" s="76" t="str">
        <x:v>本气</x:v>
      </x:c>
      <x:c r="M6" s="76"/>
      <x:c r="N6" s="76"/>
      <x:c r="O6" s="76"/>
      <x:c r="P6" s="76"/>
      <x:c r="Q6" s="76" t="str">
        <x:v>冬季水旺；子为水之本气</x:v>
      </x:c>
      <x:c r="R6" s="76" t="str">
        <x:v>子支属阳水，常规藏干为癸水本气。</x:v>
      </x:c>
      <x:c r="S6" s="76" t="str">
        <x:v>先确定日主天干，再按癸与日主的生克及阴阳关系映射十神。</x:v>
      </x:c>
      <x:c r="T6" s="76" t="str">
        <x:v>四柱地支已识别</x:v>
      </x:c>
      <x:c r="U6" s="76" t="str">
        <x:v>使用统一藏干表</x:v>
      </x:c>
      <x:c r="V6" s="76" t="str">
        <x:v>不同流派对少数藏干比例可能有差异，应在M21登记。</x:v>
      </x:c>
      <x:c r="W6" s="76" t="str">
        <x:v>基础映射</x:v>
      </x:c>
      <x:c r="X6" s="76" t="str">
        <x:v>地支子：五行属水，藏癸水本气。</x:v>
      </x:c>
      <x:c r="Y6" s="76" t="str">
        <x:v>确定</x:v>
      </x:c>
      <x:c r="Z6" s="76" t="str">
        <x:v>跨流派共识</x:v>
      </x:c>
      <x:c r="AA6" s="76" t="str">
        <x:v>内部基础字典；后续补经典出处</x:v>
      </x:c>
      <x:c r="AB6" s="76"/>
      <x:c r="AC6" s="76" t="str">
        <x:v>示例</x:v>
      </x:c>
      <x:c r="AD6" s="76" t="str">
        <x:v>未审核</x:v>
      </x:c>
      <x:c r="AE6" s="86" t="n">
        <x:v>46254</x:v>
      </x:c>
    </x:row>
    <x:row r="7" ht="42" customHeight="1">
      <x:c r="A7" s="72" t="str">
        <x:f>IF(OR(C7="",D7=""),"",B7&amp;"-"&amp;UPPER(C7)&amp;"-"&amp;TEXT(D7,"0000")&amp;"-"&amp;E7)</x:f>
        <x:v>M02-TG-0001-V1.0</x:v>
      </x:c>
      <x:c r="B7" s="74" t="str">
        <x:v>M02</x:v>
      </x:c>
      <x:c r="C7" s="74" t="str">
        <x:v>TG</x:v>
      </x:c>
      <x:c r="D7" s="79" t="n">
        <x:v>1</x:v>
      </x:c>
      <x:c r="E7" s="74" t="str">
        <x:v>V1.0</x:v>
      </x:c>
      <x:c r="F7" s="82" t="str">
        <x:v>正式规则</x:v>
      </x:c>
      <x:c r="G7" s="82" t="str">
        <x:v>天干</x:v>
      </x:c>
      <x:c r="H7" s="68" t="str">
        <x:v>甲</x:v>
      </x:c>
      <x:c r="I7" s="82" t="str">
        <x:v>阳</x:v>
      </x:c>
      <x:c r="J7" s="82" t="str">
        <x:v>木</x:v>
      </x:c>
      <x:c r="K7" s="68"/>
      <x:c r="L7" s="82"/>
      <x:c r="M7" s="68"/>
      <x:c r="N7" s="82"/>
      <x:c r="O7" s="68"/>
      <x:c r="P7" s="82"/>
      <x:c r="Q7" s="68" t="str">
        <x:v>春季同类；具体旺衰由M03/M07判断</x:v>
      </x:c>
      <x:c r="R7" s="68" t="str">
        <x:v>阳木天干；作为符号对象时先固定阴阳与五行属性。</x:v>
      </x:c>
      <x:c r="S7" s="68" t="str">
        <x:v>先确定日主，再按双方五行生克方向与阴阳同异映射十神；天干本身不存在固定十神名称。</x:v>
      </x:c>
      <x:c r="T7" s="68" t="str">
        <x:v>四柱天干或待分析天干已准确识别</x:v>
      </x:c>
      <x:c r="U7" s="68" t="str">
        <x:v>采用统一十天干阴阳五行映射</x:v>
      </x:c>
      <x:c r="V7" s="68" t="str">
        <x:v>合化、从化等只在后续模块改变有效作用，不改本条基础属性；异说须在M21登记。</x:v>
      </x:c>
      <x:c r="W7" s="84" t="str">
        <x:v>天干基础映射</x:v>
      </x:c>
      <x:c r="X7" s="84" t="str">
        <x:v>天干甲：阳木。</x:v>
      </x:c>
      <x:c r="Y7" s="82" t="str">
        <x:v>确定</x:v>
      </x:c>
      <x:c r="Z7" s="82" t="str">
        <x:v>跨流派共识</x:v>
      </x:c>
      <x:c r="AA7" s="68" t="str">
        <x:v>传统十天干阴阳五行通行表；《三命通会》《渊海子平》相关基础论述</x:v>
      </x:c>
      <x:c r="AB7" s="68" t="str">
        <x:v>https://zh.wikisource.org/wiki/三命通會</x:v>
      </x:c>
      <x:c r="AC7" s="82" t="str">
        <x:v>采用</x:v>
      </x:c>
      <x:c r="AD7" s="82" t="str">
        <x:v>初审</x:v>
      </x:c>
      <x:c r="AE7" s="87" t="n">
        <x:v>46255</x:v>
      </x:c>
    </x:row>
    <x:row r="8" ht="42" customHeight="1">
      <x:c r="A8" s="72" t="str">
        <x:f>IF(OR(C8="",D8=""),"",B8&amp;"-"&amp;UPPER(C8)&amp;"-"&amp;TEXT(D8,"0000")&amp;"-"&amp;E8)</x:f>
        <x:v>M02-TG-0002-V1.0</x:v>
      </x:c>
      <x:c r="B8" s="74" t="str">
        <x:v>M02</x:v>
      </x:c>
      <x:c r="C8" s="74" t="str">
        <x:v>TG</x:v>
      </x:c>
      <x:c r="D8" s="79" t="n">
        <x:v>2</x:v>
      </x:c>
      <x:c r="E8" s="74" t="str">
        <x:v>V1.0</x:v>
      </x:c>
      <x:c r="F8" s="82" t="str">
        <x:v>正式规则</x:v>
      </x:c>
      <x:c r="G8" s="82" t="str">
        <x:v>天干</x:v>
      </x:c>
      <x:c r="H8" s="68" t="str">
        <x:v>乙</x:v>
      </x:c>
      <x:c r="I8" s="82" t="str">
        <x:v>阴</x:v>
      </x:c>
      <x:c r="J8" s="82" t="str">
        <x:v>木</x:v>
      </x:c>
      <x:c r="K8" s="68"/>
      <x:c r="L8" s="82"/>
      <x:c r="M8" s="68"/>
      <x:c r="N8" s="82"/>
      <x:c r="O8" s="68"/>
      <x:c r="P8" s="82"/>
      <x:c r="Q8" s="68" t="str">
        <x:v>春季同类；具体旺衰由M03/M07判断</x:v>
      </x:c>
      <x:c r="R8" s="68" t="str">
        <x:v>阴木天干；作为符号对象时先固定阴阳与五行属性。</x:v>
      </x:c>
      <x:c r="S8" s="68" t="str">
        <x:v>先确定日主，再按双方五行生克方向与阴阳同异映射十神；天干本身不存在固定十神名称。</x:v>
      </x:c>
      <x:c r="T8" s="68" t="str">
        <x:v>四柱天干或待分析天干已准确识别</x:v>
      </x:c>
      <x:c r="U8" s="68" t="str">
        <x:v>采用统一十天干阴阳五行映射</x:v>
      </x:c>
      <x:c r="V8" s="68" t="str">
        <x:v>合化、从化等只在后续模块改变有效作用，不改本条基础属性；异说须在M21登记。</x:v>
      </x:c>
      <x:c r="W8" s="84" t="str">
        <x:v>天干基础映射</x:v>
      </x:c>
      <x:c r="X8" s="84" t="str">
        <x:v>天干乙：阴木。</x:v>
      </x:c>
      <x:c r="Y8" s="82" t="str">
        <x:v>确定</x:v>
      </x:c>
      <x:c r="Z8" s="82" t="str">
        <x:v>跨流派共识</x:v>
      </x:c>
      <x:c r="AA8" s="68" t="str">
        <x:v>传统十天干阴阳五行通行表；《三命通会》《渊海子平》相关基础论述</x:v>
      </x:c>
      <x:c r="AB8" s="68" t="str">
        <x:v>https://zh.wikisource.org/wiki/三命通會</x:v>
      </x:c>
      <x:c r="AC8" s="82" t="str">
        <x:v>采用</x:v>
      </x:c>
      <x:c r="AD8" s="82" t="str">
        <x:v>初审</x:v>
      </x:c>
      <x:c r="AE8" s="87" t="n">
        <x:v>46255</x:v>
      </x:c>
    </x:row>
    <x:row r="9" ht="42" customHeight="1">
      <x:c r="A9" s="72" t="str">
        <x:f>IF(OR(C9="",D9=""),"",B9&amp;"-"&amp;UPPER(C9)&amp;"-"&amp;TEXT(D9,"0000")&amp;"-"&amp;E9)</x:f>
        <x:v>M02-TG-0003-V1.0</x:v>
      </x:c>
      <x:c r="B9" s="74" t="str">
        <x:v>M02</x:v>
      </x:c>
      <x:c r="C9" s="74" t="str">
        <x:v>TG</x:v>
      </x:c>
      <x:c r="D9" s="79" t="n">
        <x:v>3</x:v>
      </x:c>
      <x:c r="E9" s="74" t="str">
        <x:v>V1.0</x:v>
      </x:c>
      <x:c r="F9" s="82" t="str">
        <x:v>正式规则</x:v>
      </x:c>
      <x:c r="G9" s="82" t="str">
        <x:v>天干</x:v>
      </x:c>
      <x:c r="H9" s="68" t="str">
        <x:v>丙</x:v>
      </x:c>
      <x:c r="I9" s="82" t="str">
        <x:v>阳</x:v>
      </x:c>
      <x:c r="J9" s="82" t="str">
        <x:v>火</x:v>
      </x:c>
      <x:c r="K9" s="68"/>
      <x:c r="L9" s="82"/>
      <x:c r="M9" s="68"/>
      <x:c r="N9" s="82"/>
      <x:c r="O9" s="68"/>
      <x:c r="P9" s="82"/>
      <x:c r="Q9" s="68" t="str">
        <x:v>夏季同类；具体旺衰由M03/M07判断</x:v>
      </x:c>
      <x:c r="R9" s="68" t="str">
        <x:v>阳火天干；作为符号对象时先固定阴阳与五行属性。</x:v>
      </x:c>
      <x:c r="S9" s="68" t="str">
        <x:v>先确定日主，再按双方五行生克方向与阴阳同异映射十神；天干本身不存在固定十神名称。</x:v>
      </x:c>
      <x:c r="T9" s="68" t="str">
        <x:v>四柱天干或待分析天干已准确识别</x:v>
      </x:c>
      <x:c r="U9" s="68" t="str">
        <x:v>采用统一十天干阴阳五行映射</x:v>
      </x:c>
      <x:c r="V9" s="68" t="str">
        <x:v>合化、从化等只在后续模块改变有效作用，不改本条基础属性；异说须在M21登记。</x:v>
      </x:c>
      <x:c r="W9" s="84" t="str">
        <x:v>天干基础映射</x:v>
      </x:c>
      <x:c r="X9" s="84" t="str">
        <x:v>天干丙：阳火。</x:v>
      </x:c>
      <x:c r="Y9" s="82" t="str">
        <x:v>确定</x:v>
      </x:c>
      <x:c r="Z9" s="82" t="str">
        <x:v>跨流派共识</x:v>
      </x:c>
      <x:c r="AA9" s="68" t="str">
        <x:v>传统十天干阴阳五行通行表；《三命通会》《渊海子平》相关基础论述</x:v>
      </x:c>
      <x:c r="AB9" s="68" t="str">
        <x:v>https://zh.wikisource.org/wiki/三命通會</x:v>
      </x:c>
      <x:c r="AC9" s="82" t="str">
        <x:v>采用</x:v>
      </x:c>
      <x:c r="AD9" s="82" t="str">
        <x:v>初审</x:v>
      </x:c>
      <x:c r="AE9" s="87" t="n">
        <x:v>46255</x:v>
      </x:c>
    </x:row>
    <x:row r="10" ht="42" customHeight="1">
      <x:c r="A10" s="72" t="str">
        <x:f>IF(OR(C10="",D10=""),"",B10&amp;"-"&amp;UPPER(C10)&amp;"-"&amp;TEXT(D10,"0000")&amp;"-"&amp;E10)</x:f>
        <x:v>M02-TG-0004-V1.0</x:v>
      </x:c>
      <x:c r="B10" s="74" t="str">
        <x:v>M02</x:v>
      </x:c>
      <x:c r="C10" s="74" t="str">
        <x:v>TG</x:v>
      </x:c>
      <x:c r="D10" s="79" t="n">
        <x:v>4</x:v>
      </x:c>
      <x:c r="E10" s="74" t="str">
        <x:v>V1.0</x:v>
      </x:c>
      <x:c r="F10" s="82" t="str">
        <x:v>正式规则</x:v>
      </x:c>
      <x:c r="G10" s="82" t="str">
        <x:v>天干</x:v>
      </x:c>
      <x:c r="H10" s="68" t="str">
        <x:v>丁</x:v>
      </x:c>
      <x:c r="I10" s="82" t="str">
        <x:v>阴</x:v>
      </x:c>
      <x:c r="J10" s="82" t="str">
        <x:v>火</x:v>
      </x:c>
      <x:c r="K10" s="68"/>
      <x:c r="L10" s="82"/>
      <x:c r="M10" s="68"/>
      <x:c r="N10" s="82"/>
      <x:c r="O10" s="68"/>
      <x:c r="P10" s="82"/>
      <x:c r="Q10" s="68" t="str">
        <x:v>夏季同类；具体旺衰由M03/M07判断</x:v>
      </x:c>
      <x:c r="R10" s="68" t="str">
        <x:v>阴火天干；作为符号对象时先固定阴阳与五行属性。</x:v>
      </x:c>
      <x:c r="S10" s="68" t="str">
        <x:v>先确定日主，再按双方五行生克方向与阴阳同异映射十神；天干本身不存在固定十神名称。</x:v>
      </x:c>
      <x:c r="T10" s="68" t="str">
        <x:v>四柱天干或待分析天干已准确识别</x:v>
      </x:c>
      <x:c r="U10" s="68" t="str">
        <x:v>采用统一十天干阴阳五行映射</x:v>
      </x:c>
      <x:c r="V10" s="68" t="str">
        <x:v>合化、从化等只在后续模块改变有效作用，不改本条基础属性；异说须在M21登记。</x:v>
      </x:c>
      <x:c r="W10" s="84" t="str">
        <x:v>天干基础映射</x:v>
      </x:c>
      <x:c r="X10" s="84" t="str">
        <x:v>天干丁：阴火。</x:v>
      </x:c>
      <x:c r="Y10" s="82" t="str">
        <x:v>确定</x:v>
      </x:c>
      <x:c r="Z10" s="82" t="str">
        <x:v>跨流派共识</x:v>
      </x:c>
      <x:c r="AA10" s="68" t="str">
        <x:v>传统十天干阴阳五行通行表；《三命通会》《渊海子平》相关基础论述</x:v>
      </x:c>
      <x:c r="AB10" s="68" t="str">
        <x:v>https://zh.wikisource.org/wiki/三命通會</x:v>
      </x:c>
      <x:c r="AC10" s="82" t="str">
        <x:v>采用</x:v>
      </x:c>
      <x:c r="AD10" s="82" t="str">
        <x:v>初审</x:v>
      </x:c>
      <x:c r="AE10" s="87" t="n">
        <x:v>46255</x:v>
      </x:c>
    </x:row>
    <x:row r="11" ht="42" customHeight="1">
      <x:c r="A11" s="72" t="str">
        <x:f>IF(OR(C11="",D11=""),"",B11&amp;"-"&amp;UPPER(C11)&amp;"-"&amp;TEXT(D11,"0000")&amp;"-"&amp;E11)</x:f>
        <x:v>M02-TG-0005-V1.0</x:v>
      </x:c>
      <x:c r="B11" s="74" t="str">
        <x:v>M02</x:v>
      </x:c>
      <x:c r="C11" s="74" t="str">
        <x:v>TG</x:v>
      </x:c>
      <x:c r="D11" s="79" t="n">
        <x:v>5</x:v>
      </x:c>
      <x:c r="E11" s="74" t="str">
        <x:v>V1.0</x:v>
      </x:c>
      <x:c r="F11" s="82" t="str">
        <x:v>正式规则</x:v>
      </x:c>
      <x:c r="G11" s="82" t="str">
        <x:v>天干</x:v>
      </x:c>
      <x:c r="H11" s="68" t="str">
        <x:v>戊</x:v>
      </x:c>
      <x:c r="I11" s="82" t="str">
        <x:v>阳</x:v>
      </x:c>
      <x:c r="J11" s="82" t="str">
        <x:v>土</x:v>
      </x:c>
      <x:c r="K11" s="68"/>
      <x:c r="L11" s="82"/>
      <x:c r="M11" s="68"/>
      <x:c r="N11" s="82"/>
      <x:c r="O11" s="68"/>
      <x:c r="P11" s="82"/>
      <x:c r="Q11" s="68" t="str">
        <x:v>四季末月及季节转换相关；具体司令深浅转M03</x:v>
      </x:c>
      <x:c r="R11" s="68" t="str">
        <x:v>阳土天干；作为符号对象时先固定阴阳与五行属性。</x:v>
      </x:c>
      <x:c r="S11" s="68" t="str">
        <x:v>先确定日主，再按双方五行生克方向与阴阳同异映射十神；天干本身不存在固定十神名称。</x:v>
      </x:c>
      <x:c r="T11" s="68" t="str">
        <x:v>四柱天干或待分析天干已准确识别</x:v>
      </x:c>
      <x:c r="U11" s="68" t="str">
        <x:v>采用统一十天干阴阳五行映射</x:v>
      </x:c>
      <x:c r="V11" s="68" t="str">
        <x:v>合化、从化等只在后续模块改变有效作用，不改本条基础属性；异说须在M21登记。</x:v>
      </x:c>
      <x:c r="W11" s="84" t="str">
        <x:v>天干基础映射</x:v>
      </x:c>
      <x:c r="X11" s="84" t="str">
        <x:v>天干戊：阳土。</x:v>
      </x:c>
      <x:c r="Y11" s="82" t="str">
        <x:v>确定</x:v>
      </x:c>
      <x:c r="Z11" s="82" t="str">
        <x:v>跨流派共识</x:v>
      </x:c>
      <x:c r="AA11" s="68" t="str">
        <x:v>传统十天干阴阳五行通行表；《三命通会》《渊海子平》相关基础论述</x:v>
      </x:c>
      <x:c r="AB11" s="68" t="str">
        <x:v>https://zh.wikisource.org/wiki/三命通會</x:v>
      </x:c>
      <x:c r="AC11" s="82" t="str">
        <x:v>采用</x:v>
      </x:c>
      <x:c r="AD11" s="82" t="str">
        <x:v>初审</x:v>
      </x:c>
      <x:c r="AE11" s="87" t="n">
        <x:v>46255</x:v>
      </x:c>
    </x:row>
    <x:row r="12" ht="42" customHeight="1">
      <x:c r="A12" s="72" t="str">
        <x:f>IF(OR(C12="",D12=""),"",B12&amp;"-"&amp;UPPER(C12)&amp;"-"&amp;TEXT(D12,"0000")&amp;"-"&amp;E12)</x:f>
        <x:v>M02-TG-0006-V1.0</x:v>
      </x:c>
      <x:c r="B12" s="74" t="str">
        <x:v>M02</x:v>
      </x:c>
      <x:c r="C12" s="74" t="str">
        <x:v>TG</x:v>
      </x:c>
      <x:c r="D12" s="79" t="n">
        <x:v>6</x:v>
      </x:c>
      <x:c r="E12" s="74" t="str">
        <x:v>V1.0</x:v>
      </x:c>
      <x:c r="F12" s="82" t="str">
        <x:v>正式规则</x:v>
      </x:c>
      <x:c r="G12" s="82" t="str">
        <x:v>天干</x:v>
      </x:c>
      <x:c r="H12" s="68" t="str">
        <x:v>己</x:v>
      </x:c>
      <x:c r="I12" s="82" t="str">
        <x:v>阴</x:v>
      </x:c>
      <x:c r="J12" s="82" t="str">
        <x:v>土</x:v>
      </x:c>
      <x:c r="K12" s="68"/>
      <x:c r="L12" s="82"/>
      <x:c r="M12" s="68"/>
      <x:c r="N12" s="82"/>
      <x:c r="O12" s="68"/>
      <x:c r="P12" s="82"/>
      <x:c r="Q12" s="68" t="str">
        <x:v>四季末月及季节转换相关；具体司令深浅转M03</x:v>
      </x:c>
      <x:c r="R12" s="68" t="str">
        <x:v>阴土天干；作为符号对象时先固定阴阳与五行属性。</x:v>
      </x:c>
      <x:c r="S12" s="68" t="str">
        <x:v>先确定日主，再按双方五行生克方向与阴阳同异映射十神；天干本身不存在固定十神名称。</x:v>
      </x:c>
      <x:c r="T12" s="68" t="str">
        <x:v>四柱天干或待分析天干已准确识别</x:v>
      </x:c>
      <x:c r="U12" s="68" t="str">
        <x:v>采用统一十天干阴阳五行映射</x:v>
      </x:c>
      <x:c r="V12" s="68" t="str">
        <x:v>合化、从化等只在后续模块改变有效作用，不改本条基础属性；异说须在M21登记。</x:v>
      </x:c>
      <x:c r="W12" s="84" t="str">
        <x:v>天干基础映射</x:v>
      </x:c>
      <x:c r="X12" s="84" t="str">
        <x:v>天干己：阴土。</x:v>
      </x:c>
      <x:c r="Y12" s="82" t="str">
        <x:v>确定</x:v>
      </x:c>
      <x:c r="Z12" s="82" t="str">
        <x:v>跨流派共识</x:v>
      </x:c>
      <x:c r="AA12" s="68" t="str">
        <x:v>传统十天干阴阳五行通行表；《三命通会》《渊海子平》相关基础论述</x:v>
      </x:c>
      <x:c r="AB12" s="68" t="str">
        <x:v>https://zh.wikisource.org/wiki/三命通會</x:v>
      </x:c>
      <x:c r="AC12" s="82" t="str">
        <x:v>采用</x:v>
      </x:c>
      <x:c r="AD12" s="82" t="str">
        <x:v>初审</x:v>
      </x:c>
      <x:c r="AE12" s="87" t="n">
        <x:v>46255</x:v>
      </x:c>
    </x:row>
    <x:row r="13" ht="42" customHeight="1">
      <x:c r="A13" s="72" t="str">
        <x:f>IF(OR(C13="",D13=""),"",B13&amp;"-"&amp;UPPER(C13)&amp;"-"&amp;TEXT(D13,"0000")&amp;"-"&amp;E13)</x:f>
        <x:v>M02-TG-0007-V1.0</x:v>
      </x:c>
      <x:c r="B13" s="74" t="str">
        <x:v>M02</x:v>
      </x:c>
      <x:c r="C13" s="74" t="str">
        <x:v>TG</x:v>
      </x:c>
      <x:c r="D13" s="79" t="n">
        <x:v>7</x:v>
      </x:c>
      <x:c r="E13" s="74" t="str">
        <x:v>V1.0</x:v>
      </x:c>
      <x:c r="F13" s="82" t="str">
        <x:v>正式规则</x:v>
      </x:c>
      <x:c r="G13" s="82" t="str">
        <x:v>天干</x:v>
      </x:c>
      <x:c r="H13" s="68" t="str">
        <x:v>庚</x:v>
      </x:c>
      <x:c r="I13" s="82" t="str">
        <x:v>阳</x:v>
      </x:c>
      <x:c r="J13" s="82" t="str">
        <x:v>金</x:v>
      </x:c>
      <x:c r="K13" s="68"/>
      <x:c r="L13" s="82"/>
      <x:c r="M13" s="68"/>
      <x:c r="N13" s="82"/>
      <x:c r="O13" s="68"/>
      <x:c r="P13" s="82"/>
      <x:c r="Q13" s="68" t="str">
        <x:v>秋季同类；具体旺衰由M03/M07判断</x:v>
      </x:c>
      <x:c r="R13" s="68" t="str">
        <x:v>阳金天干；作为符号对象时先固定阴阳与五行属性。</x:v>
      </x:c>
      <x:c r="S13" s="68" t="str">
        <x:v>先确定日主，再按双方五行生克方向与阴阳同异映射十神；天干本身不存在固定十神名称。</x:v>
      </x:c>
      <x:c r="T13" s="68" t="str">
        <x:v>四柱天干或待分析天干已准确识别</x:v>
      </x:c>
      <x:c r="U13" s="68" t="str">
        <x:v>采用统一十天干阴阳五行映射</x:v>
      </x:c>
      <x:c r="V13" s="68" t="str">
        <x:v>合化、从化等只在后续模块改变有效作用，不改本条基础属性；异说须在M21登记。</x:v>
      </x:c>
      <x:c r="W13" s="84" t="str">
        <x:v>天干基础映射</x:v>
      </x:c>
      <x:c r="X13" s="84" t="str">
        <x:v>天干庚：阳金。</x:v>
      </x:c>
      <x:c r="Y13" s="82" t="str">
        <x:v>确定</x:v>
      </x:c>
      <x:c r="Z13" s="82" t="str">
        <x:v>跨流派共识</x:v>
      </x:c>
      <x:c r="AA13" s="68" t="str">
        <x:v>传统十天干阴阳五行通行表；《三命通会》《渊海子平》相关基础论述</x:v>
      </x:c>
      <x:c r="AB13" s="68" t="str">
        <x:v>https://zh.wikisource.org/wiki/三命通會</x:v>
      </x:c>
      <x:c r="AC13" s="82" t="str">
        <x:v>采用</x:v>
      </x:c>
      <x:c r="AD13" s="82" t="str">
        <x:v>初审</x:v>
      </x:c>
      <x:c r="AE13" s="87" t="n">
        <x:v>46255</x:v>
      </x:c>
    </x:row>
    <x:row r="14" ht="42" customHeight="1">
      <x:c r="A14" s="72" t="str">
        <x:f>IF(OR(C14="",D14=""),"",B14&amp;"-"&amp;UPPER(C14)&amp;"-"&amp;TEXT(D14,"0000")&amp;"-"&amp;E14)</x:f>
        <x:v>M02-TG-0008-V1.0</x:v>
      </x:c>
      <x:c r="B14" s="74" t="str">
        <x:v>M02</x:v>
      </x:c>
      <x:c r="C14" s="74" t="str">
        <x:v>TG</x:v>
      </x:c>
      <x:c r="D14" s="79" t="n">
        <x:v>8</x:v>
      </x:c>
      <x:c r="E14" s="74" t="str">
        <x:v>V1.0</x:v>
      </x:c>
      <x:c r="F14" s="82" t="str">
        <x:v>正式规则</x:v>
      </x:c>
      <x:c r="G14" s="82" t="str">
        <x:v>天干</x:v>
      </x:c>
      <x:c r="H14" s="68" t="str">
        <x:v>辛</x:v>
      </x:c>
      <x:c r="I14" s="82" t="str">
        <x:v>阴</x:v>
      </x:c>
      <x:c r="J14" s="82" t="str">
        <x:v>金</x:v>
      </x:c>
      <x:c r="K14" s="68"/>
      <x:c r="L14" s="82"/>
      <x:c r="M14" s="68"/>
      <x:c r="N14" s="82"/>
      <x:c r="O14" s="68"/>
      <x:c r="P14" s="82"/>
      <x:c r="Q14" s="68" t="str">
        <x:v>秋季同类；具体旺衰由M03/M07判断</x:v>
      </x:c>
      <x:c r="R14" s="68" t="str">
        <x:v>阴金天干；作为符号对象时先固定阴阳与五行属性。</x:v>
      </x:c>
      <x:c r="S14" s="68" t="str">
        <x:v>先确定日主，再按双方五行生克方向与阴阳同异映射十神；天干本身不存在固定十神名称。</x:v>
      </x:c>
      <x:c r="T14" s="68" t="str">
        <x:v>四柱天干或待分析天干已准确识别</x:v>
      </x:c>
      <x:c r="U14" s="68" t="str">
        <x:v>采用统一十天干阴阳五行映射</x:v>
      </x:c>
      <x:c r="V14" s="68" t="str">
        <x:v>合化、从化等只在后续模块改变有效作用，不改本条基础属性；异说须在M21登记。</x:v>
      </x:c>
      <x:c r="W14" s="84" t="str">
        <x:v>天干基础映射</x:v>
      </x:c>
      <x:c r="X14" s="84" t="str">
        <x:v>天干辛：阴金。</x:v>
      </x:c>
      <x:c r="Y14" s="82" t="str">
        <x:v>确定</x:v>
      </x:c>
      <x:c r="Z14" s="82" t="str">
        <x:v>跨流派共识</x:v>
      </x:c>
      <x:c r="AA14" s="68" t="str">
        <x:v>传统十天干阴阳五行通行表；《三命通会》《渊海子平》相关基础论述</x:v>
      </x:c>
      <x:c r="AB14" s="68" t="str">
        <x:v>https://zh.wikisource.org/wiki/三命通會</x:v>
      </x:c>
      <x:c r="AC14" s="82" t="str">
        <x:v>采用</x:v>
      </x:c>
      <x:c r="AD14" s="82" t="str">
        <x:v>初审</x:v>
      </x:c>
      <x:c r="AE14" s="87" t="n">
        <x:v>46255</x:v>
      </x:c>
    </x:row>
    <x:row r="15" ht="42" customHeight="1">
      <x:c r="A15" s="72" t="str">
        <x:f>IF(OR(C15="",D15=""),"",B15&amp;"-"&amp;UPPER(C15)&amp;"-"&amp;TEXT(D15,"0000")&amp;"-"&amp;E15)</x:f>
        <x:v>M02-TG-0009-V1.0</x:v>
      </x:c>
      <x:c r="B15" s="74" t="str">
        <x:v>M02</x:v>
      </x:c>
      <x:c r="C15" s="74" t="str">
        <x:v>TG</x:v>
      </x:c>
      <x:c r="D15" s="79" t="n">
        <x:v>9</x:v>
      </x:c>
      <x:c r="E15" s="74" t="str">
        <x:v>V1.0</x:v>
      </x:c>
      <x:c r="F15" s="82" t="str">
        <x:v>正式规则</x:v>
      </x:c>
      <x:c r="G15" s="82" t="str">
        <x:v>天干</x:v>
      </x:c>
      <x:c r="H15" s="68" t="str">
        <x:v>壬</x:v>
      </x:c>
      <x:c r="I15" s="82" t="str">
        <x:v>阳</x:v>
      </x:c>
      <x:c r="J15" s="82" t="str">
        <x:v>水</x:v>
      </x:c>
      <x:c r="K15" s="68"/>
      <x:c r="L15" s="82"/>
      <x:c r="M15" s="68"/>
      <x:c r="N15" s="82"/>
      <x:c r="O15" s="68"/>
      <x:c r="P15" s="82"/>
      <x:c r="Q15" s="68" t="str">
        <x:v>冬季同类；具体旺衰由M03/M07判断</x:v>
      </x:c>
      <x:c r="R15" s="68" t="str">
        <x:v>阳水天干；作为符号对象时先固定阴阳与五行属性。</x:v>
      </x:c>
      <x:c r="S15" s="68" t="str">
        <x:v>先确定日主，再按双方五行生克方向与阴阳同异映射十神；天干本身不存在固定十神名称。</x:v>
      </x:c>
      <x:c r="T15" s="68" t="str">
        <x:v>四柱天干或待分析天干已准确识别</x:v>
      </x:c>
      <x:c r="U15" s="68" t="str">
        <x:v>采用统一十天干阴阳五行映射</x:v>
      </x:c>
      <x:c r="V15" s="68" t="str">
        <x:v>合化、从化等只在后续模块改变有效作用，不改本条基础属性；异说须在M21登记。</x:v>
      </x:c>
      <x:c r="W15" s="84" t="str">
        <x:v>天干基础映射</x:v>
      </x:c>
      <x:c r="X15" s="84" t="str">
        <x:v>天干壬：阳水。</x:v>
      </x:c>
      <x:c r="Y15" s="82" t="str">
        <x:v>确定</x:v>
      </x:c>
      <x:c r="Z15" s="82" t="str">
        <x:v>跨流派共识</x:v>
      </x:c>
      <x:c r="AA15" s="68" t="str">
        <x:v>传统十天干阴阳五行通行表；《三命通会》《渊海子平》相关基础论述</x:v>
      </x:c>
      <x:c r="AB15" s="68" t="str">
        <x:v>https://zh.wikisource.org/wiki/三命通會</x:v>
      </x:c>
      <x:c r="AC15" s="82" t="str">
        <x:v>采用</x:v>
      </x:c>
      <x:c r="AD15" s="82" t="str">
        <x:v>初审</x:v>
      </x:c>
      <x:c r="AE15" s="87" t="n">
        <x:v>46255</x:v>
      </x:c>
    </x:row>
    <x:row r="16" ht="42" customHeight="1">
      <x:c r="A16" s="72" t="str">
        <x:f>IF(OR(C16="",D16=""),"",B16&amp;"-"&amp;UPPER(C16)&amp;"-"&amp;TEXT(D16,"0000")&amp;"-"&amp;E16)</x:f>
        <x:v>M02-TG-0010-V1.0</x:v>
      </x:c>
      <x:c r="B16" s="74" t="str">
        <x:v>M02</x:v>
      </x:c>
      <x:c r="C16" s="74" t="str">
        <x:v>TG</x:v>
      </x:c>
      <x:c r="D16" s="79" t="n">
        <x:v>10</x:v>
      </x:c>
      <x:c r="E16" s="74" t="str">
        <x:v>V1.0</x:v>
      </x:c>
      <x:c r="F16" s="82" t="str">
        <x:v>正式规则</x:v>
      </x:c>
      <x:c r="G16" s="82" t="str">
        <x:v>天干</x:v>
      </x:c>
      <x:c r="H16" s="68" t="str">
        <x:v>癸</x:v>
      </x:c>
      <x:c r="I16" s="82" t="str">
        <x:v>阴</x:v>
      </x:c>
      <x:c r="J16" s="82" t="str">
        <x:v>水</x:v>
      </x:c>
      <x:c r="K16" s="68"/>
      <x:c r="L16" s="82"/>
      <x:c r="M16" s="68"/>
      <x:c r="N16" s="82"/>
      <x:c r="O16" s="68"/>
      <x:c r="P16" s="82"/>
      <x:c r="Q16" s="68" t="str">
        <x:v>冬季同类；具体旺衰由M03/M07判断</x:v>
      </x:c>
      <x:c r="R16" s="68" t="str">
        <x:v>阴水天干；作为符号对象时先固定阴阳与五行属性。</x:v>
      </x:c>
      <x:c r="S16" s="68" t="str">
        <x:v>先确定日主，再按双方五行生克方向与阴阳同异映射十神；天干本身不存在固定十神名称。</x:v>
      </x:c>
      <x:c r="T16" s="68" t="str">
        <x:v>四柱天干或待分析天干已准确识别</x:v>
      </x:c>
      <x:c r="U16" s="68" t="str">
        <x:v>采用统一十天干阴阳五行映射</x:v>
      </x:c>
      <x:c r="V16" s="68" t="str">
        <x:v>合化、从化等只在后续模块改变有效作用，不改本条基础属性；异说须在M21登记。</x:v>
      </x:c>
      <x:c r="W16" s="84" t="str">
        <x:v>天干基础映射</x:v>
      </x:c>
      <x:c r="X16" s="84" t="str">
        <x:v>天干癸：阴水。</x:v>
      </x:c>
      <x:c r="Y16" s="82" t="str">
        <x:v>确定</x:v>
      </x:c>
      <x:c r="Z16" s="82" t="str">
        <x:v>跨流派共识</x:v>
      </x:c>
      <x:c r="AA16" s="68" t="str">
        <x:v>传统十天干阴阳五行通行表；《三命通会》《渊海子平》相关基础论述</x:v>
      </x:c>
      <x:c r="AB16" s="68" t="str">
        <x:v>https://zh.wikisource.org/wiki/三命通會</x:v>
      </x:c>
      <x:c r="AC16" s="82" t="str">
        <x:v>采用</x:v>
      </x:c>
      <x:c r="AD16" s="82" t="str">
        <x:v>初审</x:v>
      </x:c>
      <x:c r="AE16" s="87" t="n">
        <x:v>46255</x:v>
      </x:c>
    </x:row>
    <x:row r="17" ht="42" customHeight="1">
      <x:c r="A17" s="72" t="str">
        <x:f>IF(OR(C17="",D17=""),"",B17&amp;"-"&amp;UPPER(C17)&amp;"-"&amp;TEXT(D17,"0000")&amp;"-"&amp;E17)</x:f>
        <x:v>M02-DZ-0011-V1.0</x:v>
      </x:c>
      <x:c r="B17" s="74" t="str">
        <x:v>M02</x:v>
      </x:c>
      <x:c r="C17" s="74" t="str">
        <x:v>DZ</x:v>
      </x:c>
      <x:c r="D17" s="79" t="n">
        <x:v>11</x:v>
      </x:c>
      <x:c r="E17" s="74" t="str">
        <x:v>V1.0</x:v>
      </x:c>
      <x:c r="F17" s="82" t="str">
        <x:v>正式规则</x:v>
      </x:c>
      <x:c r="G17" s="82" t="str">
        <x:v>地支</x:v>
      </x:c>
      <x:c r="H17" s="68" t="str">
        <x:v>子</x:v>
      </x:c>
      <x:c r="I17" s="82" t="str">
        <x:v>阳</x:v>
      </x:c>
      <x:c r="J17" s="82" t="str">
        <x:v>水</x:v>
      </x:c>
      <x:c r="K17" s="68" t="str">
        <x:v>癸</x:v>
      </x:c>
      <x:c r="L17" s="82" t="str">
        <x:v>本气</x:v>
      </x:c>
      <x:c r="M17" s="68"/>
      <x:c r="N17" s="82"/>
      <x:c r="O17" s="68"/>
      <x:c r="P17" s="82"/>
      <x:c r="Q17" s="68" t="str">
        <x:v>仲冬；子月水主气</x:v>
      </x:c>
      <x:c r="R17" s="68" t="str">
        <x:v>地支子属阳水；标准藏干为癸本气。地支五行标签与支内各藏干是两个层次。</x:v>
      </x:c>
      <x:c r="S17" s="68" t="str">
        <x:v>地支十神应把各藏干分别相对日主映射；不得仅用地支表面五行直接代替全部十神。</x:v>
      </x:c>
      <x:c r="T17" s="68" t="str">
        <x:v>四柱地支已准确识别</x:v>
      </x:c>
      <x:c r="U17" s="68" t="str">
        <x:v>采用统一十二地支阴阳五行与藏干层级表</x:v>
      </x:c>
      <x:c r="V17" s="68" t="str">
        <x:v>刑冲合会害破只在M06以后修正藏干的有效性；基础藏干字典不因关系名称自动删除。异说须在M21登记。</x:v>
      </x:c>
      <x:c r="W17" s="84" t="str">
        <x:v>地支藏干映射</x:v>
      </x:c>
      <x:c r="X17" s="84" t="str">
        <x:v>地支子：阳水，藏癸本气。</x:v>
      </x:c>
      <x:c r="Y17" s="82" t="str">
        <x:v>确定</x:v>
      </x:c>
      <x:c r="Z17" s="82" t="str">
        <x:v>跨流派共识</x:v>
      </x:c>
      <x:c r="AA17" s="68" t="str">
        <x:v>传统十二地支、人元藏干通行表；《三命通会》《渊海子平》相关论述</x:v>
      </x:c>
      <x:c r="AB17" s="68" t="str">
        <x:v>https://zh.wikisource.org/wiki/三命通會</x:v>
      </x:c>
      <x:c r="AC17" s="82" t="str">
        <x:v>采用</x:v>
      </x:c>
      <x:c r="AD17" s="82" t="str">
        <x:v>初审</x:v>
      </x:c>
      <x:c r="AE17" s="87" t="n">
        <x:v>46255</x:v>
      </x:c>
    </x:row>
    <x:row r="18" ht="42" customHeight="1">
      <x:c r="A18" s="72" t="str">
        <x:f>IF(OR(C18="",D18=""),"",B18&amp;"-"&amp;UPPER(C18)&amp;"-"&amp;TEXT(D18,"0000")&amp;"-"&amp;E18)</x:f>
        <x:v>M02-DZ-0012-V1.0</x:v>
      </x:c>
      <x:c r="B18" s="74" t="str">
        <x:v>M02</x:v>
      </x:c>
      <x:c r="C18" s="74" t="str">
        <x:v>DZ</x:v>
      </x:c>
      <x:c r="D18" s="79" t="n">
        <x:v>12</x:v>
      </x:c>
      <x:c r="E18" s="74" t="str">
        <x:v>V1.0</x:v>
      </x:c>
      <x:c r="F18" s="82" t="str">
        <x:v>正式规则</x:v>
      </x:c>
      <x:c r="G18" s="82" t="str">
        <x:v>地支</x:v>
      </x:c>
      <x:c r="H18" s="68" t="str">
        <x:v>丑</x:v>
      </x:c>
      <x:c r="I18" s="82" t="str">
        <x:v>阴</x:v>
      </x:c>
      <x:c r="J18" s="82" t="str">
        <x:v>土</x:v>
      </x:c>
      <x:c r="K18" s="68" t="str">
        <x:v>己</x:v>
      </x:c>
      <x:c r="L18" s="82" t="str">
        <x:v>本气</x:v>
      </x:c>
      <x:c r="M18" s="68" t="str">
        <x:v>癸</x:v>
      </x:c>
      <x:c r="N18" s="82" t="str">
        <x:v>中气</x:v>
      </x:c>
      <x:c r="O18" s="68" t="str">
        <x:v>辛</x:v>
      </x:c>
      <x:c r="P18" s="82" t="str">
        <x:v>余气</x:v>
      </x:c>
      <x:c r="Q18" s="68" t="str">
        <x:v>季冬；寒湿土，兼藏水金</x:v>
      </x:c>
      <x:c r="R18" s="68" t="str">
        <x:v>地支丑属阴土；标准藏干为己本气、癸中气、辛余气。地支五行标签与支内各藏干是两个层次。</x:v>
      </x:c>
      <x:c r="S18" s="68" t="str">
        <x:v>地支十神应把各藏干分别相对日主映射；不得仅用地支表面五行直接代替全部十神。</x:v>
      </x:c>
      <x:c r="T18" s="68" t="str">
        <x:v>四柱地支已准确识别</x:v>
      </x:c>
      <x:c r="U18" s="68" t="str">
        <x:v>采用统一十二地支阴阳五行与藏干层级表</x:v>
      </x:c>
      <x:c r="V18" s="68" t="str">
        <x:v>刑冲合会害破只在M06以后修正藏干的有效性；基础藏干字典不因关系名称自动删除。异说须在M21登记。</x:v>
      </x:c>
      <x:c r="W18" s="84" t="str">
        <x:v>地支藏干映射</x:v>
      </x:c>
      <x:c r="X18" s="84" t="str">
        <x:v>地支丑：阴土，藏己本气、癸中气、辛余气。</x:v>
      </x:c>
      <x:c r="Y18" s="82" t="str">
        <x:v>确定</x:v>
      </x:c>
      <x:c r="Z18" s="82" t="str">
        <x:v>跨流派共识</x:v>
      </x:c>
      <x:c r="AA18" s="68" t="str">
        <x:v>传统十二地支、人元藏干通行表；《三命通会》《渊海子平》相关论述</x:v>
      </x:c>
      <x:c r="AB18" s="68" t="str">
        <x:v>https://zh.wikisource.org/wiki/三命通會</x:v>
      </x:c>
      <x:c r="AC18" s="82" t="str">
        <x:v>采用</x:v>
      </x:c>
      <x:c r="AD18" s="82" t="str">
        <x:v>初审</x:v>
      </x:c>
      <x:c r="AE18" s="87" t="n">
        <x:v>46255</x:v>
      </x:c>
    </x:row>
    <x:row r="19" ht="42" customHeight="1">
      <x:c r="A19" s="72" t="str">
        <x:f>IF(OR(C19="",D19=""),"",B19&amp;"-"&amp;UPPER(C19)&amp;"-"&amp;TEXT(D19,"0000")&amp;"-"&amp;E19)</x:f>
        <x:v>M02-DZ-0013-V1.0</x:v>
      </x:c>
      <x:c r="B19" s="74" t="str">
        <x:v>M02</x:v>
      </x:c>
      <x:c r="C19" s="74" t="str">
        <x:v>DZ</x:v>
      </x:c>
      <x:c r="D19" s="79" t="n">
        <x:v>13</x:v>
      </x:c>
      <x:c r="E19" s="74" t="str">
        <x:v>V1.0</x:v>
      </x:c>
      <x:c r="F19" s="82" t="str">
        <x:v>正式规则</x:v>
      </x:c>
      <x:c r="G19" s="82" t="str">
        <x:v>地支</x:v>
      </x:c>
      <x:c r="H19" s="68" t="str">
        <x:v>寅</x:v>
      </x:c>
      <x:c r="I19" s="82" t="str">
        <x:v>阳</x:v>
      </x:c>
      <x:c r="J19" s="82" t="str">
        <x:v>木</x:v>
      </x:c>
      <x:c r="K19" s="68" t="str">
        <x:v>甲</x:v>
      </x:c>
      <x:c r="L19" s="82" t="str">
        <x:v>本气</x:v>
      </x:c>
      <x:c r="M19" s="68" t="str">
        <x:v>丙</x:v>
      </x:c>
      <x:c r="N19" s="82" t="str">
        <x:v>中气</x:v>
      </x:c>
      <x:c r="O19" s="68" t="str">
        <x:v>戊</x:v>
      </x:c>
      <x:c r="P19" s="82" t="str">
        <x:v>余气</x:v>
      </x:c>
      <x:c r="Q19" s="68" t="str">
        <x:v>孟春；寅月木主气</x:v>
      </x:c>
      <x:c r="R19" s="68" t="str">
        <x:v>地支寅属阳木；标准藏干为甲本气、丙中气、戊余气。地支五行标签与支内各藏干是两个层次。</x:v>
      </x:c>
      <x:c r="S19" s="68" t="str">
        <x:v>地支十神应把各藏干分别相对日主映射；不得仅用地支表面五行直接代替全部十神。</x:v>
      </x:c>
      <x:c r="T19" s="68" t="str">
        <x:v>四柱地支已准确识别</x:v>
      </x:c>
      <x:c r="U19" s="68" t="str">
        <x:v>采用统一十二地支阴阳五行与藏干层级表</x:v>
      </x:c>
      <x:c r="V19" s="68" t="str">
        <x:v>刑冲合会害破只在M06以后修正藏干的有效性；基础藏干字典不因关系名称自动删除。异说须在M21登记。</x:v>
      </x:c>
      <x:c r="W19" s="84" t="str">
        <x:v>地支藏干映射</x:v>
      </x:c>
      <x:c r="X19" s="84" t="str">
        <x:v>地支寅：阳木，藏甲本气、丙中气、戊余气。</x:v>
      </x:c>
      <x:c r="Y19" s="82" t="str">
        <x:v>确定</x:v>
      </x:c>
      <x:c r="Z19" s="82" t="str">
        <x:v>跨流派共识</x:v>
      </x:c>
      <x:c r="AA19" s="68" t="str">
        <x:v>传统十二地支、人元藏干通行表；《三命通会》《渊海子平》相关论述</x:v>
      </x:c>
      <x:c r="AB19" s="68" t="str">
        <x:v>https://zh.wikisource.org/wiki/三命通會</x:v>
      </x:c>
      <x:c r="AC19" s="82" t="str">
        <x:v>采用</x:v>
      </x:c>
      <x:c r="AD19" s="82" t="str">
        <x:v>初审</x:v>
      </x:c>
      <x:c r="AE19" s="87" t="n">
        <x:v>46255</x:v>
      </x:c>
    </x:row>
    <x:row r="20" ht="42" customHeight="1">
      <x:c r="A20" s="72" t="str">
        <x:f>IF(OR(C20="",D20=""),"",B20&amp;"-"&amp;UPPER(C20)&amp;"-"&amp;TEXT(D20,"0000")&amp;"-"&amp;E20)</x:f>
        <x:v>M02-DZ-0014-V1.0</x:v>
      </x:c>
      <x:c r="B20" s="74" t="str">
        <x:v>M02</x:v>
      </x:c>
      <x:c r="C20" s="74" t="str">
        <x:v>DZ</x:v>
      </x:c>
      <x:c r="D20" s="79" t="n">
        <x:v>14</x:v>
      </x:c>
      <x:c r="E20" s="74" t="str">
        <x:v>V1.0</x:v>
      </x:c>
      <x:c r="F20" s="82" t="str">
        <x:v>正式规则</x:v>
      </x:c>
      <x:c r="G20" s="82" t="str">
        <x:v>地支</x:v>
      </x:c>
      <x:c r="H20" s="68" t="str">
        <x:v>卯</x:v>
      </x:c>
      <x:c r="I20" s="82" t="str">
        <x:v>阴</x:v>
      </x:c>
      <x:c r="J20" s="82" t="str">
        <x:v>木</x:v>
      </x:c>
      <x:c r="K20" s="68" t="str">
        <x:v>乙</x:v>
      </x:c>
      <x:c r="L20" s="82" t="str">
        <x:v>本气</x:v>
      </x:c>
      <x:c r="M20" s="68"/>
      <x:c r="N20" s="82"/>
      <x:c r="O20" s="68"/>
      <x:c r="P20" s="82"/>
      <x:c r="Q20" s="68" t="str">
        <x:v>仲春；卯月木主气</x:v>
      </x:c>
      <x:c r="R20" s="68" t="str">
        <x:v>地支卯属阴木；标准藏干为乙本气。地支五行标签与支内各藏干是两个层次。</x:v>
      </x:c>
      <x:c r="S20" s="68" t="str">
        <x:v>地支十神应把各藏干分别相对日主映射；不得仅用地支表面五行直接代替全部十神。</x:v>
      </x:c>
      <x:c r="T20" s="68" t="str">
        <x:v>四柱地支已准确识别</x:v>
      </x:c>
      <x:c r="U20" s="68" t="str">
        <x:v>采用统一十二地支阴阳五行与藏干层级表</x:v>
      </x:c>
      <x:c r="V20" s="68" t="str">
        <x:v>刑冲合会害破只在M06以后修正藏干的有效性；基础藏干字典不因关系名称自动删除。异说须在M21登记。</x:v>
      </x:c>
      <x:c r="W20" s="84" t="str">
        <x:v>地支藏干映射</x:v>
      </x:c>
      <x:c r="X20" s="84" t="str">
        <x:v>地支卯：阴木，藏乙本气。</x:v>
      </x:c>
      <x:c r="Y20" s="82" t="str">
        <x:v>确定</x:v>
      </x:c>
      <x:c r="Z20" s="82" t="str">
        <x:v>跨流派共识</x:v>
      </x:c>
      <x:c r="AA20" s="68" t="str">
        <x:v>传统十二地支、人元藏干通行表；《三命通会》《渊海子平》相关论述</x:v>
      </x:c>
      <x:c r="AB20" s="68" t="str">
        <x:v>https://zh.wikisource.org/wiki/三命通會</x:v>
      </x:c>
      <x:c r="AC20" s="82" t="str">
        <x:v>采用</x:v>
      </x:c>
      <x:c r="AD20" s="82" t="str">
        <x:v>初审</x:v>
      </x:c>
      <x:c r="AE20" s="87" t="n">
        <x:v>46255</x:v>
      </x:c>
    </x:row>
    <x:row r="21" ht="42" customHeight="1">
      <x:c r="A21" s="72" t="str">
        <x:f>IF(OR(C21="",D21=""),"",B21&amp;"-"&amp;UPPER(C21)&amp;"-"&amp;TEXT(D21,"0000")&amp;"-"&amp;E21)</x:f>
        <x:v>M02-DZ-0015-V1.0</x:v>
      </x:c>
      <x:c r="B21" s="74" t="str">
        <x:v>M02</x:v>
      </x:c>
      <x:c r="C21" s="74" t="str">
        <x:v>DZ</x:v>
      </x:c>
      <x:c r="D21" s="79" t="n">
        <x:v>15</x:v>
      </x:c>
      <x:c r="E21" s="74" t="str">
        <x:v>V1.0</x:v>
      </x:c>
      <x:c r="F21" s="82" t="str">
        <x:v>正式规则</x:v>
      </x:c>
      <x:c r="G21" s="82" t="str">
        <x:v>地支</x:v>
      </x:c>
      <x:c r="H21" s="68" t="str">
        <x:v>辰</x:v>
      </x:c>
      <x:c r="I21" s="82" t="str">
        <x:v>阳</x:v>
      </x:c>
      <x:c r="J21" s="82" t="str">
        <x:v>土</x:v>
      </x:c>
      <x:c r="K21" s="68" t="str">
        <x:v>戊</x:v>
      </x:c>
      <x:c r="L21" s="82" t="str">
        <x:v>本气</x:v>
      </x:c>
      <x:c r="M21" s="68" t="str">
        <x:v>乙</x:v>
      </x:c>
      <x:c r="N21" s="82" t="str">
        <x:v>中气</x:v>
      </x:c>
      <x:c r="O21" s="68" t="str">
        <x:v>癸</x:v>
      </x:c>
      <x:c r="P21" s="82" t="str">
        <x:v>余气</x:v>
      </x:c>
      <x:c r="Q21" s="68" t="str">
        <x:v>季春；湿土，兼藏木水</x:v>
      </x:c>
      <x:c r="R21" s="68" t="str">
        <x:v>地支辰属阳土；标准藏干为戊本气、乙中气、癸余气。地支五行标签与支内各藏干是两个层次。</x:v>
      </x:c>
      <x:c r="S21" s="68" t="str">
        <x:v>地支十神应把各藏干分别相对日主映射；不得仅用地支表面五行直接代替全部十神。</x:v>
      </x:c>
      <x:c r="T21" s="68" t="str">
        <x:v>四柱地支已准确识别</x:v>
      </x:c>
      <x:c r="U21" s="68" t="str">
        <x:v>采用统一十二地支阴阳五行与藏干层级表</x:v>
      </x:c>
      <x:c r="V21" s="68" t="str">
        <x:v>刑冲合会害破只在M06以后修正藏干的有效性；基础藏干字典不因关系名称自动删除。异说须在M21登记。</x:v>
      </x:c>
      <x:c r="W21" s="84" t="str">
        <x:v>地支藏干映射</x:v>
      </x:c>
      <x:c r="X21" s="84" t="str">
        <x:v>地支辰：阳土，藏戊本气、乙中气、癸余气。</x:v>
      </x:c>
      <x:c r="Y21" s="82" t="str">
        <x:v>确定</x:v>
      </x:c>
      <x:c r="Z21" s="82" t="str">
        <x:v>跨流派共识</x:v>
      </x:c>
      <x:c r="AA21" s="68" t="str">
        <x:v>传统十二地支、人元藏干通行表；《三命通会》《渊海子平》相关论述</x:v>
      </x:c>
      <x:c r="AB21" s="68" t="str">
        <x:v>https://zh.wikisource.org/wiki/三命通會</x:v>
      </x:c>
      <x:c r="AC21" s="82" t="str">
        <x:v>采用</x:v>
      </x:c>
      <x:c r="AD21" s="82" t="str">
        <x:v>初审</x:v>
      </x:c>
      <x:c r="AE21" s="87" t="n">
        <x:v>46255</x:v>
      </x:c>
    </x:row>
    <x:row r="22" ht="42" customHeight="1">
      <x:c r="A22" s="72" t="str">
        <x:f>IF(OR(C22="",D22=""),"",B22&amp;"-"&amp;UPPER(C22)&amp;"-"&amp;TEXT(D22,"0000")&amp;"-"&amp;E22)</x:f>
        <x:v>M02-DZ-0016-V1.0</x:v>
      </x:c>
      <x:c r="B22" s="74" t="str">
        <x:v>M02</x:v>
      </x:c>
      <x:c r="C22" s="74" t="str">
        <x:v>DZ</x:v>
      </x:c>
      <x:c r="D22" s="79" t="n">
        <x:v>16</x:v>
      </x:c>
      <x:c r="E22" s="74" t="str">
        <x:v>V1.0</x:v>
      </x:c>
      <x:c r="F22" s="82" t="str">
        <x:v>正式规则</x:v>
      </x:c>
      <x:c r="G22" s="82" t="str">
        <x:v>地支</x:v>
      </x:c>
      <x:c r="H22" s="68" t="str">
        <x:v>巳</x:v>
      </x:c>
      <x:c r="I22" s="82" t="str">
        <x:v>阴</x:v>
      </x:c>
      <x:c r="J22" s="82" t="str">
        <x:v>火</x:v>
      </x:c>
      <x:c r="K22" s="68" t="str">
        <x:v>丙</x:v>
      </x:c>
      <x:c r="L22" s="82" t="str">
        <x:v>本气</x:v>
      </x:c>
      <x:c r="M22" s="68" t="str">
        <x:v>戊</x:v>
      </x:c>
      <x:c r="N22" s="82" t="str">
        <x:v>中气</x:v>
      </x:c>
      <x:c r="O22" s="68" t="str">
        <x:v>庚</x:v>
      </x:c>
      <x:c r="P22" s="82" t="str">
        <x:v>余气</x:v>
      </x:c>
      <x:c r="Q22" s="68" t="str">
        <x:v>孟夏；巳月火主气</x:v>
      </x:c>
      <x:c r="R22" s="68" t="str">
        <x:v>地支巳属阴火；标准藏干为丙本气、戊中气、庚余气。地支五行标签与支内各藏干是两个层次。</x:v>
      </x:c>
      <x:c r="S22" s="68" t="str">
        <x:v>地支十神应把各藏干分别相对日主映射；不得仅用地支表面五行直接代替全部十神。</x:v>
      </x:c>
      <x:c r="T22" s="68" t="str">
        <x:v>四柱地支已准确识别</x:v>
      </x:c>
      <x:c r="U22" s="68" t="str">
        <x:v>采用统一十二地支阴阳五行与藏干层级表</x:v>
      </x:c>
      <x:c r="V22" s="68" t="str">
        <x:v>刑冲合会害破只在M06以后修正藏干的有效性；基础藏干字典不因关系名称自动删除。异说须在M21登记。</x:v>
      </x:c>
      <x:c r="W22" s="84" t="str">
        <x:v>地支藏干映射</x:v>
      </x:c>
      <x:c r="X22" s="84" t="str">
        <x:v>地支巳：阴火，藏丙本气、戊中气、庚余气。</x:v>
      </x:c>
      <x:c r="Y22" s="82" t="str">
        <x:v>确定</x:v>
      </x:c>
      <x:c r="Z22" s="82" t="str">
        <x:v>跨流派共识</x:v>
      </x:c>
      <x:c r="AA22" s="68" t="str">
        <x:v>传统十二地支、人元藏干通行表；《三命通会》《渊海子平》相关论述</x:v>
      </x:c>
      <x:c r="AB22" s="68" t="str">
        <x:v>https://zh.wikisource.org/wiki/三命通會</x:v>
      </x:c>
      <x:c r="AC22" s="82" t="str">
        <x:v>采用</x:v>
      </x:c>
      <x:c r="AD22" s="82" t="str">
        <x:v>初审</x:v>
      </x:c>
      <x:c r="AE22" s="87" t="n">
        <x:v>46255</x:v>
      </x:c>
    </x:row>
    <x:row r="23" ht="42" customHeight="1">
      <x:c r="A23" s="72" t="str">
        <x:f>IF(OR(C23="",D23=""),"",B23&amp;"-"&amp;UPPER(C23)&amp;"-"&amp;TEXT(D23,"0000")&amp;"-"&amp;E23)</x:f>
        <x:v>M02-DZ-0017-V1.0</x:v>
      </x:c>
      <x:c r="B23" s="74" t="str">
        <x:v>M02</x:v>
      </x:c>
      <x:c r="C23" s="74" t="str">
        <x:v>DZ</x:v>
      </x:c>
      <x:c r="D23" s="79" t="n">
        <x:v>17</x:v>
      </x:c>
      <x:c r="E23" s="74" t="str">
        <x:v>V1.0</x:v>
      </x:c>
      <x:c r="F23" s="82" t="str">
        <x:v>正式规则</x:v>
      </x:c>
      <x:c r="G23" s="82" t="str">
        <x:v>地支</x:v>
      </x:c>
      <x:c r="H23" s="68" t="str">
        <x:v>午</x:v>
      </x:c>
      <x:c r="I23" s="82" t="str">
        <x:v>阳</x:v>
      </x:c>
      <x:c r="J23" s="82" t="str">
        <x:v>火</x:v>
      </x:c>
      <x:c r="K23" s="68" t="str">
        <x:v>丁</x:v>
      </x:c>
      <x:c r="L23" s="82" t="str">
        <x:v>本气</x:v>
      </x:c>
      <x:c r="M23" s="68" t="str">
        <x:v>己</x:v>
      </x:c>
      <x:c r="N23" s="82" t="str">
        <x:v>中气</x:v>
      </x:c>
      <x:c r="O23" s="68"/>
      <x:c r="P23" s="82"/>
      <x:c r="Q23" s="68" t="str">
        <x:v>仲夏；午月火主气</x:v>
      </x:c>
      <x:c r="R23" s="68" t="str">
        <x:v>地支午属阳火；标准藏干为丁本气、己中气。地支五行标签与支内各藏干是两个层次。</x:v>
      </x:c>
      <x:c r="S23" s="68" t="str">
        <x:v>地支十神应把各藏干分别相对日主映射；不得仅用地支表面五行直接代替全部十神。</x:v>
      </x:c>
      <x:c r="T23" s="68" t="str">
        <x:v>四柱地支已准确识别</x:v>
      </x:c>
      <x:c r="U23" s="68" t="str">
        <x:v>采用统一十二地支阴阳五行与藏干层级表</x:v>
      </x:c>
      <x:c r="V23" s="68" t="str">
        <x:v>刑冲合会害破只在M06以后修正藏干的有效性；基础藏干字典不因关系名称自动删除。异说须在M21登记。</x:v>
      </x:c>
      <x:c r="W23" s="84" t="str">
        <x:v>地支藏干映射</x:v>
      </x:c>
      <x:c r="X23" s="84" t="str">
        <x:v>地支午：阳火，藏丁本气、己中气。</x:v>
      </x:c>
      <x:c r="Y23" s="82" t="str">
        <x:v>确定</x:v>
      </x:c>
      <x:c r="Z23" s="82" t="str">
        <x:v>跨流派共识</x:v>
      </x:c>
      <x:c r="AA23" s="68" t="str">
        <x:v>传统十二地支、人元藏干通行表；《三命通会》《渊海子平》相关论述</x:v>
      </x:c>
      <x:c r="AB23" s="68" t="str">
        <x:v>https://zh.wikisource.org/wiki/三命通會</x:v>
      </x:c>
      <x:c r="AC23" s="82" t="str">
        <x:v>采用</x:v>
      </x:c>
      <x:c r="AD23" s="82" t="str">
        <x:v>初审</x:v>
      </x:c>
      <x:c r="AE23" s="87" t="n">
        <x:v>46255</x:v>
      </x:c>
    </x:row>
    <x:row r="24" ht="42" customHeight="1">
      <x:c r="A24" s="72" t="str">
        <x:f>IF(OR(C24="",D24=""),"",B24&amp;"-"&amp;UPPER(C24)&amp;"-"&amp;TEXT(D24,"0000")&amp;"-"&amp;E24)</x:f>
        <x:v>M02-DZ-0018-V1.0</x:v>
      </x:c>
      <x:c r="B24" s="74" t="str">
        <x:v>M02</x:v>
      </x:c>
      <x:c r="C24" s="74" t="str">
        <x:v>DZ</x:v>
      </x:c>
      <x:c r="D24" s="79" t="n">
        <x:v>18</x:v>
      </x:c>
      <x:c r="E24" s="74" t="str">
        <x:v>V1.0</x:v>
      </x:c>
      <x:c r="F24" s="82" t="str">
        <x:v>正式规则</x:v>
      </x:c>
      <x:c r="G24" s="82" t="str">
        <x:v>地支</x:v>
      </x:c>
      <x:c r="H24" s="68" t="str">
        <x:v>未</x:v>
      </x:c>
      <x:c r="I24" s="82" t="str">
        <x:v>阴</x:v>
      </x:c>
      <x:c r="J24" s="82" t="str">
        <x:v>土</x:v>
      </x:c>
      <x:c r="K24" s="68" t="str">
        <x:v>己</x:v>
      </x:c>
      <x:c r="L24" s="82" t="str">
        <x:v>本气</x:v>
      </x:c>
      <x:c r="M24" s="68" t="str">
        <x:v>丁</x:v>
      </x:c>
      <x:c r="N24" s="82" t="str">
        <x:v>中气</x:v>
      </x:c>
      <x:c r="O24" s="68" t="str">
        <x:v>乙</x:v>
      </x:c>
      <x:c r="P24" s="82" t="str">
        <x:v>余气</x:v>
      </x:c>
      <x:c r="Q24" s="68" t="str">
        <x:v>季夏；燥土，兼藏火木</x:v>
      </x:c>
      <x:c r="R24" s="68" t="str">
        <x:v>地支未属阴土；标准藏干为己本气、丁中气、乙余气。地支五行标签与支内各藏干是两个层次。</x:v>
      </x:c>
      <x:c r="S24" s="68" t="str">
        <x:v>地支十神应把各藏干分别相对日主映射；不得仅用地支表面五行直接代替全部十神。</x:v>
      </x:c>
      <x:c r="T24" s="68" t="str">
        <x:v>四柱地支已准确识别</x:v>
      </x:c>
      <x:c r="U24" s="68" t="str">
        <x:v>采用统一十二地支阴阳五行与藏干层级表</x:v>
      </x:c>
      <x:c r="V24" s="68" t="str">
        <x:v>刑冲合会害破只在M06以后修正藏干的有效性；基础藏干字典不因关系名称自动删除。异说须在M21登记。</x:v>
      </x:c>
      <x:c r="W24" s="84" t="str">
        <x:v>地支藏干映射</x:v>
      </x:c>
      <x:c r="X24" s="84" t="str">
        <x:v>地支未：阴土，藏己本气、丁中气、乙余气。</x:v>
      </x:c>
      <x:c r="Y24" s="82" t="str">
        <x:v>确定</x:v>
      </x:c>
      <x:c r="Z24" s="82" t="str">
        <x:v>跨流派共识</x:v>
      </x:c>
      <x:c r="AA24" s="68" t="str">
        <x:v>传统十二地支、人元藏干通行表；《三命通会》《渊海子平》相关论述</x:v>
      </x:c>
      <x:c r="AB24" s="68" t="str">
        <x:v>https://zh.wikisource.org/wiki/三命通會</x:v>
      </x:c>
      <x:c r="AC24" s="82" t="str">
        <x:v>采用</x:v>
      </x:c>
      <x:c r="AD24" s="82" t="str">
        <x:v>初审</x:v>
      </x:c>
      <x:c r="AE24" s="87" t="n">
        <x:v>46255</x:v>
      </x:c>
    </x:row>
    <x:row r="25" ht="42" customHeight="1">
      <x:c r="A25" s="72" t="str">
        <x:f>IF(OR(C25="",D25=""),"",B25&amp;"-"&amp;UPPER(C25)&amp;"-"&amp;TEXT(D25,"0000")&amp;"-"&amp;E25)</x:f>
        <x:v>M02-DZ-0019-V1.0</x:v>
      </x:c>
      <x:c r="B25" s="74" t="str">
        <x:v>M02</x:v>
      </x:c>
      <x:c r="C25" s="74" t="str">
        <x:v>DZ</x:v>
      </x:c>
      <x:c r="D25" s="79" t="n">
        <x:v>19</x:v>
      </x:c>
      <x:c r="E25" s="74" t="str">
        <x:v>V1.0</x:v>
      </x:c>
      <x:c r="F25" s="82" t="str">
        <x:v>正式规则</x:v>
      </x:c>
      <x:c r="G25" s="82" t="str">
        <x:v>地支</x:v>
      </x:c>
      <x:c r="H25" s="68" t="str">
        <x:v>申</x:v>
      </x:c>
      <x:c r="I25" s="82" t="str">
        <x:v>阳</x:v>
      </x:c>
      <x:c r="J25" s="82" t="str">
        <x:v>金</x:v>
      </x:c>
      <x:c r="K25" s="68" t="str">
        <x:v>庚</x:v>
      </x:c>
      <x:c r="L25" s="82" t="str">
        <x:v>本气</x:v>
      </x:c>
      <x:c r="M25" s="68" t="str">
        <x:v>壬</x:v>
      </x:c>
      <x:c r="N25" s="82" t="str">
        <x:v>中气</x:v>
      </x:c>
      <x:c r="O25" s="68" t="str">
        <x:v>戊</x:v>
      </x:c>
      <x:c r="P25" s="82" t="str">
        <x:v>余气</x:v>
      </x:c>
      <x:c r="Q25" s="68" t="str">
        <x:v>孟秋；申月金主气</x:v>
      </x:c>
      <x:c r="R25" s="68" t="str">
        <x:v>地支申属阳金；标准藏干为庚本气、壬中气、戊余气。地支五行标签与支内各藏干是两个层次。</x:v>
      </x:c>
      <x:c r="S25" s="68" t="str">
        <x:v>地支十神应把各藏干分别相对日主映射；不得仅用地支表面五行直接代替全部十神。</x:v>
      </x:c>
      <x:c r="T25" s="68" t="str">
        <x:v>四柱地支已准确识别</x:v>
      </x:c>
      <x:c r="U25" s="68" t="str">
        <x:v>采用统一十二地支阴阳五行与藏干层级表</x:v>
      </x:c>
      <x:c r="V25" s="68" t="str">
        <x:v>刑冲合会害破只在M06以后修正藏干的有效性；基础藏干字典不因关系名称自动删除。异说须在M21登记。</x:v>
      </x:c>
      <x:c r="W25" s="84" t="str">
        <x:v>地支藏干映射</x:v>
      </x:c>
      <x:c r="X25" s="84" t="str">
        <x:v>地支申：阳金，藏庚本气、壬中气、戊余气。</x:v>
      </x:c>
      <x:c r="Y25" s="82" t="str">
        <x:v>确定</x:v>
      </x:c>
      <x:c r="Z25" s="82" t="str">
        <x:v>跨流派共识</x:v>
      </x:c>
      <x:c r="AA25" s="68" t="str">
        <x:v>传统十二地支、人元藏干通行表；《三命通会》《渊海子平》相关论述</x:v>
      </x:c>
      <x:c r="AB25" s="68" t="str">
        <x:v>https://zh.wikisource.org/wiki/三命通會</x:v>
      </x:c>
      <x:c r="AC25" s="82" t="str">
        <x:v>采用</x:v>
      </x:c>
      <x:c r="AD25" s="82" t="str">
        <x:v>初审</x:v>
      </x:c>
      <x:c r="AE25" s="87" t="n">
        <x:v>46255</x:v>
      </x:c>
    </x:row>
    <x:row r="26" ht="42" customHeight="1">
      <x:c r="A26" s="72" t="str">
        <x:f>IF(OR(C26="",D26=""),"",B26&amp;"-"&amp;UPPER(C26)&amp;"-"&amp;TEXT(D26,"0000")&amp;"-"&amp;E26)</x:f>
        <x:v>M02-DZ-0020-V1.0</x:v>
      </x:c>
      <x:c r="B26" s="74" t="str">
        <x:v>M02</x:v>
      </x:c>
      <x:c r="C26" s="74" t="str">
        <x:v>DZ</x:v>
      </x:c>
      <x:c r="D26" s="79" t="n">
        <x:v>20</x:v>
      </x:c>
      <x:c r="E26" s="74" t="str">
        <x:v>V1.0</x:v>
      </x:c>
      <x:c r="F26" s="82" t="str">
        <x:v>正式规则</x:v>
      </x:c>
      <x:c r="G26" s="82" t="str">
        <x:v>地支</x:v>
      </x:c>
      <x:c r="H26" s="68" t="str">
        <x:v>酉</x:v>
      </x:c>
      <x:c r="I26" s="82" t="str">
        <x:v>阴</x:v>
      </x:c>
      <x:c r="J26" s="82" t="str">
        <x:v>金</x:v>
      </x:c>
      <x:c r="K26" s="68" t="str">
        <x:v>辛</x:v>
      </x:c>
      <x:c r="L26" s="82" t="str">
        <x:v>本气</x:v>
      </x:c>
      <x:c r="M26" s="68"/>
      <x:c r="N26" s="82"/>
      <x:c r="O26" s="68"/>
      <x:c r="P26" s="82"/>
      <x:c r="Q26" s="68" t="str">
        <x:v>仲秋；酉月金主气</x:v>
      </x:c>
      <x:c r="R26" s="68" t="str">
        <x:v>地支酉属阴金；标准藏干为辛本气。地支五行标签与支内各藏干是两个层次。</x:v>
      </x:c>
      <x:c r="S26" s="68" t="str">
        <x:v>地支十神应把各藏干分别相对日主映射；不得仅用地支表面五行直接代替全部十神。</x:v>
      </x:c>
      <x:c r="T26" s="68" t="str">
        <x:v>四柱地支已准确识别</x:v>
      </x:c>
      <x:c r="U26" s="68" t="str">
        <x:v>采用统一十二地支阴阳五行与藏干层级表</x:v>
      </x:c>
      <x:c r="V26" s="68" t="str">
        <x:v>刑冲合会害破只在M06以后修正藏干的有效性；基础藏干字典不因关系名称自动删除。异说须在M21登记。</x:v>
      </x:c>
      <x:c r="W26" s="84" t="str">
        <x:v>地支藏干映射</x:v>
      </x:c>
      <x:c r="X26" s="84" t="str">
        <x:v>地支酉：阴金，藏辛本气。</x:v>
      </x:c>
      <x:c r="Y26" s="82" t="str">
        <x:v>确定</x:v>
      </x:c>
      <x:c r="Z26" s="82" t="str">
        <x:v>跨流派共识</x:v>
      </x:c>
      <x:c r="AA26" s="68" t="str">
        <x:v>传统十二地支、人元藏干通行表；《三命通会》《渊海子平》相关论述</x:v>
      </x:c>
      <x:c r="AB26" s="68" t="str">
        <x:v>https://zh.wikisource.org/wiki/三命通會</x:v>
      </x:c>
      <x:c r="AC26" s="82" t="str">
        <x:v>采用</x:v>
      </x:c>
      <x:c r="AD26" s="82" t="str">
        <x:v>初审</x:v>
      </x:c>
      <x:c r="AE26" s="87" t="n">
        <x:v>46255</x:v>
      </x:c>
    </x:row>
    <x:row r="27" ht="42" customHeight="1">
      <x:c r="A27" s="72" t="str">
        <x:f>IF(OR(C27="",D27=""),"",B27&amp;"-"&amp;UPPER(C27)&amp;"-"&amp;TEXT(D27,"0000")&amp;"-"&amp;E27)</x:f>
        <x:v>M02-DZ-0021-V1.0</x:v>
      </x:c>
      <x:c r="B27" s="74" t="str">
        <x:v>M02</x:v>
      </x:c>
      <x:c r="C27" s="74" t="str">
        <x:v>DZ</x:v>
      </x:c>
      <x:c r="D27" s="79" t="n">
        <x:v>21</x:v>
      </x:c>
      <x:c r="E27" s="74" t="str">
        <x:v>V1.0</x:v>
      </x:c>
      <x:c r="F27" s="82" t="str">
        <x:v>正式规则</x:v>
      </x:c>
      <x:c r="G27" s="82" t="str">
        <x:v>地支</x:v>
      </x:c>
      <x:c r="H27" s="68" t="str">
        <x:v>戌</x:v>
      </x:c>
      <x:c r="I27" s="82" t="str">
        <x:v>阳</x:v>
      </x:c>
      <x:c r="J27" s="82" t="str">
        <x:v>土</x:v>
      </x:c>
      <x:c r="K27" s="68" t="str">
        <x:v>戊</x:v>
      </x:c>
      <x:c r="L27" s="82" t="str">
        <x:v>本气</x:v>
      </x:c>
      <x:c r="M27" s="68" t="str">
        <x:v>辛</x:v>
      </x:c>
      <x:c r="N27" s="82" t="str">
        <x:v>中气</x:v>
      </x:c>
      <x:c r="O27" s="68" t="str">
        <x:v>丁</x:v>
      </x:c>
      <x:c r="P27" s="82" t="str">
        <x:v>余气</x:v>
      </x:c>
      <x:c r="Q27" s="68" t="str">
        <x:v>季秋；燥土，兼藏金火</x:v>
      </x:c>
      <x:c r="R27" s="68" t="str">
        <x:v>地支戌属阳土；标准藏干为戊本气、辛中气、丁余气。地支五行标签与支内各藏干是两个层次。</x:v>
      </x:c>
      <x:c r="S27" s="68" t="str">
        <x:v>地支十神应把各藏干分别相对日主映射；不得仅用地支表面五行直接代替全部十神。</x:v>
      </x:c>
      <x:c r="T27" s="68" t="str">
        <x:v>四柱地支已准确识别</x:v>
      </x:c>
      <x:c r="U27" s="68" t="str">
        <x:v>采用统一十二地支阴阳五行与藏干层级表</x:v>
      </x:c>
      <x:c r="V27" s="68" t="str">
        <x:v>刑冲合会害破只在M06以后修正藏干的有效性；基础藏干字典不因关系名称自动删除。异说须在M21登记。</x:v>
      </x:c>
      <x:c r="W27" s="84" t="str">
        <x:v>地支藏干映射</x:v>
      </x:c>
      <x:c r="X27" s="84" t="str">
        <x:v>地支戌：阳土，藏戊本气、辛中气、丁余气。</x:v>
      </x:c>
      <x:c r="Y27" s="82" t="str">
        <x:v>确定</x:v>
      </x:c>
      <x:c r="Z27" s="82" t="str">
        <x:v>跨流派共识</x:v>
      </x:c>
      <x:c r="AA27" s="68" t="str">
        <x:v>传统十二地支、人元藏干通行表；《三命通会》《渊海子平》相关论述</x:v>
      </x:c>
      <x:c r="AB27" s="68" t="str">
        <x:v>https://zh.wikisource.org/wiki/三命通會</x:v>
      </x:c>
      <x:c r="AC27" s="82" t="str">
        <x:v>采用</x:v>
      </x:c>
      <x:c r="AD27" s="82" t="str">
        <x:v>初审</x:v>
      </x:c>
      <x:c r="AE27" s="87" t="n">
        <x:v>46255</x:v>
      </x:c>
    </x:row>
    <x:row r="28" ht="42" customHeight="1">
      <x:c r="A28" s="72" t="str">
        <x:f>IF(OR(C28="",D28=""),"",B28&amp;"-"&amp;UPPER(C28)&amp;"-"&amp;TEXT(D28,"0000")&amp;"-"&amp;E28)</x:f>
        <x:v>M02-DZ-0022-V1.0</x:v>
      </x:c>
      <x:c r="B28" s="74" t="str">
        <x:v>M02</x:v>
      </x:c>
      <x:c r="C28" s="74" t="str">
        <x:v>DZ</x:v>
      </x:c>
      <x:c r="D28" s="79" t="n">
        <x:v>22</x:v>
      </x:c>
      <x:c r="E28" s="74" t="str">
        <x:v>V1.0</x:v>
      </x:c>
      <x:c r="F28" s="82" t="str">
        <x:v>正式规则</x:v>
      </x:c>
      <x:c r="G28" s="82" t="str">
        <x:v>地支</x:v>
      </x:c>
      <x:c r="H28" s="68" t="str">
        <x:v>亥</x:v>
      </x:c>
      <x:c r="I28" s="82" t="str">
        <x:v>阴</x:v>
      </x:c>
      <x:c r="J28" s="82" t="str">
        <x:v>水</x:v>
      </x:c>
      <x:c r="K28" s="68" t="str">
        <x:v>壬</x:v>
      </x:c>
      <x:c r="L28" s="82" t="str">
        <x:v>本气</x:v>
      </x:c>
      <x:c r="M28" s="68" t="str">
        <x:v>甲</x:v>
      </x:c>
      <x:c r="N28" s="82" t="str">
        <x:v>中气</x:v>
      </x:c>
      <x:c r="O28" s="68"/>
      <x:c r="P28" s="82"/>
      <x:c r="Q28" s="68" t="str">
        <x:v>孟冬；亥月水主气</x:v>
      </x:c>
      <x:c r="R28" s="68" t="str">
        <x:v>地支亥属阴水；标准藏干为壬本气、甲中气。地支五行标签与支内各藏干是两个层次。</x:v>
      </x:c>
      <x:c r="S28" s="68" t="str">
        <x:v>地支十神应把各藏干分别相对日主映射；不得仅用地支表面五行直接代替全部十神。</x:v>
      </x:c>
      <x:c r="T28" s="68" t="str">
        <x:v>四柱地支已准确识别</x:v>
      </x:c>
      <x:c r="U28" s="68" t="str">
        <x:v>采用统一十二地支阴阳五行与藏干层级表</x:v>
      </x:c>
      <x:c r="V28" s="68" t="str">
        <x:v>刑冲合会害破只在M06以后修正藏干的有效性；基础藏干字典不因关系名称自动删除。异说须在M21登记。</x:v>
      </x:c>
      <x:c r="W28" s="84" t="str">
        <x:v>地支藏干映射</x:v>
      </x:c>
      <x:c r="X28" s="84" t="str">
        <x:v>地支亥：阴水，藏壬本气、甲中气。</x:v>
      </x:c>
      <x:c r="Y28" s="82" t="str">
        <x:v>确定</x:v>
      </x:c>
      <x:c r="Z28" s="82" t="str">
        <x:v>跨流派共识</x:v>
      </x:c>
      <x:c r="AA28" s="68" t="str">
        <x:v>传统十二地支、人元藏干通行表；《三命通会》《渊海子平》相关论述</x:v>
      </x:c>
      <x:c r="AB28" s="68" t="str">
        <x:v>https://zh.wikisource.org/wiki/三命通會</x:v>
      </x:c>
      <x:c r="AC28" s="82" t="str">
        <x:v>采用</x:v>
      </x:c>
      <x:c r="AD28" s="82" t="str">
        <x:v>初审</x:v>
      </x:c>
      <x:c r="AE28" s="87" t="n">
        <x:v>46255</x:v>
      </x:c>
    </x:row>
    <x:row r="29" ht="42" customHeight="1">
      <x:c r="A29" s="72" t="str">
        <x:f>IF(OR(C29="",D29=""),"",B29&amp;"-"&amp;UPPER(C29)&amp;"-"&amp;TEXT(D29,"0000")&amp;"-"&amp;E29)</x:f>
        <x:v>M02-WX-0023-V1.0</x:v>
      </x:c>
      <x:c r="B29" s="74" t="str">
        <x:v>M02</x:v>
      </x:c>
      <x:c r="C29" s="74" t="str">
        <x:v>WX</x:v>
      </x:c>
      <x:c r="D29" s="79" t="n">
        <x:v>23</x:v>
      </x:c>
      <x:c r="E29" s="74" t="str">
        <x:v>V1.0</x:v>
      </x:c>
      <x:c r="F29" s="82" t="str">
        <x:v>正式规则</x:v>
      </x:c>
      <x:c r="G29" s="82" t="str">
        <x:v>五行</x:v>
      </x:c>
      <x:c r="H29" s="68" t="str">
        <x:v>木</x:v>
      </x:c>
      <x:c r="I29" s="82"/>
      <x:c r="J29" s="82" t="str">
        <x:v>木</x:v>
      </x:c>
      <x:c r="K29" s="68"/>
      <x:c r="L29" s="82"/>
      <x:c r="M29" s="68"/>
      <x:c r="N29" s="82"/>
      <x:c r="O29" s="68"/>
      <x:c r="P29" s="82"/>
      <x:c r="Q29" s="68" t="str">
        <x:v>春季、东方；生火，受水生，克土，受金克</x:v>
      </x:c>
      <x:c r="R29" s="68" t="str">
        <x:v>木为五行之一；基础生克方向为水生木、木生火、木克土、金克木。</x:v>
      </x:c>
      <x:c r="S29" s="68" t="str">
        <x:v>十神先依据日主与对象的生克方向确定比劫、食伤、财、官杀、印，再依据阴阳同异区分正偏。</x:v>
      </x:c>
      <x:c r="T29" s="68" t="str">
        <x:v>判断对象的五行属性已确定</x:v>
      </x:c>
      <x:c r="U29" s="68" t="str">
        <x:v>采用木火土金水生克循环</x:v>
      </x:c>
      <x:c r="V29" s="68" t="str">
        <x:v>生克方向是基础关系，不直接代表吉凶、旺衰或实际作用强度；实际效应转M06/M08。</x:v>
      </x:c>
      <x:c r="W29" s="84" t="str">
        <x:v>五行基础生克</x:v>
      </x:c>
      <x:c r="X29" s="84" t="str">
        <x:v>木的基础生克关系已固定；实际力量与喜忌另行判断。</x:v>
      </x:c>
      <x:c r="Y29" s="82" t="str">
        <x:v>确定</x:v>
      </x:c>
      <x:c r="Z29" s="82" t="str">
        <x:v>跨流派共识</x:v>
      </x:c>
      <x:c r="AA29" s="68" t="str">
        <x:v>五行生克通行定义；《渊海子平》相关基础论述</x:v>
      </x:c>
      <x:c r="AB29" s="68" t="str">
        <x:v>https://zh.wikisource.org/wiki/淵海子平</x:v>
      </x:c>
      <x:c r="AC29" s="82" t="str">
        <x:v>采用</x:v>
      </x:c>
      <x:c r="AD29" s="82" t="str">
        <x:v>初审</x:v>
      </x:c>
      <x:c r="AE29" s="87" t="n">
        <x:v>46255</x:v>
      </x:c>
    </x:row>
    <x:row r="30" ht="42" customHeight="1">
      <x:c r="A30" s="72" t="str">
        <x:f>IF(OR(C30="",D30=""),"",B30&amp;"-"&amp;UPPER(C30)&amp;"-"&amp;TEXT(D30,"0000")&amp;"-"&amp;E30)</x:f>
        <x:v>M02-WX-0024-V1.0</x:v>
      </x:c>
      <x:c r="B30" s="74" t="str">
        <x:v>M02</x:v>
      </x:c>
      <x:c r="C30" s="74" t="str">
        <x:v>WX</x:v>
      </x:c>
      <x:c r="D30" s="79" t="n">
        <x:v>24</x:v>
      </x:c>
      <x:c r="E30" s="74" t="str">
        <x:v>V1.0</x:v>
      </x:c>
      <x:c r="F30" s="82" t="str">
        <x:v>正式规则</x:v>
      </x:c>
      <x:c r="G30" s="82" t="str">
        <x:v>五行</x:v>
      </x:c>
      <x:c r="H30" s="68" t="str">
        <x:v>火</x:v>
      </x:c>
      <x:c r="I30" s="82"/>
      <x:c r="J30" s="82" t="str">
        <x:v>火</x:v>
      </x:c>
      <x:c r="K30" s="68"/>
      <x:c r="L30" s="82"/>
      <x:c r="M30" s="68"/>
      <x:c r="N30" s="82"/>
      <x:c r="O30" s="68"/>
      <x:c r="P30" s="82"/>
      <x:c r="Q30" s="68" t="str">
        <x:v>夏季、南方；生土，受木生，克金，受水克</x:v>
      </x:c>
      <x:c r="R30" s="68" t="str">
        <x:v>火为五行之一；基础生克方向为木生火、火生土、火克金、水克火。</x:v>
      </x:c>
      <x:c r="S30" s="68" t="str">
        <x:v>十神先依据日主与对象的生克方向确定比劫、食伤、财、官杀、印，再依据阴阳同异区分正偏。</x:v>
      </x:c>
      <x:c r="T30" s="68" t="str">
        <x:v>判断对象的五行属性已确定</x:v>
      </x:c>
      <x:c r="U30" s="68" t="str">
        <x:v>采用木火土金水生克循环</x:v>
      </x:c>
      <x:c r="V30" s="68" t="str">
        <x:v>生克方向是基础关系，不直接代表吉凶、旺衰或实际作用强度；实际效应转M06/M08。</x:v>
      </x:c>
      <x:c r="W30" s="84" t="str">
        <x:v>五行基础生克</x:v>
      </x:c>
      <x:c r="X30" s="84" t="str">
        <x:v>火的基础生克关系已固定；实际力量与喜忌另行判断。</x:v>
      </x:c>
      <x:c r="Y30" s="82" t="str">
        <x:v>确定</x:v>
      </x:c>
      <x:c r="Z30" s="82" t="str">
        <x:v>跨流派共识</x:v>
      </x:c>
      <x:c r="AA30" s="68" t="str">
        <x:v>五行生克通行定义；《渊海子平》相关基础论述</x:v>
      </x:c>
      <x:c r="AB30" s="68" t="str">
        <x:v>https://zh.wikisource.org/wiki/淵海子平</x:v>
      </x:c>
      <x:c r="AC30" s="82" t="str">
        <x:v>采用</x:v>
      </x:c>
      <x:c r="AD30" s="82" t="str">
        <x:v>初审</x:v>
      </x:c>
      <x:c r="AE30" s="87" t="n">
        <x:v>46255</x:v>
      </x:c>
    </x:row>
    <x:row r="31" ht="42" customHeight="1">
      <x:c r="A31" s="72" t="str">
        <x:f>IF(OR(C31="",D31=""),"",B31&amp;"-"&amp;UPPER(C31)&amp;"-"&amp;TEXT(D31,"0000")&amp;"-"&amp;E31)</x:f>
        <x:v>M02-WX-0025-V1.0</x:v>
      </x:c>
      <x:c r="B31" s="74" t="str">
        <x:v>M02</x:v>
      </x:c>
      <x:c r="C31" s="74" t="str">
        <x:v>WX</x:v>
      </x:c>
      <x:c r="D31" s="79" t="n">
        <x:v>25</x:v>
      </x:c>
      <x:c r="E31" s="74" t="str">
        <x:v>V1.0</x:v>
      </x:c>
      <x:c r="F31" s="82" t="str">
        <x:v>正式规则</x:v>
      </x:c>
      <x:c r="G31" s="82" t="str">
        <x:v>五行</x:v>
      </x:c>
      <x:c r="H31" s="68" t="str">
        <x:v>土</x:v>
      </x:c>
      <x:c r="I31" s="82"/>
      <x:c r="J31" s="82" t="str">
        <x:v>土</x:v>
      </x:c>
      <x:c r="K31" s="68"/>
      <x:c r="L31" s="82"/>
      <x:c r="M31" s="68"/>
      <x:c r="N31" s="82"/>
      <x:c r="O31" s="68"/>
      <x:c r="P31" s="82"/>
      <x:c r="Q31" s="68" t="str">
        <x:v>四季末月、中央；生金，受火生，克水，受木克</x:v>
      </x:c>
      <x:c r="R31" s="68" t="str">
        <x:v>土为五行之一；基础生克方向为火生土、土生金、土克水、木克土。</x:v>
      </x:c>
      <x:c r="S31" s="68" t="str">
        <x:v>十神先依据日主与对象的生克方向确定比劫、食伤、财、官杀、印，再依据阴阳同异区分正偏。</x:v>
      </x:c>
      <x:c r="T31" s="68" t="str">
        <x:v>判断对象的五行属性已确定</x:v>
      </x:c>
      <x:c r="U31" s="68" t="str">
        <x:v>采用木火土金水生克循环</x:v>
      </x:c>
      <x:c r="V31" s="68" t="str">
        <x:v>生克方向是基础关系，不直接代表吉凶、旺衰或实际作用强度；实际效应转M06/M08。</x:v>
      </x:c>
      <x:c r="W31" s="84" t="str">
        <x:v>五行基础生克</x:v>
      </x:c>
      <x:c r="X31" s="84" t="str">
        <x:v>土的基础生克关系已固定；实际力量与喜忌另行判断。</x:v>
      </x:c>
      <x:c r="Y31" s="82" t="str">
        <x:v>确定</x:v>
      </x:c>
      <x:c r="Z31" s="82" t="str">
        <x:v>跨流派共识</x:v>
      </x:c>
      <x:c r="AA31" s="68" t="str">
        <x:v>五行生克通行定义；《渊海子平》相关基础论述</x:v>
      </x:c>
      <x:c r="AB31" s="68" t="str">
        <x:v>https://zh.wikisource.org/wiki/淵海子平</x:v>
      </x:c>
      <x:c r="AC31" s="82" t="str">
        <x:v>采用</x:v>
      </x:c>
      <x:c r="AD31" s="82" t="str">
        <x:v>初审</x:v>
      </x:c>
      <x:c r="AE31" s="87" t="n">
        <x:v>46255</x:v>
      </x:c>
    </x:row>
    <x:row r="32" ht="42" customHeight="1">
      <x:c r="A32" s="72" t="str">
        <x:f>IF(OR(C32="",D32=""),"",B32&amp;"-"&amp;UPPER(C32)&amp;"-"&amp;TEXT(D32,"0000")&amp;"-"&amp;E32)</x:f>
        <x:v>M02-WX-0026-V1.0</x:v>
      </x:c>
      <x:c r="B32" s="74" t="str">
        <x:v>M02</x:v>
      </x:c>
      <x:c r="C32" s="74" t="str">
        <x:v>WX</x:v>
      </x:c>
      <x:c r="D32" s="79" t="n">
        <x:v>26</x:v>
      </x:c>
      <x:c r="E32" s="74" t="str">
        <x:v>V1.0</x:v>
      </x:c>
      <x:c r="F32" s="82" t="str">
        <x:v>正式规则</x:v>
      </x:c>
      <x:c r="G32" s="82" t="str">
        <x:v>五行</x:v>
      </x:c>
      <x:c r="H32" s="68" t="str">
        <x:v>金</x:v>
      </x:c>
      <x:c r="I32" s="82"/>
      <x:c r="J32" s="82" t="str">
        <x:v>金</x:v>
      </x:c>
      <x:c r="K32" s="68"/>
      <x:c r="L32" s="82"/>
      <x:c r="M32" s="68"/>
      <x:c r="N32" s="82"/>
      <x:c r="O32" s="68"/>
      <x:c r="P32" s="82"/>
      <x:c r="Q32" s="68" t="str">
        <x:v>秋季、西方；生水，受土生，克木，受火克</x:v>
      </x:c>
      <x:c r="R32" s="68" t="str">
        <x:v>金为五行之一；基础生克方向为土生金、金生水、金克木、火克金。</x:v>
      </x:c>
      <x:c r="S32" s="68" t="str">
        <x:v>十神先依据日主与对象的生克方向确定比劫、食伤、财、官杀、印，再依据阴阳同异区分正偏。</x:v>
      </x:c>
      <x:c r="T32" s="68" t="str">
        <x:v>判断对象的五行属性已确定</x:v>
      </x:c>
      <x:c r="U32" s="68" t="str">
        <x:v>采用木火土金水生克循环</x:v>
      </x:c>
      <x:c r="V32" s="68" t="str">
        <x:v>生克方向是基础关系，不直接代表吉凶、旺衰或实际作用强度；实际效应转M06/M08。</x:v>
      </x:c>
      <x:c r="W32" s="84" t="str">
        <x:v>五行基础生克</x:v>
      </x:c>
      <x:c r="X32" s="84" t="str">
        <x:v>金的基础生克关系已固定；实际力量与喜忌另行判断。</x:v>
      </x:c>
      <x:c r="Y32" s="82" t="str">
        <x:v>确定</x:v>
      </x:c>
      <x:c r="Z32" s="82" t="str">
        <x:v>跨流派共识</x:v>
      </x:c>
      <x:c r="AA32" s="68" t="str">
        <x:v>五行生克通行定义；《渊海子平》相关基础论述</x:v>
      </x:c>
      <x:c r="AB32" s="68" t="str">
        <x:v>https://zh.wikisource.org/wiki/淵海子平</x:v>
      </x:c>
      <x:c r="AC32" s="82" t="str">
        <x:v>采用</x:v>
      </x:c>
      <x:c r="AD32" s="82" t="str">
        <x:v>初审</x:v>
      </x:c>
      <x:c r="AE32" s="87" t="n">
        <x:v>46255</x:v>
      </x:c>
    </x:row>
    <x:row r="33" ht="42" customHeight="1">
      <x:c r="A33" s="72" t="str">
        <x:f>IF(OR(C33="",D33=""),"",B33&amp;"-"&amp;UPPER(C33)&amp;"-"&amp;TEXT(D33,"0000")&amp;"-"&amp;E33)</x:f>
        <x:v>M02-WX-0027-V1.0</x:v>
      </x:c>
      <x:c r="B33" s="74" t="str">
        <x:v>M02</x:v>
      </x:c>
      <x:c r="C33" s="74" t="str">
        <x:v>WX</x:v>
      </x:c>
      <x:c r="D33" s="79" t="n">
        <x:v>27</x:v>
      </x:c>
      <x:c r="E33" s="74" t="str">
        <x:v>V1.0</x:v>
      </x:c>
      <x:c r="F33" s="82" t="str">
        <x:v>正式规则</x:v>
      </x:c>
      <x:c r="G33" s="82" t="str">
        <x:v>五行</x:v>
      </x:c>
      <x:c r="H33" s="68" t="str">
        <x:v>水</x:v>
      </x:c>
      <x:c r="I33" s="82"/>
      <x:c r="J33" s="82" t="str">
        <x:v>水</x:v>
      </x:c>
      <x:c r="K33" s="68"/>
      <x:c r="L33" s="82"/>
      <x:c r="M33" s="68"/>
      <x:c r="N33" s="82"/>
      <x:c r="O33" s="68"/>
      <x:c r="P33" s="82"/>
      <x:c r="Q33" s="68" t="str">
        <x:v>冬季、北方；生木，受金生，克火，受土克</x:v>
      </x:c>
      <x:c r="R33" s="68" t="str">
        <x:v>水为五行之一；基础生克方向为金生水、水生木、水克火、土克水。</x:v>
      </x:c>
      <x:c r="S33" s="68" t="str">
        <x:v>十神先依据日主与对象的生克方向确定比劫、食伤、财、官杀、印，再依据阴阳同异区分正偏。</x:v>
      </x:c>
      <x:c r="T33" s="68" t="str">
        <x:v>判断对象的五行属性已确定</x:v>
      </x:c>
      <x:c r="U33" s="68" t="str">
        <x:v>采用木火土金水生克循环</x:v>
      </x:c>
      <x:c r="V33" s="68" t="str">
        <x:v>生克方向是基础关系，不直接代表吉凶、旺衰或实际作用强度；实际效应转M06/M08。</x:v>
      </x:c>
      <x:c r="W33" s="84" t="str">
        <x:v>五行基础生克</x:v>
      </x:c>
      <x:c r="X33" s="84" t="str">
        <x:v>水的基础生克关系已固定；实际力量与喜忌另行判断。</x:v>
      </x:c>
      <x:c r="Y33" s="82" t="str">
        <x:v>确定</x:v>
      </x:c>
      <x:c r="Z33" s="82" t="str">
        <x:v>跨流派共识</x:v>
      </x:c>
      <x:c r="AA33" s="68" t="str">
        <x:v>五行生克通行定义；《渊海子平》相关基础论述</x:v>
      </x:c>
      <x:c r="AB33" s="68" t="str">
        <x:v>https://zh.wikisource.org/wiki/淵海子平</x:v>
      </x:c>
      <x:c r="AC33" s="82" t="str">
        <x:v>采用</x:v>
      </x:c>
      <x:c r="AD33" s="82" t="str">
        <x:v>初审</x:v>
      </x:c>
      <x:c r="AE33" s="87" t="n">
        <x:v>46255</x:v>
      </x:c>
    </x:row>
    <x:row r="34" ht="42" customHeight="1">
      <x:c r="A34" s="72" t="str">
        <x:f>IF(OR(C34="",D34=""),"",B34&amp;"-"&amp;UPPER(C34)&amp;"-"&amp;TEXT(D34,"0000")&amp;"-"&amp;E34)</x:f>
        <x:v>M02-SS-0028-V1.0</x:v>
      </x:c>
      <x:c r="B34" s="74" t="str">
        <x:v>M02</x:v>
      </x:c>
      <x:c r="C34" s="74" t="str">
        <x:v>SS</x:v>
      </x:c>
      <x:c r="D34" s="79" t="n">
        <x:v>28</x:v>
      </x:c>
      <x:c r="E34" s="74" t="str">
        <x:v>V1.0</x:v>
      </x:c>
      <x:c r="F34" s="82" t="str">
        <x:v>正式规则</x:v>
      </x:c>
      <x:c r="G34" s="82" t="str">
        <x:v>十神</x:v>
      </x:c>
      <x:c r="H34" s="68" t="str">
        <x:v>比肩</x:v>
      </x:c>
      <x:c r="I34" s="82"/>
      <x:c r="J34" s="82"/>
      <x:c r="K34" s="68"/>
      <x:c r="L34" s="82"/>
      <x:c r="M34" s="68"/>
      <x:c r="N34" s="82"/>
      <x:c r="O34" s="68"/>
      <x:c r="P34" s="82"/>
      <x:c r="Q34" s="68" t="str">
        <x:v>生克方向：同我；阴阳关系：同阴阳</x:v>
      </x:c>
      <x:c r="R34" s="68" t="str">
        <x:v>比肩是相对于日主建立的关系标签，不是某个天干或地支的固定属性。</x:v>
      </x:c>
      <x:c r="S34" s="68" t="str">
        <x:v>日主与对象五行相同且阴阳相同时，映射为比肩。</x:v>
      </x:c>
      <x:c r="T34" s="68" t="str">
        <x:v>日主天干及对象天干或藏干均已确定阴阳五行</x:v>
      </x:c>
      <x:c r="U34" s="68" t="str">
        <x:v>同时满足生克方向“同我”与阴阳关系“同阴阳”</x:v>
      </x:c>
      <x:c r="V34" s="68" t="str">
        <x:v>地支必须先拆分为各藏干后分别映射；组合、合化或从格不改基础十神名称，但会改变其有效功能。</x:v>
      </x:c>
      <x:c r="W34" s="84" t="str">
        <x:v>十神基础映射</x:v>
      </x:c>
      <x:c r="X34" s="84" t="str">
        <x:v>日主与对象五行相同且阴阳相同，故该对象相对日主为比肩。</x:v>
      </x:c>
      <x:c r="Y34" s="82" t="str">
        <x:v>确定</x:v>
      </x:c>
      <x:c r="Z34" s="82" t="str">
        <x:v>跨流派共识</x:v>
      </x:c>
      <x:c r="AA34" s="68" t="str">
        <x:v>十神按日主生克与阴阳同异映射；《渊海子平》《三命通会》相关论述</x:v>
      </x:c>
      <x:c r="AB34" s="68" t="str">
        <x:v>https://zh.wikisource.org/wiki/淵海子平</x:v>
      </x:c>
      <x:c r="AC34" s="82" t="str">
        <x:v>采用</x:v>
      </x:c>
      <x:c r="AD34" s="82" t="str">
        <x:v>初审</x:v>
      </x:c>
      <x:c r="AE34" s="87" t="n">
        <x:v>46255</x:v>
      </x:c>
    </x:row>
    <x:row r="35" ht="42" customHeight="1">
      <x:c r="A35" s="72" t="str">
        <x:f>IF(OR(C35="",D35=""),"",B35&amp;"-"&amp;UPPER(C35)&amp;"-"&amp;TEXT(D35,"0000")&amp;"-"&amp;E35)</x:f>
        <x:v>M02-SS-0029-V1.0</x:v>
      </x:c>
      <x:c r="B35" s="74" t="str">
        <x:v>M02</x:v>
      </x:c>
      <x:c r="C35" s="74" t="str">
        <x:v>SS</x:v>
      </x:c>
      <x:c r="D35" s="79" t="n">
        <x:v>29</x:v>
      </x:c>
      <x:c r="E35" s="74" t="str">
        <x:v>V1.0</x:v>
      </x:c>
      <x:c r="F35" s="82" t="str">
        <x:v>正式规则</x:v>
      </x:c>
      <x:c r="G35" s="82" t="str">
        <x:v>十神</x:v>
      </x:c>
      <x:c r="H35" s="68" t="str">
        <x:v>劫财</x:v>
      </x:c>
      <x:c r="I35" s="82"/>
      <x:c r="J35" s="82"/>
      <x:c r="K35" s="68"/>
      <x:c r="L35" s="82"/>
      <x:c r="M35" s="68"/>
      <x:c r="N35" s="82"/>
      <x:c r="O35" s="68"/>
      <x:c r="P35" s="82"/>
      <x:c r="Q35" s="68" t="str">
        <x:v>生克方向：同我；阴阳关系：异阴阳</x:v>
      </x:c>
      <x:c r="R35" s="68" t="str">
        <x:v>劫财是相对于日主建立的关系标签，不是某个天干或地支的固定属性。</x:v>
      </x:c>
      <x:c r="S35" s="68" t="str">
        <x:v>日主与对象五行相同且阴阳相异时，映射为劫财。</x:v>
      </x:c>
      <x:c r="T35" s="68" t="str">
        <x:v>日主天干及对象天干或藏干均已确定阴阳五行</x:v>
      </x:c>
      <x:c r="U35" s="68" t="str">
        <x:v>同时满足生克方向“同我”与阴阳关系“异阴阳”</x:v>
      </x:c>
      <x:c r="V35" s="68" t="str">
        <x:v>地支必须先拆分为各藏干后分别映射；组合、合化或从格不改基础十神名称，但会改变其有效功能。</x:v>
      </x:c>
      <x:c r="W35" s="84" t="str">
        <x:v>十神基础映射</x:v>
      </x:c>
      <x:c r="X35" s="84" t="str">
        <x:v>日主与对象五行相同且阴阳相异，故该对象相对日主为劫财。</x:v>
      </x:c>
      <x:c r="Y35" s="82" t="str">
        <x:v>确定</x:v>
      </x:c>
      <x:c r="Z35" s="82" t="str">
        <x:v>跨流派共识</x:v>
      </x:c>
      <x:c r="AA35" s="68" t="str">
        <x:v>十神按日主生克与阴阳同异映射；《渊海子平》《三命通会》相关论述</x:v>
      </x:c>
      <x:c r="AB35" s="68" t="str">
        <x:v>https://zh.wikisource.org/wiki/淵海子平</x:v>
      </x:c>
      <x:c r="AC35" s="82" t="str">
        <x:v>采用</x:v>
      </x:c>
      <x:c r="AD35" s="82" t="str">
        <x:v>初审</x:v>
      </x:c>
      <x:c r="AE35" s="87" t="n">
        <x:v>46255</x:v>
      </x:c>
    </x:row>
    <x:row r="36" ht="42" customHeight="1">
      <x:c r="A36" s="72" t="str">
        <x:f>IF(OR(C36="",D36=""),"",B36&amp;"-"&amp;UPPER(C36)&amp;"-"&amp;TEXT(D36,"0000")&amp;"-"&amp;E36)</x:f>
        <x:v>M02-SS-0030-V1.0</x:v>
      </x:c>
      <x:c r="B36" s="74" t="str">
        <x:v>M02</x:v>
      </x:c>
      <x:c r="C36" s="74" t="str">
        <x:v>SS</x:v>
      </x:c>
      <x:c r="D36" s="79" t="n">
        <x:v>30</x:v>
      </x:c>
      <x:c r="E36" s="74" t="str">
        <x:v>V1.0</x:v>
      </x:c>
      <x:c r="F36" s="82" t="str">
        <x:v>正式规则</x:v>
      </x:c>
      <x:c r="G36" s="82" t="str">
        <x:v>十神</x:v>
      </x:c>
      <x:c r="H36" s="68" t="str">
        <x:v>食神</x:v>
      </x:c>
      <x:c r="I36" s="82"/>
      <x:c r="J36" s="82"/>
      <x:c r="K36" s="68"/>
      <x:c r="L36" s="82"/>
      <x:c r="M36" s="68"/>
      <x:c r="N36" s="82"/>
      <x:c r="O36" s="68"/>
      <x:c r="P36" s="82"/>
      <x:c r="Q36" s="68" t="str">
        <x:v>生克方向：我生；阴阳关系：同阴阳</x:v>
      </x:c>
      <x:c r="R36" s="68" t="str">
        <x:v>食神是相对于日主建立的关系标签，不是某个天干或地支的固定属性。</x:v>
      </x:c>
      <x:c r="S36" s="68" t="str">
        <x:v>对象五行为日主所生，且与日主阴阳相同时，映射为食神。</x:v>
      </x:c>
      <x:c r="T36" s="68" t="str">
        <x:v>日主天干及对象天干或藏干均已确定阴阳五行</x:v>
      </x:c>
      <x:c r="U36" s="68" t="str">
        <x:v>同时满足生克方向“我生”与阴阳关系“同阴阳”</x:v>
      </x:c>
      <x:c r="V36" s="68" t="str">
        <x:v>地支必须先拆分为各藏干后分别映射；组合、合化或从格不改基础十神名称，但会改变其有效功能。</x:v>
      </x:c>
      <x:c r="W36" s="84" t="str">
        <x:v>十神基础映射</x:v>
      </x:c>
      <x:c r="X36" s="84" t="str">
        <x:v>对象五行为日主所生，且与日主阴阳相同，故该对象相对日主为食神。</x:v>
      </x:c>
      <x:c r="Y36" s="82" t="str">
        <x:v>确定</x:v>
      </x:c>
      <x:c r="Z36" s="82" t="str">
        <x:v>跨流派共识</x:v>
      </x:c>
      <x:c r="AA36" s="68" t="str">
        <x:v>十神按日主生克与阴阳同异映射；《渊海子平》《三命通会》相关论述</x:v>
      </x:c>
      <x:c r="AB36" s="68" t="str">
        <x:v>https://zh.wikisource.org/wiki/淵海子平</x:v>
      </x:c>
      <x:c r="AC36" s="82" t="str">
        <x:v>采用</x:v>
      </x:c>
      <x:c r="AD36" s="82" t="str">
        <x:v>初审</x:v>
      </x:c>
      <x:c r="AE36" s="87" t="n">
        <x:v>46255</x:v>
      </x:c>
    </x:row>
    <x:row r="37" ht="42" customHeight="1">
      <x:c r="A37" s="72" t="str">
        <x:f>IF(OR(C37="",D37=""),"",B37&amp;"-"&amp;UPPER(C37)&amp;"-"&amp;TEXT(D37,"0000")&amp;"-"&amp;E37)</x:f>
        <x:v>M02-SS-0031-V1.0</x:v>
      </x:c>
      <x:c r="B37" s="74" t="str">
        <x:v>M02</x:v>
      </x:c>
      <x:c r="C37" s="74" t="str">
        <x:v>SS</x:v>
      </x:c>
      <x:c r="D37" s="79" t="n">
        <x:v>31</x:v>
      </x:c>
      <x:c r="E37" s="74" t="str">
        <x:v>V1.0</x:v>
      </x:c>
      <x:c r="F37" s="82" t="str">
        <x:v>正式规则</x:v>
      </x:c>
      <x:c r="G37" s="82" t="str">
        <x:v>十神</x:v>
      </x:c>
      <x:c r="H37" s="68" t="str">
        <x:v>伤官</x:v>
      </x:c>
      <x:c r="I37" s="82"/>
      <x:c r="J37" s="82"/>
      <x:c r="K37" s="68"/>
      <x:c r="L37" s="82"/>
      <x:c r="M37" s="68"/>
      <x:c r="N37" s="82"/>
      <x:c r="O37" s="68"/>
      <x:c r="P37" s="82"/>
      <x:c r="Q37" s="68" t="str">
        <x:v>生克方向：我生；阴阳关系：异阴阳</x:v>
      </x:c>
      <x:c r="R37" s="68" t="str">
        <x:v>伤官是相对于日主建立的关系标签，不是某个天干或地支的固定属性。</x:v>
      </x:c>
      <x:c r="S37" s="68" t="str">
        <x:v>对象五行为日主所生，且与日主阴阳相异时，映射为伤官。</x:v>
      </x:c>
      <x:c r="T37" s="68" t="str">
        <x:v>日主天干及对象天干或藏干均已确定阴阳五行</x:v>
      </x:c>
      <x:c r="U37" s="68" t="str">
        <x:v>同时满足生克方向“我生”与阴阳关系“异阴阳”</x:v>
      </x:c>
      <x:c r="V37" s="68" t="str">
        <x:v>地支必须先拆分为各藏干后分别映射；组合、合化或从格不改基础十神名称，但会改变其有效功能。</x:v>
      </x:c>
      <x:c r="W37" s="84" t="str">
        <x:v>十神基础映射</x:v>
      </x:c>
      <x:c r="X37" s="84" t="str">
        <x:v>对象五行为日主所生，且与日主阴阳相异，故该对象相对日主为伤官。</x:v>
      </x:c>
      <x:c r="Y37" s="82" t="str">
        <x:v>确定</x:v>
      </x:c>
      <x:c r="Z37" s="82" t="str">
        <x:v>跨流派共识</x:v>
      </x:c>
      <x:c r="AA37" s="68" t="str">
        <x:v>十神按日主生克与阴阳同异映射；《渊海子平》《三命通会》相关论述</x:v>
      </x:c>
      <x:c r="AB37" s="68" t="str">
        <x:v>https://zh.wikisource.org/wiki/淵海子平</x:v>
      </x:c>
      <x:c r="AC37" s="82" t="str">
        <x:v>采用</x:v>
      </x:c>
      <x:c r="AD37" s="82" t="str">
        <x:v>初审</x:v>
      </x:c>
      <x:c r="AE37" s="87" t="n">
        <x:v>46255</x:v>
      </x:c>
    </x:row>
    <x:row r="38" ht="42" customHeight="1">
      <x:c r="A38" s="72" t="str">
        <x:f>IF(OR(C38="",D38=""),"",B38&amp;"-"&amp;UPPER(C38)&amp;"-"&amp;TEXT(D38,"0000")&amp;"-"&amp;E38)</x:f>
        <x:v>M02-SS-0032-V1.0</x:v>
      </x:c>
      <x:c r="B38" s="74" t="str">
        <x:v>M02</x:v>
      </x:c>
      <x:c r="C38" s="74" t="str">
        <x:v>SS</x:v>
      </x:c>
      <x:c r="D38" s="79" t="n">
        <x:v>32</x:v>
      </x:c>
      <x:c r="E38" s="74" t="str">
        <x:v>V1.0</x:v>
      </x:c>
      <x:c r="F38" s="82" t="str">
        <x:v>正式规则</x:v>
      </x:c>
      <x:c r="G38" s="82" t="str">
        <x:v>十神</x:v>
      </x:c>
      <x:c r="H38" s="68" t="str">
        <x:v>偏财</x:v>
      </x:c>
      <x:c r="I38" s="82"/>
      <x:c r="J38" s="82"/>
      <x:c r="K38" s="68"/>
      <x:c r="L38" s="82"/>
      <x:c r="M38" s="68"/>
      <x:c r="N38" s="82"/>
      <x:c r="O38" s="68"/>
      <x:c r="P38" s="82"/>
      <x:c r="Q38" s="68" t="str">
        <x:v>生克方向：我克；阴阳关系：同阴阳</x:v>
      </x:c>
      <x:c r="R38" s="68" t="str">
        <x:v>偏财是相对于日主建立的关系标签，不是某个天干或地支的固定属性。</x:v>
      </x:c>
      <x:c r="S38" s="68" t="str">
        <x:v>对象五行为日主所克，且与日主阴阳相同时，映射为偏财。</x:v>
      </x:c>
      <x:c r="T38" s="68" t="str">
        <x:v>日主天干及对象天干或藏干均已确定阴阳五行</x:v>
      </x:c>
      <x:c r="U38" s="68" t="str">
        <x:v>同时满足生克方向“我克”与阴阳关系“同阴阳”</x:v>
      </x:c>
      <x:c r="V38" s="68" t="str">
        <x:v>地支必须先拆分为各藏干后分别映射；组合、合化或从格不改基础十神名称，但会改变其有效功能。</x:v>
      </x:c>
      <x:c r="W38" s="84" t="str">
        <x:v>十神基础映射</x:v>
      </x:c>
      <x:c r="X38" s="84" t="str">
        <x:v>对象五行为日主所克，且与日主阴阳相同，故该对象相对日主为偏财。</x:v>
      </x:c>
      <x:c r="Y38" s="82" t="str">
        <x:v>确定</x:v>
      </x:c>
      <x:c r="Z38" s="82" t="str">
        <x:v>跨流派共识</x:v>
      </x:c>
      <x:c r="AA38" s="68" t="str">
        <x:v>十神按日主生克与阴阳同异映射；《渊海子平》《三命通会》相关论述</x:v>
      </x:c>
      <x:c r="AB38" s="68" t="str">
        <x:v>https://zh.wikisource.org/wiki/淵海子平</x:v>
      </x:c>
      <x:c r="AC38" s="82" t="str">
        <x:v>采用</x:v>
      </x:c>
      <x:c r="AD38" s="82" t="str">
        <x:v>初审</x:v>
      </x:c>
      <x:c r="AE38" s="87" t="n">
        <x:v>46255</x:v>
      </x:c>
    </x:row>
    <x:row r="39" ht="42" customHeight="1">
      <x:c r="A39" s="72" t="str">
        <x:f>IF(OR(C39="",D39=""),"",B39&amp;"-"&amp;UPPER(C39)&amp;"-"&amp;TEXT(D39,"0000")&amp;"-"&amp;E39)</x:f>
        <x:v>M02-SS-0033-V1.0</x:v>
      </x:c>
      <x:c r="B39" s="74" t="str">
        <x:v>M02</x:v>
      </x:c>
      <x:c r="C39" s="74" t="str">
        <x:v>SS</x:v>
      </x:c>
      <x:c r="D39" s="79" t="n">
        <x:v>33</x:v>
      </x:c>
      <x:c r="E39" s="74" t="str">
        <x:v>V1.0</x:v>
      </x:c>
      <x:c r="F39" s="82" t="str">
        <x:v>正式规则</x:v>
      </x:c>
      <x:c r="G39" s="82" t="str">
        <x:v>十神</x:v>
      </x:c>
      <x:c r="H39" s="68" t="str">
        <x:v>正财</x:v>
      </x:c>
      <x:c r="I39" s="82"/>
      <x:c r="J39" s="82"/>
      <x:c r="K39" s="68"/>
      <x:c r="L39" s="82"/>
      <x:c r="M39" s="68"/>
      <x:c r="N39" s="82"/>
      <x:c r="O39" s="68"/>
      <x:c r="P39" s="82"/>
      <x:c r="Q39" s="68" t="str">
        <x:v>生克方向：我克；阴阳关系：异阴阳</x:v>
      </x:c>
      <x:c r="R39" s="68" t="str">
        <x:v>正财是相对于日主建立的关系标签，不是某个天干或地支的固定属性。</x:v>
      </x:c>
      <x:c r="S39" s="68" t="str">
        <x:v>对象五行为日主所克，且与日主阴阳相异时，映射为正财。</x:v>
      </x:c>
      <x:c r="T39" s="68" t="str">
        <x:v>日主天干及对象天干或藏干均已确定阴阳五行</x:v>
      </x:c>
      <x:c r="U39" s="68" t="str">
        <x:v>同时满足生克方向“我克”与阴阳关系“异阴阳”</x:v>
      </x:c>
      <x:c r="V39" s="68" t="str">
        <x:v>地支必须先拆分为各藏干后分别映射；组合、合化或从格不改基础十神名称，但会改变其有效功能。</x:v>
      </x:c>
      <x:c r="W39" s="84" t="str">
        <x:v>十神基础映射</x:v>
      </x:c>
      <x:c r="X39" s="84" t="str">
        <x:v>对象五行为日主所克，且与日主阴阳相异，故该对象相对日主为正财。</x:v>
      </x:c>
      <x:c r="Y39" s="82" t="str">
        <x:v>确定</x:v>
      </x:c>
      <x:c r="Z39" s="82" t="str">
        <x:v>跨流派共识</x:v>
      </x:c>
      <x:c r="AA39" s="68" t="str">
        <x:v>十神按日主生克与阴阳同异映射；《渊海子平》《三命通会》相关论述</x:v>
      </x:c>
      <x:c r="AB39" s="68" t="str">
        <x:v>https://zh.wikisource.org/wiki/淵海子平</x:v>
      </x:c>
      <x:c r="AC39" s="82" t="str">
        <x:v>采用</x:v>
      </x:c>
      <x:c r="AD39" s="82" t="str">
        <x:v>初审</x:v>
      </x:c>
      <x:c r="AE39" s="87" t="n">
        <x:v>46255</x:v>
      </x:c>
    </x:row>
    <x:row r="40" ht="42" customHeight="1">
      <x:c r="A40" s="72" t="str">
        <x:f>IF(OR(C40="",D40=""),"",B40&amp;"-"&amp;UPPER(C40)&amp;"-"&amp;TEXT(D40,"0000")&amp;"-"&amp;E40)</x:f>
        <x:v>M02-SS-0034-V1.0</x:v>
      </x:c>
      <x:c r="B40" s="74" t="str">
        <x:v>M02</x:v>
      </x:c>
      <x:c r="C40" s="74" t="str">
        <x:v>SS</x:v>
      </x:c>
      <x:c r="D40" s="79" t="n">
        <x:v>34</x:v>
      </x:c>
      <x:c r="E40" s="74" t="str">
        <x:v>V1.0</x:v>
      </x:c>
      <x:c r="F40" s="82" t="str">
        <x:v>正式规则</x:v>
      </x:c>
      <x:c r="G40" s="82" t="str">
        <x:v>十神</x:v>
      </x:c>
      <x:c r="H40" s="68" t="str">
        <x:v>七杀</x:v>
      </x:c>
      <x:c r="I40" s="82"/>
      <x:c r="J40" s="82"/>
      <x:c r="K40" s="68"/>
      <x:c r="L40" s="82"/>
      <x:c r="M40" s="68"/>
      <x:c r="N40" s="82"/>
      <x:c r="O40" s="68"/>
      <x:c r="P40" s="82"/>
      <x:c r="Q40" s="68" t="str">
        <x:v>生克方向：克我；阴阳关系：同阴阳</x:v>
      </x:c>
      <x:c r="R40" s="68" t="str">
        <x:v>七杀是相对于日主建立的关系标签，不是某个天干或地支的固定属性。</x:v>
      </x:c>
      <x:c r="S40" s="68" t="str">
        <x:v>对象五行克制日主，且与日主阴阳相同时，映射为七杀。</x:v>
      </x:c>
      <x:c r="T40" s="68" t="str">
        <x:v>日主天干及对象天干或藏干均已确定阴阳五行</x:v>
      </x:c>
      <x:c r="U40" s="68" t="str">
        <x:v>同时满足生克方向“克我”与阴阳关系“同阴阳”</x:v>
      </x:c>
      <x:c r="V40" s="68" t="str">
        <x:v>地支必须先拆分为各藏干后分别映射；组合、合化或从格不改基础十神名称，但会改变其有效功能。</x:v>
      </x:c>
      <x:c r="W40" s="84" t="str">
        <x:v>十神基础映射</x:v>
      </x:c>
      <x:c r="X40" s="84" t="str">
        <x:v>对象五行克制日主，且与日主阴阳相同，故该对象相对日主为七杀。</x:v>
      </x:c>
      <x:c r="Y40" s="82" t="str">
        <x:v>确定</x:v>
      </x:c>
      <x:c r="Z40" s="82" t="str">
        <x:v>跨流派共识</x:v>
      </x:c>
      <x:c r="AA40" s="68" t="str">
        <x:v>十神按日主生克与阴阳同异映射；《渊海子平》《三命通会》相关论述</x:v>
      </x:c>
      <x:c r="AB40" s="68" t="str">
        <x:v>https://zh.wikisource.org/wiki/淵海子平</x:v>
      </x:c>
      <x:c r="AC40" s="82" t="str">
        <x:v>采用</x:v>
      </x:c>
      <x:c r="AD40" s="82" t="str">
        <x:v>初审</x:v>
      </x:c>
      <x:c r="AE40" s="87" t="n">
        <x:v>46255</x:v>
      </x:c>
    </x:row>
    <x:row r="41" ht="42" customHeight="1">
      <x:c r="A41" s="72" t="str">
        <x:f>IF(OR(C41="",D41=""),"",B41&amp;"-"&amp;UPPER(C41)&amp;"-"&amp;TEXT(D41,"0000")&amp;"-"&amp;E41)</x:f>
        <x:v>M02-SS-0035-V1.0</x:v>
      </x:c>
      <x:c r="B41" s="74" t="str">
        <x:v>M02</x:v>
      </x:c>
      <x:c r="C41" s="74" t="str">
        <x:v>SS</x:v>
      </x:c>
      <x:c r="D41" s="79" t="n">
        <x:v>35</x:v>
      </x:c>
      <x:c r="E41" s="74" t="str">
        <x:v>V1.0</x:v>
      </x:c>
      <x:c r="F41" s="82" t="str">
        <x:v>正式规则</x:v>
      </x:c>
      <x:c r="G41" s="82" t="str">
        <x:v>十神</x:v>
      </x:c>
      <x:c r="H41" s="68" t="str">
        <x:v>正官</x:v>
      </x:c>
      <x:c r="I41" s="82"/>
      <x:c r="J41" s="82"/>
      <x:c r="K41" s="68"/>
      <x:c r="L41" s="82"/>
      <x:c r="M41" s="68"/>
      <x:c r="N41" s="82"/>
      <x:c r="O41" s="68"/>
      <x:c r="P41" s="82"/>
      <x:c r="Q41" s="68" t="str">
        <x:v>生克方向：克我；阴阳关系：异阴阳</x:v>
      </x:c>
      <x:c r="R41" s="68" t="str">
        <x:v>正官是相对于日主建立的关系标签，不是某个天干或地支的固定属性。</x:v>
      </x:c>
      <x:c r="S41" s="68" t="str">
        <x:v>对象五行克制日主，且与日主阴阳相异时，映射为正官。</x:v>
      </x:c>
      <x:c r="T41" s="68" t="str">
        <x:v>日主天干及对象天干或藏干均已确定阴阳五行</x:v>
      </x:c>
      <x:c r="U41" s="68" t="str">
        <x:v>同时满足生克方向“克我”与阴阳关系“异阴阳”</x:v>
      </x:c>
      <x:c r="V41" s="68" t="str">
        <x:v>地支必须先拆分为各藏干后分别映射；组合、合化或从格不改基础十神名称，但会改变其有效功能。</x:v>
      </x:c>
      <x:c r="W41" s="84" t="str">
        <x:v>十神基础映射</x:v>
      </x:c>
      <x:c r="X41" s="84" t="str">
        <x:v>对象五行克制日主，且与日主阴阳相异，故该对象相对日主为正官。</x:v>
      </x:c>
      <x:c r="Y41" s="82" t="str">
        <x:v>确定</x:v>
      </x:c>
      <x:c r="Z41" s="82" t="str">
        <x:v>跨流派共识</x:v>
      </x:c>
      <x:c r="AA41" s="68" t="str">
        <x:v>十神按日主生克与阴阳同异映射；《渊海子平》《三命通会》相关论述</x:v>
      </x:c>
      <x:c r="AB41" s="68" t="str">
        <x:v>https://zh.wikisource.org/wiki/淵海子平</x:v>
      </x:c>
      <x:c r="AC41" s="82" t="str">
        <x:v>采用</x:v>
      </x:c>
      <x:c r="AD41" s="82" t="str">
        <x:v>初审</x:v>
      </x:c>
      <x:c r="AE41" s="87" t="n">
        <x:v>46255</x:v>
      </x:c>
    </x:row>
    <x:row r="42" ht="42" customHeight="1">
      <x:c r="A42" s="72" t="str">
        <x:f>IF(OR(C42="",D42=""),"",B42&amp;"-"&amp;UPPER(C42)&amp;"-"&amp;TEXT(D42,"0000")&amp;"-"&amp;E42)</x:f>
        <x:v>M02-SS-0036-V1.0</x:v>
      </x:c>
      <x:c r="B42" s="74" t="str">
        <x:v>M02</x:v>
      </x:c>
      <x:c r="C42" s="74" t="str">
        <x:v>SS</x:v>
      </x:c>
      <x:c r="D42" s="79" t="n">
        <x:v>36</x:v>
      </x:c>
      <x:c r="E42" s="74" t="str">
        <x:v>V1.0</x:v>
      </x:c>
      <x:c r="F42" s="82" t="str">
        <x:v>正式规则</x:v>
      </x:c>
      <x:c r="G42" s="82" t="str">
        <x:v>十神</x:v>
      </x:c>
      <x:c r="H42" s="68" t="str">
        <x:v>偏印</x:v>
      </x:c>
      <x:c r="I42" s="82"/>
      <x:c r="J42" s="82"/>
      <x:c r="K42" s="68"/>
      <x:c r="L42" s="82"/>
      <x:c r="M42" s="68"/>
      <x:c r="N42" s="82"/>
      <x:c r="O42" s="68"/>
      <x:c r="P42" s="82"/>
      <x:c r="Q42" s="68" t="str">
        <x:v>生克方向：生我；阴阳关系：同阴阳</x:v>
      </x:c>
      <x:c r="R42" s="68" t="str">
        <x:v>偏印是相对于日主建立的关系标签，不是某个天干或地支的固定属性。</x:v>
      </x:c>
      <x:c r="S42" s="68" t="str">
        <x:v>对象五行生扶日主，且与日主阴阳相同时，映射为偏印。</x:v>
      </x:c>
      <x:c r="T42" s="68" t="str">
        <x:v>日主天干及对象天干或藏干均已确定阴阳五行</x:v>
      </x:c>
      <x:c r="U42" s="68" t="str">
        <x:v>同时满足生克方向“生我”与阴阳关系“同阴阳”</x:v>
      </x:c>
      <x:c r="V42" s="68" t="str">
        <x:v>地支必须先拆分为各藏干后分别映射；组合、合化或从格不改基础十神名称，但会改变其有效功能。</x:v>
      </x:c>
      <x:c r="W42" s="84" t="str">
        <x:v>十神基础映射</x:v>
      </x:c>
      <x:c r="X42" s="84" t="str">
        <x:v>对象五行生扶日主，且与日主阴阳相同，故该对象相对日主为偏印。</x:v>
      </x:c>
      <x:c r="Y42" s="82" t="str">
        <x:v>确定</x:v>
      </x:c>
      <x:c r="Z42" s="82" t="str">
        <x:v>跨流派共识</x:v>
      </x:c>
      <x:c r="AA42" s="68" t="str">
        <x:v>十神按日主生克与阴阳同异映射；《渊海子平》《三命通会》相关论述</x:v>
      </x:c>
      <x:c r="AB42" s="68" t="str">
        <x:v>https://zh.wikisource.org/wiki/淵海子平</x:v>
      </x:c>
      <x:c r="AC42" s="82" t="str">
        <x:v>采用</x:v>
      </x:c>
      <x:c r="AD42" s="82" t="str">
        <x:v>初审</x:v>
      </x:c>
      <x:c r="AE42" s="87" t="n">
        <x:v>46255</x:v>
      </x:c>
    </x:row>
    <x:row r="43" ht="42" customHeight="1">
      <x:c r="A43" s="72" t="str">
        <x:f>IF(OR(C43="",D43=""),"",B43&amp;"-"&amp;UPPER(C43)&amp;"-"&amp;TEXT(D43,"0000")&amp;"-"&amp;E43)</x:f>
        <x:v>M02-SS-0037-V1.0</x:v>
      </x:c>
      <x:c r="B43" s="74" t="str">
        <x:v>M02</x:v>
      </x:c>
      <x:c r="C43" s="74" t="str">
        <x:v>SS</x:v>
      </x:c>
      <x:c r="D43" s="79" t="n">
        <x:v>37</x:v>
      </x:c>
      <x:c r="E43" s="74" t="str">
        <x:v>V1.0</x:v>
      </x:c>
      <x:c r="F43" s="82" t="str">
        <x:v>正式规则</x:v>
      </x:c>
      <x:c r="G43" s="82" t="str">
        <x:v>十神</x:v>
      </x:c>
      <x:c r="H43" s="68" t="str">
        <x:v>正印</x:v>
      </x:c>
      <x:c r="I43" s="82"/>
      <x:c r="J43" s="82"/>
      <x:c r="K43" s="68"/>
      <x:c r="L43" s="82"/>
      <x:c r="M43" s="68"/>
      <x:c r="N43" s="82"/>
      <x:c r="O43" s="68"/>
      <x:c r="P43" s="82"/>
      <x:c r="Q43" s="68" t="str">
        <x:v>生克方向：生我；阴阳关系：异阴阳</x:v>
      </x:c>
      <x:c r="R43" s="68" t="str">
        <x:v>正印是相对于日主建立的关系标签，不是某个天干或地支的固定属性。</x:v>
      </x:c>
      <x:c r="S43" s="68" t="str">
        <x:v>对象五行生扶日主，且与日主阴阳相异时，映射为正印。</x:v>
      </x:c>
      <x:c r="T43" s="68" t="str">
        <x:v>日主天干及对象天干或藏干均已确定阴阳五行</x:v>
      </x:c>
      <x:c r="U43" s="68" t="str">
        <x:v>同时满足生克方向“生我”与阴阳关系“异阴阳”</x:v>
      </x:c>
      <x:c r="V43" s="68" t="str">
        <x:v>地支必须先拆分为各藏干后分别映射；组合、合化或从格不改基础十神名称，但会改变其有效功能。</x:v>
      </x:c>
      <x:c r="W43" s="84" t="str">
        <x:v>十神基础映射</x:v>
      </x:c>
      <x:c r="X43" s="84" t="str">
        <x:v>对象五行生扶日主，且与日主阴阳相异，故该对象相对日主为正印。</x:v>
      </x:c>
      <x:c r="Y43" s="82" t="str">
        <x:v>确定</x:v>
      </x:c>
      <x:c r="Z43" s="82" t="str">
        <x:v>跨流派共识</x:v>
      </x:c>
      <x:c r="AA43" s="68" t="str">
        <x:v>十神按日主生克与阴阳同异映射；《渊海子平》《三命通会》相关论述</x:v>
      </x:c>
      <x:c r="AB43" s="68" t="str">
        <x:v>https://zh.wikisource.org/wiki/淵海子平</x:v>
      </x:c>
      <x:c r="AC43" s="82" t="str">
        <x:v>采用</x:v>
      </x:c>
      <x:c r="AD43" s="82" t="str">
        <x:v>初审</x:v>
      </x:c>
      <x:c r="AE43" s="87" t="n">
        <x:v>46255</x:v>
      </x:c>
    </x:row>
    <x:row r="44" ht="42" customHeight="1">
      <x:c r="A44" s="72" t="str">
        <x:f>IF(OR(C44="",D44=""),"",B44&amp;"-"&amp;UPPER(C44)&amp;"-"&amp;TEXT(D44,"0000")&amp;"-"&amp;E44)</x:f>
        <x:v>M02-META-0038-V1.0</x:v>
      </x:c>
      <x:c r="B44" s="74" t="str">
        <x:v>M02</x:v>
      </x:c>
      <x:c r="C44" s="74" t="str">
        <x:v>META</x:v>
      </x:c>
      <x:c r="D44" s="79" t="n">
        <x:v>38</x:v>
      </x:c>
      <x:c r="E44" s="74" t="str">
        <x:v>V1.0</x:v>
      </x:c>
      <x:c r="F44" s="82" t="str">
        <x:v>正式规则</x:v>
      </x:c>
      <x:c r="G44" s="82" t="str">
        <x:v>输出字段</x:v>
      </x:c>
      <x:c r="H44" s="68" t="str">
        <x:v>藏干存在性与透干分离</x:v>
      </x:c>
      <x:c r="I44" s="82"/>
      <x:c r="J44" s="82"/>
      <x:c r="K44" s="68"/>
      <x:c r="L44" s="82"/>
      <x:c r="M44" s="68"/>
      <x:c r="N44" s="82"/>
      <x:c r="O44" s="68"/>
      <x:c r="P44" s="82"/>
      <x:c r="Q44" s="68" t="str">
        <x:v>基础治理规则</x:v>
      </x:c>
      <x:c r="R44" s="68" t="str">
        <x:v>地支藏干属于支内潜在之气；未透干不等于不存在，透干也不等于自动旺强。</x:v>
      </x:c>
      <x:c r="S44" s="68" t="str">
        <x:v>本规则不产生具体十神名称，只规定映射与输出边界。</x:v>
      </x:c>
      <x:c r="T44" s="68" t="str">
        <x:v>已完成地支藏干识别</x:v>
      </x:c>
      <x:c r="U44" s="68" t="str">
        <x:v>必须分别记录“存在方式”和“有效力量”</x:v>
      </x:c>
      <x:c r="V44" s="68" t="str">
        <x:v>合化严格成立时可改变后续五行归属，但必须由M06/M14裁定。</x:v>
      </x:c>
      <x:c r="W44" s="84" t="str">
        <x:v>藏干存在性边界</x:v>
      </x:c>
      <x:c r="X44" s="84" t="str">
        <x:v>地支藏干先按基础字典记为存在；是否透出、能否发挥及力量大小另行判断。</x:v>
      </x:c>
      <x:c r="Y44" s="82" t="str">
        <x:v>确定</x:v>
      </x:c>
      <x:c r="Z44" s="82" t="str">
        <x:v>现代综合</x:v>
      </x:c>
      <x:c r="AA44" s="68" t="str">
        <x:v>内部规则治理；参照传统干支、人元与十神关系框架</x:v>
      </x:c>
      <x:c r="AB44" s="68" t="str">
        <x:v>https://zh.wikisource.org/zh-hans/三命通會_(四庫全書本)/卷10</x:v>
      </x:c>
      <x:c r="AC44" s="82" t="str">
        <x:v>采用</x:v>
      </x:c>
      <x:c r="AD44" s="82" t="str">
        <x:v>初审</x:v>
      </x:c>
      <x:c r="AE44" s="87" t="n">
        <x:v>46255</x:v>
      </x:c>
    </x:row>
    <x:row r="45" ht="42" customHeight="1">
      <x:c r="A45" s="72" t="str">
        <x:f>IF(OR(C45="",D45=""),"",B45&amp;"-"&amp;UPPER(C45)&amp;"-"&amp;TEXT(D45,"0000")&amp;"-"&amp;E45)</x:f>
        <x:v>M02-META-0039-V1.0</x:v>
      </x:c>
      <x:c r="B45" s="74" t="str">
        <x:v>M02</x:v>
      </x:c>
      <x:c r="C45" s="74" t="str">
        <x:v>META</x:v>
      </x:c>
      <x:c r="D45" s="79" t="n">
        <x:v>39</x:v>
      </x:c>
      <x:c r="E45" s="74" t="str">
        <x:v>V1.0</x:v>
      </x:c>
      <x:c r="F45" s="82" t="str">
        <x:v>正式规则</x:v>
      </x:c>
      <x:c r="G45" s="82" t="str">
        <x:v>输出字段</x:v>
      </x:c>
      <x:c r="H45" s="68" t="str">
        <x:v>地支阴阳与藏干阴阳分离</x:v>
      </x:c>
      <x:c r="I45" s="82"/>
      <x:c r="J45" s="82"/>
      <x:c r="K45" s="68"/>
      <x:c r="L45" s="82"/>
      <x:c r="M45" s="68"/>
      <x:c r="N45" s="82"/>
      <x:c r="O45" s="68"/>
      <x:c r="P45" s="82"/>
      <x:c r="Q45" s="68" t="str">
        <x:v>基础治理规则</x:v>
      </x:c>
      <x:c r="R45" s="68" t="str">
        <x:v>地支自身具有阴阳与五行标签，但支内藏干可与地支阴阳不同，例如子为阳支而藏癸阴水。</x:v>
      </x:c>
      <x:c r="S45" s="68" t="str">
        <x:v>本规则不产生具体十神名称，只规定映射与输出边界。</x:v>
      </x:c>
      <x:c r="T45" s="68" t="str">
        <x:v>地支及藏干均已识别</x:v>
      </x:c>
      <x:c r="U45" s="68" t="str">
        <x:v>不得用地支阴阳替代藏干阴阳</x:v>
      </x:c>
      <x:c r="V45" s="68" t="str">
        <x:v>无；若采用特殊人元体系须在M21登记。</x:v>
      </x:c>
      <x:c r="W45" s="84" t="str">
        <x:v>支与藏干层级分离</x:v>
      </x:c>
      <x:c r="X45" s="84" t="str">
        <x:v>判断十神时使用藏干自身阴阳，不使用地支阴阳代替。</x:v>
      </x:c>
      <x:c r="Y45" s="82" t="str">
        <x:v>确定</x:v>
      </x:c>
      <x:c r="Z45" s="82" t="str">
        <x:v>现代综合</x:v>
      </x:c>
      <x:c r="AA45" s="68" t="str">
        <x:v>内部规则治理；参照传统干支、人元与十神关系框架</x:v>
      </x:c>
      <x:c r="AB45" s="68" t="str">
        <x:v>https://zh.wikisource.org/zh-hans/三命通會_(四庫全書本)/卷10</x:v>
      </x:c>
      <x:c r="AC45" s="82" t="str">
        <x:v>采用</x:v>
      </x:c>
      <x:c r="AD45" s="82" t="str">
        <x:v>初审</x:v>
      </x:c>
      <x:c r="AE45" s="87" t="n">
        <x:v>46255</x:v>
      </x:c>
    </x:row>
    <x:row r="46" ht="42" customHeight="1">
      <x:c r="A46" s="72" t="str">
        <x:f>IF(OR(C46="",D46=""),"",B46&amp;"-"&amp;UPPER(C46)&amp;"-"&amp;TEXT(D46,"0000")&amp;"-"&amp;E46)</x:f>
        <x:v>M02-META-0040-V1.0</x:v>
      </x:c>
      <x:c r="B46" s="74" t="str">
        <x:v>M02</x:v>
      </x:c>
      <x:c r="C46" s="74" t="str">
        <x:v>META</x:v>
      </x:c>
      <x:c r="D46" s="79" t="n">
        <x:v>40</x:v>
      </x:c>
      <x:c r="E46" s="74" t="str">
        <x:v>V1.0</x:v>
      </x:c>
      <x:c r="F46" s="82" t="str">
        <x:v>正式规则</x:v>
      </x:c>
      <x:c r="G46" s="82" t="str">
        <x:v>输出字段</x:v>
      </x:c>
      <x:c r="H46" s="68" t="str">
        <x:v>十神为相对关系而非固定标签</x:v>
      </x:c>
      <x:c r="I46" s="82"/>
      <x:c r="J46" s="82"/>
      <x:c r="K46" s="68"/>
      <x:c r="L46" s="82"/>
      <x:c r="M46" s="68"/>
      <x:c r="N46" s="82"/>
      <x:c r="O46" s="68"/>
      <x:c r="P46" s="82"/>
      <x:c r="Q46" s="68" t="str">
        <x:v>基础治理规则</x:v>
      </x:c>
      <x:c r="R46" s="68" t="str">
        <x:v>同一干支或藏干面对不同日主会映射为不同十神。</x:v>
      </x:c>
      <x:c r="S46" s="68" t="str">
        <x:v>本规则不产生具体十神名称，只规定映射与输出边界。</x:v>
      </x:c>
      <x:c r="T46" s="68" t="str">
        <x:v>日主已确定</x:v>
      </x:c>
      <x:c r="U46" s="68" t="str">
        <x:v>所有十神结论必须保留日主参照</x:v>
      </x:c>
      <x:c r="V46" s="68" t="str">
        <x:v>日主更换、合化后分析对象更换时必须重新映射。</x:v>
      </x:c>
      <x:c r="W46" s="84" t="str">
        <x:v>十神相对性</x:v>
      </x:c>
      <x:c r="X46" s="84" t="str">
        <x:v>十神必须写成“对象相对某日主为何十神”，不得脱离日主单独固定。</x:v>
      </x:c>
      <x:c r="Y46" s="82" t="str">
        <x:v>确定</x:v>
      </x:c>
      <x:c r="Z46" s="82" t="str">
        <x:v>现代综合</x:v>
      </x:c>
      <x:c r="AA46" s="68" t="str">
        <x:v>内部规则治理；参照传统干支、人元与十神关系框架</x:v>
      </x:c>
      <x:c r="AB46" s="68" t="str">
        <x:v>https://zh.wikisource.org/zh-hans/三命通會_(四庫全書本)/卷10</x:v>
      </x:c>
      <x:c r="AC46" s="82" t="str">
        <x:v>采用</x:v>
      </x:c>
      <x:c r="AD46" s="82" t="str">
        <x:v>初审</x:v>
      </x:c>
      <x:c r="AE46" s="87" t="n">
        <x:v>46255</x:v>
      </x:c>
    </x:row>
    <x:row r="47">
      <x:c r="A47" s="72" t="str">
        <x:f>IF(OR(C47="",D47=""),"",B47&amp;"-"&amp;UPPER(C47)&amp;"-"&amp;TEXT(D47,"0000")&amp;"-"&amp;E47)</x:f>
      </x:c>
      <x:c r="B47" s="74" t="str">
        <x:v>M02</x:v>
      </x:c>
      <x:c r="C47" s="74"/>
      <x:c r="D47" s="79"/>
      <x:c r="E47" s="74" t="str">
        <x:v>V1.0</x:v>
      </x:c>
      <x:c r="F47" s="82"/>
      <x:c r="G47" s="82"/>
      <x:c r="H47" s="68"/>
      <x:c r="I47" s="82"/>
      <x:c r="J47" s="82"/>
      <x:c r="K47" s="68"/>
      <x:c r="L47" s="82"/>
      <x:c r="M47" s="68"/>
      <x:c r="N47" s="82"/>
      <x:c r="O47" s="68"/>
      <x:c r="P47" s="82"/>
      <x:c r="Q47" s="68"/>
      <x:c r="R47" s="68"/>
      <x:c r="S47" s="68"/>
      <x:c r="T47" s="68"/>
      <x:c r="U47" s="68"/>
      <x:c r="V47" s="68"/>
      <x:c r="W47" s="84"/>
      <x:c r="X47" s="84"/>
      <x:c r="Y47" s="82"/>
      <x:c r="Z47" s="82"/>
      <x:c r="AA47" s="68"/>
      <x:c r="AB47" s="68"/>
      <x:c r="AC47" s="82"/>
      <x:c r="AD47" s="82"/>
      <x:c r="AE47" s="87"/>
    </x:row>
    <x:row r="48">
      <x:c r="A48" s="72" t="str">
        <x:f>IF(OR(C48="",D48=""),"",B48&amp;"-"&amp;UPPER(C48)&amp;"-"&amp;TEXT(D48,"0000")&amp;"-"&amp;E48)</x:f>
      </x:c>
      <x:c r="B48" s="74" t="str">
        <x:v>M02</x:v>
      </x:c>
      <x:c r="C48" s="74"/>
      <x:c r="D48" s="79"/>
      <x:c r="E48" s="74" t="str">
        <x:v>V1.0</x:v>
      </x:c>
      <x:c r="F48" s="82"/>
      <x:c r="G48" s="82"/>
      <x:c r="H48" s="68"/>
      <x:c r="I48" s="82"/>
      <x:c r="J48" s="82"/>
      <x:c r="K48" s="68"/>
      <x:c r="L48" s="82"/>
      <x:c r="M48" s="68"/>
      <x:c r="N48" s="82"/>
      <x:c r="O48" s="68"/>
      <x:c r="P48" s="82"/>
      <x:c r="Q48" s="68"/>
      <x:c r="R48" s="68"/>
      <x:c r="S48" s="68"/>
      <x:c r="T48" s="68"/>
      <x:c r="U48" s="68"/>
      <x:c r="V48" s="68"/>
      <x:c r="W48" s="84"/>
      <x:c r="X48" s="84"/>
      <x:c r="Y48" s="82"/>
      <x:c r="Z48" s="82"/>
      <x:c r="AA48" s="68"/>
      <x:c r="AB48" s="68"/>
      <x:c r="AC48" s="82"/>
      <x:c r="AD48" s="82"/>
      <x:c r="AE48" s="87"/>
    </x:row>
    <x:row r="49">
      <x:c r="A49" s="72" t="str">
        <x:f>IF(OR(C49="",D49=""),"",B49&amp;"-"&amp;UPPER(C49)&amp;"-"&amp;TEXT(D49,"0000")&amp;"-"&amp;E49)</x:f>
      </x:c>
      <x:c r="B49" s="74" t="str">
        <x:v>M02</x:v>
      </x:c>
      <x:c r="C49" s="74"/>
      <x:c r="D49" s="79"/>
      <x:c r="E49" s="74" t="str">
        <x:v>V1.0</x:v>
      </x:c>
      <x:c r="F49" s="82"/>
      <x:c r="G49" s="82"/>
      <x:c r="H49" s="68"/>
      <x:c r="I49" s="82"/>
      <x:c r="J49" s="82"/>
      <x:c r="K49" s="68"/>
      <x:c r="L49" s="82"/>
      <x:c r="M49" s="68"/>
      <x:c r="N49" s="82"/>
      <x:c r="O49" s="68"/>
      <x:c r="P49" s="82"/>
      <x:c r="Q49" s="68"/>
      <x:c r="R49" s="68"/>
      <x:c r="S49" s="68"/>
      <x:c r="T49" s="68"/>
      <x:c r="U49" s="68"/>
      <x:c r="V49" s="68"/>
      <x:c r="W49" s="84"/>
      <x:c r="X49" s="84"/>
      <x:c r="Y49" s="82"/>
      <x:c r="Z49" s="82"/>
      <x:c r="AA49" s="68"/>
      <x:c r="AB49" s="68"/>
      <x:c r="AC49" s="82"/>
      <x:c r="AD49" s="82"/>
      <x:c r="AE49" s="87"/>
    </x:row>
    <x:row r="50">
      <x:c r="A50" s="72" t="str">
        <x:f>IF(OR(C50="",D50=""),"",B50&amp;"-"&amp;UPPER(C50)&amp;"-"&amp;TEXT(D50,"0000")&amp;"-"&amp;E50)</x:f>
      </x:c>
      <x:c r="B50" s="74" t="str">
        <x:v>M02</x:v>
      </x:c>
      <x:c r="C50" s="74"/>
      <x:c r="D50" s="79"/>
      <x:c r="E50" s="74" t="str">
        <x:v>V1.0</x:v>
      </x:c>
      <x:c r="F50" s="82"/>
      <x:c r="G50" s="82"/>
      <x:c r="H50" s="68"/>
      <x:c r="I50" s="82"/>
      <x:c r="J50" s="82"/>
      <x:c r="K50" s="68"/>
      <x:c r="L50" s="82"/>
      <x:c r="M50" s="68"/>
      <x:c r="N50" s="82"/>
      <x:c r="O50" s="68"/>
      <x:c r="P50" s="82"/>
      <x:c r="Q50" s="68"/>
      <x:c r="R50" s="68"/>
      <x:c r="S50" s="68"/>
      <x:c r="T50" s="68"/>
      <x:c r="U50" s="68"/>
      <x:c r="V50" s="68"/>
      <x:c r="W50" s="84"/>
      <x:c r="X50" s="84"/>
      <x:c r="Y50" s="82"/>
      <x:c r="Z50" s="82"/>
      <x:c r="AA50" s="68"/>
      <x:c r="AB50" s="68"/>
      <x:c r="AC50" s="82"/>
      <x:c r="AD50" s="82"/>
      <x:c r="AE50" s="87"/>
    </x:row>
    <x:row r="51">
      <x:c r="A51" s="72" t="str">
        <x:f>IF(OR(C51="",D51=""),"",B51&amp;"-"&amp;UPPER(C51)&amp;"-"&amp;TEXT(D51,"0000")&amp;"-"&amp;E51)</x:f>
      </x:c>
      <x:c r="B51" s="74" t="str">
        <x:v>M02</x:v>
      </x:c>
      <x:c r="C51" s="74"/>
      <x:c r="D51" s="79"/>
      <x:c r="E51" s="74" t="str">
        <x:v>V1.0</x:v>
      </x:c>
      <x:c r="F51" s="82"/>
      <x:c r="G51" s="82"/>
      <x:c r="H51" s="68"/>
      <x:c r="I51" s="82"/>
      <x:c r="J51" s="82"/>
      <x:c r="K51" s="68"/>
      <x:c r="L51" s="82"/>
      <x:c r="M51" s="68"/>
      <x:c r="N51" s="82"/>
      <x:c r="O51" s="68"/>
      <x:c r="P51" s="82"/>
      <x:c r="Q51" s="68"/>
      <x:c r="R51" s="68"/>
      <x:c r="S51" s="68"/>
      <x:c r="T51" s="68"/>
      <x:c r="U51" s="68"/>
      <x:c r="V51" s="68"/>
      <x:c r="W51" s="84"/>
      <x:c r="X51" s="84"/>
      <x:c r="Y51" s="82"/>
      <x:c r="Z51" s="82"/>
      <x:c r="AA51" s="68"/>
      <x:c r="AB51" s="68"/>
      <x:c r="AC51" s="82"/>
      <x:c r="AD51" s="82"/>
      <x:c r="AE51" s="87"/>
    </x:row>
    <x:row r="52">
      <x:c r="A52" s="72" t="str">
        <x:f>IF(OR(C52="",D52=""),"",B52&amp;"-"&amp;UPPER(C52)&amp;"-"&amp;TEXT(D52,"0000")&amp;"-"&amp;E52)</x:f>
      </x:c>
      <x:c r="B52" s="74" t="str">
        <x:v>M02</x:v>
      </x:c>
      <x:c r="C52" s="74"/>
      <x:c r="D52" s="79"/>
      <x:c r="E52" s="74" t="str">
        <x:v>V1.0</x:v>
      </x:c>
      <x:c r="F52" s="82"/>
      <x:c r="G52" s="82"/>
      <x:c r="H52" s="68"/>
      <x:c r="I52" s="82"/>
      <x:c r="J52" s="82"/>
      <x:c r="K52" s="68"/>
      <x:c r="L52" s="82"/>
      <x:c r="M52" s="68"/>
      <x:c r="N52" s="82"/>
      <x:c r="O52" s="68"/>
      <x:c r="P52" s="82"/>
      <x:c r="Q52" s="68"/>
      <x:c r="R52" s="68"/>
      <x:c r="S52" s="68"/>
      <x:c r="T52" s="68"/>
      <x:c r="U52" s="68"/>
      <x:c r="V52" s="68"/>
      <x:c r="W52" s="84"/>
      <x:c r="X52" s="84"/>
      <x:c r="Y52" s="82"/>
      <x:c r="Z52" s="82"/>
      <x:c r="AA52" s="68"/>
      <x:c r="AB52" s="68"/>
      <x:c r="AC52" s="82"/>
      <x:c r="AD52" s="82"/>
      <x:c r="AE52" s="87"/>
    </x:row>
    <x:row r="53">
      <x:c r="A53" s="72" t="str">
        <x:f>IF(OR(C53="",D53=""),"",B53&amp;"-"&amp;UPPER(C53)&amp;"-"&amp;TEXT(D53,"0000")&amp;"-"&amp;E53)</x:f>
      </x:c>
      <x:c r="B53" s="74" t="str">
        <x:v>M02</x:v>
      </x:c>
      <x:c r="C53" s="74"/>
      <x:c r="D53" s="79"/>
      <x:c r="E53" s="74" t="str">
        <x:v>V1.0</x:v>
      </x:c>
      <x:c r="F53" s="82"/>
      <x:c r="G53" s="82"/>
      <x:c r="H53" s="68"/>
      <x:c r="I53" s="82"/>
      <x:c r="J53" s="82"/>
      <x:c r="K53" s="68"/>
      <x:c r="L53" s="82"/>
      <x:c r="M53" s="68"/>
      <x:c r="N53" s="82"/>
      <x:c r="O53" s="68"/>
      <x:c r="P53" s="82"/>
      <x:c r="Q53" s="68"/>
      <x:c r="R53" s="68"/>
      <x:c r="S53" s="68"/>
      <x:c r="T53" s="68"/>
      <x:c r="U53" s="68"/>
      <x:c r="V53" s="68"/>
      <x:c r="W53" s="84"/>
      <x:c r="X53" s="84"/>
      <x:c r="Y53" s="82"/>
      <x:c r="Z53" s="82"/>
      <x:c r="AA53" s="68"/>
      <x:c r="AB53" s="68"/>
      <x:c r="AC53" s="82"/>
      <x:c r="AD53" s="82"/>
      <x:c r="AE53" s="87"/>
    </x:row>
    <x:row r="54">
      <x:c r="A54" s="72" t="str">
        <x:f>IF(OR(C54="",D54=""),"",B54&amp;"-"&amp;UPPER(C54)&amp;"-"&amp;TEXT(D54,"0000")&amp;"-"&amp;E54)</x:f>
      </x:c>
      <x:c r="B54" s="74" t="str">
        <x:v>M02</x:v>
      </x:c>
      <x:c r="C54" s="74"/>
      <x:c r="D54" s="79"/>
      <x:c r="E54" s="74" t="str">
        <x:v>V1.0</x:v>
      </x:c>
      <x:c r="F54" s="82"/>
      <x:c r="G54" s="82"/>
      <x:c r="H54" s="68"/>
      <x:c r="I54" s="82"/>
      <x:c r="J54" s="82"/>
      <x:c r="K54" s="68"/>
      <x:c r="L54" s="82"/>
      <x:c r="M54" s="68"/>
      <x:c r="N54" s="82"/>
      <x:c r="O54" s="68"/>
      <x:c r="P54" s="82"/>
      <x:c r="Q54" s="68"/>
      <x:c r="R54" s="68"/>
      <x:c r="S54" s="68"/>
      <x:c r="T54" s="68"/>
      <x:c r="U54" s="68"/>
      <x:c r="V54" s="68"/>
      <x:c r="W54" s="84"/>
      <x:c r="X54" s="84"/>
      <x:c r="Y54" s="82"/>
      <x:c r="Z54" s="82"/>
      <x:c r="AA54" s="68"/>
      <x:c r="AB54" s="68"/>
      <x:c r="AC54" s="82"/>
      <x:c r="AD54" s="82"/>
      <x:c r="AE54" s="87"/>
    </x:row>
    <x:row r="55">
      <x:c r="A55" s="72" t="str">
        <x:f>IF(OR(C55="",D55=""),"",B55&amp;"-"&amp;UPPER(C55)&amp;"-"&amp;TEXT(D55,"0000")&amp;"-"&amp;E55)</x:f>
      </x:c>
      <x:c r="B55" s="74" t="str">
        <x:v>M02</x:v>
      </x:c>
      <x:c r="C55" s="74"/>
      <x:c r="D55" s="79"/>
      <x:c r="E55" s="74" t="str">
        <x:v>V1.0</x:v>
      </x:c>
      <x:c r="F55" s="82"/>
      <x:c r="G55" s="82"/>
      <x:c r="H55" s="68"/>
      <x:c r="I55" s="82"/>
      <x:c r="J55" s="82"/>
      <x:c r="K55" s="68"/>
      <x:c r="L55" s="82"/>
      <x:c r="M55" s="68"/>
      <x:c r="N55" s="82"/>
      <x:c r="O55" s="68"/>
      <x:c r="P55" s="82"/>
      <x:c r="Q55" s="68"/>
      <x:c r="R55" s="68"/>
      <x:c r="S55" s="68"/>
      <x:c r="T55" s="68"/>
      <x:c r="U55" s="68"/>
      <x:c r="V55" s="68"/>
      <x:c r="W55" s="84"/>
      <x:c r="X55" s="84"/>
      <x:c r="Y55" s="82"/>
      <x:c r="Z55" s="82"/>
      <x:c r="AA55" s="68"/>
      <x:c r="AB55" s="68"/>
      <x:c r="AC55" s="82"/>
      <x:c r="AD55" s="82"/>
      <x:c r="AE55" s="87"/>
    </x:row>
    <x:row r="56">
      <x:c r="A56" s="72" t="str">
        <x:f>IF(OR(C56="",D56=""),"",B56&amp;"-"&amp;UPPER(C56)&amp;"-"&amp;TEXT(D56,"0000")&amp;"-"&amp;E56)</x:f>
      </x:c>
      <x:c r="B56" s="74" t="str">
        <x:v>M02</x:v>
      </x:c>
      <x:c r="C56" s="74"/>
      <x:c r="D56" s="79"/>
      <x:c r="E56" s="74" t="str">
        <x:v>V1.0</x:v>
      </x:c>
      <x:c r="F56" s="82"/>
      <x:c r="G56" s="82"/>
      <x:c r="H56" s="68"/>
      <x:c r="I56" s="82"/>
      <x:c r="J56" s="82"/>
      <x:c r="K56" s="68"/>
      <x:c r="L56" s="82"/>
      <x:c r="M56" s="68"/>
      <x:c r="N56" s="82"/>
      <x:c r="O56" s="68"/>
      <x:c r="P56" s="82"/>
      <x:c r="Q56" s="68"/>
      <x:c r="R56" s="68"/>
      <x:c r="S56" s="68"/>
      <x:c r="T56" s="68"/>
      <x:c r="U56" s="68"/>
      <x:c r="V56" s="68"/>
      <x:c r="W56" s="84"/>
      <x:c r="X56" s="84"/>
      <x:c r="Y56" s="82"/>
      <x:c r="Z56" s="82"/>
      <x:c r="AA56" s="68"/>
      <x:c r="AB56" s="68"/>
      <x:c r="AC56" s="82"/>
      <x:c r="AD56" s="82"/>
      <x:c r="AE56" s="87"/>
    </x:row>
    <x:row r="57">
      <x:c r="A57" s="72" t="str">
        <x:f>IF(OR(C57="",D57=""),"",B57&amp;"-"&amp;UPPER(C57)&amp;"-"&amp;TEXT(D57,"0000")&amp;"-"&amp;E57)</x:f>
      </x:c>
      <x:c r="B57" s="74" t="str">
        <x:v>M02</x:v>
      </x:c>
      <x:c r="C57" s="74"/>
      <x:c r="D57" s="79"/>
      <x:c r="E57" s="74" t="str">
        <x:v>V1.0</x:v>
      </x:c>
      <x:c r="F57" s="82"/>
      <x:c r="G57" s="82"/>
      <x:c r="H57" s="68"/>
      <x:c r="I57" s="82"/>
      <x:c r="J57" s="82"/>
      <x:c r="K57" s="68"/>
      <x:c r="L57" s="82"/>
      <x:c r="M57" s="68"/>
      <x:c r="N57" s="82"/>
      <x:c r="O57" s="68"/>
      <x:c r="P57" s="82"/>
      <x:c r="Q57" s="68"/>
      <x:c r="R57" s="68"/>
      <x:c r="S57" s="68"/>
      <x:c r="T57" s="68"/>
      <x:c r="U57" s="68"/>
      <x:c r="V57" s="68"/>
      <x:c r="W57" s="84"/>
      <x:c r="X57" s="84"/>
      <x:c r="Y57" s="82"/>
      <x:c r="Z57" s="82"/>
      <x:c r="AA57" s="68"/>
      <x:c r="AB57" s="68"/>
      <x:c r="AC57" s="82"/>
      <x:c r="AD57" s="82"/>
      <x:c r="AE57" s="87"/>
    </x:row>
    <x:row r="58">
      <x:c r="A58" s="72" t="str">
        <x:f>IF(OR(C58="",D58=""),"",B58&amp;"-"&amp;UPPER(C58)&amp;"-"&amp;TEXT(D58,"0000")&amp;"-"&amp;E58)</x:f>
      </x:c>
      <x:c r="B58" s="74" t="str">
        <x:v>M02</x:v>
      </x:c>
      <x:c r="C58" s="74"/>
      <x:c r="D58" s="79"/>
      <x:c r="E58" s="74" t="str">
        <x:v>V1.0</x:v>
      </x:c>
      <x:c r="F58" s="82"/>
      <x:c r="G58" s="82"/>
      <x:c r="H58" s="68"/>
      <x:c r="I58" s="82"/>
      <x:c r="J58" s="82"/>
      <x:c r="K58" s="68"/>
      <x:c r="L58" s="82"/>
      <x:c r="M58" s="68"/>
      <x:c r="N58" s="82"/>
      <x:c r="O58" s="68"/>
      <x:c r="P58" s="82"/>
      <x:c r="Q58" s="68"/>
      <x:c r="R58" s="68"/>
      <x:c r="S58" s="68"/>
      <x:c r="T58" s="68"/>
      <x:c r="U58" s="68"/>
      <x:c r="V58" s="68"/>
      <x:c r="W58" s="84"/>
      <x:c r="X58" s="84"/>
      <x:c r="Y58" s="82"/>
      <x:c r="Z58" s="82"/>
      <x:c r="AA58" s="68"/>
      <x:c r="AB58" s="68"/>
      <x:c r="AC58" s="82"/>
      <x:c r="AD58" s="82"/>
      <x:c r="AE58" s="87"/>
    </x:row>
    <x:row r="59">
      <x:c r="A59" s="72" t="str">
        <x:f>IF(OR(C59="",D59=""),"",B59&amp;"-"&amp;UPPER(C59)&amp;"-"&amp;TEXT(D59,"0000")&amp;"-"&amp;E59)</x:f>
      </x:c>
      <x:c r="B59" s="74" t="str">
        <x:v>M02</x:v>
      </x:c>
      <x:c r="C59" s="74"/>
      <x:c r="D59" s="79"/>
      <x:c r="E59" s="74" t="str">
        <x:v>V1.0</x:v>
      </x:c>
      <x:c r="F59" s="82"/>
      <x:c r="G59" s="82"/>
      <x:c r="H59" s="68"/>
      <x:c r="I59" s="82"/>
      <x:c r="J59" s="82"/>
      <x:c r="K59" s="68"/>
      <x:c r="L59" s="82"/>
      <x:c r="M59" s="68"/>
      <x:c r="N59" s="82"/>
      <x:c r="O59" s="68"/>
      <x:c r="P59" s="82"/>
      <x:c r="Q59" s="68"/>
      <x:c r="R59" s="68"/>
      <x:c r="S59" s="68"/>
      <x:c r="T59" s="68"/>
      <x:c r="U59" s="68"/>
      <x:c r="V59" s="68"/>
      <x:c r="W59" s="84"/>
      <x:c r="X59" s="84"/>
      <x:c r="Y59" s="82"/>
      <x:c r="Z59" s="82"/>
      <x:c r="AA59" s="68"/>
      <x:c r="AB59" s="68"/>
      <x:c r="AC59" s="82"/>
      <x:c r="AD59" s="82"/>
      <x:c r="AE59" s="87"/>
    </x:row>
    <x:row r="60">
      <x:c r="A60" s="72" t="str">
        <x:f>IF(OR(C60="",D60=""),"",B60&amp;"-"&amp;UPPER(C60)&amp;"-"&amp;TEXT(D60,"0000")&amp;"-"&amp;E60)</x:f>
      </x:c>
      <x:c r="B60" s="74" t="str">
        <x:v>M02</x:v>
      </x:c>
      <x:c r="C60" s="74"/>
      <x:c r="D60" s="79"/>
      <x:c r="E60" s="74" t="str">
        <x:v>V1.0</x:v>
      </x:c>
      <x:c r="F60" s="82"/>
      <x:c r="G60" s="82"/>
      <x:c r="H60" s="68"/>
      <x:c r="I60" s="82"/>
      <x:c r="J60" s="82"/>
      <x:c r="K60" s="68"/>
      <x:c r="L60" s="82"/>
      <x:c r="M60" s="68"/>
      <x:c r="N60" s="82"/>
      <x:c r="O60" s="68"/>
      <x:c r="P60" s="82"/>
      <x:c r="Q60" s="68"/>
      <x:c r="R60" s="68"/>
      <x:c r="S60" s="68"/>
      <x:c r="T60" s="68"/>
      <x:c r="U60" s="68"/>
      <x:c r="V60" s="68"/>
      <x:c r="W60" s="84"/>
      <x:c r="X60" s="84"/>
      <x:c r="Y60" s="82"/>
      <x:c r="Z60" s="82"/>
      <x:c r="AA60" s="68"/>
      <x:c r="AB60" s="68"/>
      <x:c r="AC60" s="82"/>
      <x:c r="AD60" s="82"/>
      <x:c r="AE60" s="87"/>
    </x:row>
    <x:row r="61">
      <x:c r="A61" s="72" t="str">
        <x:f>IF(OR(C61="",D61=""),"",B61&amp;"-"&amp;UPPER(C61)&amp;"-"&amp;TEXT(D61,"0000")&amp;"-"&amp;E61)</x:f>
      </x:c>
      <x:c r="B61" s="74" t="str">
        <x:v>M02</x:v>
      </x:c>
      <x:c r="C61" s="74"/>
      <x:c r="D61" s="79"/>
      <x:c r="E61" s="74" t="str">
        <x:v>V1.0</x:v>
      </x:c>
      <x:c r="F61" s="82"/>
      <x:c r="G61" s="82"/>
      <x:c r="H61" s="68"/>
      <x:c r="I61" s="82"/>
      <x:c r="J61" s="82"/>
      <x:c r="K61" s="68"/>
      <x:c r="L61" s="82"/>
      <x:c r="M61" s="68"/>
      <x:c r="N61" s="82"/>
      <x:c r="O61" s="68"/>
      <x:c r="P61" s="82"/>
      <x:c r="Q61" s="68"/>
      <x:c r="R61" s="68"/>
      <x:c r="S61" s="68"/>
      <x:c r="T61" s="68"/>
      <x:c r="U61" s="68"/>
      <x:c r="V61" s="68"/>
      <x:c r="W61" s="84"/>
      <x:c r="X61" s="84"/>
      <x:c r="Y61" s="82"/>
      <x:c r="Z61" s="82"/>
      <x:c r="AA61" s="68"/>
      <x:c r="AB61" s="68"/>
      <x:c r="AC61" s="82"/>
      <x:c r="AD61" s="82"/>
      <x:c r="AE61" s="87"/>
    </x:row>
    <x:row r="62">
      <x:c r="A62" s="72" t="str">
        <x:f>IF(OR(C62="",D62=""),"",B62&amp;"-"&amp;UPPER(C62)&amp;"-"&amp;TEXT(D62,"0000")&amp;"-"&amp;E62)</x:f>
      </x:c>
      <x:c r="B62" s="74" t="str">
        <x:v>M02</x:v>
      </x:c>
      <x:c r="C62" s="74"/>
      <x:c r="D62" s="79"/>
      <x:c r="E62" s="74" t="str">
        <x:v>V1.0</x:v>
      </x:c>
      <x:c r="F62" s="82"/>
      <x:c r="G62" s="82"/>
      <x:c r="H62" s="68"/>
      <x:c r="I62" s="82"/>
      <x:c r="J62" s="82"/>
      <x:c r="K62" s="68"/>
      <x:c r="L62" s="82"/>
      <x:c r="M62" s="68"/>
      <x:c r="N62" s="82"/>
      <x:c r="O62" s="68"/>
      <x:c r="P62" s="82"/>
      <x:c r="Q62" s="68"/>
      <x:c r="R62" s="68"/>
      <x:c r="S62" s="68"/>
      <x:c r="T62" s="68"/>
      <x:c r="U62" s="68"/>
      <x:c r="V62" s="68"/>
      <x:c r="W62" s="84"/>
      <x:c r="X62" s="84"/>
      <x:c r="Y62" s="82"/>
      <x:c r="Z62" s="82"/>
      <x:c r="AA62" s="68"/>
      <x:c r="AB62" s="68"/>
      <x:c r="AC62" s="82"/>
      <x:c r="AD62" s="82"/>
      <x:c r="AE62" s="87"/>
    </x:row>
    <x:row r="63">
      <x:c r="A63" s="72" t="str">
        <x:f>IF(OR(C63="",D63=""),"",B63&amp;"-"&amp;UPPER(C63)&amp;"-"&amp;TEXT(D63,"0000")&amp;"-"&amp;E63)</x:f>
      </x:c>
      <x:c r="B63" s="74" t="str">
        <x:v>M02</x:v>
      </x:c>
      <x:c r="C63" s="74"/>
      <x:c r="D63" s="79"/>
      <x:c r="E63" s="74" t="str">
        <x:v>V1.0</x:v>
      </x:c>
      <x:c r="F63" s="82"/>
      <x:c r="G63" s="82"/>
      <x:c r="H63" s="68"/>
      <x:c r="I63" s="82"/>
      <x:c r="J63" s="82"/>
      <x:c r="K63" s="68"/>
      <x:c r="L63" s="82"/>
      <x:c r="M63" s="68"/>
      <x:c r="N63" s="82"/>
      <x:c r="O63" s="68"/>
      <x:c r="P63" s="82"/>
      <x:c r="Q63" s="68"/>
      <x:c r="R63" s="68"/>
      <x:c r="S63" s="68"/>
      <x:c r="T63" s="68"/>
      <x:c r="U63" s="68"/>
      <x:c r="V63" s="68"/>
      <x:c r="W63" s="84"/>
      <x:c r="X63" s="84"/>
      <x:c r="Y63" s="82"/>
      <x:c r="Z63" s="82"/>
      <x:c r="AA63" s="68"/>
      <x:c r="AB63" s="68"/>
      <x:c r="AC63" s="82"/>
      <x:c r="AD63" s="82"/>
      <x:c r="AE63" s="87"/>
    </x:row>
    <x:row r="64">
      <x:c r="A64" s="72" t="str">
        <x:f>IF(OR(C64="",D64=""),"",B64&amp;"-"&amp;UPPER(C64)&amp;"-"&amp;TEXT(D64,"0000")&amp;"-"&amp;E64)</x:f>
      </x:c>
      <x:c r="B64" s="74" t="str">
        <x:v>M02</x:v>
      </x:c>
      <x:c r="C64" s="74"/>
      <x:c r="D64" s="79"/>
      <x:c r="E64" s="74" t="str">
        <x:v>V1.0</x:v>
      </x:c>
      <x:c r="F64" s="82"/>
      <x:c r="G64" s="82"/>
      <x:c r="H64" s="68"/>
      <x:c r="I64" s="82"/>
      <x:c r="J64" s="82"/>
      <x:c r="K64" s="68"/>
      <x:c r="L64" s="82"/>
      <x:c r="M64" s="68"/>
      <x:c r="N64" s="82"/>
      <x:c r="O64" s="68"/>
      <x:c r="P64" s="82"/>
      <x:c r="Q64" s="68"/>
      <x:c r="R64" s="68"/>
      <x:c r="S64" s="68"/>
      <x:c r="T64" s="68"/>
      <x:c r="U64" s="68"/>
      <x:c r="V64" s="68"/>
      <x:c r="W64" s="84"/>
      <x:c r="X64" s="84"/>
      <x:c r="Y64" s="82"/>
      <x:c r="Z64" s="82"/>
      <x:c r="AA64" s="68"/>
      <x:c r="AB64" s="68"/>
      <x:c r="AC64" s="82"/>
      <x:c r="AD64" s="82"/>
      <x:c r="AE64" s="87"/>
    </x:row>
    <x:row r="65">
      <x:c r="A65" s="72" t="str">
        <x:f>IF(OR(C65="",D65=""),"",B65&amp;"-"&amp;UPPER(C65)&amp;"-"&amp;TEXT(D65,"0000")&amp;"-"&amp;E65)</x:f>
      </x:c>
      <x:c r="B65" s="74" t="str">
        <x:v>M02</x:v>
      </x:c>
      <x:c r="C65" s="74"/>
      <x:c r="D65" s="79"/>
      <x:c r="E65" s="74" t="str">
        <x:v>V1.0</x:v>
      </x:c>
      <x:c r="F65" s="82"/>
      <x:c r="G65" s="82"/>
      <x:c r="H65" s="68"/>
      <x:c r="I65" s="82"/>
      <x:c r="J65" s="82"/>
      <x:c r="K65" s="68"/>
      <x:c r="L65" s="82"/>
      <x:c r="M65" s="68"/>
      <x:c r="N65" s="82"/>
      <x:c r="O65" s="68"/>
      <x:c r="P65" s="82"/>
      <x:c r="Q65" s="68"/>
      <x:c r="R65" s="68"/>
      <x:c r="S65" s="68"/>
      <x:c r="T65" s="68"/>
      <x:c r="U65" s="68"/>
      <x:c r="V65" s="68"/>
      <x:c r="W65" s="84"/>
      <x:c r="X65" s="84"/>
      <x:c r="Y65" s="82"/>
      <x:c r="Z65" s="82"/>
      <x:c r="AA65" s="68"/>
      <x:c r="AB65" s="68"/>
      <x:c r="AC65" s="82"/>
      <x:c r="AD65" s="82"/>
      <x:c r="AE65" s="87"/>
    </x:row>
    <x:row r="66">
      <x:c r="A66" s="72" t="str">
        <x:f>IF(OR(C66="",D66=""),"",B66&amp;"-"&amp;UPPER(C66)&amp;"-"&amp;TEXT(D66,"0000")&amp;"-"&amp;E66)</x:f>
      </x:c>
      <x:c r="B66" s="74" t="str">
        <x:v>M02</x:v>
      </x:c>
      <x:c r="C66" s="74"/>
      <x:c r="D66" s="79"/>
      <x:c r="E66" s="74" t="str">
        <x:v>V1.0</x:v>
      </x:c>
      <x:c r="F66" s="82"/>
      <x:c r="G66" s="82"/>
      <x:c r="H66" s="68"/>
      <x:c r="I66" s="82"/>
      <x:c r="J66" s="82"/>
      <x:c r="K66" s="68"/>
      <x:c r="L66" s="82"/>
      <x:c r="M66" s="68"/>
      <x:c r="N66" s="82"/>
      <x:c r="O66" s="68"/>
      <x:c r="P66" s="82"/>
      <x:c r="Q66" s="68"/>
      <x:c r="R66" s="68"/>
      <x:c r="S66" s="68"/>
      <x:c r="T66" s="68"/>
      <x:c r="U66" s="68"/>
      <x:c r="V66" s="68"/>
      <x:c r="W66" s="84"/>
      <x:c r="X66" s="84"/>
      <x:c r="Y66" s="82"/>
      <x:c r="Z66" s="82"/>
      <x:c r="AA66" s="68"/>
      <x:c r="AB66" s="68"/>
      <x:c r="AC66" s="82"/>
      <x:c r="AD66" s="82"/>
      <x:c r="AE66" s="87"/>
    </x:row>
    <x:row r="67">
      <x:c r="A67" s="72" t="str">
        <x:f>IF(OR(C67="",D67=""),"",B67&amp;"-"&amp;UPPER(C67)&amp;"-"&amp;TEXT(D67,"0000")&amp;"-"&amp;E67)</x:f>
      </x:c>
      <x:c r="B67" s="74" t="str">
        <x:v>M02</x:v>
      </x:c>
      <x:c r="C67" s="74"/>
      <x:c r="D67" s="79"/>
      <x:c r="E67" s="74" t="str">
        <x:v>V1.0</x:v>
      </x:c>
      <x:c r="F67" s="82"/>
      <x:c r="G67" s="82"/>
      <x:c r="H67" s="68"/>
      <x:c r="I67" s="82"/>
      <x:c r="J67" s="82"/>
      <x:c r="K67" s="68"/>
      <x:c r="L67" s="82"/>
      <x:c r="M67" s="68"/>
      <x:c r="N67" s="82"/>
      <x:c r="O67" s="68"/>
      <x:c r="P67" s="82"/>
      <x:c r="Q67" s="68"/>
      <x:c r="R67" s="68"/>
      <x:c r="S67" s="68"/>
      <x:c r="T67" s="68"/>
      <x:c r="U67" s="68"/>
      <x:c r="V67" s="68"/>
      <x:c r="W67" s="84"/>
      <x:c r="X67" s="84"/>
      <x:c r="Y67" s="82"/>
      <x:c r="Z67" s="82"/>
      <x:c r="AA67" s="68"/>
      <x:c r="AB67" s="68"/>
      <x:c r="AC67" s="82"/>
      <x:c r="AD67" s="82"/>
      <x:c r="AE67" s="87"/>
    </x:row>
    <x:row r="68">
      <x:c r="A68" s="72" t="str">
        <x:f>IF(OR(C68="",D68=""),"",B68&amp;"-"&amp;UPPER(C68)&amp;"-"&amp;TEXT(D68,"0000")&amp;"-"&amp;E68)</x:f>
      </x:c>
      <x:c r="B68" s="74" t="str">
        <x:v>M02</x:v>
      </x:c>
      <x:c r="C68" s="74"/>
      <x:c r="D68" s="79"/>
      <x:c r="E68" s="74" t="str">
        <x:v>V1.0</x:v>
      </x:c>
      <x:c r="F68" s="82"/>
      <x:c r="G68" s="82"/>
      <x:c r="H68" s="68"/>
      <x:c r="I68" s="82"/>
      <x:c r="J68" s="82"/>
      <x:c r="K68" s="68"/>
      <x:c r="L68" s="82"/>
      <x:c r="M68" s="68"/>
      <x:c r="N68" s="82"/>
      <x:c r="O68" s="68"/>
      <x:c r="P68" s="82"/>
      <x:c r="Q68" s="68"/>
      <x:c r="R68" s="68"/>
      <x:c r="S68" s="68"/>
      <x:c r="T68" s="68"/>
      <x:c r="U68" s="68"/>
      <x:c r="V68" s="68"/>
      <x:c r="W68" s="84"/>
      <x:c r="X68" s="84"/>
      <x:c r="Y68" s="82"/>
      <x:c r="Z68" s="82"/>
      <x:c r="AA68" s="68"/>
      <x:c r="AB68" s="68"/>
      <x:c r="AC68" s="82"/>
      <x:c r="AD68" s="82"/>
      <x:c r="AE68" s="87"/>
    </x:row>
    <x:row r="69">
      <x:c r="A69" s="72" t="str">
        <x:f>IF(OR(C69="",D69=""),"",B69&amp;"-"&amp;UPPER(C69)&amp;"-"&amp;TEXT(D69,"0000")&amp;"-"&amp;E69)</x:f>
      </x:c>
      <x:c r="B69" s="74" t="str">
        <x:v>M02</x:v>
      </x:c>
      <x:c r="C69" s="74"/>
      <x:c r="D69" s="79"/>
      <x:c r="E69" s="74" t="str">
        <x:v>V1.0</x:v>
      </x:c>
      <x:c r="F69" s="82"/>
      <x:c r="G69" s="82"/>
      <x:c r="H69" s="68"/>
      <x:c r="I69" s="82"/>
      <x:c r="J69" s="82"/>
      <x:c r="K69" s="68"/>
      <x:c r="L69" s="82"/>
      <x:c r="M69" s="68"/>
      <x:c r="N69" s="82"/>
      <x:c r="O69" s="68"/>
      <x:c r="P69" s="82"/>
      <x:c r="Q69" s="68"/>
      <x:c r="R69" s="68"/>
      <x:c r="S69" s="68"/>
      <x:c r="T69" s="68"/>
      <x:c r="U69" s="68"/>
      <x:c r="V69" s="68"/>
      <x:c r="W69" s="84"/>
      <x:c r="X69" s="84"/>
      <x:c r="Y69" s="82"/>
      <x:c r="Z69" s="82"/>
      <x:c r="AA69" s="68"/>
      <x:c r="AB69" s="68"/>
      <x:c r="AC69" s="82"/>
      <x:c r="AD69" s="82"/>
      <x:c r="AE69" s="87"/>
    </x:row>
    <x:row r="70">
      <x:c r="A70" s="72" t="str">
        <x:f>IF(OR(C70="",D70=""),"",B70&amp;"-"&amp;UPPER(C70)&amp;"-"&amp;TEXT(D70,"0000")&amp;"-"&amp;E70)</x:f>
      </x:c>
      <x:c r="B70" s="74" t="str">
        <x:v>M02</x:v>
      </x:c>
      <x:c r="C70" s="74"/>
      <x:c r="D70" s="79"/>
      <x:c r="E70" s="74" t="str">
        <x:v>V1.0</x:v>
      </x:c>
      <x:c r="F70" s="82"/>
      <x:c r="G70" s="82"/>
      <x:c r="H70" s="68"/>
      <x:c r="I70" s="82"/>
      <x:c r="J70" s="82"/>
      <x:c r="K70" s="68"/>
      <x:c r="L70" s="82"/>
      <x:c r="M70" s="68"/>
      <x:c r="N70" s="82"/>
      <x:c r="O70" s="68"/>
      <x:c r="P70" s="82"/>
      <x:c r="Q70" s="68"/>
      <x:c r="R70" s="68"/>
      <x:c r="S70" s="68"/>
      <x:c r="T70" s="68"/>
      <x:c r="U70" s="68"/>
      <x:c r="V70" s="68"/>
      <x:c r="W70" s="84"/>
      <x:c r="X70" s="84"/>
      <x:c r="Y70" s="82"/>
      <x:c r="Z70" s="82"/>
      <x:c r="AA70" s="68"/>
      <x:c r="AB70" s="68"/>
      <x:c r="AC70" s="82"/>
      <x:c r="AD70" s="82"/>
      <x:c r="AE70" s="87"/>
    </x:row>
    <x:row r="71">
      <x:c r="A71" s="72" t="str">
        <x:f>IF(OR(C71="",D71=""),"",B71&amp;"-"&amp;UPPER(C71)&amp;"-"&amp;TEXT(D71,"0000")&amp;"-"&amp;E71)</x:f>
      </x:c>
      <x:c r="B71" s="74" t="str">
        <x:v>M02</x:v>
      </x:c>
      <x:c r="C71" s="74"/>
      <x:c r="D71" s="79"/>
      <x:c r="E71" s="74" t="str">
        <x:v>V1.0</x:v>
      </x:c>
      <x:c r="F71" s="82"/>
      <x:c r="G71" s="82"/>
      <x:c r="H71" s="68"/>
      <x:c r="I71" s="82"/>
      <x:c r="J71" s="82"/>
      <x:c r="K71" s="68"/>
      <x:c r="L71" s="82"/>
      <x:c r="M71" s="68"/>
      <x:c r="N71" s="82"/>
      <x:c r="O71" s="68"/>
      <x:c r="P71" s="82"/>
      <x:c r="Q71" s="68"/>
      <x:c r="R71" s="68"/>
      <x:c r="S71" s="68"/>
      <x:c r="T71" s="68"/>
      <x:c r="U71" s="68"/>
      <x:c r="V71" s="68"/>
      <x:c r="W71" s="84"/>
      <x:c r="X71" s="84"/>
      <x:c r="Y71" s="82"/>
      <x:c r="Z71" s="82"/>
      <x:c r="AA71" s="68"/>
      <x:c r="AB71" s="68"/>
      <x:c r="AC71" s="82"/>
      <x:c r="AD71" s="82"/>
      <x:c r="AE71" s="87"/>
    </x:row>
    <x:row r="72">
      <x:c r="A72" s="72" t="str">
        <x:f>IF(OR(C72="",D72=""),"",B72&amp;"-"&amp;UPPER(C72)&amp;"-"&amp;TEXT(D72,"0000")&amp;"-"&amp;E72)</x:f>
      </x:c>
      <x:c r="B72" s="74" t="str">
        <x:v>M02</x:v>
      </x:c>
      <x:c r="C72" s="74"/>
      <x:c r="D72" s="79"/>
      <x:c r="E72" s="74" t="str">
        <x:v>V1.0</x:v>
      </x:c>
      <x:c r="F72" s="82"/>
      <x:c r="G72" s="82"/>
      <x:c r="H72" s="68"/>
      <x:c r="I72" s="82"/>
      <x:c r="J72" s="82"/>
      <x:c r="K72" s="68"/>
      <x:c r="L72" s="82"/>
      <x:c r="M72" s="68"/>
      <x:c r="N72" s="82"/>
      <x:c r="O72" s="68"/>
      <x:c r="P72" s="82"/>
      <x:c r="Q72" s="68"/>
      <x:c r="R72" s="68"/>
      <x:c r="S72" s="68"/>
      <x:c r="T72" s="68"/>
      <x:c r="U72" s="68"/>
      <x:c r="V72" s="68"/>
      <x:c r="W72" s="84"/>
      <x:c r="X72" s="84"/>
      <x:c r="Y72" s="82"/>
      <x:c r="Z72" s="82"/>
      <x:c r="AA72" s="68"/>
      <x:c r="AB72" s="68"/>
      <x:c r="AC72" s="82"/>
      <x:c r="AD72" s="82"/>
      <x:c r="AE72" s="87"/>
    </x:row>
    <x:row r="73">
      <x:c r="A73" s="72" t="str">
        <x:f>IF(OR(C73="",D73=""),"",B73&amp;"-"&amp;UPPER(C73)&amp;"-"&amp;TEXT(D73,"0000")&amp;"-"&amp;E73)</x:f>
      </x:c>
      <x:c r="B73" s="74" t="str">
        <x:v>M02</x:v>
      </x:c>
      <x:c r="C73" s="74"/>
      <x:c r="D73" s="79"/>
      <x:c r="E73" s="74" t="str">
        <x:v>V1.0</x:v>
      </x:c>
      <x:c r="F73" s="82"/>
      <x:c r="G73" s="82"/>
      <x:c r="H73" s="68"/>
      <x:c r="I73" s="82"/>
      <x:c r="J73" s="82"/>
      <x:c r="K73" s="68"/>
      <x:c r="L73" s="82"/>
      <x:c r="M73" s="68"/>
      <x:c r="N73" s="82"/>
      <x:c r="O73" s="68"/>
      <x:c r="P73" s="82"/>
      <x:c r="Q73" s="68"/>
      <x:c r="R73" s="68"/>
      <x:c r="S73" s="68"/>
      <x:c r="T73" s="68"/>
      <x:c r="U73" s="68"/>
      <x:c r="V73" s="68"/>
      <x:c r="W73" s="84"/>
      <x:c r="X73" s="84"/>
      <x:c r="Y73" s="82"/>
      <x:c r="Z73" s="82"/>
      <x:c r="AA73" s="68"/>
      <x:c r="AB73" s="68"/>
      <x:c r="AC73" s="82"/>
      <x:c r="AD73" s="82"/>
      <x:c r="AE73" s="87"/>
    </x:row>
    <x:row r="74">
      <x:c r="A74" s="72" t="str">
        <x:f>IF(OR(C74="",D74=""),"",B74&amp;"-"&amp;UPPER(C74)&amp;"-"&amp;TEXT(D74,"0000")&amp;"-"&amp;E74)</x:f>
      </x:c>
      <x:c r="B74" s="74" t="str">
        <x:v>M02</x:v>
      </x:c>
      <x:c r="C74" s="74"/>
      <x:c r="D74" s="79"/>
      <x:c r="E74" s="74" t="str">
        <x:v>V1.0</x:v>
      </x:c>
      <x:c r="F74" s="82"/>
      <x:c r="G74" s="82"/>
      <x:c r="H74" s="68"/>
      <x:c r="I74" s="82"/>
      <x:c r="J74" s="82"/>
      <x:c r="K74" s="68"/>
      <x:c r="L74" s="82"/>
      <x:c r="M74" s="68"/>
      <x:c r="N74" s="82"/>
      <x:c r="O74" s="68"/>
      <x:c r="P74" s="82"/>
      <x:c r="Q74" s="68"/>
      <x:c r="R74" s="68"/>
      <x:c r="S74" s="68"/>
      <x:c r="T74" s="68"/>
      <x:c r="U74" s="68"/>
      <x:c r="V74" s="68"/>
      <x:c r="W74" s="84"/>
      <x:c r="X74" s="84"/>
      <x:c r="Y74" s="82"/>
      <x:c r="Z74" s="82"/>
      <x:c r="AA74" s="68"/>
      <x:c r="AB74" s="68"/>
      <x:c r="AC74" s="82"/>
      <x:c r="AD74" s="82"/>
      <x:c r="AE74" s="87"/>
    </x:row>
    <x:row r="75">
      <x:c r="A75" s="72" t="str">
        <x:f>IF(OR(C75="",D75=""),"",B75&amp;"-"&amp;UPPER(C75)&amp;"-"&amp;TEXT(D75,"0000")&amp;"-"&amp;E75)</x:f>
      </x:c>
      <x:c r="B75" s="74" t="str">
        <x:v>M02</x:v>
      </x:c>
      <x:c r="C75" s="74"/>
      <x:c r="D75" s="79"/>
      <x:c r="E75" s="74" t="str">
        <x:v>V1.0</x:v>
      </x:c>
      <x:c r="F75" s="82"/>
      <x:c r="G75" s="82"/>
      <x:c r="H75" s="68"/>
      <x:c r="I75" s="82"/>
      <x:c r="J75" s="82"/>
      <x:c r="K75" s="68"/>
      <x:c r="L75" s="82"/>
      <x:c r="M75" s="68"/>
      <x:c r="N75" s="82"/>
      <x:c r="O75" s="68"/>
      <x:c r="P75" s="82"/>
      <x:c r="Q75" s="68"/>
      <x:c r="R75" s="68"/>
      <x:c r="S75" s="68"/>
      <x:c r="T75" s="68"/>
      <x:c r="U75" s="68"/>
      <x:c r="V75" s="68"/>
      <x:c r="W75" s="84"/>
      <x:c r="X75" s="84"/>
      <x:c r="Y75" s="82"/>
      <x:c r="Z75" s="82"/>
      <x:c r="AA75" s="68"/>
      <x:c r="AB75" s="68"/>
      <x:c r="AC75" s="82"/>
      <x:c r="AD75" s="82"/>
      <x:c r="AE75" s="87"/>
    </x:row>
    <x:row r="76">
      <x:c r="A76" s="72" t="str">
        <x:f>IF(OR(C76="",D76=""),"",B76&amp;"-"&amp;UPPER(C76)&amp;"-"&amp;TEXT(D76,"0000")&amp;"-"&amp;E76)</x:f>
      </x:c>
      <x:c r="B76" s="74" t="str">
        <x:v>M02</x:v>
      </x:c>
      <x:c r="C76" s="74"/>
      <x:c r="D76" s="79"/>
      <x:c r="E76" s="74" t="str">
        <x:v>V1.0</x:v>
      </x:c>
      <x:c r="F76" s="82"/>
      <x:c r="G76" s="82"/>
      <x:c r="H76" s="68"/>
      <x:c r="I76" s="82"/>
      <x:c r="J76" s="82"/>
      <x:c r="K76" s="68"/>
      <x:c r="L76" s="82"/>
      <x:c r="M76" s="68"/>
      <x:c r="N76" s="82"/>
      <x:c r="O76" s="68"/>
      <x:c r="P76" s="82"/>
      <x:c r="Q76" s="68"/>
      <x:c r="R76" s="68"/>
      <x:c r="S76" s="68"/>
      <x:c r="T76" s="68"/>
      <x:c r="U76" s="68"/>
      <x:c r="V76" s="68"/>
      <x:c r="W76" s="84"/>
      <x:c r="X76" s="84"/>
      <x:c r="Y76" s="82"/>
      <x:c r="Z76" s="82"/>
      <x:c r="AA76" s="68"/>
      <x:c r="AB76" s="68"/>
      <x:c r="AC76" s="82"/>
      <x:c r="AD76" s="82"/>
      <x:c r="AE76" s="87"/>
    </x:row>
    <x:row r="77">
      <x:c r="A77" s="72" t="str">
        <x:f>IF(OR(C77="",D77=""),"",B77&amp;"-"&amp;UPPER(C77)&amp;"-"&amp;TEXT(D77,"0000")&amp;"-"&amp;E77)</x:f>
      </x:c>
      <x:c r="B77" s="74" t="str">
        <x:v>M02</x:v>
      </x:c>
      <x:c r="C77" s="74"/>
      <x:c r="D77" s="79"/>
      <x:c r="E77" s="74" t="str">
        <x:v>V1.0</x:v>
      </x:c>
      <x:c r="F77" s="82"/>
      <x:c r="G77" s="82"/>
      <x:c r="H77" s="68"/>
      <x:c r="I77" s="82"/>
      <x:c r="J77" s="82"/>
      <x:c r="K77" s="68"/>
      <x:c r="L77" s="82"/>
      <x:c r="M77" s="68"/>
      <x:c r="N77" s="82"/>
      <x:c r="O77" s="68"/>
      <x:c r="P77" s="82"/>
      <x:c r="Q77" s="68"/>
      <x:c r="R77" s="68"/>
      <x:c r="S77" s="68"/>
      <x:c r="T77" s="68"/>
      <x:c r="U77" s="68"/>
      <x:c r="V77" s="68"/>
      <x:c r="W77" s="84"/>
      <x:c r="X77" s="84"/>
      <x:c r="Y77" s="82"/>
      <x:c r="Z77" s="82"/>
      <x:c r="AA77" s="68"/>
      <x:c r="AB77" s="68"/>
      <x:c r="AC77" s="82"/>
      <x:c r="AD77" s="82"/>
      <x:c r="AE77" s="87"/>
    </x:row>
    <x:row r="78">
      <x:c r="A78" s="72" t="str">
        <x:f>IF(OR(C78="",D78=""),"",B78&amp;"-"&amp;UPPER(C78)&amp;"-"&amp;TEXT(D78,"0000")&amp;"-"&amp;E78)</x:f>
      </x:c>
      <x:c r="B78" s="74" t="str">
        <x:v>M02</x:v>
      </x:c>
      <x:c r="C78" s="74"/>
      <x:c r="D78" s="79"/>
      <x:c r="E78" s="74" t="str">
        <x:v>V1.0</x:v>
      </x:c>
      <x:c r="F78" s="82"/>
      <x:c r="G78" s="82"/>
      <x:c r="H78" s="68"/>
      <x:c r="I78" s="82"/>
      <x:c r="J78" s="82"/>
      <x:c r="K78" s="68"/>
      <x:c r="L78" s="82"/>
      <x:c r="M78" s="68"/>
      <x:c r="N78" s="82"/>
      <x:c r="O78" s="68"/>
      <x:c r="P78" s="82"/>
      <x:c r="Q78" s="68"/>
      <x:c r="R78" s="68"/>
      <x:c r="S78" s="68"/>
      <x:c r="T78" s="68"/>
      <x:c r="U78" s="68"/>
      <x:c r="V78" s="68"/>
      <x:c r="W78" s="84"/>
      <x:c r="X78" s="84"/>
      <x:c r="Y78" s="82"/>
      <x:c r="Z78" s="82"/>
      <x:c r="AA78" s="68"/>
      <x:c r="AB78" s="68"/>
      <x:c r="AC78" s="82"/>
      <x:c r="AD78" s="82"/>
      <x:c r="AE78" s="87"/>
    </x:row>
    <x:row r="79">
      <x:c r="A79" s="72" t="str">
        <x:f>IF(OR(C79="",D79=""),"",B79&amp;"-"&amp;UPPER(C79)&amp;"-"&amp;TEXT(D79,"0000")&amp;"-"&amp;E79)</x:f>
      </x:c>
      <x:c r="B79" s="74" t="str">
        <x:v>M02</x:v>
      </x:c>
      <x:c r="C79" s="74"/>
      <x:c r="D79" s="79"/>
      <x:c r="E79" s="74" t="str">
        <x:v>V1.0</x:v>
      </x:c>
      <x:c r="F79" s="82"/>
      <x:c r="G79" s="82"/>
      <x:c r="H79" s="68"/>
      <x:c r="I79" s="82"/>
      <x:c r="J79" s="82"/>
      <x:c r="K79" s="68"/>
      <x:c r="L79" s="82"/>
      <x:c r="M79" s="68"/>
      <x:c r="N79" s="82"/>
      <x:c r="O79" s="68"/>
      <x:c r="P79" s="82"/>
      <x:c r="Q79" s="68"/>
      <x:c r="R79" s="68"/>
      <x:c r="S79" s="68"/>
      <x:c r="T79" s="68"/>
      <x:c r="U79" s="68"/>
      <x:c r="V79" s="68"/>
      <x:c r="W79" s="84"/>
      <x:c r="X79" s="84"/>
      <x:c r="Y79" s="82"/>
      <x:c r="Z79" s="82"/>
      <x:c r="AA79" s="68"/>
      <x:c r="AB79" s="68"/>
      <x:c r="AC79" s="82"/>
      <x:c r="AD79" s="82"/>
      <x:c r="AE79" s="87"/>
    </x:row>
    <x:row r="80">
      <x:c r="A80" s="72" t="str">
        <x:f>IF(OR(C80="",D80=""),"",B80&amp;"-"&amp;UPPER(C80)&amp;"-"&amp;TEXT(D80,"0000")&amp;"-"&amp;E80)</x:f>
      </x:c>
      <x:c r="B80" s="74" t="str">
        <x:v>M02</x:v>
      </x:c>
      <x:c r="C80" s="74"/>
      <x:c r="D80" s="79"/>
      <x:c r="E80" s="74" t="str">
        <x:v>V1.0</x:v>
      </x:c>
      <x:c r="F80" s="82"/>
      <x:c r="G80" s="82"/>
      <x:c r="H80" s="68"/>
      <x:c r="I80" s="82"/>
      <x:c r="J80" s="82"/>
      <x:c r="K80" s="68"/>
      <x:c r="L80" s="82"/>
      <x:c r="M80" s="68"/>
      <x:c r="N80" s="82"/>
      <x:c r="O80" s="68"/>
      <x:c r="P80" s="82"/>
      <x:c r="Q80" s="68"/>
      <x:c r="R80" s="68"/>
      <x:c r="S80" s="68"/>
      <x:c r="T80" s="68"/>
      <x:c r="U80" s="68"/>
      <x:c r="V80" s="68"/>
      <x:c r="W80" s="84"/>
      <x:c r="X80" s="84"/>
      <x:c r="Y80" s="82"/>
      <x:c r="Z80" s="82"/>
      <x:c r="AA80" s="68"/>
      <x:c r="AB80" s="68"/>
      <x:c r="AC80" s="82"/>
      <x:c r="AD80" s="82"/>
      <x:c r="AE80" s="87"/>
    </x:row>
    <x:row r="81">
      <x:c r="A81" s="72" t="str">
        <x:f>IF(OR(C81="",D81=""),"",B81&amp;"-"&amp;UPPER(C81)&amp;"-"&amp;TEXT(D81,"0000")&amp;"-"&amp;E81)</x:f>
      </x:c>
      <x:c r="B81" s="74" t="str">
        <x:v>M02</x:v>
      </x:c>
      <x:c r="C81" s="74"/>
      <x:c r="D81" s="79"/>
      <x:c r="E81" s="74" t="str">
        <x:v>V1.0</x:v>
      </x:c>
      <x:c r="F81" s="82"/>
      <x:c r="G81" s="82"/>
      <x:c r="H81" s="68"/>
      <x:c r="I81" s="82"/>
      <x:c r="J81" s="82"/>
      <x:c r="K81" s="68"/>
      <x:c r="L81" s="82"/>
      <x:c r="M81" s="68"/>
      <x:c r="N81" s="82"/>
      <x:c r="O81" s="68"/>
      <x:c r="P81" s="82"/>
      <x:c r="Q81" s="68"/>
      <x:c r="R81" s="68"/>
      <x:c r="S81" s="68"/>
      <x:c r="T81" s="68"/>
      <x:c r="U81" s="68"/>
      <x:c r="V81" s="68"/>
      <x:c r="W81" s="84"/>
      <x:c r="X81" s="84"/>
      <x:c r="Y81" s="82"/>
      <x:c r="Z81" s="82"/>
      <x:c r="AA81" s="68"/>
      <x:c r="AB81" s="68"/>
      <x:c r="AC81" s="82"/>
      <x:c r="AD81" s="82"/>
      <x:c r="AE81" s="87"/>
    </x:row>
    <x:row r="82">
      <x:c r="A82" s="72" t="str">
        <x:f>IF(OR(C82="",D82=""),"",B82&amp;"-"&amp;UPPER(C82)&amp;"-"&amp;TEXT(D82,"0000")&amp;"-"&amp;E82)</x:f>
      </x:c>
      <x:c r="B82" s="74" t="str">
        <x:v>M02</x:v>
      </x:c>
      <x:c r="C82" s="74"/>
      <x:c r="D82" s="79"/>
      <x:c r="E82" s="74" t="str">
        <x:v>V1.0</x:v>
      </x:c>
      <x:c r="F82" s="82"/>
      <x:c r="G82" s="82"/>
      <x:c r="H82" s="68"/>
      <x:c r="I82" s="82"/>
      <x:c r="J82" s="82"/>
      <x:c r="K82" s="68"/>
      <x:c r="L82" s="82"/>
      <x:c r="M82" s="68"/>
      <x:c r="N82" s="82"/>
      <x:c r="O82" s="68"/>
      <x:c r="P82" s="82"/>
      <x:c r="Q82" s="68"/>
      <x:c r="R82" s="68"/>
      <x:c r="S82" s="68"/>
      <x:c r="T82" s="68"/>
      <x:c r="U82" s="68"/>
      <x:c r="V82" s="68"/>
      <x:c r="W82" s="84"/>
      <x:c r="X82" s="84"/>
      <x:c r="Y82" s="82"/>
      <x:c r="Z82" s="82"/>
      <x:c r="AA82" s="68"/>
      <x:c r="AB82" s="68"/>
      <x:c r="AC82" s="82"/>
      <x:c r="AD82" s="82"/>
      <x:c r="AE82" s="87"/>
    </x:row>
    <x:row r="83">
      <x:c r="A83" s="72" t="str">
        <x:f>IF(OR(C83="",D83=""),"",B83&amp;"-"&amp;UPPER(C83)&amp;"-"&amp;TEXT(D83,"0000")&amp;"-"&amp;E83)</x:f>
      </x:c>
      <x:c r="B83" s="74" t="str">
        <x:v>M02</x:v>
      </x:c>
      <x:c r="C83" s="74"/>
      <x:c r="D83" s="79"/>
      <x:c r="E83" s="74" t="str">
        <x:v>V1.0</x:v>
      </x:c>
      <x:c r="F83" s="82"/>
      <x:c r="G83" s="82"/>
      <x:c r="H83" s="68"/>
      <x:c r="I83" s="82"/>
      <x:c r="J83" s="82"/>
      <x:c r="K83" s="68"/>
      <x:c r="L83" s="82"/>
      <x:c r="M83" s="68"/>
      <x:c r="N83" s="82"/>
      <x:c r="O83" s="68"/>
      <x:c r="P83" s="82"/>
      <x:c r="Q83" s="68"/>
      <x:c r="R83" s="68"/>
      <x:c r="S83" s="68"/>
      <x:c r="T83" s="68"/>
      <x:c r="U83" s="68"/>
      <x:c r="V83" s="68"/>
      <x:c r="W83" s="84"/>
      <x:c r="X83" s="84"/>
      <x:c r="Y83" s="82"/>
      <x:c r="Z83" s="82"/>
      <x:c r="AA83" s="68"/>
      <x:c r="AB83" s="68"/>
      <x:c r="AC83" s="82"/>
      <x:c r="AD83" s="82"/>
      <x:c r="AE83" s="87"/>
    </x:row>
    <x:row r="84">
      <x:c r="A84" s="72" t="str">
        <x:f>IF(OR(C84="",D84=""),"",B84&amp;"-"&amp;UPPER(C84)&amp;"-"&amp;TEXT(D84,"0000")&amp;"-"&amp;E84)</x:f>
      </x:c>
      <x:c r="B84" s="74" t="str">
        <x:v>M02</x:v>
      </x:c>
      <x:c r="C84" s="74"/>
      <x:c r="D84" s="79"/>
      <x:c r="E84" s="74" t="str">
        <x:v>V1.0</x:v>
      </x:c>
      <x:c r="F84" s="82"/>
      <x:c r="G84" s="82"/>
      <x:c r="H84" s="68"/>
      <x:c r="I84" s="82"/>
      <x:c r="J84" s="82"/>
      <x:c r="K84" s="68"/>
      <x:c r="L84" s="82"/>
      <x:c r="M84" s="68"/>
      <x:c r="N84" s="82"/>
      <x:c r="O84" s="68"/>
      <x:c r="P84" s="82"/>
      <x:c r="Q84" s="68"/>
      <x:c r="R84" s="68"/>
      <x:c r="S84" s="68"/>
      <x:c r="T84" s="68"/>
      <x:c r="U84" s="68"/>
      <x:c r="V84" s="68"/>
      <x:c r="W84" s="84"/>
      <x:c r="X84" s="84"/>
      <x:c r="Y84" s="82"/>
      <x:c r="Z84" s="82"/>
      <x:c r="AA84" s="68"/>
      <x:c r="AB84" s="68"/>
      <x:c r="AC84" s="82"/>
      <x:c r="AD84" s="82"/>
      <x:c r="AE84" s="87"/>
    </x:row>
    <x:row r="85">
      <x:c r="A85" s="72" t="str">
        <x:f>IF(OR(C85="",D85=""),"",B85&amp;"-"&amp;UPPER(C85)&amp;"-"&amp;TEXT(D85,"0000")&amp;"-"&amp;E85)</x:f>
      </x:c>
      <x:c r="B85" s="74" t="str">
        <x:v>M02</x:v>
      </x:c>
      <x:c r="C85" s="74"/>
      <x:c r="D85" s="79"/>
      <x:c r="E85" s="74" t="str">
        <x:v>V1.0</x:v>
      </x:c>
      <x:c r="F85" s="82"/>
      <x:c r="G85" s="82"/>
      <x:c r="H85" s="68"/>
      <x:c r="I85" s="82"/>
      <x:c r="J85" s="82"/>
      <x:c r="K85" s="68"/>
      <x:c r="L85" s="82"/>
      <x:c r="M85" s="68"/>
      <x:c r="N85" s="82"/>
      <x:c r="O85" s="68"/>
      <x:c r="P85" s="82"/>
      <x:c r="Q85" s="68"/>
      <x:c r="R85" s="68"/>
      <x:c r="S85" s="68"/>
      <x:c r="T85" s="68"/>
      <x:c r="U85" s="68"/>
      <x:c r="V85" s="68"/>
      <x:c r="W85" s="84"/>
      <x:c r="X85" s="84"/>
      <x:c r="Y85" s="82"/>
      <x:c r="Z85" s="82"/>
      <x:c r="AA85" s="68"/>
      <x:c r="AB85" s="68"/>
      <x:c r="AC85" s="82"/>
      <x:c r="AD85" s="82"/>
      <x:c r="AE85" s="87"/>
    </x:row>
    <x:row r="86">
      <x:c r="A86" s="72" t="str">
        <x:f>IF(OR(C86="",D86=""),"",B86&amp;"-"&amp;UPPER(C86)&amp;"-"&amp;TEXT(D86,"0000")&amp;"-"&amp;E86)</x:f>
      </x:c>
      <x:c r="B86" s="74" t="str">
        <x:v>M02</x:v>
      </x:c>
      <x:c r="C86" s="74"/>
      <x:c r="D86" s="79"/>
      <x:c r="E86" s="74" t="str">
        <x:v>V1.0</x:v>
      </x:c>
      <x:c r="F86" s="82"/>
      <x:c r="G86" s="82"/>
      <x:c r="H86" s="68"/>
      <x:c r="I86" s="82"/>
      <x:c r="J86" s="82"/>
      <x:c r="K86" s="68"/>
      <x:c r="L86" s="82"/>
      <x:c r="M86" s="68"/>
      <x:c r="N86" s="82"/>
      <x:c r="O86" s="68"/>
      <x:c r="P86" s="82"/>
      <x:c r="Q86" s="68"/>
      <x:c r="R86" s="68"/>
      <x:c r="S86" s="68"/>
      <x:c r="T86" s="68"/>
      <x:c r="U86" s="68"/>
      <x:c r="V86" s="68"/>
      <x:c r="W86" s="84"/>
      <x:c r="X86" s="84"/>
      <x:c r="Y86" s="82"/>
      <x:c r="Z86" s="82"/>
      <x:c r="AA86" s="68"/>
      <x:c r="AB86" s="68"/>
      <x:c r="AC86" s="82"/>
      <x:c r="AD86" s="82"/>
      <x:c r="AE86" s="87"/>
    </x:row>
    <x:row r="87">
      <x:c r="A87" s="72" t="str">
        <x:f>IF(OR(C87="",D87=""),"",B87&amp;"-"&amp;UPPER(C87)&amp;"-"&amp;TEXT(D87,"0000")&amp;"-"&amp;E87)</x:f>
      </x:c>
      <x:c r="B87" s="74" t="str">
        <x:v>M02</x:v>
      </x:c>
      <x:c r="C87" s="74"/>
      <x:c r="D87" s="79"/>
      <x:c r="E87" s="74" t="str">
        <x:v>V1.0</x:v>
      </x:c>
      <x:c r="F87" s="82"/>
      <x:c r="G87" s="82"/>
      <x:c r="H87" s="68"/>
      <x:c r="I87" s="82"/>
      <x:c r="J87" s="82"/>
      <x:c r="K87" s="68"/>
      <x:c r="L87" s="82"/>
      <x:c r="M87" s="68"/>
      <x:c r="N87" s="82"/>
      <x:c r="O87" s="68"/>
      <x:c r="P87" s="82"/>
      <x:c r="Q87" s="68"/>
      <x:c r="R87" s="68"/>
      <x:c r="S87" s="68"/>
      <x:c r="T87" s="68"/>
      <x:c r="U87" s="68"/>
      <x:c r="V87" s="68"/>
      <x:c r="W87" s="84"/>
      <x:c r="X87" s="84"/>
      <x:c r="Y87" s="82"/>
      <x:c r="Z87" s="82"/>
      <x:c r="AA87" s="68"/>
      <x:c r="AB87" s="68"/>
      <x:c r="AC87" s="82"/>
      <x:c r="AD87" s="82"/>
      <x:c r="AE87" s="87"/>
    </x:row>
    <x:row r="88">
      <x:c r="A88" s="72" t="str">
        <x:f>IF(OR(C88="",D88=""),"",B88&amp;"-"&amp;UPPER(C88)&amp;"-"&amp;TEXT(D88,"0000")&amp;"-"&amp;E88)</x:f>
      </x:c>
      <x:c r="B88" s="74" t="str">
        <x:v>M02</x:v>
      </x:c>
      <x:c r="C88" s="74"/>
      <x:c r="D88" s="79"/>
      <x:c r="E88" s="74" t="str">
        <x:v>V1.0</x:v>
      </x:c>
      <x:c r="F88" s="82"/>
      <x:c r="G88" s="82"/>
      <x:c r="H88" s="68"/>
      <x:c r="I88" s="82"/>
      <x:c r="J88" s="82"/>
      <x:c r="K88" s="68"/>
      <x:c r="L88" s="82"/>
      <x:c r="M88" s="68"/>
      <x:c r="N88" s="82"/>
      <x:c r="O88" s="68"/>
      <x:c r="P88" s="82"/>
      <x:c r="Q88" s="68"/>
      <x:c r="R88" s="68"/>
      <x:c r="S88" s="68"/>
      <x:c r="T88" s="68"/>
      <x:c r="U88" s="68"/>
      <x:c r="V88" s="68"/>
      <x:c r="W88" s="84"/>
      <x:c r="X88" s="84"/>
      <x:c r="Y88" s="82"/>
      <x:c r="Z88" s="82"/>
      <x:c r="AA88" s="68"/>
      <x:c r="AB88" s="68"/>
      <x:c r="AC88" s="82"/>
      <x:c r="AD88" s="82"/>
      <x:c r="AE88" s="87"/>
    </x:row>
    <x:row r="89">
      <x:c r="A89" s="72" t="str">
        <x:f>IF(OR(C89="",D89=""),"",B89&amp;"-"&amp;UPPER(C89)&amp;"-"&amp;TEXT(D89,"0000")&amp;"-"&amp;E89)</x:f>
      </x:c>
      <x:c r="B89" s="74" t="str">
        <x:v>M02</x:v>
      </x:c>
      <x:c r="C89" s="74"/>
      <x:c r="D89" s="79"/>
      <x:c r="E89" s="74" t="str">
        <x:v>V1.0</x:v>
      </x:c>
      <x:c r="F89" s="82"/>
      <x:c r="G89" s="82"/>
      <x:c r="H89" s="68"/>
      <x:c r="I89" s="82"/>
      <x:c r="J89" s="82"/>
      <x:c r="K89" s="68"/>
      <x:c r="L89" s="82"/>
      <x:c r="M89" s="68"/>
      <x:c r="N89" s="82"/>
      <x:c r="O89" s="68"/>
      <x:c r="P89" s="82"/>
      <x:c r="Q89" s="68"/>
      <x:c r="R89" s="68"/>
      <x:c r="S89" s="68"/>
      <x:c r="T89" s="68"/>
      <x:c r="U89" s="68"/>
      <x:c r="V89" s="68"/>
      <x:c r="W89" s="84"/>
      <x:c r="X89" s="84"/>
      <x:c r="Y89" s="82"/>
      <x:c r="Z89" s="82"/>
      <x:c r="AA89" s="68"/>
      <x:c r="AB89" s="68"/>
      <x:c r="AC89" s="82"/>
      <x:c r="AD89" s="82"/>
      <x:c r="AE89" s="87"/>
    </x:row>
    <x:row r="90">
      <x:c r="A90" s="72" t="str">
        <x:f>IF(OR(C90="",D90=""),"",B90&amp;"-"&amp;UPPER(C90)&amp;"-"&amp;TEXT(D90,"0000")&amp;"-"&amp;E90)</x:f>
      </x:c>
      <x:c r="B90" s="74" t="str">
        <x:v>M02</x:v>
      </x:c>
      <x:c r="C90" s="74"/>
      <x:c r="D90" s="79"/>
      <x:c r="E90" s="74" t="str">
        <x:v>V1.0</x:v>
      </x:c>
      <x:c r="F90" s="82"/>
      <x:c r="G90" s="82"/>
      <x:c r="H90" s="68"/>
      <x:c r="I90" s="82"/>
      <x:c r="J90" s="82"/>
      <x:c r="K90" s="68"/>
      <x:c r="L90" s="82"/>
      <x:c r="M90" s="68"/>
      <x:c r="N90" s="82"/>
      <x:c r="O90" s="68"/>
      <x:c r="P90" s="82"/>
      <x:c r="Q90" s="68"/>
      <x:c r="R90" s="68"/>
      <x:c r="S90" s="68"/>
      <x:c r="T90" s="68"/>
      <x:c r="U90" s="68"/>
      <x:c r="V90" s="68"/>
      <x:c r="W90" s="84"/>
      <x:c r="X90" s="84"/>
      <x:c r="Y90" s="82"/>
      <x:c r="Z90" s="82"/>
      <x:c r="AA90" s="68"/>
      <x:c r="AB90" s="68"/>
      <x:c r="AC90" s="82"/>
      <x:c r="AD90" s="82"/>
      <x:c r="AE90" s="87"/>
    </x:row>
    <x:row r="91">
      <x:c r="A91" s="72" t="str">
        <x:f>IF(OR(C91="",D91=""),"",B91&amp;"-"&amp;UPPER(C91)&amp;"-"&amp;TEXT(D91,"0000")&amp;"-"&amp;E91)</x:f>
      </x:c>
      <x:c r="B91" s="74" t="str">
        <x:v>M02</x:v>
      </x:c>
      <x:c r="C91" s="74"/>
      <x:c r="D91" s="79"/>
      <x:c r="E91" s="74" t="str">
        <x:v>V1.0</x:v>
      </x:c>
      <x:c r="F91" s="82"/>
      <x:c r="G91" s="82"/>
      <x:c r="H91" s="68"/>
      <x:c r="I91" s="82"/>
      <x:c r="J91" s="82"/>
      <x:c r="K91" s="68"/>
      <x:c r="L91" s="82"/>
      <x:c r="M91" s="68"/>
      <x:c r="N91" s="82"/>
      <x:c r="O91" s="68"/>
      <x:c r="P91" s="82"/>
      <x:c r="Q91" s="68"/>
      <x:c r="R91" s="68"/>
      <x:c r="S91" s="68"/>
      <x:c r="T91" s="68"/>
      <x:c r="U91" s="68"/>
      <x:c r="V91" s="68"/>
      <x:c r="W91" s="84"/>
      <x:c r="X91" s="84"/>
      <x:c r="Y91" s="82"/>
      <x:c r="Z91" s="82"/>
      <x:c r="AA91" s="68"/>
      <x:c r="AB91" s="68"/>
      <x:c r="AC91" s="82"/>
      <x:c r="AD91" s="82"/>
      <x:c r="AE91" s="87"/>
    </x:row>
    <x:row r="92">
      <x:c r="A92" s="72" t="str">
        <x:f>IF(OR(C92="",D92=""),"",B92&amp;"-"&amp;UPPER(C92)&amp;"-"&amp;TEXT(D92,"0000")&amp;"-"&amp;E92)</x:f>
      </x:c>
      <x:c r="B92" s="74" t="str">
        <x:v>M02</x:v>
      </x:c>
      <x:c r="C92" s="74"/>
      <x:c r="D92" s="79"/>
      <x:c r="E92" s="74" t="str">
        <x:v>V1.0</x:v>
      </x:c>
      <x:c r="F92" s="82"/>
      <x:c r="G92" s="82"/>
      <x:c r="H92" s="68"/>
      <x:c r="I92" s="82"/>
      <x:c r="J92" s="82"/>
      <x:c r="K92" s="68"/>
      <x:c r="L92" s="82"/>
      <x:c r="M92" s="68"/>
      <x:c r="N92" s="82"/>
      <x:c r="O92" s="68"/>
      <x:c r="P92" s="82"/>
      <x:c r="Q92" s="68"/>
      <x:c r="R92" s="68"/>
      <x:c r="S92" s="68"/>
      <x:c r="T92" s="68"/>
      <x:c r="U92" s="68"/>
      <x:c r="V92" s="68"/>
      <x:c r="W92" s="84"/>
      <x:c r="X92" s="84"/>
      <x:c r="Y92" s="82"/>
      <x:c r="Z92" s="82"/>
      <x:c r="AA92" s="68"/>
      <x:c r="AB92" s="68"/>
      <x:c r="AC92" s="82"/>
      <x:c r="AD92" s="82"/>
      <x:c r="AE92" s="87"/>
    </x:row>
    <x:row r="93">
      <x:c r="A93" s="72" t="str">
        <x:f>IF(OR(C93="",D93=""),"",B93&amp;"-"&amp;UPPER(C93)&amp;"-"&amp;TEXT(D93,"0000")&amp;"-"&amp;E93)</x:f>
      </x:c>
      <x:c r="B93" s="74" t="str">
        <x:v>M02</x:v>
      </x:c>
      <x:c r="C93" s="74"/>
      <x:c r="D93" s="79"/>
      <x:c r="E93" s="74" t="str">
        <x:v>V1.0</x:v>
      </x:c>
      <x:c r="F93" s="82"/>
      <x:c r="G93" s="82"/>
      <x:c r="H93" s="68"/>
      <x:c r="I93" s="82"/>
      <x:c r="J93" s="82"/>
      <x:c r="K93" s="68"/>
      <x:c r="L93" s="82"/>
      <x:c r="M93" s="68"/>
      <x:c r="N93" s="82"/>
      <x:c r="O93" s="68"/>
      <x:c r="P93" s="82"/>
      <x:c r="Q93" s="68"/>
      <x:c r="R93" s="68"/>
      <x:c r="S93" s="68"/>
      <x:c r="T93" s="68"/>
      <x:c r="U93" s="68"/>
      <x:c r="V93" s="68"/>
      <x:c r="W93" s="84"/>
      <x:c r="X93" s="84"/>
      <x:c r="Y93" s="82"/>
      <x:c r="Z93" s="82"/>
      <x:c r="AA93" s="68"/>
      <x:c r="AB93" s="68"/>
      <x:c r="AC93" s="82"/>
      <x:c r="AD93" s="82"/>
      <x:c r="AE93" s="87"/>
    </x:row>
    <x:row r="94">
      <x:c r="A94" s="72" t="str">
        <x:f>IF(OR(C94="",D94=""),"",B94&amp;"-"&amp;UPPER(C94)&amp;"-"&amp;TEXT(D94,"0000")&amp;"-"&amp;E94)</x:f>
      </x:c>
      <x:c r="B94" s="74" t="str">
        <x:v>M02</x:v>
      </x:c>
      <x:c r="C94" s="74"/>
      <x:c r="D94" s="79"/>
      <x:c r="E94" s="74" t="str">
        <x:v>V1.0</x:v>
      </x:c>
      <x:c r="F94" s="82"/>
      <x:c r="G94" s="82"/>
      <x:c r="H94" s="68"/>
      <x:c r="I94" s="82"/>
      <x:c r="J94" s="82"/>
      <x:c r="K94" s="68"/>
      <x:c r="L94" s="82"/>
      <x:c r="M94" s="68"/>
      <x:c r="N94" s="82"/>
      <x:c r="O94" s="68"/>
      <x:c r="P94" s="82"/>
      <x:c r="Q94" s="68"/>
      <x:c r="R94" s="68"/>
      <x:c r="S94" s="68"/>
      <x:c r="T94" s="68"/>
      <x:c r="U94" s="68"/>
      <x:c r="V94" s="68"/>
      <x:c r="W94" s="84"/>
      <x:c r="X94" s="84"/>
      <x:c r="Y94" s="82"/>
      <x:c r="Z94" s="82"/>
      <x:c r="AA94" s="68"/>
      <x:c r="AB94" s="68"/>
      <x:c r="AC94" s="82"/>
      <x:c r="AD94" s="82"/>
      <x:c r="AE94" s="87"/>
    </x:row>
    <x:row r="95">
      <x:c r="A95" s="72" t="str">
        <x:f>IF(OR(C95="",D95=""),"",B95&amp;"-"&amp;UPPER(C95)&amp;"-"&amp;TEXT(D95,"0000")&amp;"-"&amp;E95)</x:f>
      </x:c>
      <x:c r="B95" s="74" t="str">
        <x:v>M02</x:v>
      </x:c>
      <x:c r="C95" s="74"/>
      <x:c r="D95" s="79"/>
      <x:c r="E95" s="74" t="str">
        <x:v>V1.0</x:v>
      </x:c>
      <x:c r="F95" s="82"/>
      <x:c r="G95" s="82"/>
      <x:c r="H95" s="68"/>
      <x:c r="I95" s="82"/>
      <x:c r="J95" s="82"/>
      <x:c r="K95" s="68"/>
      <x:c r="L95" s="82"/>
      <x:c r="M95" s="68"/>
      <x:c r="N95" s="82"/>
      <x:c r="O95" s="68"/>
      <x:c r="P95" s="82"/>
      <x:c r="Q95" s="68"/>
      <x:c r="R95" s="68"/>
      <x:c r="S95" s="68"/>
      <x:c r="T95" s="68"/>
      <x:c r="U95" s="68"/>
      <x:c r="V95" s="68"/>
      <x:c r="W95" s="84"/>
      <x:c r="X95" s="84"/>
      <x:c r="Y95" s="82"/>
      <x:c r="Z95" s="82"/>
      <x:c r="AA95" s="68"/>
      <x:c r="AB95" s="68"/>
      <x:c r="AC95" s="82"/>
      <x:c r="AD95" s="82"/>
      <x:c r="AE95" s="87"/>
    </x:row>
    <x:row r="96">
      <x:c r="A96" s="72" t="str">
        <x:f>IF(OR(C96="",D96=""),"",B96&amp;"-"&amp;UPPER(C96)&amp;"-"&amp;TEXT(D96,"0000")&amp;"-"&amp;E96)</x:f>
      </x:c>
      <x:c r="B96" s="74" t="str">
        <x:v>M02</x:v>
      </x:c>
      <x:c r="C96" s="74"/>
      <x:c r="D96" s="79"/>
      <x:c r="E96" s="74" t="str">
        <x:v>V1.0</x:v>
      </x:c>
      <x:c r="F96" s="82"/>
      <x:c r="G96" s="82"/>
      <x:c r="H96" s="68"/>
      <x:c r="I96" s="82"/>
      <x:c r="J96" s="82"/>
      <x:c r="K96" s="68"/>
      <x:c r="L96" s="82"/>
      <x:c r="M96" s="68"/>
      <x:c r="N96" s="82"/>
      <x:c r="O96" s="68"/>
      <x:c r="P96" s="82"/>
      <x:c r="Q96" s="68"/>
      <x:c r="R96" s="68"/>
      <x:c r="S96" s="68"/>
      <x:c r="T96" s="68"/>
      <x:c r="U96" s="68"/>
      <x:c r="V96" s="68"/>
      <x:c r="W96" s="84"/>
      <x:c r="X96" s="84"/>
      <x:c r="Y96" s="82"/>
      <x:c r="Z96" s="82"/>
      <x:c r="AA96" s="68"/>
      <x:c r="AB96" s="68"/>
      <x:c r="AC96" s="82"/>
      <x:c r="AD96" s="82"/>
      <x:c r="AE96" s="87"/>
    </x:row>
    <x:row r="97">
      <x:c r="A97" s="72" t="str">
        <x:f>IF(OR(C97="",D97=""),"",B97&amp;"-"&amp;UPPER(C97)&amp;"-"&amp;TEXT(D97,"0000")&amp;"-"&amp;E97)</x:f>
      </x:c>
      <x:c r="B97" s="74" t="str">
        <x:v>M02</x:v>
      </x:c>
      <x:c r="C97" s="74"/>
      <x:c r="D97" s="79"/>
      <x:c r="E97" s="74" t="str">
        <x:v>V1.0</x:v>
      </x:c>
      <x:c r="F97" s="82"/>
      <x:c r="G97" s="82"/>
      <x:c r="H97" s="68"/>
      <x:c r="I97" s="82"/>
      <x:c r="J97" s="82"/>
      <x:c r="K97" s="68"/>
      <x:c r="L97" s="82"/>
      <x:c r="M97" s="68"/>
      <x:c r="N97" s="82"/>
      <x:c r="O97" s="68"/>
      <x:c r="P97" s="82"/>
      <x:c r="Q97" s="68"/>
      <x:c r="R97" s="68"/>
      <x:c r="S97" s="68"/>
      <x:c r="T97" s="68"/>
      <x:c r="U97" s="68"/>
      <x:c r="V97" s="68"/>
      <x:c r="W97" s="84"/>
      <x:c r="X97" s="84"/>
      <x:c r="Y97" s="82"/>
      <x:c r="Z97" s="82"/>
      <x:c r="AA97" s="68"/>
      <x:c r="AB97" s="68"/>
      <x:c r="AC97" s="82"/>
      <x:c r="AD97" s="82"/>
      <x:c r="AE97" s="87"/>
    </x:row>
    <x:row r="98">
      <x:c r="A98" s="72" t="str">
        <x:f>IF(OR(C98="",D98=""),"",B98&amp;"-"&amp;UPPER(C98)&amp;"-"&amp;TEXT(D98,"0000")&amp;"-"&amp;E98)</x:f>
      </x:c>
      <x:c r="B98" s="74" t="str">
        <x:v>M02</x:v>
      </x:c>
      <x:c r="C98" s="74"/>
      <x:c r="D98" s="79"/>
      <x:c r="E98" s="74" t="str">
        <x:v>V1.0</x:v>
      </x:c>
      <x:c r="F98" s="82"/>
      <x:c r="G98" s="82"/>
      <x:c r="H98" s="68"/>
      <x:c r="I98" s="82"/>
      <x:c r="J98" s="82"/>
      <x:c r="K98" s="68"/>
      <x:c r="L98" s="82"/>
      <x:c r="M98" s="68"/>
      <x:c r="N98" s="82"/>
      <x:c r="O98" s="68"/>
      <x:c r="P98" s="82"/>
      <x:c r="Q98" s="68"/>
      <x:c r="R98" s="68"/>
      <x:c r="S98" s="68"/>
      <x:c r="T98" s="68"/>
      <x:c r="U98" s="68"/>
      <x:c r="V98" s="68"/>
      <x:c r="W98" s="84"/>
      <x:c r="X98" s="84"/>
      <x:c r="Y98" s="82"/>
      <x:c r="Z98" s="82"/>
      <x:c r="AA98" s="68"/>
      <x:c r="AB98" s="68"/>
      <x:c r="AC98" s="82"/>
      <x:c r="AD98" s="82"/>
      <x:c r="AE98" s="87"/>
    </x:row>
    <x:row r="99">
      <x:c r="A99" s="72" t="str">
        <x:f>IF(OR(C99="",D99=""),"",B99&amp;"-"&amp;UPPER(C99)&amp;"-"&amp;TEXT(D99,"0000")&amp;"-"&amp;E99)</x:f>
      </x:c>
      <x:c r="B99" s="74" t="str">
        <x:v>M02</x:v>
      </x:c>
      <x:c r="C99" s="74"/>
      <x:c r="D99" s="79"/>
      <x:c r="E99" s="74" t="str">
        <x:v>V1.0</x:v>
      </x:c>
      <x:c r="F99" s="82"/>
      <x:c r="G99" s="82"/>
      <x:c r="H99" s="68"/>
      <x:c r="I99" s="82"/>
      <x:c r="J99" s="82"/>
      <x:c r="K99" s="68"/>
      <x:c r="L99" s="82"/>
      <x:c r="M99" s="68"/>
      <x:c r="N99" s="82"/>
      <x:c r="O99" s="68"/>
      <x:c r="P99" s="82"/>
      <x:c r="Q99" s="68"/>
      <x:c r="R99" s="68"/>
      <x:c r="S99" s="68"/>
      <x:c r="T99" s="68"/>
      <x:c r="U99" s="68"/>
      <x:c r="V99" s="68"/>
      <x:c r="W99" s="84"/>
      <x:c r="X99" s="84"/>
      <x:c r="Y99" s="82"/>
      <x:c r="Z99" s="82"/>
      <x:c r="AA99" s="68"/>
      <x:c r="AB99" s="68"/>
      <x:c r="AC99" s="82"/>
      <x:c r="AD99" s="82"/>
      <x:c r="AE99" s="87"/>
    </x:row>
    <x:row r="100">
      <x:c r="A100" s="72" t="str">
        <x:f>IF(OR(C100="",D100=""),"",B100&amp;"-"&amp;UPPER(C100)&amp;"-"&amp;TEXT(D100,"0000")&amp;"-"&amp;E100)</x:f>
      </x:c>
      <x:c r="B100" s="74" t="str">
        <x:v>M02</x:v>
      </x:c>
      <x:c r="C100" s="74"/>
      <x:c r="D100" s="79"/>
      <x:c r="E100" s="74" t="str">
        <x:v>V1.0</x:v>
      </x:c>
      <x:c r="F100" s="82"/>
      <x:c r="G100" s="82"/>
      <x:c r="H100" s="68"/>
      <x:c r="I100" s="82"/>
      <x:c r="J100" s="82"/>
      <x:c r="K100" s="68"/>
      <x:c r="L100" s="82"/>
      <x:c r="M100" s="68"/>
      <x:c r="N100" s="82"/>
      <x:c r="O100" s="68"/>
      <x:c r="P100" s="82"/>
      <x:c r="Q100" s="68"/>
      <x:c r="R100" s="68"/>
      <x:c r="S100" s="68"/>
      <x:c r="T100" s="68"/>
      <x:c r="U100" s="68"/>
      <x:c r="V100" s="68"/>
      <x:c r="W100" s="84"/>
      <x:c r="X100" s="84"/>
      <x:c r="Y100" s="82"/>
      <x:c r="Z100" s="82"/>
      <x:c r="AA100" s="68"/>
      <x:c r="AB100" s="68"/>
      <x:c r="AC100" s="82"/>
      <x:c r="AD100" s="82"/>
      <x:c r="AE100" s="87"/>
    </x:row>
    <x:row r="101">
      <x:c r="A101" s="72" t="str">
        <x:f>IF(OR(C101="",D101=""),"",B101&amp;"-"&amp;UPPER(C101)&amp;"-"&amp;TEXT(D101,"0000")&amp;"-"&amp;E101)</x:f>
      </x:c>
      <x:c r="B101" s="74" t="str">
        <x:v>M02</x:v>
      </x:c>
      <x:c r="C101" s="74"/>
      <x:c r="D101" s="79"/>
      <x:c r="E101" s="74" t="str">
        <x:v>V1.0</x:v>
      </x:c>
      <x:c r="F101" s="82"/>
      <x:c r="G101" s="82"/>
      <x:c r="H101" s="68"/>
      <x:c r="I101" s="82"/>
      <x:c r="J101" s="82"/>
      <x:c r="K101" s="68"/>
      <x:c r="L101" s="82"/>
      <x:c r="M101" s="68"/>
      <x:c r="N101" s="82"/>
      <x:c r="O101" s="68"/>
      <x:c r="P101" s="82"/>
      <x:c r="Q101" s="68"/>
      <x:c r="R101" s="68"/>
      <x:c r="S101" s="68"/>
      <x:c r="T101" s="68"/>
      <x:c r="U101" s="68"/>
      <x:c r="V101" s="68"/>
      <x:c r="W101" s="84"/>
      <x:c r="X101" s="84"/>
      <x:c r="Y101" s="82"/>
      <x:c r="Z101" s="82"/>
      <x:c r="AA101" s="68"/>
      <x:c r="AB101" s="68"/>
      <x:c r="AC101" s="82"/>
      <x:c r="AD101" s="82"/>
      <x:c r="AE101" s="87"/>
    </x:row>
    <x:row r="102">
      <x:c r="A102" s="72" t="str">
        <x:f>IF(OR(C102="",D102=""),"",B102&amp;"-"&amp;UPPER(C102)&amp;"-"&amp;TEXT(D102,"0000")&amp;"-"&amp;E102)</x:f>
      </x:c>
      <x:c r="B102" s="74" t="str">
        <x:v>M02</x:v>
      </x:c>
      <x:c r="C102" s="74"/>
      <x:c r="D102" s="79"/>
      <x:c r="E102" s="74" t="str">
        <x:v>V1.0</x:v>
      </x:c>
      <x:c r="F102" s="82"/>
      <x:c r="G102" s="82"/>
      <x:c r="H102" s="68"/>
      <x:c r="I102" s="82"/>
      <x:c r="J102" s="82"/>
      <x:c r="K102" s="68"/>
      <x:c r="L102" s="82"/>
      <x:c r="M102" s="68"/>
      <x:c r="N102" s="82"/>
      <x:c r="O102" s="68"/>
      <x:c r="P102" s="82"/>
      <x:c r="Q102" s="68"/>
      <x:c r="R102" s="68"/>
      <x:c r="S102" s="68"/>
      <x:c r="T102" s="68"/>
      <x:c r="U102" s="68"/>
      <x:c r="V102" s="68"/>
      <x:c r="W102" s="84"/>
      <x:c r="X102" s="84"/>
      <x:c r="Y102" s="82"/>
      <x:c r="Z102" s="82"/>
      <x:c r="AA102" s="68"/>
      <x:c r="AB102" s="68"/>
      <x:c r="AC102" s="82"/>
      <x:c r="AD102" s="82"/>
      <x:c r="AE102" s="87"/>
    </x:row>
    <x:row r="103">
      <x:c r="A103" s="72" t="str">
        <x:f>IF(OR(C103="",D103=""),"",B103&amp;"-"&amp;UPPER(C103)&amp;"-"&amp;TEXT(D103,"0000")&amp;"-"&amp;E103)</x:f>
      </x:c>
      <x:c r="B103" s="74" t="str">
        <x:v>M02</x:v>
      </x:c>
      <x:c r="C103" s="74"/>
      <x:c r="D103" s="79"/>
      <x:c r="E103" s="74" t="str">
        <x:v>V1.0</x:v>
      </x:c>
      <x:c r="F103" s="82"/>
      <x:c r="G103" s="82"/>
      <x:c r="H103" s="68"/>
      <x:c r="I103" s="82"/>
      <x:c r="J103" s="82"/>
      <x:c r="K103" s="68"/>
      <x:c r="L103" s="82"/>
      <x:c r="M103" s="68"/>
      <x:c r="N103" s="82"/>
      <x:c r="O103" s="68"/>
      <x:c r="P103" s="82"/>
      <x:c r="Q103" s="68"/>
      <x:c r="R103" s="68"/>
      <x:c r="S103" s="68"/>
      <x:c r="T103" s="68"/>
      <x:c r="U103" s="68"/>
      <x:c r="V103" s="68"/>
      <x:c r="W103" s="84"/>
      <x:c r="X103" s="84"/>
      <x:c r="Y103" s="82"/>
      <x:c r="Z103" s="82"/>
      <x:c r="AA103" s="68"/>
      <x:c r="AB103" s="68"/>
      <x:c r="AC103" s="82"/>
      <x:c r="AD103" s="82"/>
      <x:c r="AE103" s="87"/>
    </x:row>
    <x:row r="104">
      <x:c r="A104" s="72" t="str">
        <x:f>IF(OR(C104="",D104=""),"",B104&amp;"-"&amp;UPPER(C104)&amp;"-"&amp;TEXT(D104,"0000")&amp;"-"&amp;E104)</x:f>
      </x:c>
      <x:c r="B104" s="74" t="str">
        <x:v>M02</x:v>
      </x:c>
      <x:c r="C104" s="74"/>
      <x:c r="D104" s="79"/>
      <x:c r="E104" s="74" t="str">
        <x:v>V1.0</x:v>
      </x:c>
      <x:c r="F104" s="82"/>
      <x:c r="G104" s="82"/>
      <x:c r="H104" s="68"/>
      <x:c r="I104" s="82"/>
      <x:c r="J104" s="82"/>
      <x:c r="K104" s="68"/>
      <x:c r="L104" s="82"/>
      <x:c r="M104" s="68"/>
      <x:c r="N104" s="82"/>
      <x:c r="O104" s="68"/>
      <x:c r="P104" s="82"/>
      <x:c r="Q104" s="68"/>
      <x:c r="R104" s="68"/>
      <x:c r="S104" s="68"/>
      <x:c r="T104" s="68"/>
      <x:c r="U104" s="68"/>
      <x:c r="V104" s="68"/>
      <x:c r="W104" s="84"/>
      <x:c r="X104" s="84"/>
      <x:c r="Y104" s="82"/>
      <x:c r="Z104" s="82"/>
      <x:c r="AA104" s="68"/>
      <x:c r="AB104" s="68"/>
      <x:c r="AC104" s="82"/>
      <x:c r="AD104" s="82"/>
      <x:c r="AE104" s="87"/>
    </x:row>
    <x:row r="105">
      <x:c r="A105" s="72" t="str">
        <x:f>IF(OR(C105="",D105=""),"",B105&amp;"-"&amp;UPPER(C105)&amp;"-"&amp;TEXT(D105,"0000")&amp;"-"&amp;E105)</x:f>
      </x:c>
      <x:c r="B105" s="74" t="str">
        <x:v>M02</x:v>
      </x:c>
      <x:c r="C105" s="74"/>
      <x:c r="D105" s="79"/>
      <x:c r="E105" s="74" t="str">
        <x:v>V1.0</x:v>
      </x:c>
      <x:c r="F105" s="82"/>
      <x:c r="G105" s="82"/>
      <x:c r="H105" s="68"/>
      <x:c r="I105" s="82"/>
      <x:c r="J105" s="82"/>
      <x:c r="K105" s="68"/>
      <x:c r="L105" s="82"/>
      <x:c r="M105" s="68"/>
      <x:c r="N105" s="82"/>
      <x:c r="O105" s="68"/>
      <x:c r="P105" s="82"/>
      <x:c r="Q105" s="68"/>
      <x:c r="R105" s="68"/>
      <x:c r="S105" s="68"/>
      <x:c r="T105" s="68"/>
      <x:c r="U105" s="68"/>
      <x:c r="V105" s="68"/>
      <x:c r="W105" s="84"/>
      <x:c r="X105" s="84"/>
      <x:c r="Y105" s="82"/>
      <x:c r="Z105" s="82"/>
      <x:c r="AA105" s="68"/>
      <x:c r="AB105" s="68"/>
      <x:c r="AC105" s="82"/>
      <x:c r="AD105" s="82"/>
      <x:c r="AE105" s="87"/>
    </x:row>
  </x:sheetData>
  <x:mergeCells>
    <x:mergeCell ref="A1:O1"/>
    <x:mergeCell ref="A2:O2"/>
    <x:mergeCell ref="A3:O3"/>
    <x:mergeCell ref="A4:O4"/>
  </x:mergeCells>
  <x:conditionalFormatting sqref="A6:A105">
    <x:cfRule type="expression" dxfId="0" priority="1">
      <x:formula>AND(A6&lt;&gt;"",COUNTIF($A$6:$A$105,A6)&gt;1)</x:formula>
    </x:cfRule>
  </x:conditionalFormatting>
  <x:dataValidations count="14">
    <x:dataValidation type="list" sqref="E6:E105">
      <x:formula1>'99_下拉选项'!$BG$4:$BG$12</x:formula1>
    </x:dataValidation>
    <x:dataValidation type="list" sqref="F6:F105">
      <x:formula1>'99_下拉选项'!$A$4:$A$6</x:formula1>
    </x:dataValidation>
    <x:dataValidation type="list" sqref="G6:G105">
      <x:formula1>'99_下拉选项'!$B$4:$B$13</x:formula1>
    </x:dataValidation>
    <x:dataValidation type="list" sqref="I6:I105">
      <x:formula1>'99_下拉选项'!$C$4:$C$5</x:formula1>
    </x:dataValidation>
    <x:dataValidation type="list" sqref="J6:J105">
      <x:formula1>'99_下拉选项'!$D$4:$D$8</x:formula1>
    </x:dataValidation>
    <x:dataValidation type="list" sqref="L6:L105">
      <x:formula1>'99_下拉选项'!$E$4:$E$7</x:formula1>
    </x:dataValidation>
    <x:dataValidation type="list" sqref="N6:N105">
      <x:formula1>'99_下拉选项'!$E$4:$E$7</x:formula1>
    </x:dataValidation>
    <x:dataValidation type="list" sqref="P6:P105">
      <x:formula1>'99_下拉选项'!$E$4:$E$7</x:formula1>
    </x:dataValidation>
    <x:dataValidation type="list" sqref="Y6:Y105">
      <x:formula1>'99_下拉选项'!$Q$4:$Q$8</x:formula1>
    </x:dataValidation>
    <x:dataValidation type="list" sqref="Z6:Z105">
      <x:formula1>'99_下拉选项'!$R$4:$R$11</x:formula1>
    </x:dataValidation>
    <x:dataValidation type="list" sqref="AC6:AC105">
      <x:formula1>'99_下拉选项'!$S$4:$S$9</x:formula1>
    </x:dataValidation>
    <x:dataValidation type="list" sqref="AD6:AD105">
      <x:formula1>'99_下拉选项'!$T$4:$T$8</x:formula1>
    </x:dataValidation>
    <x:dataValidation type="list" sqref="E6:E130">
      <x:formula1>'99_下拉选项'!$BG$4:$BG$14</x:formula1>
    </x:dataValidation>
    <x:dataValidation type="list" sqref="E7:E105">
      <x:formula1>'99_下拉选项'!$BG$4:$BG$16</x:formula1>
    </x:dataValidation>
  </x:dataValidations>
  <x:pageMargins left="0.7" right="0.7" top="0.75" bottom="0.75" header="0.3" footer="0.3"/>
  <x:tableParts count="1">
    <x:tablePart xmlns:r="http://schemas.openxmlformats.org/officeDocument/2006/relationships" r:id="Rbd5faf4fcec74953"/>
  </x:tableParts>
</x:worksheet>
</file>

<file path=xl/worksheets/sheet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M03｜月令、得令与根气判定规则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已录入60条正式规则：十二月令、旺相休囚死、节气边界、十干通根、根气等级、位置共源、关系效应边界及得令得地得势。规则仍须在M20持续做案例验证。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主要输出：月令支持度、根气类型与证据权重　｜　直接下游：M07/M08/M09/M14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判断对象</x:v>
      </x:c>
      <x:c r="I5" s="61" t="str">
        <x:v>评估维度</x:v>
      </x:c>
      <x:c r="J5" s="61" t="str">
        <x:v>月令条件</x:v>
      </x:c>
      <x:c r="K5" s="61" t="str">
        <x:v>根气类型</x:v>
      </x:c>
      <x:c r="L5" s="61" t="str">
        <x:v>根气等级</x:v>
      </x:c>
      <x:c r="M5" s="61" t="str">
        <x:v>位置关系</x:v>
      </x:c>
      <x:c r="N5" s="61" t="str">
        <x:v>前置条件</x:v>
      </x:c>
      <x:c r="O5" s="61" t="str">
        <x:v>必要条件</x:v>
      </x:c>
      <x:c r="P5" s="61" t="str">
        <x:v>增强条件</x:v>
      </x:c>
      <x:c r="Q5" s="61" t="str">
        <x:v>削弱条件</x:v>
      </x:c>
      <x:c r="R5" s="61" t="str">
        <x:v>否决条件</x:v>
      </x:c>
      <x:c r="S5" s="61" t="str">
        <x:v>例外条件</x:v>
      </x:c>
      <x:c r="T5" s="61" t="str">
        <x:v>作用对象</x:v>
      </x:c>
      <x:c r="U5" s="61" t="str">
        <x:v>作用方向</x:v>
      </x:c>
      <x:c r="V5" s="61" t="str">
        <x:v>作用等级</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M03-DEMO-9999-V0.1</x:v>
      </x:c>
      <x:c r="B6" s="76" t="str">
        <x:v>M03</x:v>
      </x:c>
      <x:c r="C6" s="76" t="str">
        <x:v>DEMO</x:v>
      </x:c>
      <x:c r="D6" s="78" t="n">
        <x:v>9999</x:v>
      </x:c>
      <x:c r="E6" s="76" t="str">
        <x:v>V0.1</x:v>
      </x:c>
      <x:c r="F6" s="76" t="str">
        <x:v>得令是强证据但非日主旺衰充分条件</x:v>
      </x:c>
      <x:c r="G6" s="76" t="str">
        <x:v>结构层</x:v>
      </x:c>
      <x:c r="H6" s="76" t="str">
        <x:v>日主及同五行</x:v>
      </x:c>
      <x:c r="I6" s="76" t="str">
        <x:v>得令</x:v>
      </x:c>
      <x:c r="J6" s="76" t="str">
        <x:v>月令本气直接支持判断对象</x:v>
      </x:c>
      <x:c r="K6" s="76" t="str">
        <x:v>本气根</x:v>
      </x:c>
      <x:c r="L6" s="76" t="str">
        <x:v>强根</x:v>
      </x:c>
      <x:c r="M6" s="76" t="str">
        <x:v>其他</x:v>
      </x:c>
      <x:c r="N6" s="76" t="str">
        <x:v>先确定月令主气及节令状态</x:v>
      </x:c>
      <x:c r="O6" s="76" t="str">
        <x:v>月令对该五行形成真实支持</x:v>
      </x:c>
      <x:c r="P6" s="76" t="str">
        <x:v>另有强根、透干、生源或同党成势</x:v>
      </x:c>
      <x:c r="Q6" s="76" t="str">
        <x:v>无根、受强泄耗、受制或月令之气不能透达</x:v>
      </x:c>
      <x:c r="R6" s="76" t="str">
        <x:v>不得仅凭得令直接判定身旺</x:v>
      </x:c>
      <x:c r="S6" s="76" t="str">
        <x:v>特殊格局须转入M14严格审查</x:v>
      </x:c>
      <x:c r="T6" s="76" t="str">
        <x:v>原始旺衰证据</x:v>
      </x:c>
      <x:c r="U6" s="76" t="str">
        <x:v>增强</x:v>
      </x:c>
      <x:c r="V6" s="76" t="str">
        <x:v>强</x:v>
      </x:c>
      <x:c r="W6" s="76" t="str">
        <x:v>P1_高</x:v>
      </x:c>
      <x:c r="X6" s="76" t="str">
        <x:v>辅助证据</x:v>
      </x:c>
      <x:c r="Y6" s="76" t="str">
        <x:v>得令证据</x:v>
      </x:c>
      <x:c r="Z6" s="76" t="str">
        <x:v>判断对象得令，原始力量获得明显支持，但仍需结合根气、同党与克泄耗判断最终旺衰。</x:v>
      </x:c>
      <x:c r="AA6" s="76" t="str">
        <x:v>较高</x:v>
      </x:c>
      <x:c r="AB6" s="76" t="str">
        <x:v>现代综合</x:v>
      </x:c>
      <x:c r="AC6" s="76" t="str">
        <x:v>得令决定季节气势，但不自动覆盖全局根、助、制、泄、耗。</x:v>
      </x:c>
      <x:c r="AD6" s="76" t="str">
        <x:v>得令且根深、印比成势，可共同支持偏旺判断。</x:v>
      </x:c>
      <x:c r="AE6" s="76" t="str">
        <x:v>得令但无根、受强泄耗，不应机械判旺。</x:v>
      </x:c>
      <x:c r="AF6" s="76" t="str">
        <x:v>示例，仅演示字段用法</x:v>
      </x:c>
      <x:c r="AG6" s="76" t="str">
        <x:v>示例</x:v>
      </x:c>
      <x:c r="AH6" s="76" t="str">
        <x:v>未审核</x:v>
      </x:c>
      <x:c r="AI6" s="86" t="n">
        <x:v>46254</x:v>
      </x:c>
    </x:row>
    <x:row r="7" ht="48" customHeight="1">
      <x:c r="A7" s="72" t="str">
        <x:f>IF(OR(C7="",D7=""),"",B7&amp;"-"&amp;UPPER(C7)&amp;"-"&amp;TEXT(D7,"0000")&amp;"-"&amp;E7)</x:f>
        <x:v>M03-ML-0001-V1.0</x:v>
      </x:c>
      <x:c r="B7" s="74" t="str">
        <x:v>M03</x:v>
      </x:c>
      <x:c r="C7" s="74" t="str">
        <x:v>ML</x:v>
      </x:c>
      <x:c r="D7" s="79" t="n">
        <x:v>1</x:v>
      </x:c>
      <x:c r="E7" s="74" t="str">
        <x:v>V1.0</x:v>
      </x:c>
      <x:c r="F7" s="68" t="str">
        <x:v>寅月木当令基础</x:v>
      </x:c>
      <x:c r="G7" s="82" t="str">
        <x:v>结构层</x:v>
      </x:c>
      <x:c r="H7" s="68" t="str">
        <x:v>木五行及所属天干</x:v>
      </x:c>
      <x:c r="I7" s="68" t="str">
        <x:v>月令司权</x:v>
      </x:c>
      <x:c r="J7" s="68" t="str">
        <x:v>寅月（立春起至惊蛰前，孟春）</x:v>
      </x:c>
      <x:c r="K7" s="82"/>
      <x:c r="L7" s="82"/>
      <x:c r="M7" s="82" t="str">
        <x:v>其他</x:v>
      </x:c>
      <x:c r="N7" s="68" t="str">
        <x:v>出生时间、时区与交节时刻已确认</x:v>
      </x:c>
      <x:c r="O7" s="68" t="str">
        <x:v>按节气确定月支为寅</x:v>
      </x:c>
      <x:c r="P7" s="68" t="str">
        <x:v>木透干、同类通根、得生源或同党成势</x:v>
      </x:c>
      <x:c r="Q7" s="68" t="str">
        <x:v>距交节点很近、对象无根，或对象同时受强力克泄耗</x:v>
      </x:c>
      <x:c r="R7" s="90" t="str">
        <x:v>不得仅凭本条直接判定日主或该五行的最终旺衰</x:v>
      </x:c>
      <x:c r="S7" s="68" t="str">
        <x:v>严格特殊格局须转M14审查。</x:v>
      </x:c>
      <x:c r="T7" s="68" t="str">
        <x:v>五行原始旺衰证据</x:v>
      </x:c>
      <x:c r="U7" s="82" t="str">
        <x:v>增强</x:v>
      </x:c>
      <x:c r="V7" s="82" t="str">
        <x:v>强</x:v>
      </x:c>
      <x:c r="W7" s="82" t="str">
        <x:v>P1_高</x:v>
      </x:c>
      <x:c r="X7" s="82" t="str">
        <x:v>辅助证据</x:v>
      </x:c>
      <x:c r="Y7" s="84" t="str">
        <x:v>寅月木得令</x:v>
      </x:c>
      <x:c r="Z7" s="84" t="str">
        <x:v>月支为寅，木取得季节主气支持；这是高权重的原始旺衰证据，仍须结合根气、透干、同党及克泄耗。</x:v>
      </x:c>
      <x:c r="AA7" s="82" t="str">
        <x:v>较高</x:v>
      </x:c>
      <x:c r="AB7" s="82" t="str">
        <x:v>跨流派共识</x:v>
      </x:c>
      <x:c r="AC7" s="68" t="str">
        <x:v>月份边界以节气为准；寅为孟春，其本气属木。参照《摄生月令》季序及《三命通会》月气论述。</x:v>
      </x:c>
      <x:c r="AD7" s="68" t="str">
        <x:v>例如甲日生寅月，木获得月令支持；若另有根助与同党，支持进一步增强。</x:v>
      </x:c>
      <x:c r="AE7" s="90" t="str">
        <x:v>例如甲日生寅月但全局无有效根、受强力克泄耗，不能只因得令直接判旺。</x:v>
      </x:c>
      <x:c r="AF7" s="68" t="str">
        <x:v>https://zh.wikisource.org/wiki/攝生月令；https://zh.wikisource.org/zh-hans/三命通會_(四庫全書本)/卷10</x:v>
      </x:c>
      <x:c r="AG7" s="82" t="str">
        <x:v>采用</x:v>
      </x:c>
      <x:c r="AH7" s="82" t="str">
        <x:v>初审</x:v>
      </x:c>
      <x:c r="AI7" s="87" t="n">
        <x:v>46255</x:v>
      </x:c>
    </x:row>
    <x:row r="8" ht="48" customHeight="1">
      <x:c r="A8" s="72" t="str">
        <x:f>IF(OR(C8="",D8=""),"",B8&amp;"-"&amp;UPPER(C8)&amp;"-"&amp;TEXT(D8,"0000")&amp;"-"&amp;E8)</x:f>
        <x:v>M03-ML-0002-V1.0</x:v>
      </x:c>
      <x:c r="B8" s="74" t="str">
        <x:v>M03</x:v>
      </x:c>
      <x:c r="C8" s="74" t="str">
        <x:v>ML</x:v>
      </x:c>
      <x:c r="D8" s="79" t="n">
        <x:v>2</x:v>
      </x:c>
      <x:c r="E8" s="74" t="str">
        <x:v>V1.0</x:v>
      </x:c>
      <x:c r="F8" s="68" t="str">
        <x:v>卯月木当令基础</x:v>
      </x:c>
      <x:c r="G8" s="82" t="str">
        <x:v>结构层</x:v>
      </x:c>
      <x:c r="H8" s="68" t="str">
        <x:v>木五行及所属天干</x:v>
      </x:c>
      <x:c r="I8" s="68" t="str">
        <x:v>月令司权</x:v>
      </x:c>
      <x:c r="J8" s="68" t="str">
        <x:v>卯月（惊蛰起至清明前，仲春）</x:v>
      </x:c>
      <x:c r="K8" s="82"/>
      <x:c r="L8" s="82"/>
      <x:c r="M8" s="82" t="str">
        <x:v>其他</x:v>
      </x:c>
      <x:c r="N8" s="68" t="str">
        <x:v>出生时间、时区与交节时刻已确认</x:v>
      </x:c>
      <x:c r="O8" s="68" t="str">
        <x:v>按节气确定月支为卯</x:v>
      </x:c>
      <x:c r="P8" s="68" t="str">
        <x:v>木透干、同类通根、得生源或同党成势</x:v>
      </x:c>
      <x:c r="Q8" s="68" t="str">
        <x:v>距交节点很近、对象无根，或对象同时受强力克泄耗</x:v>
      </x:c>
      <x:c r="R8" s="90" t="str">
        <x:v>不得仅凭本条直接判定日主或该五行的最终旺衰</x:v>
      </x:c>
      <x:c r="S8" s="68" t="str">
        <x:v>严格特殊格局须转M14审查。</x:v>
      </x:c>
      <x:c r="T8" s="68" t="str">
        <x:v>五行原始旺衰证据</x:v>
      </x:c>
      <x:c r="U8" s="82" t="str">
        <x:v>增强</x:v>
      </x:c>
      <x:c r="V8" s="82" t="str">
        <x:v>强</x:v>
      </x:c>
      <x:c r="W8" s="82" t="str">
        <x:v>P1_高</x:v>
      </x:c>
      <x:c r="X8" s="82" t="str">
        <x:v>辅助证据</x:v>
      </x:c>
      <x:c r="Y8" s="84" t="str">
        <x:v>卯月木得令</x:v>
      </x:c>
      <x:c r="Z8" s="84" t="str">
        <x:v>月支为卯，木取得季节主气支持；这是高权重的原始旺衰证据，仍须结合根气、透干、同党及克泄耗。</x:v>
      </x:c>
      <x:c r="AA8" s="82" t="str">
        <x:v>较高</x:v>
      </x:c>
      <x:c r="AB8" s="82" t="str">
        <x:v>跨流派共识</x:v>
      </x:c>
      <x:c r="AC8" s="68" t="str">
        <x:v>月份边界以节气为准；卯为仲春，其本气属木。参照《摄生月令》季序及《三命通会》月气论述。</x:v>
      </x:c>
      <x:c r="AD8" s="68" t="str">
        <x:v>例如乙日生卯月，木获得月令支持；若另有根助与同党，支持进一步增强。</x:v>
      </x:c>
      <x:c r="AE8" s="90" t="str">
        <x:v>例如乙日生卯月但全局无有效根、受强力克泄耗，不能只因得令直接判旺。</x:v>
      </x:c>
      <x:c r="AF8" s="68" t="str">
        <x:v>https://zh.wikisource.org/wiki/攝生月令；https://zh.wikisource.org/zh-hans/三命通會_(四庫全書本)/卷10</x:v>
      </x:c>
      <x:c r="AG8" s="82" t="str">
        <x:v>采用</x:v>
      </x:c>
      <x:c r="AH8" s="82" t="str">
        <x:v>初审</x:v>
      </x:c>
      <x:c r="AI8" s="87" t="n">
        <x:v>46255</x:v>
      </x:c>
    </x:row>
    <x:row r="9" ht="48" customHeight="1">
      <x:c r="A9" s="72" t="str">
        <x:f>IF(OR(C9="",D9=""),"",B9&amp;"-"&amp;UPPER(C9)&amp;"-"&amp;TEXT(D9,"0000")&amp;"-"&amp;E9)</x:f>
        <x:v>M03-ML-0003-V1.0</x:v>
      </x:c>
      <x:c r="B9" s="74" t="str">
        <x:v>M03</x:v>
      </x:c>
      <x:c r="C9" s="74" t="str">
        <x:v>ML</x:v>
      </x:c>
      <x:c r="D9" s="79" t="n">
        <x:v>3</x:v>
      </x:c>
      <x:c r="E9" s="74" t="str">
        <x:v>V1.0</x:v>
      </x:c>
      <x:c r="F9" s="68" t="str">
        <x:v>辰月土当令基础</x:v>
      </x:c>
      <x:c r="G9" s="82" t="str">
        <x:v>结构层</x:v>
      </x:c>
      <x:c r="H9" s="68" t="str">
        <x:v>土五行及所属天干</x:v>
      </x:c>
      <x:c r="I9" s="68" t="str">
        <x:v>月令司权</x:v>
      </x:c>
      <x:c r="J9" s="68" t="str">
        <x:v>辰月（清明起至立夏前，季春）</x:v>
      </x:c>
      <x:c r="K9" s="82"/>
      <x:c r="L9" s="82"/>
      <x:c r="M9" s="82" t="str">
        <x:v>其他</x:v>
      </x:c>
      <x:c r="N9" s="68" t="str">
        <x:v>出生时间、时区与交节时刻已确认</x:v>
      </x:c>
      <x:c r="O9" s="68" t="str">
        <x:v>按节气确定月支为辰</x:v>
      </x:c>
      <x:c r="P9" s="68" t="str">
        <x:v>土透干、同类通根、得生源或同党成势</x:v>
      </x:c>
      <x:c r="Q9" s="68" t="str">
        <x:v>距交节点很近、对象无根，或对象同时受强力克泄耗</x:v>
      </x:c>
      <x:c r="R9" s="90" t="str">
        <x:v>不得仅凭本条直接判定日主或该五行的最终旺衰</x:v>
      </x:c>
      <x:c r="S9" s="68" t="str">
        <x:v>辰、未、戌、丑四季月内部司令深浅存在流派差异，涉及分日时须转M21登记；严格特殊格局须转M14审查。</x:v>
      </x:c>
      <x:c r="T9" s="68" t="str">
        <x:v>五行原始旺衰证据</x:v>
      </x:c>
      <x:c r="U9" s="82" t="str">
        <x:v>增强</x:v>
      </x:c>
      <x:c r="V9" s="82" t="str">
        <x:v>强</x:v>
      </x:c>
      <x:c r="W9" s="82" t="str">
        <x:v>P1_高</x:v>
      </x:c>
      <x:c r="X9" s="82" t="str">
        <x:v>辅助证据</x:v>
      </x:c>
      <x:c r="Y9" s="84" t="str">
        <x:v>辰月土得令</x:v>
      </x:c>
      <x:c r="Z9" s="84" t="str">
        <x:v>月支为辰，土取得季节主气支持；这是高权重的原始旺衰证据，仍须结合根气、透干、同党及克泄耗。</x:v>
      </x:c>
      <x:c r="AA9" s="82" t="str">
        <x:v>较高</x:v>
      </x:c>
      <x:c r="AB9" s="82" t="str">
        <x:v>跨流派共识</x:v>
      </x:c>
      <x:c r="AC9" s="68" t="str">
        <x:v>月份边界以节气为准；辰为季春，其本气属土。参照《摄生月令》季序及《三命通会》月气论述。</x:v>
      </x:c>
      <x:c r="AD9" s="68" t="str">
        <x:v>例如戊日生辰月，土获得月令支持；若另有根助与同党，支持进一步增强。</x:v>
      </x:c>
      <x:c r="AE9" s="90" t="str">
        <x:v>例如戊日生辰月但全局无有效根、受强力克泄耗，不能只因得令直接判旺。</x:v>
      </x:c>
      <x:c r="AF9" s="68" t="str">
        <x:v>https://zh.wikisource.org/wiki/攝生月令；https://zh.wikisource.org/zh-hans/三命通會_(四庫全書本)/卷10</x:v>
      </x:c>
      <x:c r="AG9" s="82" t="str">
        <x:v>采用</x:v>
      </x:c>
      <x:c r="AH9" s="82" t="str">
        <x:v>初审</x:v>
      </x:c>
      <x:c r="AI9" s="87" t="n">
        <x:v>46255</x:v>
      </x:c>
    </x:row>
    <x:row r="10" ht="48" customHeight="1">
      <x:c r="A10" s="72" t="str">
        <x:f>IF(OR(C10="",D10=""),"",B10&amp;"-"&amp;UPPER(C10)&amp;"-"&amp;TEXT(D10,"0000")&amp;"-"&amp;E10)</x:f>
        <x:v>M03-ML-0004-V1.0</x:v>
      </x:c>
      <x:c r="B10" s="74" t="str">
        <x:v>M03</x:v>
      </x:c>
      <x:c r="C10" s="74" t="str">
        <x:v>ML</x:v>
      </x:c>
      <x:c r="D10" s="79" t="n">
        <x:v>4</x:v>
      </x:c>
      <x:c r="E10" s="74" t="str">
        <x:v>V1.0</x:v>
      </x:c>
      <x:c r="F10" s="68" t="str">
        <x:v>巳月火当令基础</x:v>
      </x:c>
      <x:c r="G10" s="82" t="str">
        <x:v>结构层</x:v>
      </x:c>
      <x:c r="H10" s="68" t="str">
        <x:v>火五行及所属天干</x:v>
      </x:c>
      <x:c r="I10" s="68" t="str">
        <x:v>月令司权</x:v>
      </x:c>
      <x:c r="J10" s="68" t="str">
        <x:v>巳月（立夏起至芒种前，孟夏）</x:v>
      </x:c>
      <x:c r="K10" s="82"/>
      <x:c r="L10" s="82"/>
      <x:c r="M10" s="82" t="str">
        <x:v>其他</x:v>
      </x:c>
      <x:c r="N10" s="68" t="str">
        <x:v>出生时间、时区与交节时刻已确认</x:v>
      </x:c>
      <x:c r="O10" s="68" t="str">
        <x:v>按节气确定月支为巳</x:v>
      </x:c>
      <x:c r="P10" s="68" t="str">
        <x:v>火透干、同类通根、得生源或同党成势</x:v>
      </x:c>
      <x:c r="Q10" s="68" t="str">
        <x:v>距交节点很近、对象无根，或对象同时受强力克泄耗</x:v>
      </x:c>
      <x:c r="R10" s="90" t="str">
        <x:v>不得仅凭本条直接判定日主或该五行的最终旺衰</x:v>
      </x:c>
      <x:c r="S10" s="68" t="str">
        <x:v>严格特殊格局须转M14审查。</x:v>
      </x:c>
      <x:c r="T10" s="68" t="str">
        <x:v>五行原始旺衰证据</x:v>
      </x:c>
      <x:c r="U10" s="82" t="str">
        <x:v>增强</x:v>
      </x:c>
      <x:c r="V10" s="82" t="str">
        <x:v>强</x:v>
      </x:c>
      <x:c r="W10" s="82" t="str">
        <x:v>P1_高</x:v>
      </x:c>
      <x:c r="X10" s="82" t="str">
        <x:v>辅助证据</x:v>
      </x:c>
      <x:c r="Y10" s="84" t="str">
        <x:v>巳月火得令</x:v>
      </x:c>
      <x:c r="Z10" s="84" t="str">
        <x:v>月支为巳，火取得季节主气支持；这是高权重的原始旺衰证据，仍须结合根气、透干、同党及克泄耗。</x:v>
      </x:c>
      <x:c r="AA10" s="82" t="str">
        <x:v>较高</x:v>
      </x:c>
      <x:c r="AB10" s="82" t="str">
        <x:v>跨流派共识</x:v>
      </x:c>
      <x:c r="AC10" s="68" t="str">
        <x:v>月份边界以节气为准；巳为孟夏，其本气属火。参照《摄生月令》季序及《三命通会》月气论述。</x:v>
      </x:c>
      <x:c r="AD10" s="68" t="str">
        <x:v>例如丙日生巳月，火获得月令支持；若另有根助与同党，支持进一步增强。</x:v>
      </x:c>
      <x:c r="AE10" s="90" t="str">
        <x:v>例如丙日生巳月但全局无有效根、受强力克泄耗，不能只因得令直接判旺。</x:v>
      </x:c>
      <x:c r="AF10" s="68" t="str">
        <x:v>https://zh.wikisource.org/wiki/攝生月令；https://zh.wikisource.org/zh-hans/三命通會_(四庫全書本)/卷10</x:v>
      </x:c>
      <x:c r="AG10" s="82" t="str">
        <x:v>采用</x:v>
      </x:c>
      <x:c r="AH10" s="82" t="str">
        <x:v>初审</x:v>
      </x:c>
      <x:c r="AI10" s="87" t="n">
        <x:v>46255</x:v>
      </x:c>
    </x:row>
    <x:row r="11" ht="48" customHeight="1">
      <x:c r="A11" s="72" t="str">
        <x:f>IF(OR(C11="",D11=""),"",B11&amp;"-"&amp;UPPER(C11)&amp;"-"&amp;TEXT(D11,"0000")&amp;"-"&amp;E11)</x:f>
        <x:v>M03-ML-0005-V1.0</x:v>
      </x:c>
      <x:c r="B11" s="74" t="str">
        <x:v>M03</x:v>
      </x:c>
      <x:c r="C11" s="74" t="str">
        <x:v>ML</x:v>
      </x:c>
      <x:c r="D11" s="79" t="n">
        <x:v>5</x:v>
      </x:c>
      <x:c r="E11" s="74" t="str">
        <x:v>V1.0</x:v>
      </x:c>
      <x:c r="F11" s="68" t="str">
        <x:v>午月火当令基础</x:v>
      </x:c>
      <x:c r="G11" s="82" t="str">
        <x:v>结构层</x:v>
      </x:c>
      <x:c r="H11" s="68" t="str">
        <x:v>火五行及所属天干</x:v>
      </x:c>
      <x:c r="I11" s="68" t="str">
        <x:v>月令司权</x:v>
      </x:c>
      <x:c r="J11" s="68" t="str">
        <x:v>午月（芒种起至小暑前，仲夏）</x:v>
      </x:c>
      <x:c r="K11" s="82"/>
      <x:c r="L11" s="82"/>
      <x:c r="M11" s="82" t="str">
        <x:v>其他</x:v>
      </x:c>
      <x:c r="N11" s="68" t="str">
        <x:v>出生时间、时区与交节时刻已确认</x:v>
      </x:c>
      <x:c r="O11" s="68" t="str">
        <x:v>按节气确定月支为午</x:v>
      </x:c>
      <x:c r="P11" s="68" t="str">
        <x:v>火透干、同类通根、得生源或同党成势</x:v>
      </x:c>
      <x:c r="Q11" s="68" t="str">
        <x:v>距交节点很近、对象无根，或对象同时受强力克泄耗</x:v>
      </x:c>
      <x:c r="R11" s="90" t="str">
        <x:v>不得仅凭本条直接判定日主或该五行的最终旺衰</x:v>
      </x:c>
      <x:c r="S11" s="68" t="str">
        <x:v>严格特殊格局须转M14审查。</x:v>
      </x:c>
      <x:c r="T11" s="68" t="str">
        <x:v>五行原始旺衰证据</x:v>
      </x:c>
      <x:c r="U11" s="82" t="str">
        <x:v>增强</x:v>
      </x:c>
      <x:c r="V11" s="82" t="str">
        <x:v>强</x:v>
      </x:c>
      <x:c r="W11" s="82" t="str">
        <x:v>P1_高</x:v>
      </x:c>
      <x:c r="X11" s="82" t="str">
        <x:v>辅助证据</x:v>
      </x:c>
      <x:c r="Y11" s="84" t="str">
        <x:v>午月火得令</x:v>
      </x:c>
      <x:c r="Z11" s="84" t="str">
        <x:v>月支为午，火取得季节主气支持；这是高权重的原始旺衰证据，仍须结合根气、透干、同党及克泄耗。</x:v>
      </x:c>
      <x:c r="AA11" s="82" t="str">
        <x:v>较高</x:v>
      </x:c>
      <x:c r="AB11" s="82" t="str">
        <x:v>跨流派共识</x:v>
      </x:c>
      <x:c r="AC11" s="68" t="str">
        <x:v>月份边界以节气为准；午为仲夏，其本气属火。参照《摄生月令》季序及《三命通会》月气论述。</x:v>
      </x:c>
      <x:c r="AD11" s="68" t="str">
        <x:v>例如丁日生午月，火获得月令支持；若另有根助与同党，支持进一步增强。</x:v>
      </x:c>
      <x:c r="AE11" s="90" t="str">
        <x:v>例如丁日生午月但全局无有效根、受强力克泄耗，不能只因得令直接判旺。</x:v>
      </x:c>
      <x:c r="AF11" s="68" t="str">
        <x:v>https://zh.wikisource.org/wiki/攝生月令；https://zh.wikisource.org/zh-hans/三命通會_(四庫全書本)/卷10</x:v>
      </x:c>
      <x:c r="AG11" s="82" t="str">
        <x:v>采用</x:v>
      </x:c>
      <x:c r="AH11" s="82" t="str">
        <x:v>初审</x:v>
      </x:c>
      <x:c r="AI11" s="87" t="n">
        <x:v>46255</x:v>
      </x:c>
    </x:row>
    <x:row r="12" ht="48" customHeight="1">
      <x:c r="A12" s="72" t="str">
        <x:f>IF(OR(C12="",D12=""),"",B12&amp;"-"&amp;UPPER(C12)&amp;"-"&amp;TEXT(D12,"0000")&amp;"-"&amp;E12)</x:f>
        <x:v>M03-ML-0006-V1.0</x:v>
      </x:c>
      <x:c r="B12" s="74" t="str">
        <x:v>M03</x:v>
      </x:c>
      <x:c r="C12" s="74" t="str">
        <x:v>ML</x:v>
      </x:c>
      <x:c r="D12" s="79" t="n">
        <x:v>6</x:v>
      </x:c>
      <x:c r="E12" s="74" t="str">
        <x:v>V1.0</x:v>
      </x:c>
      <x:c r="F12" s="68" t="str">
        <x:v>未月土当令基础</x:v>
      </x:c>
      <x:c r="G12" s="82" t="str">
        <x:v>结构层</x:v>
      </x:c>
      <x:c r="H12" s="68" t="str">
        <x:v>土五行及所属天干</x:v>
      </x:c>
      <x:c r="I12" s="68" t="str">
        <x:v>月令司权</x:v>
      </x:c>
      <x:c r="J12" s="68" t="str">
        <x:v>未月（小暑起至立秋前，季夏）</x:v>
      </x:c>
      <x:c r="K12" s="82"/>
      <x:c r="L12" s="82"/>
      <x:c r="M12" s="82" t="str">
        <x:v>其他</x:v>
      </x:c>
      <x:c r="N12" s="68" t="str">
        <x:v>出生时间、时区与交节时刻已确认</x:v>
      </x:c>
      <x:c r="O12" s="68" t="str">
        <x:v>按节气确定月支为未</x:v>
      </x:c>
      <x:c r="P12" s="68" t="str">
        <x:v>土透干、同类通根、得生源或同党成势</x:v>
      </x:c>
      <x:c r="Q12" s="68" t="str">
        <x:v>距交节点很近、对象无根，或对象同时受强力克泄耗</x:v>
      </x:c>
      <x:c r="R12" s="90" t="str">
        <x:v>不得仅凭本条直接判定日主或该五行的最终旺衰</x:v>
      </x:c>
      <x:c r="S12" s="68" t="str">
        <x:v>辰、未、戌、丑四季月内部司令深浅存在流派差异，涉及分日时须转M21登记；严格特殊格局须转M14审查。</x:v>
      </x:c>
      <x:c r="T12" s="68" t="str">
        <x:v>五行原始旺衰证据</x:v>
      </x:c>
      <x:c r="U12" s="82" t="str">
        <x:v>增强</x:v>
      </x:c>
      <x:c r="V12" s="82" t="str">
        <x:v>强</x:v>
      </x:c>
      <x:c r="W12" s="82" t="str">
        <x:v>P1_高</x:v>
      </x:c>
      <x:c r="X12" s="82" t="str">
        <x:v>辅助证据</x:v>
      </x:c>
      <x:c r="Y12" s="84" t="str">
        <x:v>未月土得令</x:v>
      </x:c>
      <x:c r="Z12" s="84" t="str">
        <x:v>月支为未，土取得季节主气支持；这是高权重的原始旺衰证据，仍须结合根气、透干、同党及克泄耗。</x:v>
      </x:c>
      <x:c r="AA12" s="82" t="str">
        <x:v>较高</x:v>
      </x:c>
      <x:c r="AB12" s="82" t="str">
        <x:v>跨流派共识</x:v>
      </x:c>
      <x:c r="AC12" s="68" t="str">
        <x:v>月份边界以节气为准；未为季夏，其本气属土。参照《摄生月令》季序及《三命通会》月气论述。</x:v>
      </x:c>
      <x:c r="AD12" s="68" t="str">
        <x:v>例如己日生未月，土获得月令支持；若另有根助与同党，支持进一步增强。</x:v>
      </x:c>
      <x:c r="AE12" s="90" t="str">
        <x:v>例如己日生未月但全局无有效根、受强力克泄耗，不能只因得令直接判旺。</x:v>
      </x:c>
      <x:c r="AF12" s="68" t="str">
        <x:v>https://zh.wikisource.org/wiki/攝生月令；https://zh.wikisource.org/zh-hans/三命通會_(四庫全書本)/卷10</x:v>
      </x:c>
      <x:c r="AG12" s="82" t="str">
        <x:v>采用</x:v>
      </x:c>
      <x:c r="AH12" s="82" t="str">
        <x:v>初审</x:v>
      </x:c>
      <x:c r="AI12" s="87" t="n">
        <x:v>46255</x:v>
      </x:c>
    </x:row>
    <x:row r="13" ht="48" customHeight="1">
      <x:c r="A13" s="72" t="str">
        <x:f>IF(OR(C13="",D13=""),"",B13&amp;"-"&amp;UPPER(C13)&amp;"-"&amp;TEXT(D13,"0000")&amp;"-"&amp;E13)</x:f>
        <x:v>M03-ML-0007-V1.0</x:v>
      </x:c>
      <x:c r="B13" s="74" t="str">
        <x:v>M03</x:v>
      </x:c>
      <x:c r="C13" s="74" t="str">
        <x:v>ML</x:v>
      </x:c>
      <x:c r="D13" s="79" t="n">
        <x:v>7</x:v>
      </x:c>
      <x:c r="E13" s="74" t="str">
        <x:v>V1.0</x:v>
      </x:c>
      <x:c r="F13" s="68" t="str">
        <x:v>申月金当令基础</x:v>
      </x:c>
      <x:c r="G13" s="82" t="str">
        <x:v>结构层</x:v>
      </x:c>
      <x:c r="H13" s="68" t="str">
        <x:v>金五行及所属天干</x:v>
      </x:c>
      <x:c r="I13" s="68" t="str">
        <x:v>月令司权</x:v>
      </x:c>
      <x:c r="J13" s="68" t="str">
        <x:v>申月（立秋起至白露前，孟秋）</x:v>
      </x:c>
      <x:c r="K13" s="82"/>
      <x:c r="L13" s="82"/>
      <x:c r="M13" s="82" t="str">
        <x:v>其他</x:v>
      </x:c>
      <x:c r="N13" s="68" t="str">
        <x:v>出生时间、时区与交节时刻已确认</x:v>
      </x:c>
      <x:c r="O13" s="68" t="str">
        <x:v>按节气确定月支为申</x:v>
      </x:c>
      <x:c r="P13" s="68" t="str">
        <x:v>金透干、同类通根、得生源或同党成势</x:v>
      </x:c>
      <x:c r="Q13" s="68" t="str">
        <x:v>距交节点很近、对象无根，或对象同时受强力克泄耗</x:v>
      </x:c>
      <x:c r="R13" s="90" t="str">
        <x:v>不得仅凭本条直接判定日主或该五行的最终旺衰</x:v>
      </x:c>
      <x:c r="S13" s="68" t="str">
        <x:v>严格特殊格局须转M14审查。</x:v>
      </x:c>
      <x:c r="T13" s="68" t="str">
        <x:v>五行原始旺衰证据</x:v>
      </x:c>
      <x:c r="U13" s="82" t="str">
        <x:v>增强</x:v>
      </x:c>
      <x:c r="V13" s="82" t="str">
        <x:v>强</x:v>
      </x:c>
      <x:c r="W13" s="82" t="str">
        <x:v>P1_高</x:v>
      </x:c>
      <x:c r="X13" s="82" t="str">
        <x:v>辅助证据</x:v>
      </x:c>
      <x:c r="Y13" s="84" t="str">
        <x:v>申月金得令</x:v>
      </x:c>
      <x:c r="Z13" s="84" t="str">
        <x:v>月支为申，金取得季节主气支持；这是高权重的原始旺衰证据，仍须结合根气、透干、同党及克泄耗。</x:v>
      </x:c>
      <x:c r="AA13" s="82" t="str">
        <x:v>较高</x:v>
      </x:c>
      <x:c r="AB13" s="82" t="str">
        <x:v>跨流派共识</x:v>
      </x:c>
      <x:c r="AC13" s="68" t="str">
        <x:v>月份边界以节气为准；申为孟秋，其本气属金。参照《摄生月令》季序及《三命通会》月气论述。</x:v>
      </x:c>
      <x:c r="AD13" s="68" t="str">
        <x:v>例如庚日生申月，金获得月令支持；若另有根助与同党，支持进一步增强。</x:v>
      </x:c>
      <x:c r="AE13" s="90" t="str">
        <x:v>例如庚日生申月但全局无有效根、受强力克泄耗，不能只因得令直接判旺。</x:v>
      </x:c>
      <x:c r="AF13" s="68" t="str">
        <x:v>https://zh.wikisource.org/wiki/攝生月令；https://zh.wikisource.org/zh-hans/三命通會_(四庫全書本)/卷10</x:v>
      </x:c>
      <x:c r="AG13" s="82" t="str">
        <x:v>采用</x:v>
      </x:c>
      <x:c r="AH13" s="82" t="str">
        <x:v>初审</x:v>
      </x:c>
      <x:c r="AI13" s="87" t="n">
        <x:v>46255</x:v>
      </x:c>
    </x:row>
    <x:row r="14" ht="48" customHeight="1">
      <x:c r="A14" s="72" t="str">
        <x:f>IF(OR(C14="",D14=""),"",B14&amp;"-"&amp;UPPER(C14)&amp;"-"&amp;TEXT(D14,"0000")&amp;"-"&amp;E14)</x:f>
        <x:v>M03-ML-0008-V1.0</x:v>
      </x:c>
      <x:c r="B14" s="74" t="str">
        <x:v>M03</x:v>
      </x:c>
      <x:c r="C14" s="74" t="str">
        <x:v>ML</x:v>
      </x:c>
      <x:c r="D14" s="79" t="n">
        <x:v>8</x:v>
      </x:c>
      <x:c r="E14" s="74" t="str">
        <x:v>V1.0</x:v>
      </x:c>
      <x:c r="F14" s="68" t="str">
        <x:v>酉月金当令基础</x:v>
      </x:c>
      <x:c r="G14" s="82" t="str">
        <x:v>结构层</x:v>
      </x:c>
      <x:c r="H14" s="68" t="str">
        <x:v>金五行及所属天干</x:v>
      </x:c>
      <x:c r="I14" s="68" t="str">
        <x:v>月令司权</x:v>
      </x:c>
      <x:c r="J14" s="68" t="str">
        <x:v>酉月（白露起至寒露前，仲秋）</x:v>
      </x:c>
      <x:c r="K14" s="82"/>
      <x:c r="L14" s="82"/>
      <x:c r="M14" s="82" t="str">
        <x:v>其他</x:v>
      </x:c>
      <x:c r="N14" s="68" t="str">
        <x:v>出生时间、时区与交节时刻已确认</x:v>
      </x:c>
      <x:c r="O14" s="68" t="str">
        <x:v>按节气确定月支为酉</x:v>
      </x:c>
      <x:c r="P14" s="68" t="str">
        <x:v>金透干、同类通根、得生源或同党成势</x:v>
      </x:c>
      <x:c r="Q14" s="68" t="str">
        <x:v>距交节点很近、对象无根，或对象同时受强力克泄耗</x:v>
      </x:c>
      <x:c r="R14" s="90" t="str">
        <x:v>不得仅凭本条直接判定日主或该五行的最终旺衰</x:v>
      </x:c>
      <x:c r="S14" s="68" t="str">
        <x:v>严格特殊格局须转M14审查。</x:v>
      </x:c>
      <x:c r="T14" s="68" t="str">
        <x:v>五行原始旺衰证据</x:v>
      </x:c>
      <x:c r="U14" s="82" t="str">
        <x:v>增强</x:v>
      </x:c>
      <x:c r="V14" s="82" t="str">
        <x:v>强</x:v>
      </x:c>
      <x:c r="W14" s="82" t="str">
        <x:v>P1_高</x:v>
      </x:c>
      <x:c r="X14" s="82" t="str">
        <x:v>辅助证据</x:v>
      </x:c>
      <x:c r="Y14" s="84" t="str">
        <x:v>酉月金得令</x:v>
      </x:c>
      <x:c r="Z14" s="84" t="str">
        <x:v>月支为酉，金取得季节主气支持；这是高权重的原始旺衰证据，仍须结合根气、透干、同党及克泄耗。</x:v>
      </x:c>
      <x:c r="AA14" s="82" t="str">
        <x:v>较高</x:v>
      </x:c>
      <x:c r="AB14" s="82" t="str">
        <x:v>跨流派共识</x:v>
      </x:c>
      <x:c r="AC14" s="68" t="str">
        <x:v>月份边界以节气为准；酉为仲秋，其本气属金。参照《摄生月令》季序及《三命通会》月气论述。</x:v>
      </x:c>
      <x:c r="AD14" s="68" t="str">
        <x:v>例如辛日生酉月，金获得月令支持；若另有根助与同党，支持进一步增强。</x:v>
      </x:c>
      <x:c r="AE14" s="90" t="str">
        <x:v>例如辛日生酉月但全局无有效根、受强力克泄耗，不能只因得令直接判旺。</x:v>
      </x:c>
      <x:c r="AF14" s="68" t="str">
        <x:v>https://zh.wikisource.org/wiki/攝生月令；https://zh.wikisource.org/zh-hans/三命通會_(四庫全書本)/卷10</x:v>
      </x:c>
      <x:c r="AG14" s="82" t="str">
        <x:v>采用</x:v>
      </x:c>
      <x:c r="AH14" s="82" t="str">
        <x:v>初审</x:v>
      </x:c>
      <x:c r="AI14" s="87" t="n">
        <x:v>46255</x:v>
      </x:c>
    </x:row>
    <x:row r="15" ht="48" customHeight="1">
      <x:c r="A15" s="72" t="str">
        <x:f>IF(OR(C15="",D15=""),"",B15&amp;"-"&amp;UPPER(C15)&amp;"-"&amp;TEXT(D15,"0000")&amp;"-"&amp;E15)</x:f>
        <x:v>M03-ML-0009-V1.0</x:v>
      </x:c>
      <x:c r="B15" s="74" t="str">
        <x:v>M03</x:v>
      </x:c>
      <x:c r="C15" s="74" t="str">
        <x:v>ML</x:v>
      </x:c>
      <x:c r="D15" s="79" t="n">
        <x:v>9</x:v>
      </x:c>
      <x:c r="E15" s="74" t="str">
        <x:v>V1.0</x:v>
      </x:c>
      <x:c r="F15" s="68" t="str">
        <x:v>戌月土当令基础</x:v>
      </x:c>
      <x:c r="G15" s="82" t="str">
        <x:v>结构层</x:v>
      </x:c>
      <x:c r="H15" s="68" t="str">
        <x:v>土五行及所属天干</x:v>
      </x:c>
      <x:c r="I15" s="68" t="str">
        <x:v>月令司权</x:v>
      </x:c>
      <x:c r="J15" s="68" t="str">
        <x:v>戌月（寒露起至立冬前，季秋）</x:v>
      </x:c>
      <x:c r="K15" s="82"/>
      <x:c r="L15" s="82"/>
      <x:c r="M15" s="82" t="str">
        <x:v>其他</x:v>
      </x:c>
      <x:c r="N15" s="68" t="str">
        <x:v>出生时间、时区与交节时刻已确认</x:v>
      </x:c>
      <x:c r="O15" s="68" t="str">
        <x:v>按节气确定月支为戌</x:v>
      </x:c>
      <x:c r="P15" s="68" t="str">
        <x:v>土透干、同类通根、得生源或同党成势</x:v>
      </x:c>
      <x:c r="Q15" s="68" t="str">
        <x:v>距交节点很近、对象无根，或对象同时受强力克泄耗</x:v>
      </x:c>
      <x:c r="R15" s="90" t="str">
        <x:v>不得仅凭本条直接判定日主或该五行的最终旺衰</x:v>
      </x:c>
      <x:c r="S15" s="68" t="str">
        <x:v>辰、未、戌、丑四季月内部司令深浅存在流派差异，涉及分日时须转M21登记；严格特殊格局须转M14审查。</x:v>
      </x:c>
      <x:c r="T15" s="68" t="str">
        <x:v>五行原始旺衰证据</x:v>
      </x:c>
      <x:c r="U15" s="82" t="str">
        <x:v>增强</x:v>
      </x:c>
      <x:c r="V15" s="82" t="str">
        <x:v>强</x:v>
      </x:c>
      <x:c r="W15" s="82" t="str">
        <x:v>P1_高</x:v>
      </x:c>
      <x:c r="X15" s="82" t="str">
        <x:v>辅助证据</x:v>
      </x:c>
      <x:c r="Y15" s="84" t="str">
        <x:v>戌月土得令</x:v>
      </x:c>
      <x:c r="Z15" s="84" t="str">
        <x:v>月支为戌，土取得季节主气支持；这是高权重的原始旺衰证据，仍须结合根气、透干、同党及克泄耗。</x:v>
      </x:c>
      <x:c r="AA15" s="82" t="str">
        <x:v>较高</x:v>
      </x:c>
      <x:c r="AB15" s="82" t="str">
        <x:v>跨流派共识</x:v>
      </x:c>
      <x:c r="AC15" s="68" t="str">
        <x:v>月份边界以节气为准；戌为季秋，其本气属土。参照《摄生月令》季序及《三命通会》月气论述。</x:v>
      </x:c>
      <x:c r="AD15" s="68" t="str">
        <x:v>例如戊日生戌月，土获得月令支持；若另有根助与同党，支持进一步增强。</x:v>
      </x:c>
      <x:c r="AE15" s="90" t="str">
        <x:v>例如戊日生戌月但全局无有效根、受强力克泄耗，不能只因得令直接判旺。</x:v>
      </x:c>
      <x:c r="AF15" s="68" t="str">
        <x:v>https://zh.wikisource.org/wiki/攝生月令；https://zh.wikisource.org/zh-hans/三命通會_(四庫全書本)/卷10</x:v>
      </x:c>
      <x:c r="AG15" s="82" t="str">
        <x:v>采用</x:v>
      </x:c>
      <x:c r="AH15" s="82" t="str">
        <x:v>初审</x:v>
      </x:c>
      <x:c r="AI15" s="87" t="n">
        <x:v>46255</x:v>
      </x:c>
    </x:row>
    <x:row r="16" ht="48" customHeight="1">
      <x:c r="A16" s="72" t="str">
        <x:f>IF(OR(C16="",D16=""),"",B16&amp;"-"&amp;UPPER(C16)&amp;"-"&amp;TEXT(D16,"0000")&amp;"-"&amp;E16)</x:f>
        <x:v>M03-ML-0010-V1.0</x:v>
      </x:c>
      <x:c r="B16" s="74" t="str">
        <x:v>M03</x:v>
      </x:c>
      <x:c r="C16" s="74" t="str">
        <x:v>ML</x:v>
      </x:c>
      <x:c r="D16" s="79" t="n">
        <x:v>10</x:v>
      </x:c>
      <x:c r="E16" s="74" t="str">
        <x:v>V1.0</x:v>
      </x:c>
      <x:c r="F16" s="68" t="str">
        <x:v>亥月水当令基础</x:v>
      </x:c>
      <x:c r="G16" s="82" t="str">
        <x:v>结构层</x:v>
      </x:c>
      <x:c r="H16" s="68" t="str">
        <x:v>水五行及所属天干</x:v>
      </x:c>
      <x:c r="I16" s="68" t="str">
        <x:v>月令司权</x:v>
      </x:c>
      <x:c r="J16" s="68" t="str">
        <x:v>亥月（立冬起至大雪前，孟冬）</x:v>
      </x:c>
      <x:c r="K16" s="82"/>
      <x:c r="L16" s="82"/>
      <x:c r="M16" s="82" t="str">
        <x:v>其他</x:v>
      </x:c>
      <x:c r="N16" s="68" t="str">
        <x:v>出生时间、时区与交节时刻已确认</x:v>
      </x:c>
      <x:c r="O16" s="68" t="str">
        <x:v>按节气确定月支为亥</x:v>
      </x:c>
      <x:c r="P16" s="68" t="str">
        <x:v>水透干、同类通根、得生源或同党成势</x:v>
      </x:c>
      <x:c r="Q16" s="68" t="str">
        <x:v>距交节点很近、对象无根，或对象同时受强力克泄耗</x:v>
      </x:c>
      <x:c r="R16" s="90" t="str">
        <x:v>不得仅凭本条直接判定日主或该五行的最终旺衰</x:v>
      </x:c>
      <x:c r="S16" s="68" t="str">
        <x:v>严格特殊格局须转M14审查。</x:v>
      </x:c>
      <x:c r="T16" s="68" t="str">
        <x:v>五行原始旺衰证据</x:v>
      </x:c>
      <x:c r="U16" s="82" t="str">
        <x:v>增强</x:v>
      </x:c>
      <x:c r="V16" s="82" t="str">
        <x:v>强</x:v>
      </x:c>
      <x:c r="W16" s="82" t="str">
        <x:v>P1_高</x:v>
      </x:c>
      <x:c r="X16" s="82" t="str">
        <x:v>辅助证据</x:v>
      </x:c>
      <x:c r="Y16" s="84" t="str">
        <x:v>亥月水得令</x:v>
      </x:c>
      <x:c r="Z16" s="84" t="str">
        <x:v>月支为亥，水取得季节主气支持；这是高权重的原始旺衰证据，仍须结合根气、透干、同党及克泄耗。</x:v>
      </x:c>
      <x:c r="AA16" s="82" t="str">
        <x:v>较高</x:v>
      </x:c>
      <x:c r="AB16" s="82" t="str">
        <x:v>跨流派共识</x:v>
      </x:c>
      <x:c r="AC16" s="68" t="str">
        <x:v>月份边界以节气为准；亥为孟冬，其本气属水。参照《摄生月令》季序及《三命通会》月气论述。</x:v>
      </x:c>
      <x:c r="AD16" s="68" t="str">
        <x:v>例如壬日生亥月，水获得月令支持；若另有根助与同党，支持进一步增强。</x:v>
      </x:c>
      <x:c r="AE16" s="90" t="str">
        <x:v>例如壬日生亥月但全局无有效根、受强力克泄耗，不能只因得令直接判旺。</x:v>
      </x:c>
      <x:c r="AF16" s="68" t="str">
        <x:v>https://zh.wikisource.org/wiki/攝生月令；https://zh.wikisource.org/zh-hans/三命通會_(四庫全書本)/卷10</x:v>
      </x:c>
      <x:c r="AG16" s="82" t="str">
        <x:v>采用</x:v>
      </x:c>
      <x:c r="AH16" s="82" t="str">
        <x:v>初审</x:v>
      </x:c>
      <x:c r="AI16" s="87" t="n">
        <x:v>46255</x:v>
      </x:c>
    </x:row>
    <x:row r="17" ht="48" customHeight="1">
      <x:c r="A17" s="72" t="str">
        <x:f>IF(OR(C17="",D17=""),"",B17&amp;"-"&amp;UPPER(C17)&amp;"-"&amp;TEXT(D17,"0000")&amp;"-"&amp;E17)</x:f>
        <x:v>M03-ML-0011-V1.0</x:v>
      </x:c>
      <x:c r="B17" s="74" t="str">
        <x:v>M03</x:v>
      </x:c>
      <x:c r="C17" s="74" t="str">
        <x:v>ML</x:v>
      </x:c>
      <x:c r="D17" s="79" t="n">
        <x:v>11</x:v>
      </x:c>
      <x:c r="E17" s="74" t="str">
        <x:v>V1.0</x:v>
      </x:c>
      <x:c r="F17" s="68" t="str">
        <x:v>子月水当令基础</x:v>
      </x:c>
      <x:c r="G17" s="82" t="str">
        <x:v>结构层</x:v>
      </x:c>
      <x:c r="H17" s="68" t="str">
        <x:v>水五行及所属天干</x:v>
      </x:c>
      <x:c r="I17" s="68" t="str">
        <x:v>月令司权</x:v>
      </x:c>
      <x:c r="J17" s="68" t="str">
        <x:v>子月（大雪起至小寒前，仲冬）</x:v>
      </x:c>
      <x:c r="K17" s="82"/>
      <x:c r="L17" s="82"/>
      <x:c r="M17" s="82" t="str">
        <x:v>其他</x:v>
      </x:c>
      <x:c r="N17" s="68" t="str">
        <x:v>出生时间、时区与交节时刻已确认</x:v>
      </x:c>
      <x:c r="O17" s="68" t="str">
        <x:v>按节气确定月支为子</x:v>
      </x:c>
      <x:c r="P17" s="68" t="str">
        <x:v>水透干、同类通根、得生源或同党成势</x:v>
      </x:c>
      <x:c r="Q17" s="68" t="str">
        <x:v>距交节点很近、对象无根，或对象同时受强力克泄耗</x:v>
      </x:c>
      <x:c r="R17" s="90" t="str">
        <x:v>不得仅凭本条直接判定日主或该五行的最终旺衰</x:v>
      </x:c>
      <x:c r="S17" s="68" t="str">
        <x:v>严格特殊格局须转M14审查。</x:v>
      </x:c>
      <x:c r="T17" s="68" t="str">
        <x:v>五行原始旺衰证据</x:v>
      </x:c>
      <x:c r="U17" s="82" t="str">
        <x:v>增强</x:v>
      </x:c>
      <x:c r="V17" s="82" t="str">
        <x:v>强</x:v>
      </x:c>
      <x:c r="W17" s="82" t="str">
        <x:v>P1_高</x:v>
      </x:c>
      <x:c r="X17" s="82" t="str">
        <x:v>辅助证据</x:v>
      </x:c>
      <x:c r="Y17" s="84" t="str">
        <x:v>子月水得令</x:v>
      </x:c>
      <x:c r="Z17" s="84" t="str">
        <x:v>月支为子，水取得季节主气支持；这是高权重的原始旺衰证据，仍须结合根气、透干、同党及克泄耗。</x:v>
      </x:c>
      <x:c r="AA17" s="82" t="str">
        <x:v>较高</x:v>
      </x:c>
      <x:c r="AB17" s="82" t="str">
        <x:v>跨流派共识</x:v>
      </x:c>
      <x:c r="AC17" s="68" t="str">
        <x:v>月份边界以节气为准；子为仲冬，其本气属水。参照《摄生月令》季序及《三命通会》月气论述。</x:v>
      </x:c>
      <x:c r="AD17" s="68" t="str">
        <x:v>例如癸日生子月，水获得月令支持；若另有根助与同党，支持进一步增强。</x:v>
      </x:c>
      <x:c r="AE17" s="90" t="str">
        <x:v>例如癸日生子月但全局无有效根、受强力克泄耗，不能只因得令直接判旺。</x:v>
      </x:c>
      <x:c r="AF17" s="68" t="str">
        <x:v>https://zh.wikisource.org/wiki/攝生月令；https://zh.wikisource.org/zh-hans/三命通會_(四庫全書本)/卷10</x:v>
      </x:c>
      <x:c r="AG17" s="82" t="str">
        <x:v>采用</x:v>
      </x:c>
      <x:c r="AH17" s="82" t="str">
        <x:v>初审</x:v>
      </x:c>
      <x:c r="AI17" s="87" t="n">
        <x:v>46255</x:v>
      </x:c>
    </x:row>
    <x:row r="18" ht="48" customHeight="1">
      <x:c r="A18" s="72" t="str">
        <x:f>IF(OR(C18="",D18=""),"",B18&amp;"-"&amp;UPPER(C18)&amp;"-"&amp;TEXT(D18,"0000")&amp;"-"&amp;E18)</x:f>
        <x:v>M03-ML-0012-V1.0</x:v>
      </x:c>
      <x:c r="B18" s="74" t="str">
        <x:v>M03</x:v>
      </x:c>
      <x:c r="C18" s="74" t="str">
        <x:v>ML</x:v>
      </x:c>
      <x:c r="D18" s="79" t="n">
        <x:v>12</x:v>
      </x:c>
      <x:c r="E18" s="74" t="str">
        <x:v>V1.0</x:v>
      </x:c>
      <x:c r="F18" s="68" t="str">
        <x:v>丑月土当令基础</x:v>
      </x:c>
      <x:c r="G18" s="82" t="str">
        <x:v>结构层</x:v>
      </x:c>
      <x:c r="H18" s="68" t="str">
        <x:v>土五行及所属天干</x:v>
      </x:c>
      <x:c r="I18" s="68" t="str">
        <x:v>月令司权</x:v>
      </x:c>
      <x:c r="J18" s="68" t="str">
        <x:v>丑月（小寒起至立春前，季冬）</x:v>
      </x:c>
      <x:c r="K18" s="82"/>
      <x:c r="L18" s="82"/>
      <x:c r="M18" s="82" t="str">
        <x:v>其他</x:v>
      </x:c>
      <x:c r="N18" s="68" t="str">
        <x:v>出生时间、时区与交节时刻已确认</x:v>
      </x:c>
      <x:c r="O18" s="68" t="str">
        <x:v>按节气确定月支为丑</x:v>
      </x:c>
      <x:c r="P18" s="68" t="str">
        <x:v>土透干、同类通根、得生源或同党成势</x:v>
      </x:c>
      <x:c r="Q18" s="68" t="str">
        <x:v>距交节点很近、对象无根，或对象同时受强力克泄耗</x:v>
      </x:c>
      <x:c r="R18" s="90" t="str">
        <x:v>不得仅凭本条直接判定日主或该五行的最终旺衰</x:v>
      </x:c>
      <x:c r="S18" s="68" t="str">
        <x:v>辰、未、戌、丑四季月内部司令深浅存在流派差异，涉及分日时须转M21登记；严格特殊格局须转M14审查。</x:v>
      </x:c>
      <x:c r="T18" s="68" t="str">
        <x:v>五行原始旺衰证据</x:v>
      </x:c>
      <x:c r="U18" s="82" t="str">
        <x:v>增强</x:v>
      </x:c>
      <x:c r="V18" s="82" t="str">
        <x:v>强</x:v>
      </x:c>
      <x:c r="W18" s="82" t="str">
        <x:v>P1_高</x:v>
      </x:c>
      <x:c r="X18" s="82" t="str">
        <x:v>辅助证据</x:v>
      </x:c>
      <x:c r="Y18" s="84" t="str">
        <x:v>丑月土得令</x:v>
      </x:c>
      <x:c r="Z18" s="84" t="str">
        <x:v>月支为丑，土取得季节主气支持；这是高权重的原始旺衰证据，仍须结合根气、透干、同党及克泄耗。</x:v>
      </x:c>
      <x:c r="AA18" s="82" t="str">
        <x:v>较高</x:v>
      </x:c>
      <x:c r="AB18" s="82" t="str">
        <x:v>跨流派共识</x:v>
      </x:c>
      <x:c r="AC18" s="68" t="str">
        <x:v>月份边界以节气为准；丑为季冬，其本气属土。参照《摄生月令》季序及《三命通会》月气论述。</x:v>
      </x:c>
      <x:c r="AD18" s="68" t="str">
        <x:v>例如己日生丑月，土获得月令支持；若另有根助与同党，支持进一步增强。</x:v>
      </x:c>
      <x:c r="AE18" s="90" t="str">
        <x:v>例如己日生丑月但全局无有效根、受强力克泄耗，不能只因得令直接判旺。</x:v>
      </x:c>
      <x:c r="AF18" s="68" t="str">
        <x:v>https://zh.wikisource.org/wiki/攝生月令；https://zh.wikisource.org/zh-hans/三命通會_(四庫全書本)/卷10</x:v>
      </x:c>
      <x:c r="AG18" s="82" t="str">
        <x:v>采用</x:v>
      </x:c>
      <x:c r="AH18" s="82" t="str">
        <x:v>初审</x:v>
      </x:c>
      <x:c r="AI18" s="87" t="n">
        <x:v>46255</x:v>
      </x:c>
    </x:row>
    <x:row r="19" ht="48" customHeight="1">
      <x:c r="A19" s="72" t="str">
        <x:f>IF(OR(C19="",D19=""),"",B19&amp;"-"&amp;UPPER(C19)&amp;"-"&amp;TEXT(D19,"0000")&amp;"-"&amp;E19)</x:f>
        <x:v>M03-WXR-0013-V1.0</x:v>
      </x:c>
      <x:c r="B19" s="74" t="str">
        <x:v>M03</x:v>
      </x:c>
      <x:c r="C19" s="74" t="str">
        <x:v>WXR</x:v>
      </x:c>
      <x:c r="D19" s="79" t="n">
        <x:v>13</x:v>
      </x:c>
      <x:c r="E19" s="74" t="str">
        <x:v>V1.0</x:v>
      </x:c>
      <x:c r="F19" s="68" t="str">
        <x:v>季节旺态判定</x:v>
      </x:c>
      <x:c r="G19" s="82" t="str">
        <x:v>结构层</x:v>
      </x:c>
      <x:c r="H19" s="68" t="str">
        <x:v>任一五行</x:v>
      </x:c>
      <x:c r="I19" s="68" t="str">
        <x:v>旺相休囚死</x:v>
      </x:c>
      <x:c r="J19" s="68" t="str">
        <x:v>月令主气五行已确定</x:v>
      </x:c>
      <x:c r="K19" s="82"/>
      <x:c r="L19" s="82"/>
      <x:c r="M19" s="82" t="str">
        <x:v>其他</x:v>
      </x:c>
      <x:c r="N19" s="68" t="str">
        <x:v>已按节气确定月支及其主气五行</x:v>
      </x:c>
      <x:c r="O19" s="68" t="str">
        <x:v>对象与当令五行同类</x:v>
      </x:c>
      <x:c r="P19" s="68" t="str">
        <x:v>对象另得强根、透干、生源或同党时，可修正季节证据的最终影响</x:v>
      </x:c>
      <x:c r="Q19" s="68" t="str">
        <x:v>对象无根、受强制泄耗或生源受阻时，季节不利影响可加重</x:v>
      </x:c>
      <x:c r="R19" s="90" t="str">
        <x:v>不得把旺相休囚死直接等同于最终七级旺衰或吉凶</x:v>
      </x:c>
      <x:c r="S19" s="68" t="str">
        <x:v>特殊格局、合化与有效力量须分别转M14、M06、M08处理</x:v>
      </x:c>
      <x:c r="T19" s="68" t="str">
        <x:v>季节旺衰证据</x:v>
      </x:c>
      <x:c r="U19" s="82" t="str">
        <x:v>增强</x:v>
      </x:c>
      <x:c r="V19" s="82" t="str">
        <x:v>强</x:v>
      </x:c>
      <x:c r="W19" s="82" t="str">
        <x:v>P1_高</x:v>
      </x:c>
      <x:c r="X19" s="82" t="str">
        <x:v>辅助证据</x:v>
      </x:c>
      <x:c r="Y19" s="84" t="str">
        <x:v>同类得令</x:v>
      </x:c>
      <x:c r="Z19" s="84" t="str">
        <x:v>对象与月令主气同五行，记为“旺”的季节证据；它说明当时得势，不等于全局最终必旺。</x:v>
      </x:c>
      <x:c r="AA19" s="82" t="str">
        <x:v>较高</x:v>
      </x:c>
      <x:c r="AB19" s="82" t="str">
        <x:v>旺衰扶抑</x:v>
      </x:c>
      <x:c r="AC19" s="68" t="str">
        <x:v>传统旺相休囚死关系：同令为旺、令生为相、生令为休、克令为囚、令克为死。</x:v>
      </x:c>
      <x:c r="AD19" s="68" t="str">
        <x:v>春令木旺；木获得直接季节支持。</x:v>
      </x:c>
      <x:c r="AE19" s="90" t="str">
        <x:v>木旺不等于任一木干都必然有根或能承担全局。</x:v>
      </x:c>
      <x:c r="AF19" s="68" t="str">
        <x:v>https://zh.wikisource.org/zh-hans/三命通會_(四庫全書本)/卷10；https://zh.wikisource.org/wiki/淵海子平</x:v>
      </x:c>
      <x:c r="AG19" s="82" t="str">
        <x:v>采用</x:v>
      </x:c>
      <x:c r="AH19" s="82" t="str">
        <x:v>初审</x:v>
      </x:c>
      <x:c r="AI19" s="87" t="n">
        <x:v>46255</x:v>
      </x:c>
    </x:row>
    <x:row r="20" ht="48" customHeight="1">
      <x:c r="A20" s="72" t="str">
        <x:f>IF(OR(C20="",D20=""),"",B20&amp;"-"&amp;UPPER(C20)&amp;"-"&amp;TEXT(D20,"0000")&amp;"-"&amp;E20)</x:f>
        <x:v>M03-WXR-0014-V1.0</x:v>
      </x:c>
      <x:c r="B20" s="74" t="str">
        <x:v>M03</x:v>
      </x:c>
      <x:c r="C20" s="74" t="str">
        <x:v>WXR</x:v>
      </x:c>
      <x:c r="D20" s="79" t="n">
        <x:v>14</x:v>
      </x:c>
      <x:c r="E20" s="74" t="str">
        <x:v>V1.0</x:v>
      </x:c>
      <x:c r="F20" s="68" t="str">
        <x:v>季节相态判定</x:v>
      </x:c>
      <x:c r="G20" s="82" t="str">
        <x:v>结构层</x:v>
      </x:c>
      <x:c r="H20" s="68" t="str">
        <x:v>任一五行</x:v>
      </x:c>
      <x:c r="I20" s="68" t="str">
        <x:v>旺相休囚死</x:v>
      </x:c>
      <x:c r="J20" s="68" t="str">
        <x:v>月令主气五行已确定</x:v>
      </x:c>
      <x:c r="K20" s="82"/>
      <x:c r="L20" s="82"/>
      <x:c r="M20" s="82" t="str">
        <x:v>其他</x:v>
      </x:c>
      <x:c r="N20" s="68" t="str">
        <x:v>已按节气确定月支及其主气五行</x:v>
      </x:c>
      <x:c r="O20" s="68" t="str">
        <x:v>当令五行生对象</x:v>
      </x:c>
      <x:c r="P20" s="68" t="str">
        <x:v>对象另得强根、透干、生源或同党时，可修正季节证据的最终影响</x:v>
      </x:c>
      <x:c r="Q20" s="68" t="str">
        <x:v>对象无根、受强制泄耗或生源受阻时，季节不利影响可加重</x:v>
      </x:c>
      <x:c r="R20" s="90" t="str">
        <x:v>不得把旺相休囚死直接等同于最终七级旺衰或吉凶</x:v>
      </x:c>
      <x:c r="S20" s="68" t="str">
        <x:v>特殊格局、合化与有效力量须分别转M14、M06、M08处理</x:v>
      </x:c>
      <x:c r="T20" s="68" t="str">
        <x:v>季节旺衰证据</x:v>
      </x:c>
      <x:c r="U20" s="82" t="str">
        <x:v>增强</x:v>
      </x:c>
      <x:c r="V20" s="82" t="str">
        <x:v>中</x:v>
      </x:c>
      <x:c r="W20" s="82" t="str">
        <x:v>P1_高</x:v>
      </x:c>
      <x:c r="X20" s="82" t="str">
        <x:v>辅助证据</x:v>
      </x:c>
      <x:c r="Y20" s="84" t="str">
        <x:v>受令所生</x:v>
      </x:c>
      <x:c r="Z20" s="84" t="str">
        <x:v>对象由当令五行所生，记为“相”的季节证据；支持度通常低于同类当令。</x:v>
      </x:c>
      <x:c r="AA20" s="82" t="str">
        <x:v>较高</x:v>
      </x:c>
      <x:c r="AB20" s="82" t="str">
        <x:v>旺衰扶抑</x:v>
      </x:c>
      <x:c r="AC20" s="68" t="str">
        <x:v>传统旺相休囚死关系：同令为旺、令生为相、生令为休、克令为囚、令克为死。</x:v>
      </x:c>
      <x:c r="AD20" s="68" t="str">
        <x:v>春令木旺而木生火，火为相。</x:v>
      </x:c>
      <x:c r="AE20" s="90" t="str">
        <x:v>火为相不等于火已成势；若无根无透仍可能功能有限。</x:v>
      </x:c>
      <x:c r="AF20" s="68" t="str">
        <x:v>https://zh.wikisource.org/zh-hans/三命通會_(四庫全書本)/卷10；https://zh.wikisource.org/wiki/淵海子平</x:v>
      </x:c>
      <x:c r="AG20" s="82" t="str">
        <x:v>采用</x:v>
      </x:c>
      <x:c r="AH20" s="82" t="str">
        <x:v>初审</x:v>
      </x:c>
      <x:c r="AI20" s="87" t="n">
        <x:v>46255</x:v>
      </x:c>
    </x:row>
    <x:row r="21" ht="48" customHeight="1">
      <x:c r="A21" s="72" t="str">
        <x:f>IF(OR(C21="",D21=""),"",B21&amp;"-"&amp;UPPER(C21)&amp;"-"&amp;TEXT(D21,"0000")&amp;"-"&amp;E21)</x:f>
        <x:v>M03-WXR-0015-V1.0</x:v>
      </x:c>
      <x:c r="B21" s="74" t="str">
        <x:v>M03</x:v>
      </x:c>
      <x:c r="C21" s="74" t="str">
        <x:v>WXR</x:v>
      </x:c>
      <x:c r="D21" s="79" t="n">
        <x:v>15</x:v>
      </x:c>
      <x:c r="E21" s="74" t="str">
        <x:v>V1.0</x:v>
      </x:c>
      <x:c r="F21" s="68" t="str">
        <x:v>季节休态判定</x:v>
      </x:c>
      <x:c r="G21" s="82" t="str">
        <x:v>结构层</x:v>
      </x:c>
      <x:c r="H21" s="68" t="str">
        <x:v>任一五行</x:v>
      </x:c>
      <x:c r="I21" s="68" t="str">
        <x:v>旺相休囚死</x:v>
      </x:c>
      <x:c r="J21" s="68" t="str">
        <x:v>月令主气五行已确定</x:v>
      </x:c>
      <x:c r="K21" s="82"/>
      <x:c r="L21" s="82"/>
      <x:c r="M21" s="82" t="str">
        <x:v>其他</x:v>
      </x:c>
      <x:c r="N21" s="68" t="str">
        <x:v>已按节气确定月支及其主气五行</x:v>
      </x:c>
      <x:c r="O21" s="68" t="str">
        <x:v>对象生当令五行</x:v>
      </x:c>
      <x:c r="P21" s="68" t="str">
        <x:v>对象另得强根、透干、生源或同党时，可修正季节证据的最终影响</x:v>
      </x:c>
      <x:c r="Q21" s="68" t="str">
        <x:v>对象无根、受强制泄耗或生源受阻时，季节不利影响可加重</x:v>
      </x:c>
      <x:c r="R21" s="90" t="str">
        <x:v>不得把旺相休囚死直接等同于最终七级旺衰或吉凶</x:v>
      </x:c>
      <x:c r="S21" s="68" t="str">
        <x:v>特殊格局、合化与有效力量须分别转M14、M06、M08处理</x:v>
      </x:c>
      <x:c r="T21" s="68" t="str">
        <x:v>季节旺衰证据</x:v>
      </x:c>
      <x:c r="U21" s="82" t="str">
        <x:v>减弱</x:v>
      </x:c>
      <x:c r="V21" s="82" t="str">
        <x:v>中</x:v>
      </x:c>
      <x:c r="W21" s="82" t="str">
        <x:v>P2_中</x:v>
      </x:c>
      <x:c r="X21" s="82" t="str">
        <x:v>辅助证据</x:v>
      </x:c>
      <x:c r="Y21" s="84" t="str">
        <x:v>生令而休</x:v>
      </x:c>
      <x:c r="Z21" s="84" t="str">
        <x:v>对象生扶当令五行，季节上有泄气倾向，记为“休”；这是相对退势证据，不等于完全无力。</x:v>
      </x:c>
      <x:c r="AA21" s="82" t="str">
        <x:v>较高</x:v>
      </x:c>
      <x:c r="AB21" s="82" t="str">
        <x:v>旺衰扶抑</x:v>
      </x:c>
      <x:c r="AC21" s="68" t="str">
        <x:v>传统旺相休囚死关系：同令为旺、令生为相、生令为休、克令为囚、令克为死。</x:v>
      </x:c>
      <x:c r="AD21" s="68" t="str">
        <x:v>春令木旺，水生木，水为休。</x:v>
      </x:c>
      <x:c r="AE21" s="90" t="str">
        <x:v>水休不等于水绝；若水透干通根且成势，仍可有显著力量。</x:v>
      </x:c>
      <x:c r="AF21" s="68" t="str">
        <x:v>https://zh.wikisource.org/zh-hans/三命通會_(四庫全書本)/卷10；https://zh.wikisource.org/wiki/淵海子平</x:v>
      </x:c>
      <x:c r="AG21" s="82" t="str">
        <x:v>采用</x:v>
      </x:c>
      <x:c r="AH21" s="82" t="str">
        <x:v>初审</x:v>
      </x:c>
      <x:c r="AI21" s="87" t="n">
        <x:v>46255</x:v>
      </x:c>
    </x:row>
    <x:row r="22" ht="48" customHeight="1">
      <x:c r="A22" s="72" t="str">
        <x:f>IF(OR(C22="",D22=""),"",B22&amp;"-"&amp;UPPER(C22)&amp;"-"&amp;TEXT(D22,"0000")&amp;"-"&amp;E22)</x:f>
        <x:v>M03-WXR-0016-V1.0</x:v>
      </x:c>
      <x:c r="B22" s="74" t="str">
        <x:v>M03</x:v>
      </x:c>
      <x:c r="C22" s="74" t="str">
        <x:v>WXR</x:v>
      </x:c>
      <x:c r="D22" s="79" t="n">
        <x:v>16</x:v>
      </x:c>
      <x:c r="E22" s="74" t="str">
        <x:v>V1.0</x:v>
      </x:c>
      <x:c r="F22" s="68" t="str">
        <x:v>季节囚态判定</x:v>
      </x:c>
      <x:c r="G22" s="82" t="str">
        <x:v>结构层</x:v>
      </x:c>
      <x:c r="H22" s="68" t="str">
        <x:v>任一五行</x:v>
      </x:c>
      <x:c r="I22" s="68" t="str">
        <x:v>旺相休囚死</x:v>
      </x:c>
      <x:c r="J22" s="68" t="str">
        <x:v>月令主气五行已确定</x:v>
      </x:c>
      <x:c r="K22" s="82"/>
      <x:c r="L22" s="82"/>
      <x:c r="M22" s="82" t="str">
        <x:v>其他</x:v>
      </x:c>
      <x:c r="N22" s="68" t="str">
        <x:v>已按节气确定月支及其主气五行</x:v>
      </x:c>
      <x:c r="O22" s="68" t="str">
        <x:v>对象克当令五行</x:v>
      </x:c>
      <x:c r="P22" s="68" t="str">
        <x:v>对象另得强根、透干、生源或同党时，可修正季节证据的最终影响</x:v>
      </x:c>
      <x:c r="Q22" s="68" t="str">
        <x:v>对象无根、受强制泄耗或生源受阻时，季节不利影响可加重</x:v>
      </x:c>
      <x:c r="R22" s="90" t="str">
        <x:v>不得把旺相休囚死直接等同于最终七级旺衰或吉凶</x:v>
      </x:c>
      <x:c r="S22" s="68" t="str">
        <x:v>特殊格局、合化与有效力量须分别转M14、M06、M08处理</x:v>
      </x:c>
      <x:c r="T22" s="68" t="str">
        <x:v>季节旺衰证据</x:v>
      </x:c>
      <x:c r="U22" s="82" t="str">
        <x:v>减弱</x:v>
      </x:c>
      <x:c r="V22" s="82" t="str">
        <x:v>中</x:v>
      </x:c>
      <x:c r="W22" s="82" t="str">
        <x:v>P2_中</x:v>
      </x:c>
      <x:c r="X22" s="82" t="str">
        <x:v>辅助证据</x:v>
      </x:c>
      <x:c r="Y22" s="84" t="str">
        <x:v>克令而囚</x:v>
      </x:c>
      <x:c r="Z22" s="84" t="str">
        <x:v>对象试图克制当令五行，季节环境不利，记为“囚”；须与根气和同党合看。</x:v>
      </x:c>
      <x:c r="AA22" s="82" t="str">
        <x:v>较高</x:v>
      </x:c>
      <x:c r="AB22" s="82" t="str">
        <x:v>旺衰扶抑</x:v>
      </x:c>
      <x:c r="AC22" s="68" t="str">
        <x:v>传统旺相休囚死关系：同令为旺、令生为相、生令为休、克令为囚、令克为死。</x:v>
      </x:c>
      <x:c r="AD22" s="68" t="str">
        <x:v>春令木旺，金克木，金为囚。</x:v>
      </x:c>
      <x:c r="AE22" s="90" t="str">
        <x:v>金囚不等于金必弱；若申酉成势并得土生，仍需重新评估。</x:v>
      </x:c>
      <x:c r="AF22" s="68" t="str">
        <x:v>https://zh.wikisource.org/zh-hans/三命通會_(四庫全書本)/卷10；https://zh.wikisource.org/wiki/淵海子平</x:v>
      </x:c>
      <x:c r="AG22" s="82" t="str">
        <x:v>采用</x:v>
      </x:c>
      <x:c r="AH22" s="82" t="str">
        <x:v>初审</x:v>
      </x:c>
      <x:c r="AI22" s="87" t="n">
        <x:v>46255</x:v>
      </x:c>
    </x:row>
    <x:row r="23" ht="48" customHeight="1">
      <x:c r="A23" s="72" t="str">
        <x:f>IF(OR(C23="",D23=""),"",B23&amp;"-"&amp;UPPER(C23)&amp;"-"&amp;TEXT(D23,"0000")&amp;"-"&amp;E23)</x:f>
        <x:v>M03-WXR-0017-V1.0</x:v>
      </x:c>
      <x:c r="B23" s="74" t="str">
        <x:v>M03</x:v>
      </x:c>
      <x:c r="C23" s="74" t="str">
        <x:v>WXR</x:v>
      </x:c>
      <x:c r="D23" s="79" t="n">
        <x:v>17</x:v>
      </x:c>
      <x:c r="E23" s="74" t="str">
        <x:v>V1.0</x:v>
      </x:c>
      <x:c r="F23" s="68" t="str">
        <x:v>季节死态判定</x:v>
      </x:c>
      <x:c r="G23" s="82" t="str">
        <x:v>结构层</x:v>
      </x:c>
      <x:c r="H23" s="68" t="str">
        <x:v>任一五行</x:v>
      </x:c>
      <x:c r="I23" s="68" t="str">
        <x:v>旺相休囚死</x:v>
      </x:c>
      <x:c r="J23" s="68" t="str">
        <x:v>月令主气五行已确定</x:v>
      </x:c>
      <x:c r="K23" s="82"/>
      <x:c r="L23" s="82"/>
      <x:c r="M23" s="82" t="str">
        <x:v>其他</x:v>
      </x:c>
      <x:c r="N23" s="68" t="str">
        <x:v>已按节气确定月支及其主气五行</x:v>
      </x:c>
      <x:c r="O23" s="68" t="str">
        <x:v>当令五行克对象</x:v>
      </x:c>
      <x:c r="P23" s="68" t="str">
        <x:v>对象另得强根、透干、生源或同党时，可修正季节证据的最终影响</x:v>
      </x:c>
      <x:c r="Q23" s="68" t="str">
        <x:v>对象无根、受强制泄耗或生源受阻时，季节不利影响可加重</x:v>
      </x:c>
      <x:c r="R23" s="90" t="str">
        <x:v>不得把旺相休囚死直接等同于最终七级旺衰或吉凶</x:v>
      </x:c>
      <x:c r="S23" s="68" t="str">
        <x:v>特殊格局、合化与有效力量须分别转M14、M06、M08处理</x:v>
      </x:c>
      <x:c r="T23" s="68" t="str">
        <x:v>季节旺衰证据</x:v>
      </x:c>
      <x:c r="U23" s="82" t="str">
        <x:v>减弱</x:v>
      </x:c>
      <x:c r="V23" s="82" t="str">
        <x:v>强</x:v>
      </x:c>
      <x:c r="W23" s="82" t="str">
        <x:v>P1_高</x:v>
      </x:c>
      <x:c r="X23" s="82" t="str">
        <x:v>辅助证据</x:v>
      </x:c>
      <x:c r="Y23" s="84" t="str">
        <x:v>受令所克</x:v>
      </x:c>
      <x:c r="Z23" s="84" t="str">
        <x:v>对象被当令五行所克，记为“死”的季节证据；“死”是季节术语，不表示五行不存在。</x:v>
      </x:c>
      <x:c r="AA23" s="82" t="str">
        <x:v>较高</x:v>
      </x:c>
      <x:c r="AB23" s="82" t="str">
        <x:v>旺衰扶抑</x:v>
      </x:c>
      <x:c r="AC23" s="68" t="str">
        <x:v>传统旺相休囚死关系：同令为旺、令生为相、生令为休、克令为囚、令克为死。</x:v>
      </x:c>
      <x:c r="AD23" s="68" t="str">
        <x:v>春令木旺，木克土，土为死。</x:v>
      </x:c>
      <x:c r="AE23" s="90" t="str">
        <x:v>土死不等于地支辰戌丑未的土气全部消失。</x:v>
      </x:c>
      <x:c r="AF23" s="68" t="str">
        <x:v>https://zh.wikisource.org/zh-hans/三命通會_(四庫全書本)/卷10；https://zh.wikisource.org/wiki/淵海子平</x:v>
      </x:c>
      <x:c r="AG23" s="82" t="str">
        <x:v>采用</x:v>
      </x:c>
      <x:c r="AH23" s="82" t="str">
        <x:v>初审</x:v>
      </x:c>
      <x:c r="AI23" s="87" t="n">
        <x:v>46255</x:v>
      </x:c>
    </x:row>
    <x:row r="24" ht="48" customHeight="1">
      <x:c r="A24" s="72" t="str">
        <x:f>IF(OR(C24="",D24=""),"",B24&amp;"-"&amp;UPPER(C24)&amp;"-"&amp;TEXT(D24,"0000")&amp;"-"&amp;E24)</x:f>
        <x:v>M03-PROC-0018-V1.0</x:v>
      </x:c>
      <x:c r="B24" s="74" t="str">
        <x:v>M03</x:v>
      </x:c>
      <x:c r="C24" s="74" t="str">
        <x:v>PROC</x:v>
      </x:c>
      <x:c r="D24" s="79" t="n">
        <x:v>18</x:v>
      </x:c>
      <x:c r="E24" s="74" t="str">
        <x:v>V1.0</x:v>
      </x:c>
      <x:c r="F24" s="68" t="str">
        <x:v>月支必须按节气定界</x:v>
      </x:c>
      <x:c r="G24" s="82" t="str">
        <x:v>识别层</x:v>
      </x:c>
      <x:c r="H24" s="68" t="str">
        <x:v>月支</x:v>
      </x:c>
      <x:c r="I24" s="68" t="str">
        <x:v>历法边界</x:v>
      </x:c>
      <x:c r="J24" s="68" t="str">
        <x:v>十二月令交界</x:v>
      </x:c>
      <x:c r="K24" s="82" t="str">
        <x:v>其他</x:v>
      </x:c>
      <x:c r="L24" s="82" t="str">
        <x:v>待定</x:v>
      </x:c>
      <x:c r="M24" s="82" t="str">
        <x:v>其他</x:v>
      </x:c>
      <x:c r="N24" s="68" t="str">
        <x:v>出生年月日时、时区及历法转换信息可用</x:v>
      </x:c>
      <x:c r="O24" s="68" t="str">
        <x:v>以交节时刻划分寅至丑月，不以农历初一或公历月份直接代替</x:v>
      </x:c>
      <x:c r="P24" s="68"/>
      <x:c r="Q24" s="68"/>
      <x:c r="R24" s="90" t="str">
        <x:v>未核对节气边界时，不得锁定月支与月令</x:v>
      </x:c>
      <x:c r="S24" s="68" t="str">
        <x:v>采用真太阳时或其他校时体系时，应在输入层明确并保持全案一致</x:v>
      </x:c>
      <x:c r="T24" s="68" t="str">
        <x:v>月支识别</x:v>
      </x:c>
      <x:c r="U24" s="82" t="str">
        <x:v>不变</x:v>
      </x:c>
      <x:c r="V24" s="82" t="str">
        <x:v>决定性</x:v>
      </x:c>
      <x:c r="W24" s="82" t="str">
        <x:v>P0_硬约束</x:v>
      </x:c>
      <x:c r="X24" s="82" t="str">
        <x:v>硬约束</x:v>
      </x:c>
      <x:c r="Y24" s="84" t="str">
        <x:v>节气定月</x:v>
      </x:c>
      <x:c r="Z24" s="84" t="str">
        <x:v>月支以节气交接为边界；公历月份与农历月序只能作为提示，不能替代交节时刻。</x:v>
      </x:c>
      <x:c r="AA24" s="82" t="str">
        <x:v>确定</x:v>
      </x:c>
      <x:c r="AB24" s="82" t="str">
        <x:v>跨流派共识</x:v>
      </x:c>
      <x:c r="AC24" s="68" t="str">
        <x:v>子平月令以节气划分，是后续得令、格局与调候判断的输入前提。</x:v>
      </x:c>
      <x:c r="AD24" s="68" t="str">
        <x:v>出生在惊蛰之后，方进入卯月。</x:v>
      </x:c>
      <x:c r="AE24" s="90" t="str">
        <x:v>农历二月初并不必然已经进入卯月。</x:v>
      </x:c>
      <x:c r="AF24" s="68" t="str">
        <x:v>https://zh.wikisource.org/wiki/攝生月令；https://zh.wikisource.org/wiki/三命通會</x:v>
      </x:c>
      <x:c r="AG24" s="82" t="str">
        <x:v>采用</x:v>
      </x:c>
      <x:c r="AH24" s="82" t="str">
        <x:v>初审</x:v>
      </x:c>
      <x:c r="AI24" s="87" t="n">
        <x:v>46255</x:v>
      </x:c>
    </x:row>
    <x:row r="25" ht="48" customHeight="1">
      <x:c r="A25" s="72" t="str">
        <x:f>IF(OR(C25="",D25=""),"",B25&amp;"-"&amp;UPPER(C25)&amp;"-"&amp;TEXT(D25,"0000")&amp;"-"&amp;E25)</x:f>
        <x:v>M03-PROC-0019-V1.0</x:v>
      </x:c>
      <x:c r="B25" s="74" t="str">
        <x:v>M03</x:v>
      </x:c>
      <x:c r="C25" s="74" t="str">
        <x:v>PROC</x:v>
      </x:c>
      <x:c r="D25" s="79" t="n">
        <x:v>19</x:v>
      </x:c>
      <x:c r="E25" s="74" t="str">
        <x:v>V1.0</x:v>
      </x:c>
      <x:c r="F25" s="68" t="str">
        <x:v>交节边界必须核对精确时刻</x:v>
      </x:c>
      <x:c r="G25" s="82" t="str">
        <x:v>识别层</x:v>
      </x:c>
      <x:c r="H25" s="68" t="str">
        <x:v>月支</x:v>
      </x:c>
      <x:c r="I25" s="68" t="str">
        <x:v>边界校验</x:v>
      </x:c>
      <x:c r="J25" s="68" t="str">
        <x:v>出生时刻接近节气交接</x:v>
      </x:c>
      <x:c r="K25" s="82" t="str">
        <x:v>其他</x:v>
      </x:c>
      <x:c r="L25" s="82" t="str">
        <x:v>待定</x:v>
      </x:c>
      <x:c r="M25" s="82" t="str">
        <x:v>其他</x:v>
      </x:c>
      <x:c r="N25" s="68" t="str">
        <x:v>出生地时区与出生时刻可核验</x:v>
      </x:c>
      <x:c r="O25" s="68" t="str">
        <x:v>接近交节时必须比较出生时刻与当地采用的交节时刻</x:v>
      </x:c>
      <x:c r="P25" s="68" t="str">
        <x:v>出生时刻远离交节点时，边界争议显著降低</x:v>
      </x:c>
      <x:c r="Q25" s="68" t="str">
        <x:v>时区、夏令时或录入误差会降低置信度</x:v>
      </x:c>
      <x:c r="R25" s="90" t="str">
        <x:v>交节前后未判清时，不得把月支作为确定输入</x:v>
      </x:c>
      <x:c r="S25" s="68" t="str">
        <x:v>真太阳时是否采用属于体系选择；若改变月支，必须在M21记录争议与影响</x:v>
      </x:c>
      <x:c r="T25" s="68" t="str">
        <x:v>月支识别</x:v>
      </x:c>
      <x:c r="U25" s="82" t="str">
        <x:v>条件性</x:v>
      </x:c>
      <x:c r="V25" s="82" t="str">
        <x:v>决定性</x:v>
      </x:c>
      <x:c r="W25" s="82" t="str">
        <x:v>P0_硬约束</x:v>
      </x:c>
      <x:c r="X25" s="82" t="str">
        <x:v>硬约束</x:v>
      </x:c>
      <x:c r="Y25" s="84" t="str">
        <x:v>交节边界校验</x:v>
      </x:c>
      <x:c r="Z25" s="84" t="str">
        <x:v>出生接近交节时，月支结论必须附时区、交节时刻与置信度；必要时保留双方案。</x:v>
      </x:c>
      <x:c r="AA25" s="82" t="str">
        <x:v>较高</x:v>
      </x:c>
      <x:c r="AB25" s="82" t="str">
        <x:v>现代综合</x:v>
      </x:c>
      <x:c r="AC25" s="68" t="str">
        <x:v>边界误差会级联影响月令、藏干、格局和用神，因此属于硬输入校验。</x:v>
      </x:c>
      <x:c r="AD25" s="68" t="str">
        <x:v>出生在立春后数小时，经时区核对后确定为寅月。</x:v>
      </x:c>
      <x:c r="AE25" s="90" t="str">
        <x:v>只看日期不看立春具体时刻，可能把丑月误判为寅月。</x:v>
      </x:c>
      <x:c r="AF25" s="68" t="str">
        <x:v>内部历法治理规则；参照子平节气定月原则</x:v>
      </x:c>
      <x:c r="AG25" s="82" t="str">
        <x:v>采用</x:v>
      </x:c>
      <x:c r="AH25" s="82" t="str">
        <x:v>初审</x:v>
      </x:c>
      <x:c r="AI25" s="87" t="n">
        <x:v>46255</x:v>
      </x:c>
    </x:row>
    <x:row r="26" ht="48" customHeight="1">
      <x:c r="A26" s="72" t="str">
        <x:f>IF(OR(C26="",D26=""),"",B26&amp;"-"&amp;UPPER(C26)&amp;"-"&amp;TEXT(D26,"0000")&amp;"-"&amp;E26)</x:f>
        <x:v>M03-PROC-0020-V1.0</x:v>
      </x:c>
      <x:c r="B26" s="74" t="str">
        <x:v>M03</x:v>
      </x:c>
      <x:c r="C26" s="74" t="str">
        <x:v>PROC</x:v>
      </x:c>
      <x:c r="D26" s="79" t="n">
        <x:v>20</x:v>
      </x:c>
      <x:c r="E26" s="74" t="str">
        <x:v>V1.0</x:v>
      </x:c>
      <x:c r="F26" s="68" t="str">
        <x:v>得令是高权重证据而非充分条件</x:v>
      </x:c>
      <x:c r="G26" s="82" t="str">
        <x:v>结构层</x:v>
      </x:c>
      <x:c r="H26" s="68" t="str">
        <x:v>日主及任一五行</x:v>
      </x:c>
      <x:c r="I26" s="68" t="str">
        <x:v>得令</x:v>
      </x:c>
      <x:c r="J26" s="68" t="str">
        <x:v>对象与月令形成旺或相的关系</x:v>
      </x:c>
      <x:c r="K26" s="82" t="str">
        <x:v>其他</x:v>
      </x:c>
      <x:c r="L26" s="82" t="str">
        <x:v>待定</x:v>
      </x:c>
      <x:c r="M26" s="82" t="str">
        <x:v>其他</x:v>
      </x:c>
      <x:c r="N26" s="68" t="str">
        <x:v>月令主气关系已判断</x:v>
      </x:c>
      <x:c r="O26" s="68" t="str">
        <x:v>对象确实获得季节支持</x:v>
      </x:c>
      <x:c r="P26" s="68" t="str">
        <x:v>另有强根、透干、同党或连续生源</x:v>
      </x:c>
      <x:c r="Q26" s="68" t="str">
        <x:v>对象无根、受强制泄耗、根源被制或气不能透达</x:v>
      </x:c>
      <x:c r="R26" s="90" t="str">
        <x:v>不得仅凭得令直接输出“身旺”或“该五行旺”</x:v>
      </x:c>
      <x:c r="S26" s="68" t="str">
        <x:v>严格特殊格局须转M14，不套普通扶抑结论</x:v>
      </x:c>
      <x:c r="T26" s="68" t="str">
        <x:v>原始旺衰证据</x:v>
      </x:c>
      <x:c r="U26" s="82" t="str">
        <x:v>增强</x:v>
      </x:c>
      <x:c r="V26" s="82" t="str">
        <x:v>强</x:v>
      </x:c>
      <x:c r="W26" s="82" t="str">
        <x:v>P1_高</x:v>
      </x:c>
      <x:c r="X26" s="82" t="str">
        <x:v>辅助证据</x:v>
      </x:c>
      <x:c r="Y26" s="84" t="str">
        <x:v>得令非充分条件</x:v>
      </x:c>
      <x:c r="Z26" s="84" t="str">
        <x:v>对象得令，原始力量明显受支持；最终旺衰仍需结合得地、得势、得生及克泄耗。</x:v>
      </x:c>
      <x:c r="AA26" s="82" t="str">
        <x:v>较高</x:v>
      </x:c>
      <x:c r="AB26" s="82" t="str">
        <x:v>现代综合</x:v>
      </x:c>
      <x:c r="AC26" s="68" t="str">
        <x:v>月令决定季节气势，但不能覆盖全局根助、透干及制泄耗。</x:v>
      </x:c>
      <x:c r="AD26" s="68" t="str">
        <x:v>得令且根深、印比成势，可共同支持偏旺判断。</x:v>
      </x:c>
      <x:c r="AE26" s="90" t="str">
        <x:v>得令但无根并受强泄耗，不应机械判旺。</x:v>
      </x:c>
      <x:c r="AF26" s="68" t="str">
        <x:v>https://zh.wikisource.org/zh-hans/三命通會_(四庫全書本)/卷10；https://zh.wikisource.org/wiki/淵海子平</x:v>
      </x:c>
      <x:c r="AG26" s="82" t="str">
        <x:v>采用</x:v>
      </x:c>
      <x:c r="AH26" s="82" t="str">
        <x:v>初审</x:v>
      </x:c>
      <x:c r="AI26" s="87" t="n">
        <x:v>46255</x:v>
      </x:c>
    </x:row>
    <x:row r="27" ht="48" customHeight="1">
      <x:c r="A27" s="72" t="str">
        <x:f>IF(OR(C27="",D27=""),"",B27&amp;"-"&amp;UPPER(C27)&amp;"-"&amp;TEXT(D27,"0000")&amp;"-"&amp;E27)</x:f>
        <x:v>M03-PROC-0021-V1.0</x:v>
      </x:c>
      <x:c r="B27" s="74" t="str">
        <x:v>M03</x:v>
      </x:c>
      <x:c r="C27" s="74" t="str">
        <x:v>PROC</x:v>
      </x:c>
      <x:c r="D27" s="79" t="n">
        <x:v>21</x:v>
      </x:c>
      <x:c r="E27" s="74" t="str">
        <x:v>V1.0</x:v>
      </x:c>
      <x:c r="F27" s="68" t="str">
        <x:v>月令证据先入原始力量后再修正</x:v>
      </x:c>
      <x:c r="G27" s="82" t="str">
        <x:v>结构层</x:v>
      </x:c>
      <x:c r="H27" s="68" t="str">
        <x:v>五行与日主</x:v>
      </x:c>
      <x:c r="I27" s="68" t="str">
        <x:v>原始—有效分层</x:v>
      </x:c>
      <x:c r="J27" s="68" t="str">
        <x:v>已完成月令支持判断</x:v>
      </x:c>
      <x:c r="K27" s="82" t="str">
        <x:v>其他</x:v>
      </x:c>
      <x:c r="L27" s="82" t="str">
        <x:v>待定</x:v>
      </x:c>
      <x:c r="M27" s="82" t="str">
        <x:v>其他</x:v>
      </x:c>
      <x:c r="N27" s="68" t="str">
        <x:v>M02、M03基础识别已完成</x:v>
      </x:c>
      <x:c r="O27" s="68" t="str">
        <x:v>先把月令作为M07原始力量证据，再由M06/M08处理合冲、寒燥与流通</x:v>
      </x:c>
      <x:c r="P27" s="68" t="str">
        <x:v>月令本气透出、根气稳定时，有效性更容易保留</x:v>
      </x:c>
      <x:c r="Q27" s="68" t="str">
        <x:v>月支受复杂关系、寒凝燥枯或传导受阻时，有效性可能下降</x:v>
      </x:c>
      <x:c r="R27" s="90" t="str">
        <x:v>不得在M03直接把所有后续效应预先写入月令结论</x:v>
      </x:c>
      <x:c r="S27" s="68" t="str">
        <x:v>合化严格成立时需按M06/M14重算五行归属</x:v>
      </x:c>
      <x:c r="T27" s="68" t="str">
        <x:v>模块依赖</x:v>
      </x:c>
      <x:c r="U27" s="82" t="str">
        <x:v>条件性</x:v>
      </x:c>
      <x:c r="V27" s="82" t="str">
        <x:v>决定性</x:v>
      </x:c>
      <x:c r="W27" s="82" t="str">
        <x:v>P0_硬约束</x:v>
      </x:c>
      <x:c r="X27" s="82" t="str">
        <x:v>硬约束</x:v>
      </x:c>
      <x:c r="Y27" s="84" t="str">
        <x:v>原始有效分层</x:v>
      </x:c>
      <x:c r="Z27" s="84" t="str">
        <x:v>月令先生成原始支持证据；关系效应与环境修正后，才能得到有效力量。</x:v>
      </x:c>
      <x:c r="AA27" s="82" t="str">
        <x:v>确定</x:v>
      </x:c>
      <x:c r="AB27" s="82" t="str">
        <x:v>现代综合</x:v>
      </x:c>
      <x:c r="AC27" s="68" t="str">
        <x:v>本库的核心分层原则，用于防止先定旺衰再倒推关系效应。</x:v>
      </x:c>
      <x:c r="AD27" s="68" t="str">
        <x:v>寅月先记木得令，若后续寅支受作用，再在M08调整有效木力。</x:v>
      </x:c>
      <x:c r="AE27" s="90" t="str">
        <x:v>在M03看到寅月就直接把刑冲后果算入木的最终等级。</x:v>
      </x:c>
      <x:c r="AF27" s="68" t="str">
        <x:v>内部模型治理规则</x:v>
      </x:c>
      <x:c r="AG27" s="82" t="str">
        <x:v>采用</x:v>
      </x:c>
      <x:c r="AH27" s="82" t="str">
        <x:v>初审</x:v>
      </x:c>
      <x:c r="AI27" s="87" t="n">
        <x:v>46255</x:v>
      </x:c>
    </x:row>
    <x:row r="28" ht="48" customHeight="1">
      <x:c r="A28" s="72" t="str">
        <x:f>IF(OR(C28="",D28=""),"",B28&amp;"-"&amp;UPPER(C28)&amp;"-"&amp;TEXT(D28,"0000")&amp;"-"&amp;E28)</x:f>
        <x:v>M03-PROC-0022-V1.0</x:v>
      </x:c>
      <x:c r="B28" s="74" t="str">
        <x:v>M03</x:v>
      </x:c>
      <x:c r="C28" s="74" t="str">
        <x:v>PROC</x:v>
      </x:c>
      <x:c r="D28" s="79" t="n">
        <x:v>22</x:v>
      </x:c>
      <x:c r="E28" s="74" t="str">
        <x:v>V1.0</x:v>
      </x:c>
      <x:c r="F28" s="68" t="str">
        <x:v>藏干层级不换算固定百分比</x:v>
      </x:c>
      <x:c r="G28" s="82" t="str">
        <x:v>结构层</x:v>
      </x:c>
      <x:c r="H28" s="68" t="str">
        <x:v>地支藏干</x:v>
      </x:c>
      <x:c r="I28" s="68" t="str">
        <x:v>权重边界</x:v>
      </x:c>
      <x:c r="J28" s="68" t="str">
        <x:v>使用本气、中气、余气层级</x:v>
      </x:c>
      <x:c r="K28" s="82" t="str">
        <x:v>其他</x:v>
      </x:c>
      <x:c r="L28" s="82" t="str">
        <x:v>待定</x:v>
      </x:c>
      <x:c r="M28" s="82" t="str">
        <x:v>其他</x:v>
      </x:c>
      <x:c r="N28" s="68" t="str">
        <x:v>藏干层级已按M02识别</x:v>
      </x:c>
      <x:c r="O28" s="68" t="str">
        <x:v>层级只作为相对优先与根气深浅的起点</x:v>
      </x:c>
      <x:c r="P28" s="68" t="str">
        <x:v>月令、本气透出、多处呼应可增强其有效性</x:v>
      </x:c>
      <x:c r="Q28" s="68" t="str">
        <x:v>受制、被合绊、环境不适或无传导可降低其有效性</x:v>
      </x:c>
      <x:c r="R28" s="90" t="str">
        <x:v>不得把本气、中气、余气机械设为固定百分比分值并跨命局通用</x:v>
      </x:c>
      <x:c r="S28" s="68" t="str">
        <x:v>若特定流派采用分日或权重表，必须在M21登记版本与适用边界</x:v>
      </x:c>
      <x:c r="T28" s="68" t="str">
        <x:v>根气权重</x:v>
      </x:c>
      <x:c r="U28" s="82" t="str">
        <x:v>待定</x:v>
      </x:c>
      <x:c r="V28" s="82" t="str">
        <x:v>决定性</x:v>
      </x:c>
      <x:c r="W28" s="82" t="str">
        <x:v>P0_硬约束</x:v>
      </x:c>
      <x:c r="X28" s="82" t="str">
        <x:v>否决规则</x:v>
      </x:c>
      <x:c r="Y28" s="84" t="str">
        <x:v>禁用固定比例</x:v>
      </x:c>
      <x:c r="Z28" s="84" t="str">
        <x:v>本气、中气、余气表示层级，不等于跨命局恒定的数值比例；实际根力由位置、月令与后续作用修正。</x:v>
      </x:c>
      <x:c r="AA28" s="82" t="str">
        <x:v>较高</x:v>
      </x:c>
      <x:c r="AB28" s="82" t="str">
        <x:v>现代综合</x:v>
      </x:c>
      <x:c r="AC28" s="68" t="str">
        <x:v>藏干层级是分类语言，不足以独立给出统一数值。</x:v>
      </x:c>
      <x:c r="AD28" s="68" t="str">
        <x:v>同为余气根，月支透出与远支受制的有效性可以不同。</x:v>
      </x:c>
      <x:c r="AE28" s="90" t="str">
        <x:v>把所有本气固定计60%、中气30%、余气10%，再机械相加。</x:v>
      </x:c>
      <x:c r="AF28" s="68" t="str">
        <x:v>内部规则治理；争议权重转M21</x:v>
      </x:c>
      <x:c r="AG28" s="82" t="str">
        <x:v>采用</x:v>
      </x:c>
      <x:c r="AH28" s="82" t="str">
        <x:v>初审</x:v>
      </x:c>
      <x:c r="AI28" s="87" t="n">
        <x:v>46255</x:v>
      </x:c>
    </x:row>
    <x:row r="29" ht="48" customHeight="1">
      <x:c r="A29" s="72" t="str">
        <x:f>IF(OR(C29="",D29=""),"",B29&amp;"-"&amp;UPPER(C29)&amp;"-"&amp;TEXT(D29,"0000")&amp;"-"&amp;E29)</x:f>
        <x:v>M03-PROC-0023-V1.0</x:v>
      </x:c>
      <x:c r="B29" s="74" t="str">
        <x:v>M03</x:v>
      </x:c>
      <x:c r="C29" s="74" t="str">
        <x:v>PROC</x:v>
      </x:c>
      <x:c r="D29" s="79" t="n">
        <x:v>23</x:v>
      </x:c>
      <x:c r="E29" s="74" t="str">
        <x:v>V1.0</x:v>
      </x:c>
      <x:c r="F29" s="68" t="str">
        <x:v>月令支持与月支通根不得机械双计</x:v>
      </x:c>
      <x:c r="G29" s="82" t="str">
        <x:v>结构层</x:v>
      </x:c>
      <x:c r="H29" s="68" t="str">
        <x:v>日主及五行</x:v>
      </x:c>
      <x:c r="I29" s="68" t="str">
        <x:v>证据去重</x:v>
      </x:c>
      <x:c r="J29" s="68" t="str">
        <x:v>同一月支同时提供季节支持与根气</x:v>
      </x:c>
      <x:c r="K29" s="82" t="str">
        <x:v>其他</x:v>
      </x:c>
      <x:c r="L29" s="82" t="str">
        <x:v>待定</x:v>
      </x:c>
      <x:c r="M29" s="82" t="str">
        <x:v>其他</x:v>
      </x:c>
      <x:c r="N29" s="68" t="str">
        <x:v>月支主气与对象同类且支内含对象同类藏干</x:v>
      </x:c>
      <x:c r="O29" s="68" t="str">
        <x:v>分别记录“得令”和“得地”，汇总时识别二者来自同一载体</x:v>
      </x:c>
      <x:c r="P29" s="68" t="str">
        <x:v>另有其他支根、透干或同党可形成独立增量证据</x:v>
      </x:c>
      <x:c r="Q29" s="68" t="str">
        <x:v>若月支受损，两个维度可能同时受影响</x:v>
      </x:c>
      <x:c r="R29" s="90" t="str">
        <x:v>不得把同一月支的季节气势和根气按两个完全独立满额分数重复相加</x:v>
      </x:c>
      <x:c r="S29" s="68" t="str">
        <x:v>定性分析仍须同时保留得令与得地两个标签</x:v>
      </x:c>
      <x:c r="T29" s="68" t="str">
        <x:v>证据聚合</x:v>
      </x:c>
      <x:c r="U29" s="82" t="str">
        <x:v>条件性</x:v>
      </x:c>
      <x:c r="V29" s="82" t="str">
        <x:v>强</x:v>
      </x:c>
      <x:c r="W29" s="82" t="str">
        <x:v>P1_高</x:v>
      </x:c>
      <x:c r="X29" s="82" t="str">
        <x:v>否决规则</x:v>
      </x:c>
      <x:c r="Y29" s="84" t="str">
        <x:v>月令根气去重</x:v>
      </x:c>
      <x:c r="Z29" s="84" t="str">
        <x:v>同一月支可以同时构成得令与得地，但总量评估应识别证据共源，避免机械双重计分。</x:v>
      </x:c>
      <x:c r="AA29" s="82" t="str">
        <x:v>较高</x:v>
      </x:c>
      <x:c r="AB29" s="82" t="str">
        <x:v>现代综合</x:v>
      </x:c>
      <x:c r="AC29" s="68" t="str">
        <x:v>维度可分、载体共源；既不能合并成一个概念，也不能无上限重复放大。</x:v>
      </x:c>
      <x:c r="AD29" s="68" t="str">
        <x:v>甲日寅月可记得令且有甲本气根，但总量汇总时注明均来自月支寅。</x:v>
      </x:c>
      <x:c r="AE29" s="90" t="str">
        <x:v>把寅月木得令计一满分，再把寅中甲根重复计另一满分，直接推出极旺。</x:v>
      </x:c>
      <x:c r="AF29" s="68" t="str">
        <x:v>内部模型治理规则</x:v>
      </x:c>
      <x:c r="AG29" s="82" t="str">
        <x:v>采用</x:v>
      </x:c>
      <x:c r="AH29" s="82" t="str">
        <x:v>初审</x:v>
      </x:c>
      <x:c r="AI29" s="87" t="n">
        <x:v>46255</x:v>
      </x:c>
    </x:row>
    <x:row r="30" ht="48" customHeight="1">
      <x:c r="A30" s="72" t="str">
        <x:f>IF(OR(C30="",D30=""),"",B30&amp;"-"&amp;UPPER(C30)&amp;"-"&amp;TEXT(D30,"0000")&amp;"-"&amp;E30)</x:f>
        <x:v>M03-TGRT-0024-V1.0</x:v>
      </x:c>
      <x:c r="B30" s="74" t="str">
        <x:v>M03</x:v>
      </x:c>
      <x:c r="C30" s="74" t="str">
        <x:v>TGRT</x:v>
      </x:c>
      <x:c r="D30" s="79" t="n">
        <x:v>24</x:v>
      </x:c>
      <x:c r="E30" s="74" t="str">
        <x:v>V1.0</x:v>
      </x:c>
      <x:c r="F30" s="68" t="str">
        <x:v>甲干直接通根支位</x:v>
      </x:c>
      <x:c r="G30" s="82" t="str">
        <x:v>结构层</x:v>
      </x:c>
      <x:c r="H30" s="68" t="str">
        <x:v>天干甲</x:v>
      </x:c>
      <x:c r="I30" s="68" t="str">
        <x:v>直接通根映射</x:v>
      </x:c>
      <x:c r="J30" s="68"/>
      <x:c r="K30" s="82" t="str">
        <x:v>其他</x:v>
      </x:c>
      <x:c r="L30" s="82" t="str">
        <x:v>待定</x:v>
      </x:c>
      <x:c r="M30" s="82" t="str">
        <x:v>其他</x:v>
      </x:c>
      <x:c r="N30" s="68" t="str">
        <x:v>天干甲出现在原局或待分析对象中</x:v>
      </x:c>
      <x:c r="O30" s="68" t="str">
        <x:v>至少一支的标准藏干中直接出现甲</x:v>
      </x:c>
      <x:c r="P30" s="68" t="str">
        <x:v>对应支为月支、处于本气位、同类得令或多处出现</x:v>
      </x:c>
      <x:c r="Q30" s="68" t="str">
        <x:v>仅处中余气、根支受强烈作用、气候或流通受阻</x:v>
      </x:c>
      <x:c r="R30" s="90" t="str">
        <x:v>四支均不藏甲时，不得称甲有直接根</x:v>
      </x:c>
      <x:c r="S30" s="68" t="str">
        <x:v>同五行异阴阳藏干可构成同类根，但不等同直接根；合化成立后须重算。</x:v>
      </x:c>
      <x:c r="T30" s="68" t="str">
        <x:v>甲干根气存在性</x:v>
      </x:c>
      <x:c r="U30" s="82" t="str">
        <x:v>增强</x:v>
      </x:c>
      <x:c r="V30" s="82" t="str">
        <x:v>待定</x:v>
      </x:c>
      <x:c r="W30" s="82" t="str">
        <x:v>P0_硬约束</x:v>
      </x:c>
      <x:c r="X30" s="82" t="str">
        <x:v>硬约束</x:v>
      </x:c>
      <x:c r="Y30" s="84" t="str">
        <x:v>甲干直接通根</x:v>
      </x:c>
      <x:c r="Z30" s="84" t="str">
        <x:v>天干甲在寅（甲本气）、亥（甲中气）可判为直接通根；具体根力再按本气、中气、余气、位置和后续作用分级。</x:v>
      </x:c>
      <x:c r="AA30" s="82" t="str">
        <x:v>确定</x:v>
      </x:c>
      <x:c r="AB30" s="82" t="str">
        <x:v>跨流派共识</x:v>
      </x:c>
      <x:c r="AC30" s="68" t="str">
        <x:v>依据M02标准藏干表，直接通根要求支内出现同一干。</x:v>
      </x:c>
      <x:c r="AD30" s="68" t="str">
        <x:v>命局见甲透干且地支含甲，可先记直接根，再判根力。</x:v>
      </x:c>
      <x:c r="AE30" s="90" t="str">
        <x:v>若只见同五行异阴阳藏干，应记同类根，不应误写为甲的直接根。</x:v>
      </x:c>
      <x:c r="AF30" s="68" t="str">
        <x:v>https://zh.wikisource.org/wiki/三命通會；https://zh.wikisource.org/wiki/淵海子平</x:v>
      </x:c>
      <x:c r="AG30" s="82" t="str">
        <x:v>采用</x:v>
      </x:c>
      <x:c r="AH30" s="82" t="str">
        <x:v>初审</x:v>
      </x:c>
      <x:c r="AI30" s="87" t="n">
        <x:v>46255</x:v>
      </x:c>
    </x:row>
    <x:row r="31" ht="48" customHeight="1">
      <x:c r="A31" s="72" t="str">
        <x:f>IF(OR(C31="",D31=""),"",B31&amp;"-"&amp;UPPER(C31)&amp;"-"&amp;TEXT(D31,"0000")&amp;"-"&amp;E31)</x:f>
        <x:v>M03-TGRT-0025-V1.0</x:v>
      </x:c>
      <x:c r="B31" s="74" t="str">
        <x:v>M03</x:v>
      </x:c>
      <x:c r="C31" s="74" t="str">
        <x:v>TGRT</x:v>
      </x:c>
      <x:c r="D31" s="79" t="n">
        <x:v>25</x:v>
      </x:c>
      <x:c r="E31" s="74" t="str">
        <x:v>V1.0</x:v>
      </x:c>
      <x:c r="F31" s="68" t="str">
        <x:v>乙干直接通根支位</x:v>
      </x:c>
      <x:c r="G31" s="82" t="str">
        <x:v>结构层</x:v>
      </x:c>
      <x:c r="H31" s="68" t="str">
        <x:v>天干乙</x:v>
      </x:c>
      <x:c r="I31" s="68" t="str">
        <x:v>直接通根映射</x:v>
      </x:c>
      <x:c r="J31" s="68"/>
      <x:c r="K31" s="82" t="str">
        <x:v>其他</x:v>
      </x:c>
      <x:c r="L31" s="82" t="str">
        <x:v>待定</x:v>
      </x:c>
      <x:c r="M31" s="82" t="str">
        <x:v>其他</x:v>
      </x:c>
      <x:c r="N31" s="68" t="str">
        <x:v>天干乙出现在原局或待分析对象中</x:v>
      </x:c>
      <x:c r="O31" s="68" t="str">
        <x:v>至少一支的标准藏干中直接出现乙</x:v>
      </x:c>
      <x:c r="P31" s="68" t="str">
        <x:v>对应支为月支、处于本气位、同类得令或多处出现</x:v>
      </x:c>
      <x:c r="Q31" s="68" t="str">
        <x:v>仅处中余气、根支受强烈作用、气候或流通受阻</x:v>
      </x:c>
      <x:c r="R31" s="90" t="str">
        <x:v>四支均不藏乙时，不得称乙有直接根</x:v>
      </x:c>
      <x:c r="S31" s="68" t="str">
        <x:v>同五行异阴阳藏干可构成同类根，但不等同直接根；合化成立后须重算。</x:v>
      </x:c>
      <x:c r="T31" s="68" t="str">
        <x:v>乙干根气存在性</x:v>
      </x:c>
      <x:c r="U31" s="82" t="str">
        <x:v>增强</x:v>
      </x:c>
      <x:c r="V31" s="82" t="str">
        <x:v>待定</x:v>
      </x:c>
      <x:c r="W31" s="82" t="str">
        <x:v>P0_硬约束</x:v>
      </x:c>
      <x:c r="X31" s="82" t="str">
        <x:v>硬约束</x:v>
      </x:c>
      <x:c r="Y31" s="84" t="str">
        <x:v>乙干直接通根</x:v>
      </x:c>
      <x:c r="Z31" s="84" t="str">
        <x:v>天干乙在卯（乙本气）、辰（乙中气）、未（乙余气）可判为直接通根；具体根力再按本气、中气、余气、位置和后续作用分级。</x:v>
      </x:c>
      <x:c r="AA31" s="82" t="str">
        <x:v>确定</x:v>
      </x:c>
      <x:c r="AB31" s="82" t="str">
        <x:v>跨流派共识</x:v>
      </x:c>
      <x:c r="AC31" s="68" t="str">
        <x:v>依据M02标准藏干表，直接通根要求支内出现同一干。</x:v>
      </x:c>
      <x:c r="AD31" s="68" t="str">
        <x:v>命局见乙透干且地支含乙，可先记直接根，再判根力。</x:v>
      </x:c>
      <x:c r="AE31" s="90" t="str">
        <x:v>若只见同五行异阴阳藏干，应记同类根，不应误写为乙的直接根。</x:v>
      </x:c>
      <x:c r="AF31" s="68" t="str">
        <x:v>https://zh.wikisource.org/wiki/三命通會；https://zh.wikisource.org/wiki/淵海子平</x:v>
      </x:c>
      <x:c r="AG31" s="82" t="str">
        <x:v>采用</x:v>
      </x:c>
      <x:c r="AH31" s="82" t="str">
        <x:v>初审</x:v>
      </x:c>
      <x:c r="AI31" s="87" t="n">
        <x:v>46255</x:v>
      </x:c>
    </x:row>
    <x:row r="32" ht="48" customHeight="1">
      <x:c r="A32" s="72" t="str">
        <x:f>IF(OR(C32="",D32=""),"",B32&amp;"-"&amp;UPPER(C32)&amp;"-"&amp;TEXT(D32,"0000")&amp;"-"&amp;E32)</x:f>
        <x:v>M03-TGRT-0026-V1.0</x:v>
      </x:c>
      <x:c r="B32" s="74" t="str">
        <x:v>M03</x:v>
      </x:c>
      <x:c r="C32" s="74" t="str">
        <x:v>TGRT</x:v>
      </x:c>
      <x:c r="D32" s="79" t="n">
        <x:v>26</x:v>
      </x:c>
      <x:c r="E32" s="74" t="str">
        <x:v>V1.0</x:v>
      </x:c>
      <x:c r="F32" s="68" t="str">
        <x:v>丙干直接通根支位</x:v>
      </x:c>
      <x:c r="G32" s="82" t="str">
        <x:v>结构层</x:v>
      </x:c>
      <x:c r="H32" s="68" t="str">
        <x:v>天干丙</x:v>
      </x:c>
      <x:c r="I32" s="68" t="str">
        <x:v>直接通根映射</x:v>
      </x:c>
      <x:c r="J32" s="68"/>
      <x:c r="K32" s="82" t="str">
        <x:v>其他</x:v>
      </x:c>
      <x:c r="L32" s="82" t="str">
        <x:v>待定</x:v>
      </x:c>
      <x:c r="M32" s="82" t="str">
        <x:v>其他</x:v>
      </x:c>
      <x:c r="N32" s="68" t="str">
        <x:v>天干丙出现在原局或待分析对象中</x:v>
      </x:c>
      <x:c r="O32" s="68" t="str">
        <x:v>至少一支的标准藏干中直接出现丙</x:v>
      </x:c>
      <x:c r="P32" s="68" t="str">
        <x:v>对应支为月支、处于本气位、同类得令或多处出现</x:v>
      </x:c>
      <x:c r="Q32" s="68" t="str">
        <x:v>仅处中余气、根支受强烈作用、气候或流通受阻</x:v>
      </x:c>
      <x:c r="R32" s="90" t="str">
        <x:v>四支均不藏丙时，不得称丙有直接根</x:v>
      </x:c>
      <x:c r="S32" s="68" t="str">
        <x:v>同五行异阴阳藏干可构成同类根，但不等同直接根；合化成立后须重算。</x:v>
      </x:c>
      <x:c r="T32" s="68" t="str">
        <x:v>丙干根气存在性</x:v>
      </x:c>
      <x:c r="U32" s="82" t="str">
        <x:v>增强</x:v>
      </x:c>
      <x:c r="V32" s="82" t="str">
        <x:v>待定</x:v>
      </x:c>
      <x:c r="W32" s="82" t="str">
        <x:v>P0_硬约束</x:v>
      </x:c>
      <x:c r="X32" s="82" t="str">
        <x:v>硬约束</x:v>
      </x:c>
      <x:c r="Y32" s="84" t="str">
        <x:v>丙干直接通根</x:v>
      </x:c>
      <x:c r="Z32" s="84" t="str">
        <x:v>天干丙在巳（丙本气）、寅（丙中气）可判为直接通根；具体根力再按本气、中气、余气、位置和后续作用分级。</x:v>
      </x:c>
      <x:c r="AA32" s="82" t="str">
        <x:v>确定</x:v>
      </x:c>
      <x:c r="AB32" s="82" t="str">
        <x:v>跨流派共识</x:v>
      </x:c>
      <x:c r="AC32" s="68" t="str">
        <x:v>依据M02标准藏干表，直接通根要求支内出现同一干。</x:v>
      </x:c>
      <x:c r="AD32" s="68" t="str">
        <x:v>命局见丙透干且地支含丙，可先记直接根，再判根力。</x:v>
      </x:c>
      <x:c r="AE32" s="90" t="str">
        <x:v>若只见同五行异阴阳藏干，应记同类根，不应误写为丙的直接根。</x:v>
      </x:c>
      <x:c r="AF32" s="68" t="str">
        <x:v>https://zh.wikisource.org/wiki/三命通會；https://zh.wikisource.org/wiki/淵海子平</x:v>
      </x:c>
      <x:c r="AG32" s="82" t="str">
        <x:v>采用</x:v>
      </x:c>
      <x:c r="AH32" s="82" t="str">
        <x:v>初审</x:v>
      </x:c>
      <x:c r="AI32" s="87" t="n">
        <x:v>46255</x:v>
      </x:c>
    </x:row>
    <x:row r="33" ht="48" customHeight="1">
      <x:c r="A33" s="72" t="str">
        <x:f>IF(OR(C33="",D33=""),"",B33&amp;"-"&amp;UPPER(C33)&amp;"-"&amp;TEXT(D33,"0000")&amp;"-"&amp;E33)</x:f>
        <x:v>M03-TGRT-0027-V1.0</x:v>
      </x:c>
      <x:c r="B33" s="74" t="str">
        <x:v>M03</x:v>
      </x:c>
      <x:c r="C33" s="74" t="str">
        <x:v>TGRT</x:v>
      </x:c>
      <x:c r="D33" s="79" t="n">
        <x:v>27</x:v>
      </x:c>
      <x:c r="E33" s="74" t="str">
        <x:v>V1.0</x:v>
      </x:c>
      <x:c r="F33" s="68" t="str">
        <x:v>丁干直接通根支位</x:v>
      </x:c>
      <x:c r="G33" s="82" t="str">
        <x:v>结构层</x:v>
      </x:c>
      <x:c r="H33" s="68" t="str">
        <x:v>天干丁</x:v>
      </x:c>
      <x:c r="I33" s="68" t="str">
        <x:v>直接通根映射</x:v>
      </x:c>
      <x:c r="J33" s="68"/>
      <x:c r="K33" s="82" t="str">
        <x:v>其他</x:v>
      </x:c>
      <x:c r="L33" s="82" t="str">
        <x:v>待定</x:v>
      </x:c>
      <x:c r="M33" s="82" t="str">
        <x:v>其他</x:v>
      </x:c>
      <x:c r="N33" s="68" t="str">
        <x:v>天干丁出现在原局或待分析对象中</x:v>
      </x:c>
      <x:c r="O33" s="68" t="str">
        <x:v>至少一支的标准藏干中直接出现丁</x:v>
      </x:c>
      <x:c r="P33" s="68" t="str">
        <x:v>对应支为月支、处于本气位、同类得令或多处出现</x:v>
      </x:c>
      <x:c r="Q33" s="68" t="str">
        <x:v>仅处中余气、根支受强烈作用、气候或流通受阻</x:v>
      </x:c>
      <x:c r="R33" s="90" t="str">
        <x:v>四支均不藏丁时，不得称丁有直接根</x:v>
      </x:c>
      <x:c r="S33" s="68" t="str">
        <x:v>同五行异阴阳藏干可构成同类根，但不等同直接根；合化成立后须重算。</x:v>
      </x:c>
      <x:c r="T33" s="68" t="str">
        <x:v>丁干根气存在性</x:v>
      </x:c>
      <x:c r="U33" s="82" t="str">
        <x:v>增强</x:v>
      </x:c>
      <x:c r="V33" s="82" t="str">
        <x:v>待定</x:v>
      </x:c>
      <x:c r="W33" s="82" t="str">
        <x:v>P0_硬约束</x:v>
      </x:c>
      <x:c r="X33" s="82" t="str">
        <x:v>硬约束</x:v>
      </x:c>
      <x:c r="Y33" s="84" t="str">
        <x:v>丁干直接通根</x:v>
      </x:c>
      <x:c r="Z33" s="84" t="str">
        <x:v>天干丁在午（丁本气）、未（丁中气）、戌（丁余气）可判为直接通根；具体根力再按本气、中气、余气、位置和后续作用分级。</x:v>
      </x:c>
      <x:c r="AA33" s="82" t="str">
        <x:v>确定</x:v>
      </x:c>
      <x:c r="AB33" s="82" t="str">
        <x:v>跨流派共识</x:v>
      </x:c>
      <x:c r="AC33" s="68" t="str">
        <x:v>依据M02标准藏干表，直接通根要求支内出现同一干。</x:v>
      </x:c>
      <x:c r="AD33" s="68" t="str">
        <x:v>命局见丁透干且地支含丁，可先记直接根，再判根力。</x:v>
      </x:c>
      <x:c r="AE33" s="90" t="str">
        <x:v>若只见同五行异阴阳藏干，应记同类根，不应误写为丁的直接根。</x:v>
      </x:c>
      <x:c r="AF33" s="68" t="str">
        <x:v>https://zh.wikisource.org/wiki/三命通會；https://zh.wikisource.org/wiki/淵海子平</x:v>
      </x:c>
      <x:c r="AG33" s="82" t="str">
        <x:v>采用</x:v>
      </x:c>
      <x:c r="AH33" s="82" t="str">
        <x:v>初审</x:v>
      </x:c>
      <x:c r="AI33" s="87" t="n">
        <x:v>46255</x:v>
      </x:c>
    </x:row>
    <x:row r="34" ht="48" customHeight="1">
      <x:c r="A34" s="72" t="str">
        <x:f>IF(OR(C34="",D34=""),"",B34&amp;"-"&amp;UPPER(C34)&amp;"-"&amp;TEXT(D34,"0000")&amp;"-"&amp;E34)</x:f>
        <x:v>M03-TGRT-0028-V1.0</x:v>
      </x:c>
      <x:c r="B34" s="74" t="str">
        <x:v>M03</x:v>
      </x:c>
      <x:c r="C34" s="74" t="str">
        <x:v>TGRT</x:v>
      </x:c>
      <x:c r="D34" s="79" t="n">
        <x:v>28</x:v>
      </x:c>
      <x:c r="E34" s="74" t="str">
        <x:v>V1.0</x:v>
      </x:c>
      <x:c r="F34" s="68" t="str">
        <x:v>戊干直接通根支位</x:v>
      </x:c>
      <x:c r="G34" s="82" t="str">
        <x:v>结构层</x:v>
      </x:c>
      <x:c r="H34" s="68" t="str">
        <x:v>天干戊</x:v>
      </x:c>
      <x:c r="I34" s="68" t="str">
        <x:v>直接通根映射</x:v>
      </x:c>
      <x:c r="J34" s="68"/>
      <x:c r="K34" s="82" t="str">
        <x:v>其他</x:v>
      </x:c>
      <x:c r="L34" s="82" t="str">
        <x:v>待定</x:v>
      </x:c>
      <x:c r="M34" s="82" t="str">
        <x:v>其他</x:v>
      </x:c>
      <x:c r="N34" s="68" t="str">
        <x:v>天干戊出现在原局或待分析对象中</x:v>
      </x:c>
      <x:c r="O34" s="68" t="str">
        <x:v>至少一支的标准藏干中直接出现戊</x:v>
      </x:c>
      <x:c r="P34" s="68" t="str">
        <x:v>对应支为月支、处于本气位、同类得令或多处出现</x:v>
      </x:c>
      <x:c r="Q34" s="68" t="str">
        <x:v>仅处中余气、根支受强烈作用、气候或流通受阻</x:v>
      </x:c>
      <x:c r="R34" s="90" t="str">
        <x:v>四支均不藏戊时，不得称戊有直接根</x:v>
      </x:c>
      <x:c r="S34" s="68" t="str">
        <x:v>同五行异阴阳藏干可构成同类根，但不等同直接根；合化成立后须重算。</x:v>
      </x:c>
      <x:c r="T34" s="68" t="str">
        <x:v>戊干根气存在性</x:v>
      </x:c>
      <x:c r="U34" s="82" t="str">
        <x:v>增强</x:v>
      </x:c>
      <x:c r="V34" s="82" t="str">
        <x:v>待定</x:v>
      </x:c>
      <x:c r="W34" s="82" t="str">
        <x:v>P0_硬约束</x:v>
      </x:c>
      <x:c r="X34" s="82" t="str">
        <x:v>硬约束</x:v>
      </x:c>
      <x:c r="Y34" s="84" t="str">
        <x:v>戊干直接通根</x:v>
      </x:c>
      <x:c r="Z34" s="84" t="str">
        <x:v>天干戊在辰、戌（戊本气），巳（戊中气），寅、申（戊余气）可判为直接通根；具体根力再按本气、中气、余气、位置和后续作用分级。</x:v>
      </x:c>
      <x:c r="AA34" s="82" t="str">
        <x:v>确定</x:v>
      </x:c>
      <x:c r="AB34" s="82" t="str">
        <x:v>跨流派共识</x:v>
      </x:c>
      <x:c r="AC34" s="68" t="str">
        <x:v>依据M02标准藏干表，直接通根要求支内出现同一干。</x:v>
      </x:c>
      <x:c r="AD34" s="68" t="str">
        <x:v>命局见戊透干且地支含戊，可先记直接根，再判根力。</x:v>
      </x:c>
      <x:c r="AE34" s="90" t="str">
        <x:v>若只见同五行异阴阳藏干，应记同类根，不应误写为戊的直接根。</x:v>
      </x:c>
      <x:c r="AF34" s="68" t="str">
        <x:v>https://zh.wikisource.org/wiki/三命通會；https://zh.wikisource.org/wiki/淵海子平</x:v>
      </x:c>
      <x:c r="AG34" s="82" t="str">
        <x:v>采用</x:v>
      </x:c>
      <x:c r="AH34" s="82" t="str">
        <x:v>初审</x:v>
      </x:c>
      <x:c r="AI34" s="87" t="n">
        <x:v>46255</x:v>
      </x:c>
    </x:row>
    <x:row r="35" ht="48" customHeight="1">
      <x:c r="A35" s="72" t="str">
        <x:f>IF(OR(C35="",D35=""),"",B35&amp;"-"&amp;UPPER(C35)&amp;"-"&amp;TEXT(D35,"0000")&amp;"-"&amp;E35)</x:f>
        <x:v>M03-TGRT-0029-V1.0</x:v>
      </x:c>
      <x:c r="B35" s="74" t="str">
        <x:v>M03</x:v>
      </x:c>
      <x:c r="C35" s="74" t="str">
        <x:v>TGRT</x:v>
      </x:c>
      <x:c r="D35" s="79" t="n">
        <x:v>29</x:v>
      </x:c>
      <x:c r="E35" s="74" t="str">
        <x:v>V1.0</x:v>
      </x:c>
      <x:c r="F35" s="68" t="str">
        <x:v>己干直接通根支位</x:v>
      </x:c>
      <x:c r="G35" s="82" t="str">
        <x:v>结构层</x:v>
      </x:c>
      <x:c r="H35" s="68" t="str">
        <x:v>天干己</x:v>
      </x:c>
      <x:c r="I35" s="68" t="str">
        <x:v>直接通根映射</x:v>
      </x:c>
      <x:c r="J35" s="68"/>
      <x:c r="K35" s="82" t="str">
        <x:v>其他</x:v>
      </x:c>
      <x:c r="L35" s="82" t="str">
        <x:v>待定</x:v>
      </x:c>
      <x:c r="M35" s="82" t="str">
        <x:v>其他</x:v>
      </x:c>
      <x:c r="N35" s="68" t="str">
        <x:v>天干己出现在原局或待分析对象中</x:v>
      </x:c>
      <x:c r="O35" s="68" t="str">
        <x:v>至少一支的标准藏干中直接出现己</x:v>
      </x:c>
      <x:c r="P35" s="68" t="str">
        <x:v>对应支为月支、处于本气位、同类得令或多处出现</x:v>
      </x:c>
      <x:c r="Q35" s="68" t="str">
        <x:v>仅处中余气、根支受强烈作用、气候或流通受阻</x:v>
      </x:c>
      <x:c r="R35" s="90" t="str">
        <x:v>四支均不藏己时，不得称己有直接根</x:v>
      </x:c>
      <x:c r="S35" s="68" t="str">
        <x:v>同五行异阴阳藏干可构成同类根，但不等同直接根；合化成立后须重算。</x:v>
      </x:c>
      <x:c r="T35" s="68" t="str">
        <x:v>己干根气存在性</x:v>
      </x:c>
      <x:c r="U35" s="82" t="str">
        <x:v>增强</x:v>
      </x:c>
      <x:c r="V35" s="82" t="str">
        <x:v>待定</x:v>
      </x:c>
      <x:c r="W35" s="82" t="str">
        <x:v>P0_硬约束</x:v>
      </x:c>
      <x:c r="X35" s="82" t="str">
        <x:v>硬约束</x:v>
      </x:c>
      <x:c r="Y35" s="84" t="str">
        <x:v>己干直接通根</x:v>
      </x:c>
      <x:c r="Z35" s="84" t="str">
        <x:v>天干己在丑、未（己本气），午（己中气）可判为直接通根；具体根力再按本气、中气、余气、位置和后续作用分级。</x:v>
      </x:c>
      <x:c r="AA35" s="82" t="str">
        <x:v>确定</x:v>
      </x:c>
      <x:c r="AB35" s="82" t="str">
        <x:v>跨流派共识</x:v>
      </x:c>
      <x:c r="AC35" s="68" t="str">
        <x:v>依据M02标准藏干表，直接通根要求支内出现同一干。</x:v>
      </x:c>
      <x:c r="AD35" s="68" t="str">
        <x:v>命局见己透干且地支含己，可先记直接根，再判根力。</x:v>
      </x:c>
      <x:c r="AE35" s="90" t="str">
        <x:v>若只见同五行异阴阳藏干，应记同类根，不应误写为己的直接根。</x:v>
      </x:c>
      <x:c r="AF35" s="68" t="str">
        <x:v>https://zh.wikisource.org/wiki/三命通會；https://zh.wikisource.org/wiki/淵海子平</x:v>
      </x:c>
      <x:c r="AG35" s="82" t="str">
        <x:v>采用</x:v>
      </x:c>
      <x:c r="AH35" s="82" t="str">
        <x:v>初审</x:v>
      </x:c>
      <x:c r="AI35" s="87" t="n">
        <x:v>46255</x:v>
      </x:c>
    </x:row>
    <x:row r="36" ht="48" customHeight="1">
      <x:c r="A36" s="72" t="str">
        <x:f>IF(OR(C36="",D36=""),"",B36&amp;"-"&amp;UPPER(C36)&amp;"-"&amp;TEXT(D36,"0000")&amp;"-"&amp;E36)</x:f>
        <x:v>M03-TGRT-0030-V1.0</x:v>
      </x:c>
      <x:c r="B36" s="74" t="str">
        <x:v>M03</x:v>
      </x:c>
      <x:c r="C36" s="74" t="str">
        <x:v>TGRT</x:v>
      </x:c>
      <x:c r="D36" s="79" t="n">
        <x:v>30</x:v>
      </x:c>
      <x:c r="E36" s="74" t="str">
        <x:v>V1.0</x:v>
      </x:c>
      <x:c r="F36" s="68" t="str">
        <x:v>庚干直接通根支位</x:v>
      </x:c>
      <x:c r="G36" s="82" t="str">
        <x:v>结构层</x:v>
      </x:c>
      <x:c r="H36" s="68" t="str">
        <x:v>天干庚</x:v>
      </x:c>
      <x:c r="I36" s="68" t="str">
        <x:v>直接通根映射</x:v>
      </x:c>
      <x:c r="J36" s="68"/>
      <x:c r="K36" s="82" t="str">
        <x:v>其他</x:v>
      </x:c>
      <x:c r="L36" s="82" t="str">
        <x:v>待定</x:v>
      </x:c>
      <x:c r="M36" s="82" t="str">
        <x:v>其他</x:v>
      </x:c>
      <x:c r="N36" s="68" t="str">
        <x:v>天干庚出现在原局或待分析对象中</x:v>
      </x:c>
      <x:c r="O36" s="68" t="str">
        <x:v>至少一支的标准藏干中直接出现庚</x:v>
      </x:c>
      <x:c r="P36" s="68" t="str">
        <x:v>对应支为月支、处于本气位、同类得令或多处出现</x:v>
      </x:c>
      <x:c r="Q36" s="68" t="str">
        <x:v>仅处中余气、根支受强烈作用、气候或流通受阻</x:v>
      </x:c>
      <x:c r="R36" s="90" t="str">
        <x:v>四支均不藏庚时，不得称庚有直接根</x:v>
      </x:c>
      <x:c r="S36" s="68" t="str">
        <x:v>同五行异阴阳藏干可构成同类根，但不等同直接根；合化成立后须重算。</x:v>
      </x:c>
      <x:c r="T36" s="68" t="str">
        <x:v>庚干根气存在性</x:v>
      </x:c>
      <x:c r="U36" s="82" t="str">
        <x:v>增强</x:v>
      </x:c>
      <x:c r="V36" s="82" t="str">
        <x:v>待定</x:v>
      </x:c>
      <x:c r="W36" s="82" t="str">
        <x:v>P0_硬约束</x:v>
      </x:c>
      <x:c r="X36" s="82" t="str">
        <x:v>硬约束</x:v>
      </x:c>
      <x:c r="Y36" s="84" t="str">
        <x:v>庚干直接通根</x:v>
      </x:c>
      <x:c r="Z36" s="84" t="str">
        <x:v>天干庚在申（庚本气）、巳（庚余气）可判为直接通根；具体根力再按本气、中气、余气、位置和后续作用分级。</x:v>
      </x:c>
      <x:c r="AA36" s="82" t="str">
        <x:v>确定</x:v>
      </x:c>
      <x:c r="AB36" s="82" t="str">
        <x:v>跨流派共识</x:v>
      </x:c>
      <x:c r="AC36" s="68" t="str">
        <x:v>依据M02标准藏干表，直接通根要求支内出现同一干。</x:v>
      </x:c>
      <x:c r="AD36" s="68" t="str">
        <x:v>命局见庚透干且地支含庚，可先记直接根，再判根力。</x:v>
      </x:c>
      <x:c r="AE36" s="90" t="str">
        <x:v>若只见同五行异阴阳藏干，应记同类根，不应误写为庚的直接根。</x:v>
      </x:c>
      <x:c r="AF36" s="68" t="str">
        <x:v>https://zh.wikisource.org/wiki/三命通會；https://zh.wikisource.org/wiki/淵海子平</x:v>
      </x:c>
      <x:c r="AG36" s="82" t="str">
        <x:v>采用</x:v>
      </x:c>
      <x:c r="AH36" s="82" t="str">
        <x:v>初审</x:v>
      </x:c>
      <x:c r="AI36" s="87" t="n">
        <x:v>46255</x:v>
      </x:c>
    </x:row>
    <x:row r="37" ht="48" customHeight="1">
      <x:c r="A37" s="72" t="str">
        <x:f>IF(OR(C37="",D37=""),"",B37&amp;"-"&amp;UPPER(C37)&amp;"-"&amp;TEXT(D37,"0000")&amp;"-"&amp;E37)</x:f>
        <x:v>M03-TGRT-0031-V1.0</x:v>
      </x:c>
      <x:c r="B37" s="74" t="str">
        <x:v>M03</x:v>
      </x:c>
      <x:c r="C37" s="74" t="str">
        <x:v>TGRT</x:v>
      </x:c>
      <x:c r="D37" s="79" t="n">
        <x:v>31</x:v>
      </x:c>
      <x:c r="E37" s="74" t="str">
        <x:v>V1.0</x:v>
      </x:c>
      <x:c r="F37" s="68" t="str">
        <x:v>辛干直接通根支位</x:v>
      </x:c>
      <x:c r="G37" s="82" t="str">
        <x:v>结构层</x:v>
      </x:c>
      <x:c r="H37" s="68" t="str">
        <x:v>天干辛</x:v>
      </x:c>
      <x:c r="I37" s="68" t="str">
        <x:v>直接通根映射</x:v>
      </x:c>
      <x:c r="J37" s="68"/>
      <x:c r="K37" s="82" t="str">
        <x:v>其他</x:v>
      </x:c>
      <x:c r="L37" s="82" t="str">
        <x:v>待定</x:v>
      </x:c>
      <x:c r="M37" s="82" t="str">
        <x:v>其他</x:v>
      </x:c>
      <x:c r="N37" s="68" t="str">
        <x:v>天干辛出现在原局或待分析对象中</x:v>
      </x:c>
      <x:c r="O37" s="68" t="str">
        <x:v>至少一支的标准藏干中直接出现辛</x:v>
      </x:c>
      <x:c r="P37" s="68" t="str">
        <x:v>对应支为月支、处于本气位、同类得令或多处出现</x:v>
      </x:c>
      <x:c r="Q37" s="68" t="str">
        <x:v>仅处中余气、根支受强烈作用、气候或流通受阻</x:v>
      </x:c>
      <x:c r="R37" s="90" t="str">
        <x:v>四支均不藏辛时，不得称辛有直接根</x:v>
      </x:c>
      <x:c r="S37" s="68" t="str">
        <x:v>同五行异阴阳藏干可构成同类根，但不等同直接根；合化成立后须重算。</x:v>
      </x:c>
      <x:c r="T37" s="68" t="str">
        <x:v>辛干根气存在性</x:v>
      </x:c>
      <x:c r="U37" s="82" t="str">
        <x:v>增强</x:v>
      </x:c>
      <x:c r="V37" s="82" t="str">
        <x:v>待定</x:v>
      </x:c>
      <x:c r="W37" s="82" t="str">
        <x:v>P0_硬约束</x:v>
      </x:c>
      <x:c r="X37" s="82" t="str">
        <x:v>硬约束</x:v>
      </x:c>
      <x:c r="Y37" s="84" t="str">
        <x:v>辛干直接通根</x:v>
      </x:c>
      <x:c r="Z37" s="84" t="str">
        <x:v>天干辛在酉（辛本气）、戌（辛中气）、丑（辛余气）可判为直接通根；具体根力再按本气、中气、余气、位置和后续作用分级。</x:v>
      </x:c>
      <x:c r="AA37" s="82" t="str">
        <x:v>确定</x:v>
      </x:c>
      <x:c r="AB37" s="82" t="str">
        <x:v>跨流派共识</x:v>
      </x:c>
      <x:c r="AC37" s="68" t="str">
        <x:v>依据M02标准藏干表，直接通根要求支内出现同一干。</x:v>
      </x:c>
      <x:c r="AD37" s="68" t="str">
        <x:v>命局见辛透干且地支含辛，可先记直接根，再判根力。</x:v>
      </x:c>
      <x:c r="AE37" s="90" t="str">
        <x:v>若只见同五行异阴阳藏干，应记同类根，不应误写为辛的直接根。</x:v>
      </x:c>
      <x:c r="AF37" s="68" t="str">
        <x:v>https://zh.wikisource.org/wiki/三命通會；https://zh.wikisource.org/wiki/淵海子平</x:v>
      </x:c>
      <x:c r="AG37" s="82" t="str">
        <x:v>采用</x:v>
      </x:c>
      <x:c r="AH37" s="82" t="str">
        <x:v>初审</x:v>
      </x:c>
      <x:c r="AI37" s="87" t="n">
        <x:v>46255</x:v>
      </x:c>
    </x:row>
    <x:row r="38" ht="48" customHeight="1">
      <x:c r="A38" s="72" t="str">
        <x:f>IF(OR(C38="",D38=""),"",B38&amp;"-"&amp;UPPER(C38)&amp;"-"&amp;TEXT(D38,"0000")&amp;"-"&amp;E38)</x:f>
        <x:v>M03-TGRT-0032-V1.0</x:v>
      </x:c>
      <x:c r="B38" s="74" t="str">
        <x:v>M03</x:v>
      </x:c>
      <x:c r="C38" s="74" t="str">
        <x:v>TGRT</x:v>
      </x:c>
      <x:c r="D38" s="79" t="n">
        <x:v>32</x:v>
      </x:c>
      <x:c r="E38" s="74" t="str">
        <x:v>V1.0</x:v>
      </x:c>
      <x:c r="F38" s="68" t="str">
        <x:v>壬干直接通根支位</x:v>
      </x:c>
      <x:c r="G38" s="82" t="str">
        <x:v>结构层</x:v>
      </x:c>
      <x:c r="H38" s="68" t="str">
        <x:v>天干壬</x:v>
      </x:c>
      <x:c r="I38" s="68" t="str">
        <x:v>直接通根映射</x:v>
      </x:c>
      <x:c r="J38" s="68"/>
      <x:c r="K38" s="82" t="str">
        <x:v>其他</x:v>
      </x:c>
      <x:c r="L38" s="82" t="str">
        <x:v>待定</x:v>
      </x:c>
      <x:c r="M38" s="82" t="str">
        <x:v>其他</x:v>
      </x:c>
      <x:c r="N38" s="68" t="str">
        <x:v>天干壬出现在原局或待分析对象中</x:v>
      </x:c>
      <x:c r="O38" s="68" t="str">
        <x:v>至少一支的标准藏干中直接出现壬</x:v>
      </x:c>
      <x:c r="P38" s="68" t="str">
        <x:v>对应支为月支、处于本气位、同类得令或多处出现</x:v>
      </x:c>
      <x:c r="Q38" s="68" t="str">
        <x:v>仅处中余气、根支受强烈作用、气候或流通受阻</x:v>
      </x:c>
      <x:c r="R38" s="90" t="str">
        <x:v>四支均不藏壬时，不得称壬有直接根</x:v>
      </x:c>
      <x:c r="S38" s="68" t="str">
        <x:v>同五行异阴阳藏干可构成同类根，但不等同直接根；合化成立后须重算。</x:v>
      </x:c>
      <x:c r="T38" s="68" t="str">
        <x:v>壬干根气存在性</x:v>
      </x:c>
      <x:c r="U38" s="82" t="str">
        <x:v>增强</x:v>
      </x:c>
      <x:c r="V38" s="82" t="str">
        <x:v>待定</x:v>
      </x:c>
      <x:c r="W38" s="82" t="str">
        <x:v>P0_硬约束</x:v>
      </x:c>
      <x:c r="X38" s="82" t="str">
        <x:v>硬约束</x:v>
      </x:c>
      <x:c r="Y38" s="84" t="str">
        <x:v>壬干直接通根</x:v>
      </x:c>
      <x:c r="Z38" s="84" t="str">
        <x:v>天干壬在亥（壬本气）、申（壬中气）可判为直接通根；具体根力再按本气、中气、余气、位置和后续作用分级。</x:v>
      </x:c>
      <x:c r="AA38" s="82" t="str">
        <x:v>确定</x:v>
      </x:c>
      <x:c r="AB38" s="82" t="str">
        <x:v>跨流派共识</x:v>
      </x:c>
      <x:c r="AC38" s="68" t="str">
        <x:v>依据M02标准藏干表，直接通根要求支内出现同一干。</x:v>
      </x:c>
      <x:c r="AD38" s="68" t="str">
        <x:v>命局见壬透干且地支含壬，可先记直接根，再判根力。</x:v>
      </x:c>
      <x:c r="AE38" s="90" t="str">
        <x:v>若只见同五行异阴阳藏干，应记同类根，不应误写为壬的直接根。</x:v>
      </x:c>
      <x:c r="AF38" s="68" t="str">
        <x:v>https://zh.wikisource.org/wiki/三命通會；https://zh.wikisource.org/wiki/淵海子平</x:v>
      </x:c>
      <x:c r="AG38" s="82" t="str">
        <x:v>采用</x:v>
      </x:c>
      <x:c r="AH38" s="82" t="str">
        <x:v>初审</x:v>
      </x:c>
      <x:c r="AI38" s="87" t="n">
        <x:v>46255</x:v>
      </x:c>
    </x:row>
    <x:row r="39" ht="48" customHeight="1">
      <x:c r="A39" s="72" t="str">
        <x:f>IF(OR(C39="",D39=""),"",B39&amp;"-"&amp;UPPER(C39)&amp;"-"&amp;TEXT(D39,"0000")&amp;"-"&amp;E39)</x:f>
        <x:v>M03-TGRT-0033-V1.0</x:v>
      </x:c>
      <x:c r="B39" s="74" t="str">
        <x:v>M03</x:v>
      </x:c>
      <x:c r="C39" s="74" t="str">
        <x:v>TGRT</x:v>
      </x:c>
      <x:c r="D39" s="79" t="n">
        <x:v>33</x:v>
      </x:c>
      <x:c r="E39" s="74" t="str">
        <x:v>V1.0</x:v>
      </x:c>
      <x:c r="F39" s="68" t="str">
        <x:v>癸干直接通根支位</x:v>
      </x:c>
      <x:c r="G39" s="82" t="str">
        <x:v>结构层</x:v>
      </x:c>
      <x:c r="H39" s="68" t="str">
        <x:v>天干癸</x:v>
      </x:c>
      <x:c r="I39" s="68" t="str">
        <x:v>直接通根映射</x:v>
      </x:c>
      <x:c r="J39" s="68"/>
      <x:c r="K39" s="82" t="str">
        <x:v>其他</x:v>
      </x:c>
      <x:c r="L39" s="82" t="str">
        <x:v>待定</x:v>
      </x:c>
      <x:c r="M39" s="82" t="str">
        <x:v>其他</x:v>
      </x:c>
      <x:c r="N39" s="68" t="str">
        <x:v>天干癸出现在原局或待分析对象中</x:v>
      </x:c>
      <x:c r="O39" s="68" t="str">
        <x:v>至少一支的标准藏干中直接出现癸</x:v>
      </x:c>
      <x:c r="P39" s="68" t="str">
        <x:v>对应支为月支、处于本气位、同类得令或多处出现</x:v>
      </x:c>
      <x:c r="Q39" s="68" t="str">
        <x:v>仅处中余气、根支受强烈作用、气候或流通受阻</x:v>
      </x:c>
      <x:c r="R39" s="90" t="str">
        <x:v>四支均不藏癸时，不得称癸有直接根</x:v>
      </x:c>
      <x:c r="S39" s="68" t="str">
        <x:v>同五行异阴阳藏干可构成同类根，但不等同直接根；合化成立后须重算。</x:v>
      </x:c>
      <x:c r="T39" s="68" t="str">
        <x:v>癸干根气存在性</x:v>
      </x:c>
      <x:c r="U39" s="82" t="str">
        <x:v>增强</x:v>
      </x:c>
      <x:c r="V39" s="82" t="str">
        <x:v>待定</x:v>
      </x:c>
      <x:c r="W39" s="82" t="str">
        <x:v>P0_硬约束</x:v>
      </x:c>
      <x:c r="X39" s="82" t="str">
        <x:v>硬约束</x:v>
      </x:c>
      <x:c r="Y39" s="84" t="str">
        <x:v>癸干直接通根</x:v>
      </x:c>
      <x:c r="Z39" s="84" t="str">
        <x:v>天干癸在子（癸本气）、丑（癸中气）、辰（癸余气）可判为直接通根；具体根力再按本气、中气、余气、位置和后续作用分级。</x:v>
      </x:c>
      <x:c r="AA39" s="82" t="str">
        <x:v>确定</x:v>
      </x:c>
      <x:c r="AB39" s="82" t="str">
        <x:v>跨流派共识</x:v>
      </x:c>
      <x:c r="AC39" s="68" t="str">
        <x:v>依据M02标准藏干表，直接通根要求支内出现同一干。</x:v>
      </x:c>
      <x:c r="AD39" s="68" t="str">
        <x:v>命局见癸透干且地支含癸，可先记直接根，再判根力。</x:v>
      </x:c>
      <x:c r="AE39" s="90" t="str">
        <x:v>若只见同五行异阴阳藏干，应记同类根，不应误写为癸的直接根。</x:v>
      </x:c>
      <x:c r="AF39" s="68" t="str">
        <x:v>https://zh.wikisource.org/wiki/三命通會；https://zh.wikisource.org/wiki/淵海子平</x:v>
      </x:c>
      <x:c r="AG39" s="82" t="str">
        <x:v>采用</x:v>
      </x:c>
      <x:c r="AH39" s="82" t="str">
        <x:v>初审</x:v>
      </x:c>
      <x:c r="AI39" s="87" t="n">
        <x:v>46255</x:v>
      </x:c>
    </x:row>
    <x:row r="40" ht="48" customHeight="1">
      <x:c r="A40" s="72" t="str">
        <x:f>IF(OR(C40="",D40=""),"",B40&amp;"-"&amp;UPPER(C40)&amp;"-"&amp;TEXT(D40,"0000")&amp;"-"&amp;E40)</x:f>
        <x:v>M03-RTLV-0034-V1.0</x:v>
      </x:c>
      <x:c r="B40" s="74" t="str">
        <x:v>M03</x:v>
      </x:c>
      <x:c r="C40" s="74" t="str">
        <x:v>RTLV</x:v>
      </x:c>
      <x:c r="D40" s="79" t="n">
        <x:v>34</x:v>
      </x:c>
      <x:c r="E40" s="74" t="str">
        <x:v>V1.0</x:v>
      </x:c>
      <x:c r="F40" s="68" t="str">
        <x:v>本气直接根默认列为强根</x:v>
      </x:c>
      <x:c r="G40" s="82" t="str">
        <x:v>结构层</x:v>
      </x:c>
      <x:c r="H40" s="68" t="str">
        <x:v>天干根气</x:v>
      </x:c>
      <x:c r="I40" s="68" t="str">
        <x:v>根气层级</x:v>
      </x:c>
      <x:c r="J40" s="68"/>
      <x:c r="K40" s="82" t="str">
        <x:v>本气根</x:v>
      </x:c>
      <x:c r="L40" s="82" t="str">
        <x:v>强根</x:v>
      </x:c>
      <x:c r="M40" s="82" t="str">
        <x:v>其他</x:v>
      </x:c>
      <x:c r="N40" s="68" t="str">
        <x:v>某天干在至少一支的本气藏干中直接出现</x:v>
      </x:c>
      <x:c r="O40" s="68" t="str">
        <x:v>同一干、同一支本气位置均成立</x:v>
      </x:c>
      <x:c r="P40" s="68" t="str">
        <x:v>该支为月支、得令、透出或多处呼应</x:v>
      </x:c>
      <x:c r="Q40" s="68" t="str">
        <x:v>根支受强烈作用、对象遭持续克泄耗或气不能透达</x:v>
      </x:c>
      <x:c r="R40" s="90" t="str">
        <x:v>不得仅凭一个本气根直接判日主或该干为旺</x:v>
      </x:c>
      <x:c r="S40" s="68" t="str">
        <x:v>合化严格成立、从格或专旺候选须转M14；有效根力转M06/M08。</x:v>
      </x:c>
      <x:c r="T40" s="68" t="str">
        <x:v>根气等级</x:v>
      </x:c>
      <x:c r="U40" s="82" t="str">
        <x:v>增强</x:v>
      </x:c>
      <x:c r="V40" s="82" t="str">
        <x:v>强</x:v>
      </x:c>
      <x:c r="W40" s="82" t="str">
        <x:v>P1_高</x:v>
      </x:c>
      <x:c r="X40" s="82" t="str">
        <x:v>辅助证据</x:v>
      </x:c>
      <x:c r="Y40" s="84" t="str">
        <x:v>本气强根</x:v>
      </x:c>
      <x:c r="Z40" s="84" t="str">
        <x:v>同一干藏于地支本气，默认记为强根证据；强根是得地的重要依据，但不是最终旺衰结论。</x:v>
      </x:c>
      <x:c r="AA40" s="82" t="str">
        <x:v>较高</x:v>
      </x:c>
      <x:c r="AB40" s="82" t="str">
        <x:v>现代综合</x:v>
      </x:c>
      <x:c r="AC40" s="68" t="str">
        <x:v>以藏干层级为起点的根气分级；不设置固定分数。</x:v>
      </x:c>
      <x:c r="AD40" s="68" t="str">
        <x:v>甲透见寅，甲在寅本气，先记强根。</x:v>
      </x:c>
      <x:c r="AE40" s="90" t="str">
        <x:v>甲透见寅就直接判身旺，忽略月令与强泄耗。</x:v>
      </x:c>
      <x:c r="AF40" s="68" t="str">
        <x:v>内部综合规则；根力须经M06/M08修正</x:v>
      </x:c>
      <x:c r="AG40" s="82" t="str">
        <x:v>待验证</x:v>
      </x:c>
      <x:c r="AH40" s="82" t="str">
        <x:v>初审</x:v>
      </x:c>
      <x:c r="AI40" s="87" t="n">
        <x:v>46255</x:v>
      </x:c>
    </x:row>
    <x:row r="41" ht="48" customHeight="1">
      <x:c r="A41" s="72" t="str">
        <x:f>IF(OR(C41="",D41=""),"",B41&amp;"-"&amp;UPPER(C41)&amp;"-"&amp;TEXT(D41,"0000")&amp;"-"&amp;E41)</x:f>
        <x:v>M03-RTLV-0035-V1.0</x:v>
      </x:c>
      <x:c r="B41" s="74" t="str">
        <x:v>M03</x:v>
      </x:c>
      <x:c r="C41" s="74" t="str">
        <x:v>RTLV</x:v>
      </x:c>
      <x:c r="D41" s="79" t="n">
        <x:v>35</x:v>
      </x:c>
      <x:c r="E41" s="74" t="str">
        <x:v>V1.0</x:v>
      </x:c>
      <x:c r="F41" s="68" t="str">
        <x:v>中气直接根默认列为中根</x:v>
      </x:c>
      <x:c r="G41" s="82" t="str">
        <x:v>结构层</x:v>
      </x:c>
      <x:c r="H41" s="68" t="str">
        <x:v>天干根气</x:v>
      </x:c>
      <x:c r="I41" s="68" t="str">
        <x:v>根气层级</x:v>
      </x:c>
      <x:c r="J41" s="68"/>
      <x:c r="K41" s="82" t="str">
        <x:v>中气根</x:v>
      </x:c>
      <x:c r="L41" s="82" t="str">
        <x:v>中根</x:v>
      </x:c>
      <x:c r="M41" s="82" t="str">
        <x:v>其他</x:v>
      </x:c>
      <x:c r="N41" s="68" t="str">
        <x:v>某天干在至少一支的中气藏干中直接出现</x:v>
      </x:c>
      <x:c r="O41" s="68" t="str">
        <x:v>同一干、同一支中气位置均成立</x:v>
      </x:c>
      <x:c r="P41" s="68" t="str">
        <x:v>该支得令、透出、多处出现或获得生扶</x:v>
      </x:c>
      <x:c r="Q41" s="68" t="str">
        <x:v>根支远隔、受强烈作用或该干本身受持续克泄耗</x:v>
      </x:c>
      <x:c r="R41" s="90" t="str">
        <x:v>不得把中气根等同于本气强根</x:v>
      </x:c>
      <x:c r="S41" s="68" t="str">
        <x:v>具体流派可能调整中气根权重，应在M21登记。</x:v>
      </x:c>
      <x:c r="T41" s="68" t="str">
        <x:v>根气等级</x:v>
      </x:c>
      <x:c r="U41" s="82" t="str">
        <x:v>增强</x:v>
      </x:c>
      <x:c r="V41" s="82" t="str">
        <x:v>中</x:v>
      </x:c>
      <x:c r="W41" s="82" t="str">
        <x:v>P2_中</x:v>
      </x:c>
      <x:c r="X41" s="82" t="str">
        <x:v>辅助证据</x:v>
      </x:c>
      <x:c r="Y41" s="84" t="str">
        <x:v>中气中根</x:v>
      </x:c>
      <x:c r="Z41" s="84" t="str">
        <x:v>同一干藏于地支中气，默认记为中根证据；其有效性须结合位置、月令和作用状态。</x:v>
      </x:c>
      <x:c r="AA41" s="82" t="str">
        <x:v>较高</x:v>
      </x:c>
      <x:c r="AB41" s="82" t="str">
        <x:v>现代综合</x:v>
      </x:c>
      <x:c r="AC41" s="68" t="str">
        <x:v>中气根低于本气根是默认排序，不作机械数值化。</x:v>
      </x:c>
      <x:c r="AD41" s="68" t="str">
        <x:v>壬透见申，申中壬为中气，可先记中根。</x:v>
      </x:c>
      <x:c r="AE41" s="90" t="str">
        <x:v>壬仅有申中气根却被直接当作多重强根。</x:v>
      </x:c>
      <x:c r="AF41" s="68" t="str">
        <x:v>内部综合规则；争议权重转M21</x:v>
      </x:c>
      <x:c r="AG41" s="82" t="str">
        <x:v>待验证</x:v>
      </x:c>
      <x:c r="AH41" s="82" t="str">
        <x:v>初审</x:v>
      </x:c>
      <x:c r="AI41" s="87" t="n">
        <x:v>46255</x:v>
      </x:c>
    </x:row>
    <x:row r="42" ht="48" customHeight="1">
      <x:c r="A42" s="72" t="str">
        <x:f>IF(OR(C42="",D42=""),"",B42&amp;"-"&amp;UPPER(C42)&amp;"-"&amp;TEXT(D42,"0000")&amp;"-"&amp;E42)</x:f>
        <x:v>M03-RTLV-0036-V1.0</x:v>
      </x:c>
      <x:c r="B42" s="74" t="str">
        <x:v>M03</x:v>
      </x:c>
      <x:c r="C42" s="74" t="str">
        <x:v>RTLV</x:v>
      </x:c>
      <x:c r="D42" s="79" t="n">
        <x:v>36</x:v>
      </x:c>
      <x:c r="E42" s="74" t="str">
        <x:v>V1.0</x:v>
      </x:c>
      <x:c r="F42" s="68" t="str">
        <x:v>余气直接根默认列为弱根</x:v>
      </x:c>
      <x:c r="G42" s="82" t="str">
        <x:v>结构层</x:v>
      </x:c>
      <x:c r="H42" s="68" t="str">
        <x:v>天干根气</x:v>
      </x:c>
      <x:c r="I42" s="68" t="str">
        <x:v>根气层级</x:v>
      </x:c>
      <x:c r="J42" s="68"/>
      <x:c r="K42" s="82" t="str">
        <x:v>余气根</x:v>
      </x:c>
      <x:c r="L42" s="82" t="str">
        <x:v>弱根</x:v>
      </x:c>
      <x:c r="M42" s="82" t="str">
        <x:v>其他</x:v>
      </x:c>
      <x:c r="N42" s="68" t="str">
        <x:v>某天干在至少一支的余气藏干中直接出现</x:v>
      </x:c>
      <x:c r="O42" s="68" t="str">
        <x:v>同一干、同一支余气位置均成立</x:v>
      </x:c>
      <x:c r="P42" s="68" t="str">
        <x:v>余气透出、得月令相助、同类多见或生源连续</x:v>
      </x:c>
      <x:c r="Q42" s="68" t="str">
        <x:v>根支受制、远隔、无透达或对象受强泄耗</x:v>
      </x:c>
      <x:c r="R42" s="90" t="str">
        <x:v>不得把单一余气根称为根深或强根</x:v>
      </x:c>
      <x:c r="S42" s="68" t="str">
        <x:v>多个余气根、月令与透干可能形成累积，须另行综合。</x:v>
      </x:c>
      <x:c r="T42" s="68" t="str">
        <x:v>根气等级</x:v>
      </x:c>
      <x:c r="U42" s="82" t="str">
        <x:v>增强</x:v>
      </x:c>
      <x:c r="V42" s="82" t="str">
        <x:v>弱</x:v>
      </x:c>
      <x:c r="W42" s="82" t="str">
        <x:v>P2_中</x:v>
      </x:c>
      <x:c r="X42" s="82" t="str">
        <x:v>辅助证据</x:v>
      </x:c>
      <x:c r="Y42" s="84" t="str">
        <x:v>余气弱根</x:v>
      </x:c>
      <x:c r="Z42" s="84" t="str">
        <x:v>同一干藏于地支余气，默认记为弱根证据；它证明并非全无根，但承载力通常有限。</x:v>
      </x:c>
      <x:c r="AA42" s="82" t="str">
        <x:v>较高</x:v>
      </x:c>
      <x:c r="AB42" s="82" t="str">
        <x:v>现代综合</x:v>
      </x:c>
      <x:c r="AC42" s="68" t="str">
        <x:v>余气根为较浅的直接根；实际效力因命局环境变化较大。</x:v>
      </x:c>
      <x:c r="AD42" s="68" t="str">
        <x:v>庚透见巳，巳中庚为余气，可记弱根。</x:v>
      </x:c>
      <x:c r="AE42" s="90" t="str">
        <x:v>只有一个受制的余气根却据此否定身弱判断。</x:v>
      </x:c>
      <x:c r="AF42" s="68" t="str">
        <x:v>内部综合规则；有效性转M06/M08</x:v>
      </x:c>
      <x:c r="AG42" s="82" t="str">
        <x:v>待验证</x:v>
      </x:c>
      <x:c r="AH42" s="82" t="str">
        <x:v>初审</x:v>
      </x:c>
      <x:c r="AI42" s="87" t="n">
        <x:v>46255</x:v>
      </x:c>
    </x:row>
    <x:row r="43" ht="48" customHeight="1">
      <x:c r="A43" s="72" t="str">
        <x:f>IF(OR(C43="",D43=""),"",B43&amp;"-"&amp;UPPER(C43)&amp;"-"&amp;TEXT(D43,"0000")&amp;"-"&amp;E43)</x:f>
        <x:v>M03-RTLV-0037-V1.0</x:v>
      </x:c>
      <x:c r="B43" s="74" t="str">
        <x:v>M03</x:v>
      </x:c>
      <x:c r="C43" s="74" t="str">
        <x:v>RTLV</x:v>
      </x:c>
      <x:c r="D43" s="79" t="n">
        <x:v>37</x:v>
      </x:c>
      <x:c r="E43" s="74" t="str">
        <x:v>V1.0</x:v>
      </x:c>
      <x:c r="F43" s="68" t="str">
        <x:v>同五行异阴阳可判同类根</x:v>
      </x:c>
      <x:c r="G43" s="82" t="str">
        <x:v>结构层</x:v>
      </x:c>
      <x:c r="H43" s="68" t="str">
        <x:v>天干与五行</x:v>
      </x:c>
      <x:c r="I43" s="68" t="str">
        <x:v>同类根存在</x:v>
      </x:c>
      <x:c r="J43" s="68"/>
      <x:c r="K43" s="82" t="str">
        <x:v>同类根</x:v>
      </x:c>
      <x:c r="L43" s="82" t="str">
        <x:v>待定</x:v>
      </x:c>
      <x:c r="M43" s="82" t="str">
        <x:v>其他</x:v>
      </x:c>
      <x:c r="N43" s="68" t="str">
        <x:v>地支藏有与对象同五行但阴阳不同的天干</x:v>
      </x:c>
      <x:c r="O43" s="68" t="str">
        <x:v>同五行关系成立，且未误写为同一干直接根</x:v>
      </x:c>
      <x:c r="P43" s="68" t="str">
        <x:v>同类藏干处本气、得令、透出或多处呼应</x:v>
      </x:c>
      <x:c r="Q43" s="68" t="str">
        <x:v>仅在中余气、根支受损或同类自身功能受限</x:v>
      </x:c>
      <x:c r="R43" s="90" t="str">
        <x:v>不得把同类根写成对象天干的直接根</x:v>
      </x:c>
      <x:c r="S43" s="68" t="str">
        <x:v>某些流派只以同干为通根；本库保留“直接根/同类根”双标签以兼容。</x:v>
      </x:c>
      <x:c r="T43" s="68" t="str">
        <x:v>五行根气支持</x:v>
      </x:c>
      <x:c r="U43" s="82" t="str">
        <x:v>增强</x:v>
      </x:c>
      <x:c r="V43" s="82" t="str">
        <x:v>中</x:v>
      </x:c>
      <x:c r="W43" s="82" t="str">
        <x:v>P2_中</x:v>
      </x:c>
      <x:c r="X43" s="82" t="str">
        <x:v>软约束</x:v>
      </x:c>
      <x:c r="Y43" s="84" t="str">
        <x:v>同类根</x:v>
      </x:c>
      <x:c r="Z43" s="84" t="str">
        <x:v>支内藏干与对象同五行但阴阳不同，可记为同类根或同类得地；不得与同干直接根混写。</x:v>
      </x:c>
      <x:c r="AA43" s="82" t="str">
        <x:v>中等</x:v>
      </x:c>
      <x:c r="AB43" s="82" t="str">
        <x:v>现代综合</x:v>
      </x:c>
      <x:c r="AC43" s="68" t="str">
        <x:v>把“同干根”与“同五行根”分开，可减少不同流派术语冲突。</x:v>
      </x:c>
      <x:c r="AD43" s="68" t="str">
        <x:v>甲透见卯，卯藏乙，可记木同类根。</x:v>
      </x:c>
      <x:c r="AE43" s="90" t="str">
        <x:v>甲透见卯却写成“甲通根卯中甲”。</x:v>
      </x:c>
      <x:c r="AF43" s="68" t="str">
        <x:v>内部术语裁决；流派差异转M21</x:v>
      </x:c>
      <x:c r="AG43" s="82" t="str">
        <x:v>待验证</x:v>
      </x:c>
      <x:c r="AH43" s="82" t="str">
        <x:v>初审</x:v>
      </x:c>
      <x:c r="AI43" s="87" t="n">
        <x:v>46255</x:v>
      </x:c>
    </x:row>
    <x:row r="44" ht="48" customHeight="1">
      <x:c r="A44" s="72" t="str">
        <x:f>IF(OR(C44="",D44=""),"",B44&amp;"-"&amp;UPPER(C44)&amp;"-"&amp;TEXT(D44,"0000")&amp;"-"&amp;E44)</x:f>
        <x:v>M03-RTLV-0038-V1.0</x:v>
      </x:c>
      <x:c r="B44" s="74" t="str">
        <x:v>M03</x:v>
      </x:c>
      <x:c r="C44" s="74" t="str">
        <x:v>RTLV</x:v>
      </x:c>
      <x:c r="D44" s="79" t="n">
        <x:v>38</x:v>
      </x:c>
      <x:c r="E44" s="74" t="str">
        <x:v>V1.0</x:v>
      </x:c>
      <x:c r="F44" s="68" t="str">
        <x:v>同类根强度不得照搬直接根</x:v>
      </x:c>
      <x:c r="G44" s="82" t="str">
        <x:v>结构层</x:v>
      </x:c>
      <x:c r="H44" s="68" t="str">
        <x:v>天干与五行</x:v>
      </x:c>
      <x:c r="I44" s="68" t="str">
        <x:v>同类根权重</x:v>
      </x:c>
      <x:c r="J44" s="68"/>
      <x:c r="K44" s="82" t="str">
        <x:v>同类根</x:v>
      </x:c>
      <x:c r="L44" s="82" t="str">
        <x:v>待定</x:v>
      </x:c>
      <x:c r="M44" s="82" t="str">
        <x:v>其他</x:v>
      </x:c>
      <x:c r="N44" s="68" t="str">
        <x:v>已识别同五行异阴阳的同类根</x:v>
      </x:c>
      <x:c r="O44" s="68" t="str">
        <x:v>强度评估与直接根分栏记录</x:v>
      </x:c>
      <x:c r="P44" s="68" t="str">
        <x:v>同类根处本气、得令、多见且能生扶对象</x:v>
      </x:c>
      <x:c r="Q44" s="68" t="str">
        <x:v>对象与同类竞争、同类受制或传导受阻</x:v>
      </x:c>
      <x:c r="R44" s="90" t="str">
        <x:v>不得仅因同类根处本气就自动等同同干本气强根</x:v>
      </x:c>
      <x:c r="S44" s="68" t="str">
        <x:v>比劫竞争、从格等结构可能改变同类根的功能方向。</x:v>
      </x:c>
      <x:c r="T44" s="68" t="str">
        <x:v>根气权重</x:v>
      </x:c>
      <x:c r="U44" s="82" t="str">
        <x:v>条件性</x:v>
      </x:c>
      <x:c r="V44" s="82" t="str">
        <x:v>中</x:v>
      </x:c>
      <x:c r="W44" s="82" t="str">
        <x:v>P2_中</x:v>
      </x:c>
      <x:c r="X44" s="82" t="str">
        <x:v>软约束</x:v>
      </x:c>
      <x:c r="Y44" s="84" t="str">
        <x:v>同类根独立分级</x:v>
      </x:c>
      <x:c r="Z44" s="84" t="str">
        <x:v>同类根可以增强同五行气势，但对具体天干的承载与传导通常需单独评估，不照搬同干根等级。</x:v>
      </x:c>
      <x:c r="AA44" s="82" t="str">
        <x:v>中等</x:v>
      </x:c>
      <x:c r="AB44" s="82" t="str">
        <x:v>现代综合</x:v>
      </x:c>
      <x:c r="AC44" s="68" t="str">
        <x:v>同类根支持元素气势，不必然等同于对象自身的直接落根。</x:v>
      </x:c>
      <x:c r="AD44" s="68" t="str">
        <x:v>甲见卯可获木势支持，但仍注明卯藏乙而非甲。</x:v>
      </x:c>
      <x:c r="AE44" s="90" t="str">
        <x:v>把卯中乙对甲的支持与寅中甲本气根完全等量。</x:v>
      </x:c>
      <x:c r="AF44" s="68" t="str">
        <x:v>内部综合规则；案例验证后再细化</x:v>
      </x:c>
      <x:c r="AG44" s="82" t="str">
        <x:v>待验证</x:v>
      </x:c>
      <x:c r="AH44" s="82" t="str">
        <x:v>初审</x:v>
      </x:c>
      <x:c r="AI44" s="87" t="n">
        <x:v>46255</x:v>
      </x:c>
    </x:row>
    <x:row r="45" ht="48" customHeight="1">
      <x:c r="A45" s="72" t="str">
        <x:f>IF(OR(C45="",D45=""),"",B45&amp;"-"&amp;UPPER(C45)&amp;"-"&amp;TEXT(D45,"0000")&amp;"-"&amp;E45)</x:f>
        <x:v>M03-RTLV-0039-V1.0</x:v>
      </x:c>
      <x:c r="B45" s="74" t="str">
        <x:v>M03</x:v>
      </x:c>
      <x:c r="C45" s="74" t="str">
        <x:v>RTLV</x:v>
      </x:c>
      <x:c r="D45" s="79" t="n">
        <x:v>39</x:v>
      </x:c>
      <x:c r="E45" s="74" t="str">
        <x:v>V1.0</x:v>
      </x:c>
      <x:c r="F45" s="68" t="str">
        <x:v>无根标签的最低判定条件</x:v>
      </x:c>
      <x:c r="G45" s="82" t="str">
        <x:v>结构层</x:v>
      </x:c>
      <x:c r="H45" s="68" t="str">
        <x:v>天干与五行</x:v>
      </x:c>
      <x:c r="I45" s="68" t="str">
        <x:v>无根判定</x:v>
      </x:c>
      <x:c r="J45" s="68"/>
      <x:c r="K45" s="82" t="str">
        <x:v>无根</x:v>
      </x:c>
      <x:c r="L45" s="82" t="str">
        <x:v>无根</x:v>
      </x:c>
      <x:c r="M45" s="82" t="str">
        <x:v>其他</x:v>
      </x:c>
      <x:c r="N45" s="68" t="str">
        <x:v>四支藏干表与可能的合化结果均已检查</x:v>
      </x:c>
      <x:c r="O45" s="68" t="str">
        <x:v>四支均无对象同干直接根，也无可采用的同类根</x:v>
      </x:c>
      <x:c r="P45" s="68"/>
      <x:c r="Q45" s="68" t="str">
        <x:v>若存在任何有效直接根、同类根或合化后同类根，则无根结论被削弱或否决</x:v>
      </x:c>
      <x:c r="R45" s="90" t="str">
        <x:v>未完成四支藏干检查时不得输出无根</x:v>
      </x:c>
      <x:c r="S45" s="68" t="str">
        <x:v>无根只描述得地维度，不等于无生扶、无同党或最终必弱。</x:v>
      </x:c>
      <x:c r="T45" s="68" t="str">
        <x:v>得地状态</x:v>
      </x:c>
      <x:c r="U45" s="82" t="str">
        <x:v>减弱</x:v>
      </x:c>
      <x:c r="V45" s="82" t="str">
        <x:v>强</x:v>
      </x:c>
      <x:c r="W45" s="82" t="str">
        <x:v>P0_硬约束</x:v>
      </x:c>
      <x:c r="X45" s="82" t="str">
        <x:v>硬约束</x:v>
      </x:c>
      <x:c r="Y45" s="84" t="str">
        <x:v>无根</x:v>
      </x:c>
      <x:c r="Z45" s="84" t="str">
        <x:v>仅在四支均不含对象同干或同类藏干时，方可记为无根；无根不等于全局必弱。</x:v>
      </x:c>
      <x:c r="AA45" s="82" t="str">
        <x:v>较高</x:v>
      </x:c>
      <x:c r="AB45" s="82" t="str">
        <x:v>现代综合</x:v>
      </x:c>
      <x:c r="AC45" s="68" t="str">
        <x:v>无根是存在性结论，必须穷尽四支藏干后再下。</x:v>
      </x:c>
      <x:c r="AD45" s="68" t="str">
        <x:v>甲透而四支均不藏甲乙，可记木无根。</x:v>
      </x:c>
      <x:c r="AE45" s="90" t="str">
        <x:v>甲透见亥中甲却仍标记无根。</x:v>
      </x:c>
      <x:c r="AF45" s="68" t="str">
        <x:v>内部综合规则；合化后须重新检查</x:v>
      </x:c>
      <x:c r="AG45" s="82" t="str">
        <x:v>采用</x:v>
      </x:c>
      <x:c r="AH45" s="82" t="str">
        <x:v>初审</x:v>
      </x:c>
      <x:c r="AI45" s="87" t="n">
        <x:v>46255</x:v>
      </x:c>
    </x:row>
    <x:row r="46" ht="48" customHeight="1">
      <x:c r="A46" s="72" t="str">
        <x:f>IF(OR(C46="",D46=""),"",B46&amp;"-"&amp;UPPER(C46)&amp;"-"&amp;TEXT(D46,"0000")&amp;"-"&amp;E46)</x:f>
        <x:v>M03-RTCT-0040-V1.0</x:v>
      </x:c>
      <x:c r="B46" s="74" t="str">
        <x:v>M03</x:v>
      </x:c>
      <x:c r="C46" s="74" t="str">
        <x:v>RTCT</x:v>
      </x:c>
      <x:c r="D46" s="79" t="n">
        <x:v>40</x:v>
      </x:c>
      <x:c r="E46" s="74" t="str">
        <x:v>V1.0</x:v>
      </x:c>
      <x:c r="F46" s="68" t="str">
        <x:v>单一弱根只提供有限得地证据</x:v>
      </x:c>
      <x:c r="G46" s="82" t="str">
        <x:v>结构层</x:v>
      </x:c>
      <x:c r="H46" s="68" t="str">
        <x:v>天干与日主</x:v>
      </x:c>
      <x:c r="I46" s="68" t="str">
        <x:v>根数与承载</x:v>
      </x:c>
      <x:c r="J46" s="68"/>
      <x:c r="K46" s="82" t="str">
        <x:v>余气根</x:v>
      </x:c>
      <x:c r="L46" s="82" t="str">
        <x:v>弱根</x:v>
      </x:c>
      <x:c r="M46" s="82" t="str">
        <x:v>其他</x:v>
      </x:c>
      <x:c r="N46" s="68" t="str">
        <x:v>对象仅有一处余气根或功能受限的浅根</x:v>
      </x:c>
      <x:c r="O46" s="68" t="str">
        <x:v>没有其他直接根、同类根或独立生扶形成补强</x:v>
      </x:c>
      <x:c r="P46" s="68" t="str">
        <x:v>余气透出、得令或获得连续生扶</x:v>
      </x:c>
      <x:c r="Q46" s="68" t="str">
        <x:v>根支受制、远隔或对象受强泄耗</x:v>
      </x:c>
      <x:c r="R46" s="90" t="str">
        <x:v>不得把单一弱根表述为根深、根多或得地强</x:v>
      </x:c>
      <x:c r="S46" s="68" t="str">
        <x:v>特殊格局另审；该根仍足以否决“绝对无根”。</x:v>
      </x:c>
      <x:c r="T46" s="68" t="str">
        <x:v>得地证据</x:v>
      </x:c>
      <x:c r="U46" s="82" t="str">
        <x:v>增强</x:v>
      </x:c>
      <x:c r="V46" s="82" t="str">
        <x:v>弱</x:v>
      </x:c>
      <x:c r="W46" s="82" t="str">
        <x:v>P2_中</x:v>
      </x:c>
      <x:c r="X46" s="82" t="str">
        <x:v>辅助证据</x:v>
      </x:c>
      <x:c r="Y46" s="84" t="str">
        <x:v>单一弱根</x:v>
      </x:c>
      <x:c r="Z46" s="84" t="str">
        <x:v>对象只有一处弱根时，可记“有根但根浅”；它能否承载全局须结合月令、同党及克泄耗。</x:v>
      </x:c>
      <x:c r="AA46" s="82" t="str">
        <x:v>较高</x:v>
      </x:c>
      <x:c r="AB46" s="82" t="str">
        <x:v>现代综合</x:v>
      </x:c>
      <x:c r="AC46" s="68" t="str">
        <x:v>存在性与承载力分开：弱根证明有根，但不保证有力。</x:v>
      </x:c>
      <x:c r="AD46" s="68" t="str">
        <x:v>庚透仅见巳中余气庚，可记有根但根浅。</x:v>
      </x:c>
      <x:c r="AE46" s="90" t="str">
        <x:v>把该庚直接判为得地强。</x:v>
      </x:c>
      <x:c r="AF46" s="68" t="str">
        <x:v>内部综合规则</x:v>
      </x:c>
      <x:c r="AG46" s="82" t="str">
        <x:v>待验证</x:v>
      </x:c>
      <x:c r="AH46" s="82" t="str">
        <x:v>初审</x:v>
      </x:c>
      <x:c r="AI46" s="87" t="n">
        <x:v>46255</x:v>
      </x:c>
    </x:row>
    <x:row r="47" ht="48" customHeight="1">
      <x:c r="A47" s="72" t="str">
        <x:f>IF(OR(C47="",D47=""),"",B47&amp;"-"&amp;UPPER(C47)&amp;"-"&amp;TEXT(D47,"0000")&amp;"-"&amp;E47)</x:f>
        <x:v>M03-RTCT-0041-V1.0</x:v>
      </x:c>
      <x:c r="B47" s="74" t="str">
        <x:v>M03</x:v>
      </x:c>
      <x:c r="C47" s="74" t="str">
        <x:v>RTCT</x:v>
      </x:c>
      <x:c r="D47" s="79" t="n">
        <x:v>41</x:v>
      </x:c>
      <x:c r="E47" s="74" t="str">
        <x:v>V1.0</x:v>
      </x:c>
      <x:c r="F47" s="68" t="str">
        <x:v>多根可以累积但不得机械相加</x:v>
      </x:c>
      <x:c r="G47" s="82" t="str">
        <x:v>结构层</x:v>
      </x:c>
      <x:c r="H47" s="68" t="str">
        <x:v>天干与五行</x:v>
      </x:c>
      <x:c r="I47" s="68" t="str">
        <x:v>根数累积</x:v>
      </x:c>
      <x:c r="J47" s="68"/>
      <x:c r="K47" s="82" t="str">
        <x:v>其他</x:v>
      </x:c>
      <x:c r="L47" s="82" t="str">
        <x:v>多重强根</x:v>
      </x:c>
      <x:c r="M47" s="82" t="str">
        <x:v>其他</x:v>
      </x:c>
      <x:c r="N47" s="68" t="str">
        <x:v>对象在两支以上存在直接根或同类根</x:v>
      </x:c>
      <x:c r="O47" s="68" t="str">
        <x:v>各根来源已逐支识别且未因同一载体重复计数</x:v>
      </x:c>
      <x:c r="P47" s="68" t="str">
        <x:v>根分布于本气、月支或相互呼应，且未受严重破坏</x:v>
      </x:c>
      <x:c r="Q47" s="68" t="str">
        <x:v>多个根均浅弱、共受同一冲合或气候阻滞</x:v>
      </x:c>
      <x:c r="R47" s="90" t="str">
        <x:v>不得用根的数量直接替代根的质量与有效性</x:v>
      </x:c>
      <x:c r="S47" s="68" t="str">
        <x:v>同一支同时承载多干时须遵守共源规则。</x:v>
      </x:c>
      <x:c r="T47" s="68" t="str">
        <x:v>得地证据</x:v>
      </x:c>
      <x:c r="U47" s="82" t="str">
        <x:v>增强</x:v>
      </x:c>
      <x:c r="V47" s="82" t="str">
        <x:v>强</x:v>
      </x:c>
      <x:c r="W47" s="82" t="str">
        <x:v>P1_高</x:v>
      </x:c>
      <x:c r="X47" s="82" t="str">
        <x:v>辅助证据</x:v>
      </x:c>
      <x:c r="Y47" s="84" t="str">
        <x:v>多根累积</x:v>
      </x:c>
      <x:c r="Z47" s="84" t="str">
        <x:v>多处根气可形成累积支持，但必须同时评价每个根的层级、位置、共源与受作用状态。</x:v>
      </x:c>
      <x:c r="AA47" s="82" t="str">
        <x:v>较高</x:v>
      </x:c>
      <x:c r="AB47" s="82" t="str">
        <x:v>现代综合</x:v>
      </x:c>
      <x:c r="AC47" s="68" t="str">
        <x:v>根数是证据之一；质量、位置与有效性决定累积幅度。</x:v>
      </x:c>
      <x:c r="AD47" s="68" t="str">
        <x:v>甲透见寅、亥，可记两处直接根，再分别评估寅本气与亥中气。</x:v>
      </x:c>
      <x:c r="AE47" s="90" t="str">
        <x:v>三个受制余气根被简单相加为三重强根。</x:v>
      </x:c>
      <x:c r="AF47" s="68" t="str">
        <x:v>内部综合规则</x:v>
      </x:c>
      <x:c r="AG47" s="82" t="str">
        <x:v>待验证</x:v>
      </x:c>
      <x:c r="AH47" s="82" t="str">
        <x:v>初审</x:v>
      </x:c>
      <x:c r="AI47" s="87" t="n">
        <x:v>46255</x:v>
      </x:c>
    </x:row>
    <x:row r="48" ht="48" customHeight="1">
      <x:c r="A48" s="72" t="str">
        <x:f>IF(OR(C48="",D48=""),"",B48&amp;"-"&amp;UPPER(C48)&amp;"-"&amp;TEXT(D48,"0000")&amp;"-"&amp;E48)</x:f>
        <x:v>M03-RTCT-0042-V1.0</x:v>
      </x:c>
      <x:c r="B48" s="74" t="str">
        <x:v>M03</x:v>
      </x:c>
      <x:c r="C48" s="74" t="str">
        <x:v>RTCT</x:v>
      </x:c>
      <x:c r="D48" s="79" t="n">
        <x:v>42</x:v>
      </x:c>
      <x:c r="E48" s="74" t="str">
        <x:v>V1.0</x:v>
      </x:c>
      <x:c r="F48" s="68" t="str">
        <x:v>月支根具有近令优势但须去重</x:v>
      </x:c>
      <x:c r="G48" s="82" t="str">
        <x:v>结构层</x:v>
      </x:c>
      <x:c r="H48" s="68" t="str">
        <x:v>日主及五行</x:v>
      </x:c>
      <x:c r="I48" s="68" t="str">
        <x:v>根位</x:v>
      </x:c>
      <x:c r="J48" s="68"/>
      <x:c r="K48" s="82" t="str">
        <x:v>其他</x:v>
      </x:c>
      <x:c r="L48" s="82" t="str">
        <x:v>强根</x:v>
      </x:c>
      <x:c r="M48" s="82" t="str">
        <x:v>其他</x:v>
      </x:c>
      <x:c r="N48" s="68" t="str">
        <x:v>月支含对象直接根或同类根</x:v>
      </x:c>
      <x:c r="O48" s="68" t="str">
        <x:v>根位与月令支持分别记录、汇总时说明共源</x:v>
      </x:c>
      <x:c r="P48" s="68" t="str">
        <x:v>根为月支本气且同类当令</x:v>
      </x:c>
      <x:c r="Q48" s="68" t="str">
        <x:v>月支处季节不利、根在中余气或月支受强烈作用</x:v>
      </x:c>
      <x:c r="R48" s="90" t="str">
        <x:v>不得因月支同时得令与通根而无限放大</x:v>
      </x:c>
      <x:c r="S48" s="68" t="str">
        <x:v>月支根可强于其他支根，但不是无条件最高；具体看层级与环境。</x:v>
      </x:c>
      <x:c r="T48" s="68" t="str">
        <x:v>得地证据</x:v>
      </x:c>
      <x:c r="U48" s="82" t="str">
        <x:v>增强</x:v>
      </x:c>
      <x:c r="V48" s="82" t="str">
        <x:v>强</x:v>
      </x:c>
      <x:c r="W48" s="82" t="str">
        <x:v>P1_高</x:v>
      </x:c>
      <x:c r="X48" s="82" t="str">
        <x:v>辅助证据</x:v>
      </x:c>
      <x:c r="Y48" s="84" t="str">
        <x:v>月支根</x:v>
      </x:c>
      <x:c r="Z48" s="84" t="str">
        <x:v>根位于月支时，通常兼具位置与季节优势；仍须区分直接根、同类根及共源去重。</x:v>
      </x:c>
      <x:c r="AA48" s="82" t="str">
        <x:v>较高</x:v>
      </x:c>
      <x:c r="AB48" s="82" t="str">
        <x:v>现代综合</x:v>
      </x:c>
      <x:c r="AC48" s="68" t="str">
        <x:v>月支是高权重载体，但得令与通根是两个维度、一个来源。</x:v>
      </x:c>
      <x:c r="AD48" s="68" t="str">
        <x:v>甲日寅月，寅中甲为月支本气根。</x:v>
      </x:c>
      <x:c r="AE48" s="90" t="str">
        <x:v>甲日卯月把卯中乙直接写成甲的本气直接根。</x:v>
      </x:c>
      <x:c r="AF48" s="68" t="str">
        <x:v>内部综合规则</x:v>
      </x:c>
      <x:c r="AG48" s="82" t="str">
        <x:v>待验证</x:v>
      </x:c>
      <x:c r="AH48" s="82" t="str">
        <x:v>初审</x:v>
      </x:c>
      <x:c r="AI48" s="87" t="n">
        <x:v>46255</x:v>
      </x:c>
    </x:row>
    <x:row r="49" ht="48" customHeight="1">
      <x:c r="A49" s="72" t="str">
        <x:f>IF(OR(C49="",D49=""),"",B49&amp;"-"&amp;UPPER(C49)&amp;"-"&amp;TEXT(D49,"0000")&amp;"-"&amp;E49)</x:f>
        <x:v>M03-RTCT-0043-V1.0</x:v>
      </x:c>
      <x:c r="B49" s="74" t="str">
        <x:v>M03</x:v>
      </x:c>
      <x:c r="C49" s="74" t="str">
        <x:v>RTCT</x:v>
      </x:c>
      <x:c r="D49" s="79" t="n">
        <x:v>43</x:v>
      </x:c>
      <x:c r="E49" s="74" t="str">
        <x:v>V1.0</x:v>
      </x:c>
      <x:c r="F49" s="68" t="str">
        <x:v>日支根对日主具有近身性</x:v>
      </x:c>
      <x:c r="G49" s="82" t="str">
        <x:v>结构层</x:v>
      </x:c>
      <x:c r="H49" s="68" t="str">
        <x:v>日主</x:v>
      </x:c>
      <x:c r="I49" s="68" t="str">
        <x:v>根位</x:v>
      </x:c>
      <x:c r="J49" s="68"/>
      <x:c r="K49" s="82" t="str">
        <x:v>其他</x:v>
      </x:c>
      <x:c r="L49" s="82" t="str">
        <x:v>待定</x:v>
      </x:c>
      <x:c r="M49" s="82" t="str">
        <x:v>同柱</x:v>
      </x:c>
      <x:c r="N49" s="68" t="str">
        <x:v>日支含日主同干或同类藏干</x:v>
      </x:c>
      <x:c r="O49" s="68" t="str">
        <x:v>根气存在性已按M02确认</x:v>
      </x:c>
      <x:c r="P49" s="68" t="str">
        <x:v>日支为本气根、得令或与其他根呼应</x:v>
      </x:c>
      <x:c r="Q49" s="68" t="str">
        <x:v>根在中余气、日支受强烈作用或日主遭持续泄耗</x:v>
      </x:c>
      <x:c r="R49" s="90" t="str">
        <x:v>不得以日坐根单独推翻明显失令与全局强制泄耗</x:v>
      </x:c>
      <x:c r="S49" s="68" t="str">
        <x:v>日支近身性属于功能直接度，不等于季节权重高于月令。</x:v>
      </x:c>
      <x:c r="T49" s="68" t="str">
        <x:v>日主得地</x:v>
      </x:c>
      <x:c r="U49" s="82" t="str">
        <x:v>增强</x:v>
      </x:c>
      <x:c r="V49" s="82" t="str">
        <x:v>中</x:v>
      </x:c>
      <x:c r="W49" s="82" t="str">
        <x:v>P1_高</x:v>
      </x:c>
      <x:c r="X49" s="82" t="str">
        <x:v>辅助证据</x:v>
      </x:c>
      <x:c r="Y49" s="84" t="str">
        <x:v>日支近根</x:v>
      </x:c>
      <x:c r="Z49" s="84" t="str">
        <x:v>日支含日主同干或同类藏干，可记近身根；其直接度较高，但仍不能替代月令与全局证据。</x:v>
      </x:c>
      <x:c r="AA49" s="82" t="str">
        <x:v>中等</x:v>
      </x:c>
      <x:c r="AB49" s="82" t="str">
        <x:v>现代综合</x:v>
      </x:c>
      <x:c r="AC49" s="68" t="str">
        <x:v>日支与日主同柱，常作为近身得地证据；强度仍由藏干层级和有效性决定。</x:v>
      </x:c>
      <x:c r="AD49" s="68" t="str">
        <x:v>甲日坐寅，寅中甲本气可记日坐直接强根。</x:v>
      </x:c>
      <x:c r="AE49" s="90" t="str">
        <x:v>甲日坐卯便忽略月令和全局，直接判身旺。</x:v>
      </x:c>
      <x:c r="AF49" s="68" t="str">
        <x:v>内部综合规则</x:v>
      </x:c>
      <x:c r="AG49" s="82" t="str">
        <x:v>待验证</x:v>
      </x:c>
      <x:c r="AH49" s="82" t="str">
        <x:v>初审</x:v>
      </x:c>
      <x:c r="AI49" s="87" t="n">
        <x:v>46255</x:v>
      </x:c>
    </x:row>
    <x:row r="50" ht="48" customHeight="1">
      <x:c r="A50" s="72" t="str">
        <x:f>IF(OR(C50="",D50=""),"",B50&amp;"-"&amp;UPPER(C50)&amp;"-"&amp;TEXT(D50,"0000")&amp;"-"&amp;E50)</x:f>
        <x:v>M03-RTCT-0044-V1.0</x:v>
      </x:c>
      <x:c r="B50" s="74" t="str">
        <x:v>M03</x:v>
      </x:c>
      <x:c r="C50" s="74" t="str">
        <x:v>RTCT</x:v>
      </x:c>
      <x:c r="D50" s="79" t="n">
        <x:v>44</x:v>
      </x:c>
      <x:c r="E50" s="74" t="str">
        <x:v>V1.0</x:v>
      </x:c>
      <x:c r="F50" s="68" t="str">
        <x:v>年支与时支之根仍属有效存在</x:v>
      </x:c>
      <x:c r="G50" s="82" t="str">
        <x:v>结构层</x:v>
      </x:c>
      <x:c r="H50" s="68" t="str">
        <x:v>天干与五行</x:v>
      </x:c>
      <x:c r="I50" s="68" t="str">
        <x:v>根位</x:v>
      </x:c>
      <x:c r="J50" s="68"/>
      <x:c r="K50" s="82" t="str">
        <x:v>其他</x:v>
      </x:c>
      <x:c r="L50" s="82" t="str">
        <x:v>待定</x:v>
      </x:c>
      <x:c r="M50" s="82" t="str">
        <x:v>其他</x:v>
      </x:c>
      <x:c r="N50" s="68" t="str">
        <x:v>年支或时支含对象同干或同类藏干</x:v>
      </x:c>
      <x:c r="O50" s="68" t="str">
        <x:v>藏干映射无误</x:v>
      </x:c>
      <x:c r="P50" s="68" t="str">
        <x:v>根为本气、得令、透出或与其他根连贯</x:v>
      </x:c>
      <x:c r="Q50" s="68" t="str">
        <x:v>距离较远、根浅或受强烈作用</x:v>
      </x:c>
      <x:c r="R50" s="90" t="str">
        <x:v>不得因根位于年支或时支就直接删除其存在性</x:v>
      </x:c>
      <x:c r="S50" s="68" t="str">
        <x:v>距离影响直接度和传导，不自动决定根的吉凶。</x:v>
      </x:c>
      <x:c r="T50" s="68" t="str">
        <x:v>根气存在性</x:v>
      </x:c>
      <x:c r="U50" s="82" t="str">
        <x:v>增强</x:v>
      </x:c>
      <x:c r="V50" s="82" t="str">
        <x:v>中</x:v>
      </x:c>
      <x:c r="W50" s="82" t="str">
        <x:v>P2_中</x:v>
      </x:c>
      <x:c r="X50" s="82" t="str">
        <x:v>辅助证据</x:v>
      </x:c>
      <x:c r="Y50" s="84" t="str">
        <x:v>远位根</x:v>
      </x:c>
      <x:c r="Z50" s="84" t="str">
        <x:v>年支、时支中的根仍应记录；距离可以降低直接度，但不改变“有根”的客观存在。</x:v>
      </x:c>
      <x:c r="AA50" s="82" t="str">
        <x:v>较高</x:v>
      </x:c>
      <x:c r="AB50" s="82" t="str">
        <x:v>现代综合</x:v>
      </x:c>
      <x:c r="AC50" s="68" t="str">
        <x:v>根气先判存在，再判位置直接度与有效性。</x:v>
      </x:c>
      <x:c r="AD50" s="68" t="str">
        <x:v>甲透见时支亥中甲，仍可记直接中气根。</x:v>
      </x:c>
      <x:c r="AE50" s="90" t="str">
        <x:v>因亥在时支就把甲标记为完全无根。</x:v>
      </x:c>
      <x:c r="AF50" s="68" t="str">
        <x:v>内部综合规则</x:v>
      </x:c>
      <x:c r="AG50" s="82" t="str">
        <x:v>采用</x:v>
      </x:c>
      <x:c r="AH50" s="82" t="str">
        <x:v>初审</x:v>
      </x:c>
      <x:c r="AI50" s="87" t="n">
        <x:v>46255</x:v>
      </x:c>
    </x:row>
    <x:row r="51" ht="48" customHeight="1">
      <x:c r="A51" s="72" t="str">
        <x:f>IF(OR(C51="",D51=""),"",B51&amp;"-"&amp;UPPER(C51)&amp;"-"&amp;TEXT(D51,"0000")&amp;"-"&amp;E51)</x:f>
        <x:v>M03-RTCT-0045-V1.0</x:v>
      </x:c>
      <x:c r="B51" s="74" t="str">
        <x:v>M03</x:v>
      </x:c>
      <x:c r="C51" s="74" t="str">
        <x:v>RTCT</x:v>
      </x:c>
      <x:c r="D51" s="79" t="n">
        <x:v>45</x:v>
      </x:c>
      <x:c r="E51" s="74" t="str">
        <x:v>V1.0</x:v>
      </x:c>
      <x:c r="F51" s="68" t="str">
        <x:v>同一根支不能对多个天干无限复制力量</x:v>
      </x:c>
      <x:c r="G51" s="82" t="str">
        <x:v>结构层</x:v>
      </x:c>
      <x:c r="H51" s="68" t="str">
        <x:v>多个同类天干</x:v>
      </x:c>
      <x:c r="I51" s="68" t="str">
        <x:v>根气共源</x:v>
      </x:c>
      <x:c r="J51" s="68"/>
      <x:c r="K51" s="82" t="str">
        <x:v>其他</x:v>
      </x:c>
      <x:c r="L51" s="82" t="str">
        <x:v>待定</x:v>
      </x:c>
      <x:c r="M51" s="82" t="str">
        <x:v>其他</x:v>
      </x:c>
      <x:c r="N51" s="68" t="str">
        <x:v>两个以上同类天干共同依赖同一地支根</x:v>
      </x:c>
      <x:c r="O51" s="68" t="str">
        <x:v>已识别各天干与该支的直接根或同类根关系</x:v>
      </x:c>
      <x:c r="P51" s="68" t="str">
        <x:v>另有独立根支、透干或生源可分担承载</x:v>
      </x:c>
      <x:c r="Q51" s="68" t="str">
        <x:v>全局同类天干众多而根源单一</x:v>
      </x:c>
      <x:c r="R51" s="90" t="str">
        <x:v>不得把同一支的总气对每个天干分别按满额重复计入</x:v>
      </x:c>
      <x:c r="S51" s="68" t="str">
        <x:v>存在性可分别记录；总量汇总必须标注共源。</x:v>
      </x:c>
      <x:c r="T51" s="68" t="str">
        <x:v>根气总量</x:v>
      </x:c>
      <x:c r="U51" s="82" t="str">
        <x:v>条件性</x:v>
      </x:c>
      <x:c r="V51" s="82" t="str">
        <x:v>强</x:v>
      </x:c>
      <x:c r="W51" s="82" t="str">
        <x:v>P1_高</x:v>
      </x:c>
      <x:c r="X51" s="82" t="str">
        <x:v>否决规则</x:v>
      </x:c>
      <x:c r="Y51" s="84" t="str">
        <x:v>根气共源</x:v>
      </x:c>
      <x:c r="Z51" s="84" t="str">
        <x:v>同一地支可同时成为多个同类天干的根源，但全局力量评估应识别共源，避免按天干数量无限复制。</x:v>
      </x:c>
      <x:c r="AA51" s="82" t="str">
        <x:v>中等</x:v>
      </x:c>
      <x:c r="AB51" s="82" t="str">
        <x:v>现代综合</x:v>
      </x:c>
      <x:c r="AC51" s="68" t="str">
        <x:v>对象层面有根与全局总量不是同一个统计口径。</x:v>
      </x:c>
      <x:c r="AD51" s="68" t="str">
        <x:v>两甲同见一寅，可分别说两甲有根，但寅的总木气不能自动翻倍。</x:v>
      </x:c>
      <x:c r="AE51" s="90" t="str">
        <x:v>每多一个甲就把同一寅根再加一份满额力量。</x:v>
      </x:c>
      <x:c r="AF51" s="68" t="str">
        <x:v>内部模型治理规则</x:v>
      </x:c>
      <x:c r="AG51" s="82" t="str">
        <x:v>待验证</x:v>
      </x:c>
      <x:c r="AH51" s="82" t="str">
        <x:v>初审</x:v>
      </x:c>
      <x:c r="AI51" s="87" t="n">
        <x:v>46255</x:v>
      </x:c>
    </x:row>
    <x:row r="52" ht="48" customHeight="1">
      <x:c r="A52" s="72" t="str">
        <x:f>IF(OR(C52="",D52=""),"",B52&amp;"-"&amp;UPPER(C52)&amp;"-"&amp;TEXT(D52,"0000")&amp;"-"&amp;E52)</x:f>
        <x:v>M03-RTEF-0046-V1.0</x:v>
      </x:c>
      <x:c r="B52" s="74" t="str">
        <x:v>M03</x:v>
      </x:c>
      <x:c r="C52" s="74" t="str">
        <x:v>RTEF</x:v>
      </x:c>
      <x:c r="D52" s="79" t="n">
        <x:v>46</x:v>
      </x:c>
      <x:c r="E52" s="74" t="str">
        <x:v>V1.0</x:v>
      </x:c>
      <x:c r="F52" s="68" t="str">
        <x:v>先判根的存在再判根的效应</x:v>
      </x:c>
      <x:c r="G52" s="82" t="str">
        <x:v>效应层</x:v>
      </x:c>
      <x:c r="H52" s="68" t="str">
        <x:v>根气</x:v>
      </x:c>
      <x:c r="I52" s="68" t="str">
        <x:v>存在—效应分层</x:v>
      </x:c>
      <x:c r="J52" s="68"/>
      <x:c r="K52" s="82" t="str">
        <x:v>其他</x:v>
      </x:c>
      <x:c r="L52" s="82" t="str">
        <x:v>待定</x:v>
      </x:c>
      <x:c r="M52" s="82" t="str">
        <x:v>其他</x:v>
      </x:c>
      <x:c r="N52" s="68" t="str">
        <x:v>M02藏干与M03通根映射已完成</x:v>
      </x:c>
      <x:c r="O52" s="68" t="str">
        <x:v>先记录直接根、同类根及层级，再调用M06判断合冲刑害效应</x:v>
      </x:c>
      <x:c r="P52" s="68"/>
      <x:c r="Q52" s="68"/>
      <x:c r="R52" s="90" t="str">
        <x:v>不得因看到冲、刑、合、害就跳过根气存在性识别</x:v>
      </x:c>
      <x:c r="S52" s="68" t="str">
        <x:v>合化严格成立时可在效应层改变五行归属，但应保留原始记录。</x:v>
      </x:c>
      <x:c r="T52" s="68" t="str">
        <x:v>根气记录流程</x:v>
      </x:c>
      <x:c r="U52" s="82" t="str">
        <x:v>不变</x:v>
      </x:c>
      <x:c r="V52" s="82" t="str">
        <x:v>决定性</x:v>
      </x:c>
      <x:c r="W52" s="82" t="str">
        <x:v>P0_硬约束</x:v>
      </x:c>
      <x:c r="X52" s="82" t="str">
        <x:v>硬约束</x:v>
      </x:c>
      <x:c r="Y52" s="84" t="str">
        <x:v>根气先识别后修正</x:v>
      </x:c>
      <x:c r="Z52" s="84" t="str">
        <x:v>根气存在性属于基础识别；是否受损、冻结、转化或激活属于后续效应，二者必须分栏。</x:v>
      </x:c>
      <x:c r="AA52" s="82" t="str">
        <x:v>确定</x:v>
      </x:c>
      <x:c r="AB52" s="82" t="str">
        <x:v>现代综合</x:v>
      </x:c>
      <x:c r="AC52" s="68" t="str">
        <x:v>本库四层架构的关键规则，防止关系名称直接替代力量判断。</x:v>
      </x:c>
      <x:c r="AD52" s="68" t="str">
        <x:v>先记寅中甲为甲根，再判断寅申冲对该根的实际影响。</x:v>
      </x:c>
      <x:c r="AE52" s="90" t="str">
        <x:v>一见寅申冲就把寅中甲从基础藏干表删除。</x:v>
      </x:c>
      <x:c r="AF52" s="68" t="str">
        <x:v>内部模型治理规则</x:v>
      </x:c>
      <x:c r="AG52" s="82" t="str">
        <x:v>采用</x:v>
      </x:c>
      <x:c r="AH52" s="82" t="str">
        <x:v>初审</x:v>
      </x:c>
      <x:c r="AI52" s="87" t="n">
        <x:v>46255</x:v>
      </x:c>
    </x:row>
    <x:row r="53" ht="48" customHeight="1">
      <x:c r="A53" s="72" t="str">
        <x:f>IF(OR(C53="",D53=""),"",B53&amp;"-"&amp;UPPER(C53)&amp;"-"&amp;TEXT(D53,"0000")&amp;"-"&amp;E53)</x:f>
        <x:v>M03-RTEF-0047-V1.0</x:v>
      </x:c>
      <x:c r="B53" s="74" t="str">
        <x:v>M03</x:v>
      </x:c>
      <x:c r="C53" s="74" t="str">
        <x:v>RTEF</x:v>
      </x:c>
      <x:c r="D53" s="79" t="n">
        <x:v>47</x:v>
      </x:c>
      <x:c r="E53" s="74" t="str">
        <x:v>V1.0</x:v>
      </x:c>
      <x:c r="F53" s="68" t="str">
        <x:v>相冲不自动等于根气消失</x:v>
      </x:c>
      <x:c r="G53" s="82" t="str">
        <x:v>效应层</x:v>
      </x:c>
      <x:c r="H53" s="68" t="str">
        <x:v>受冲地支之根</x:v>
      </x:c>
      <x:c r="I53" s="68" t="str">
        <x:v>冲对根气</x:v>
      </x:c>
      <x:c r="J53" s="68"/>
      <x:c r="K53" s="82" t="str">
        <x:v>其他</x:v>
      </x:c>
      <x:c r="L53" s="82" t="str">
        <x:v>待定</x:v>
      </x:c>
      <x:c r="M53" s="82" t="str">
        <x:v>其他</x:v>
      </x:c>
      <x:c r="N53" s="68" t="str">
        <x:v>已识别某支为对象根，并识别该支受冲</x:v>
      </x:c>
      <x:c r="O53" s="68" t="str">
        <x:v>M06需判断冲动、冲散、冲旺、冲弱或只是引动</x:v>
      </x:c>
      <x:c r="P53" s="68" t="str">
        <x:v>根支得令、有同党、透干或冲中获生</x:v>
      </x:c>
      <x:c r="Q53" s="68" t="str">
        <x:v>根支失令、孤弱、受克且无救应</x:v>
      </x:c>
      <x:c r="R53" s="90" t="str">
        <x:v>不得仅凭“相冲”二字把该支根气直接判零</x:v>
      </x:c>
      <x:c r="S53" s="68" t="str">
        <x:v>冲散或合化等强效应若经M06成立，可显著降低或重算有效根。</x:v>
      </x:c>
      <x:c r="T53" s="68" t="str">
        <x:v>有效根气</x:v>
      </x:c>
      <x:c r="U53" s="82" t="str">
        <x:v>条件性</x:v>
      </x:c>
      <x:c r="V53" s="82" t="str">
        <x:v>待定</x:v>
      </x:c>
      <x:c r="W53" s="82" t="str">
        <x:v>P1_高</x:v>
      </x:c>
      <x:c r="X53" s="82" t="str">
        <x:v>否决规则</x:v>
      </x:c>
      <x:c r="Y53" s="84" t="str">
        <x:v>冲不必然拔根</x:v>
      </x:c>
      <x:c r="Z53" s="84" t="str">
        <x:v>根支受冲时，先保留根的存在，再按双方强弱、月令与叠加关系判断有效根力变化。</x:v>
      </x:c>
      <x:c r="AA53" s="82" t="str">
        <x:v>较高</x:v>
      </x:c>
      <x:c r="AB53" s="82" t="str">
        <x:v>现代综合</x:v>
      </x:c>
      <x:c r="AC53" s="68" t="str">
        <x:v>冲有多种效应，不存在统一的“逢冲即无根”结果。</x:v>
      </x:c>
      <x:c r="AD53" s="68" t="str">
        <x:v>寅申冲中寅得令、有甲透与同党，未必被冲散。</x:v>
      </x:c>
      <x:c r="AE53" s="90" t="str">
        <x:v>不看双方力量便直接写“寅被冲掉，甲无根”。</x:v>
      </x:c>
      <x:c r="AF53" s="68" t="str">
        <x:v>https://zh.wikisource.org/wiki/三命通會；内部效应分层规则</x:v>
      </x:c>
      <x:c r="AG53" s="82" t="str">
        <x:v>待验证</x:v>
      </x:c>
      <x:c r="AH53" s="82" t="str">
        <x:v>初审</x:v>
      </x:c>
      <x:c r="AI53" s="87" t="n">
        <x:v>46255</x:v>
      </x:c>
    </x:row>
    <x:row r="54" ht="48" customHeight="1">
      <x:c r="A54" s="72" t="str">
        <x:f>IF(OR(C54="",D54=""),"",B54&amp;"-"&amp;UPPER(C54)&amp;"-"&amp;TEXT(D54,"0000")&amp;"-"&amp;E54)</x:f>
        <x:v>M03-RTEF-0048-V1.0</x:v>
      </x:c>
      <x:c r="B54" s="74" t="str">
        <x:v>M03</x:v>
      </x:c>
      <x:c r="C54" s="74" t="str">
        <x:v>RTEF</x:v>
      </x:c>
      <x:c r="D54" s="79" t="n">
        <x:v>48</x:v>
      </x:c>
      <x:c r="E54" s="74" t="str">
        <x:v>V1.0</x:v>
      </x:c>
      <x:c r="F54" s="68" t="str">
        <x:v>相合不自动等于根气被冻结或消失</x:v>
      </x:c>
      <x:c r="G54" s="82" t="str">
        <x:v>效应层</x:v>
      </x:c>
      <x:c r="H54" s="68" t="str">
        <x:v>受合地支之根</x:v>
      </x:c>
      <x:c r="I54" s="68" t="str">
        <x:v>合对根气</x:v>
      </x:c>
      <x:c r="J54" s="68"/>
      <x:c r="K54" s="82" t="str">
        <x:v>其他</x:v>
      </x:c>
      <x:c r="L54" s="82" t="str">
        <x:v>待定</x:v>
      </x:c>
      <x:c r="M54" s="82" t="str">
        <x:v>其他</x:v>
      </x:c>
      <x:c r="N54" s="68" t="str">
        <x:v>已识别某支为对象根，并识别该支参与合</x:v>
      </x:c>
      <x:c r="O54" s="68" t="str">
        <x:v>M06需区分合绊、合动、合化与合而不化</x:v>
      </x:c>
      <x:c r="P54" s="68" t="str">
        <x:v>合局得令、化神透出或合中生扶对象</x:v>
      </x:c>
      <x:c r="Q54" s="68" t="str">
        <x:v>根支被强力合绊、转化条件充分或原气受制</x:v>
      </x:c>
      <x:c r="R54" s="90" t="str">
        <x:v>不得仅凭六合、三合或半合名称直接删除根</x:v>
      </x:c>
      <x:c r="S54" s="68" t="str">
        <x:v>合化严格成立时按化神重算；合而不化时原藏干仍须保留。</x:v>
      </x:c>
      <x:c r="T54" s="68" t="str">
        <x:v>有效根气</x:v>
      </x:c>
      <x:c r="U54" s="82" t="str">
        <x:v>条件性</x:v>
      </x:c>
      <x:c r="V54" s="82" t="str">
        <x:v>待定</x:v>
      </x:c>
      <x:c r="W54" s="82" t="str">
        <x:v>P1_高</x:v>
      </x:c>
      <x:c r="X54" s="82" t="str">
        <x:v>否决规则</x:v>
      </x:c>
      <x:c r="Y54" s="84" t="str">
        <x:v>合不必然失根</x:v>
      </x:c>
      <x:c r="Z54" s="84" t="str">
        <x:v>根支参与合时，先判断合的实际效应；合而不化不等于基础根气不存在。</x:v>
      </x:c>
      <x:c r="AA54" s="82" t="str">
        <x:v>较高</x:v>
      </x:c>
      <x:c r="AB54" s="82" t="str">
        <x:v>现代综合</x:v>
      </x:c>
      <x:c r="AC54" s="68" t="str">
        <x:v>合可能牵制、引动、成势或转化，须逐对象裁定。</x:v>
      </x:c>
      <x:c r="AD54" s="68" t="str">
        <x:v>亥寅合而未化，亥中壬、甲仍先记录存在，再判有效性。</x:v>
      </x:c>
      <x:c r="AE54" s="90" t="str">
        <x:v>一见六合便把两支藏干全部清空。</x:v>
      </x:c>
      <x:c r="AF54" s="68" t="str">
        <x:v>内部效应分层规则</x:v>
      </x:c>
      <x:c r="AG54" s="82" t="str">
        <x:v>待验证</x:v>
      </x:c>
      <x:c r="AH54" s="82" t="str">
        <x:v>初审</x:v>
      </x:c>
      <x:c r="AI54" s="87" t="n">
        <x:v>46255</x:v>
      </x:c>
    </x:row>
    <x:row r="55" ht="48" customHeight="1">
      <x:c r="A55" s="72" t="str">
        <x:f>IF(OR(C55="",D55=""),"",B55&amp;"-"&amp;UPPER(C55)&amp;"-"&amp;TEXT(D55,"0000")&amp;"-"&amp;E55)</x:f>
        <x:v>M03-RTEF-0049-V1.0</x:v>
      </x:c>
      <x:c r="B55" s="74" t="str">
        <x:v>M03</x:v>
      </x:c>
      <x:c r="C55" s="74" t="str">
        <x:v>RTEF</x:v>
      </x:c>
      <x:c r="D55" s="79" t="n">
        <x:v>49</x:v>
      </x:c>
      <x:c r="E55" s="74" t="str">
        <x:v>V1.0</x:v>
      </x:c>
      <x:c r="F55" s="68" t="str">
        <x:v>刑害破不自动等于根气被毁</x:v>
      </x:c>
      <x:c r="G55" s="82" t="str">
        <x:v>效应层</x:v>
      </x:c>
      <x:c r="H55" s="68" t="str">
        <x:v>受刑害破地支之根</x:v>
      </x:c>
      <x:c r="I55" s="68" t="str">
        <x:v>刑害破对根气</x:v>
      </x:c>
      <x:c r="J55" s="68"/>
      <x:c r="K55" s="82" t="str">
        <x:v>其他</x:v>
      </x:c>
      <x:c r="L55" s="82" t="str">
        <x:v>待定</x:v>
      </x:c>
      <x:c r="M55" s="82" t="str">
        <x:v>其他</x:v>
      </x:c>
      <x:c r="N55" s="68" t="str">
        <x:v>已识别根支参与刑、害或破</x:v>
      </x:c>
      <x:c r="O55" s="68" t="str">
        <x:v>M06需判断实际是引动、阻滞、损伤还是作用有限</x:v>
      </x:c>
      <x:c r="P55" s="68" t="str">
        <x:v>根支得令、有透干、同党或救应</x:v>
      </x:c>
      <x:c r="Q55" s="68" t="str">
        <x:v>根支孤弱、受克并与多重关系叠加</x:v>
      </x:c>
      <x:c r="R55" s="90" t="str">
        <x:v>不得看到刑害破就直接固定减力或判根尽失</x:v>
      </x:c>
      <x:c r="S55" s="68" t="str">
        <x:v>特定组合的实际效应须在M06逐支判断，不能一刀切。</x:v>
      </x:c>
      <x:c r="T55" s="68" t="str">
        <x:v>有效根气</x:v>
      </x:c>
      <x:c r="U55" s="82" t="str">
        <x:v>条件性</x:v>
      </x:c>
      <x:c r="V55" s="82" t="str">
        <x:v>待定</x:v>
      </x:c>
      <x:c r="W55" s="82" t="str">
        <x:v>P1_高</x:v>
      </x:c>
      <x:c r="X55" s="82" t="str">
        <x:v>否决规则</x:v>
      </x:c>
      <x:c r="Y55" s="84" t="str">
        <x:v>刑害破不必然毁根</x:v>
      </x:c>
      <x:c r="Z55" s="84" t="str">
        <x:v>根支参与刑害破时，基础根仍保留；有效根力根据关系强度、对象与环境另行修正。</x:v>
      </x:c>
      <x:c r="AA55" s="82" t="str">
        <x:v>较高</x:v>
      </x:c>
      <x:c r="AB55" s="82" t="str">
        <x:v>现代综合</x:v>
      </x:c>
      <x:c r="AC55" s="68" t="str">
        <x:v>刑害破首先是关系识别，不能直接替代力量结论。</x:v>
      </x:c>
      <x:c r="AD55" s="68" t="str">
        <x:v>寅巳申三刑成立后，分别判断寅、巳、申各自根气，不统一判零。</x:v>
      </x:c>
      <x:c r="AE55" s="90" t="str">
        <x:v>因寅巳申三刑就直接认定巳火根被刑没。</x:v>
      </x:c>
      <x:c r="AF55" s="68" t="str">
        <x:v>内部效应分层规则</x:v>
      </x:c>
      <x:c r="AG55" s="82" t="str">
        <x:v>待验证</x:v>
      </x:c>
      <x:c r="AH55" s="82" t="str">
        <x:v>初审</x:v>
      </x:c>
      <x:c r="AI55" s="87" t="n">
        <x:v>46255</x:v>
      </x:c>
    </x:row>
    <x:row r="56" ht="48" customHeight="1">
      <x:c r="A56" s="72" t="str">
        <x:f>IF(OR(C56="",D56=""),"",B56&amp;"-"&amp;UPPER(C56)&amp;"-"&amp;TEXT(D56,"0000")&amp;"-"&amp;E56)</x:f>
        <x:v>M03-RTEF-0050-V1.0</x:v>
      </x:c>
      <x:c r="B56" s="74" t="str">
        <x:v>M03</x:v>
      </x:c>
      <x:c r="C56" s="74" t="str">
        <x:v>RTEF</x:v>
      </x:c>
      <x:c r="D56" s="79" t="n">
        <x:v>50</x:v>
      </x:c>
      <x:c r="E56" s="74" t="str">
        <x:v>V1.0</x:v>
      </x:c>
      <x:c r="F56" s="68" t="str">
        <x:v>合化成立后必须重算根气归属</x:v>
      </x:c>
      <x:c r="G56" s="82" t="str">
        <x:v>效应层</x:v>
      </x:c>
      <x:c r="H56" s="68" t="str">
        <x:v>参与合化之根</x:v>
      </x:c>
      <x:c r="I56" s="68" t="str">
        <x:v>转化重算</x:v>
      </x:c>
      <x:c r="J56" s="68"/>
      <x:c r="K56" s="82" t="str">
        <x:v>其他</x:v>
      </x:c>
      <x:c r="L56" s="82" t="str">
        <x:v>待定</x:v>
      </x:c>
      <x:c r="M56" s="82" t="str">
        <x:v>其他</x:v>
      </x:c>
      <x:c r="N56" s="68" t="str">
        <x:v>M06或M14已确认合化严格成立</x:v>
      </x:c>
      <x:c r="O56" s="68" t="str">
        <x:v>化神、月令、透干与阻碍条件均满足既定规则</x:v>
      </x:c>
      <x:c r="P56" s="68" t="str">
        <x:v>化神得令、透出且原五行无强力反向保留</x:v>
      </x:c>
      <x:c r="Q56" s="68" t="str">
        <x:v>化神失令、受制或合局不完整</x:v>
      </x:c>
      <x:c r="R56" s="90" t="str">
        <x:v>合化条件未确认前不得提前重算根气</x:v>
      </x:c>
      <x:c r="S56" s="68" t="str">
        <x:v>只成立合绊或合而不化时，原藏干仍保留。</x:v>
      </x:c>
      <x:c r="T56" s="68" t="str">
        <x:v>根气五行归属</x:v>
      </x:c>
      <x:c r="U56" s="82" t="str">
        <x:v>转化</x:v>
      </x:c>
      <x:c r="V56" s="82" t="str">
        <x:v>决定性</x:v>
      </x:c>
      <x:c r="W56" s="82" t="str">
        <x:v>P0_硬约束</x:v>
      </x:c>
      <x:c r="X56" s="82" t="str">
        <x:v>硬约束</x:v>
      </x:c>
      <x:c r="Y56" s="84" t="str">
        <x:v>合化后重算根气</x:v>
      </x:c>
      <x:c r="Z56" s="84" t="str">
        <x:v>只有合化严格成立，才按化神重新评估参与支的有效五行与根气；原始记录仍保留用于追溯。</x:v>
      </x:c>
      <x:c r="AA56" s="82" t="str">
        <x:v>较高</x:v>
      </x:c>
      <x:c r="AB56" s="82" t="str">
        <x:v>现代综合</x:v>
      </x:c>
      <x:c r="AC56" s="68" t="str">
        <x:v>转化是高门槛效应，必须晚于关系识别和条件验证。</x:v>
      </x:c>
      <x:c r="AD56" s="68" t="str">
        <x:v>地支会局严格成立并化神有力时，按化后五行评估有效根。</x:v>
      </x:c>
      <x:c r="AE56" s="90" t="str">
        <x:v>仅见半合便把原支全部改成化神。</x:v>
      </x:c>
      <x:c r="AF56" s="68" t="str">
        <x:v>内部效应与格局裁决规则</x:v>
      </x:c>
      <x:c r="AG56" s="82" t="str">
        <x:v>待验证</x:v>
      </x:c>
      <x:c r="AH56" s="82" t="str">
        <x:v>初审</x:v>
      </x:c>
      <x:c r="AI56" s="87" t="n">
        <x:v>46255</x:v>
      </x:c>
    </x:row>
    <x:row r="57" ht="48" customHeight="1">
      <x:c r="A57" s="72" t="str">
        <x:f>IF(OR(C57="",D57=""),"",B57&amp;"-"&amp;UPPER(C57)&amp;"-"&amp;TEXT(D57,"0000")&amp;"-"&amp;E57)</x:f>
        <x:v>M03-RTEF-0051-V1.0</x:v>
      </x:c>
      <x:c r="B57" s="74" t="str">
        <x:v>M03</x:v>
      </x:c>
      <x:c r="C57" s="74" t="str">
        <x:v>RTEF</x:v>
      </x:c>
      <x:c r="D57" s="79" t="n">
        <x:v>51</x:v>
      </x:c>
      <x:c r="E57" s="74" t="str">
        <x:v>V1.0</x:v>
      </x:c>
      <x:c r="F57" s="68" t="str">
        <x:v>根支受损时降低有效根而非删除基础根</x:v>
      </x:c>
      <x:c r="G57" s="82" t="str">
        <x:v>效应层</x:v>
      </x:c>
      <x:c r="H57" s="68" t="str">
        <x:v>受损根支</x:v>
      </x:c>
      <x:c r="I57" s="68" t="str">
        <x:v>有效根修正</x:v>
      </x:c>
      <x:c r="J57" s="68"/>
      <x:c r="K57" s="82" t="str">
        <x:v>其他</x:v>
      </x:c>
      <x:c r="L57" s="82" t="str">
        <x:v>待定</x:v>
      </x:c>
      <x:c r="M57" s="82" t="str">
        <x:v>其他</x:v>
      </x:c>
      <x:c r="N57" s="68" t="str">
        <x:v>根气存在且M06确认根支受到明显削弱</x:v>
      </x:c>
      <x:c r="O57" s="68" t="str">
        <x:v>削弱效应有明确对象、方向与等级</x:v>
      </x:c>
      <x:c r="P57" s="68" t="str">
        <x:v>根支仍得令、有透干、同党或救应</x:v>
      </x:c>
      <x:c r="Q57" s="68" t="str">
        <x:v>根支失令、孤弱并遭多重克冲合绊</x:v>
      </x:c>
      <x:c r="R57" s="90" t="str">
        <x:v>不得改写M02基础藏干事实</x:v>
      </x:c>
      <x:c r="S57" s="68" t="str">
        <x:v>若转化严格成立，则按M03-50重算而非简单减弱。</x:v>
      </x:c>
      <x:c r="T57" s="68" t="str">
        <x:v>有效根气</x:v>
      </x:c>
      <x:c r="U57" s="82" t="str">
        <x:v>减弱</x:v>
      </x:c>
      <x:c r="V57" s="82" t="str">
        <x:v>待定</x:v>
      </x:c>
      <x:c r="W57" s="82" t="str">
        <x:v>P1_高</x:v>
      </x:c>
      <x:c r="X57" s="82" t="str">
        <x:v>软约束</x:v>
      </x:c>
      <x:c r="Y57" s="84" t="str">
        <x:v>有效根减弱</x:v>
      </x:c>
      <x:c r="Z57" s="84" t="str">
        <x:v>根支受损时，记录为“有根但有效性下降”；只有转化或严格否决条件成立时才改变归属。</x:v>
      </x:c>
      <x:c r="AA57" s="82" t="str">
        <x:v>较高</x:v>
      </x:c>
      <x:c r="AB57" s="82" t="str">
        <x:v>现代综合</x:v>
      </x:c>
      <x:c r="AC57" s="68" t="str">
        <x:v>存在性与有效性分栏，便于追溯根力为何下降。</x:v>
      </x:c>
      <x:c r="AD57" s="68" t="str">
        <x:v>寅中甲根仍存在，但寅受强冲且失令，可下调有效根等级。</x:v>
      </x:c>
      <x:c r="AE57" s="90" t="str">
        <x:v>直接把基础表中的寅藏甲删除。</x:v>
      </x:c>
      <x:c r="AF57" s="68" t="str">
        <x:v>内部综合规则</x:v>
      </x:c>
      <x:c r="AG57" s="82" t="str">
        <x:v>待验证</x:v>
      </x:c>
      <x:c r="AH57" s="82" t="str">
        <x:v>初审</x:v>
      </x:c>
      <x:c r="AI57" s="87" t="n">
        <x:v>46255</x:v>
      </x:c>
    </x:row>
    <x:row r="58" ht="48" customHeight="1">
      <x:c r="A58" s="72" t="str">
        <x:f>IF(OR(C58="",D58=""),"",B58&amp;"-"&amp;UPPER(C58)&amp;"-"&amp;TEXT(D58,"0000")&amp;"-"&amp;E58)</x:f>
        <x:v>M03-RTEF-0052-V1.0</x:v>
      </x:c>
      <x:c r="B58" s="74" t="str">
        <x:v>M03</x:v>
      </x:c>
      <x:c r="C58" s="74" t="str">
        <x:v>RTEF</x:v>
      </x:c>
      <x:c r="D58" s="79" t="n">
        <x:v>52</x:v>
      </x:c>
      <x:c r="E58" s="74" t="str">
        <x:v>V1.0</x:v>
      </x:c>
      <x:c r="F58" s="68" t="str">
        <x:v>藏干透出可增强根气传导但非存在条件</x:v>
      </x:c>
      <x:c r="G58" s="82" t="str">
        <x:v>结构层</x:v>
      </x:c>
      <x:c r="H58" s="68" t="str">
        <x:v>藏干与透干</x:v>
      </x:c>
      <x:c r="I58" s="68" t="str">
        <x:v>根气透达</x:v>
      </x:c>
      <x:c r="J58" s="68"/>
      <x:c r="K58" s="82" t="str">
        <x:v>其他</x:v>
      </x:c>
      <x:c r="L58" s="82" t="str">
        <x:v>待定</x:v>
      </x:c>
      <x:c r="M58" s="82" t="str">
        <x:v>其他</x:v>
      </x:c>
      <x:c r="N58" s="68" t="str">
        <x:v>支内藏干已识别，并检查同干是否透出</x:v>
      </x:c>
      <x:c r="O58" s="68" t="str">
        <x:v>根气存在不以透干为必要条件</x:v>
      </x:c>
      <x:c r="P58" s="68" t="str">
        <x:v>同干透出、相邻呼应、得令或有生源</x:v>
      </x:c>
      <x:c r="Q58" s="68" t="str">
        <x:v>透出之干无根、受合克或被强力泄耗</x:v>
      </x:c>
      <x:c r="R58" s="90" t="str">
        <x:v>未透干不得被误判为藏干不存在</x:v>
      </x:c>
      <x:c r="S58" s="68" t="str">
        <x:v>透出也不保证有效旺强；仍须看根、令与作用。</x:v>
      </x:c>
      <x:c r="T58" s="68" t="str">
        <x:v>根气功能</x:v>
      </x:c>
      <x:c r="U58" s="82" t="str">
        <x:v>增强</x:v>
      </x:c>
      <x:c r="V58" s="82" t="str">
        <x:v>中</x:v>
      </x:c>
      <x:c r="W58" s="82" t="str">
        <x:v>P2_中</x:v>
      </x:c>
      <x:c r="X58" s="82" t="str">
        <x:v>辅助证据</x:v>
      </x:c>
      <x:c r="Y58" s="84" t="str">
        <x:v>透出增强传导</x:v>
      </x:c>
      <x:c r="Z58" s="84" t="str">
        <x:v>藏干透出通常提高其可见性与作用直接度；未透仍可作为根，透出也不自动等于旺。</x:v>
      </x:c>
      <x:c r="AA58" s="82" t="str">
        <x:v>较高</x:v>
      </x:c>
      <x:c r="AB58" s="82" t="str">
        <x:v>现代综合</x:v>
      </x:c>
      <x:c r="AC58" s="68" t="str">
        <x:v>存在方式、力量与功能是三个不同字段。</x:v>
      </x:c>
      <x:c r="AD58" s="68" t="str">
        <x:v>寅中甲又透甲，木根与天干形成呼应。</x:v>
      </x:c>
      <x:c r="AE58" s="90" t="str">
        <x:v>寅中甲未透便被判为不存在。</x:v>
      </x:c>
      <x:c r="AF58" s="68" t="str">
        <x:v>内部综合规则</x:v>
      </x:c>
      <x:c r="AG58" s="82" t="str">
        <x:v>采用</x:v>
      </x:c>
      <x:c r="AH58" s="82" t="str">
        <x:v>初审</x:v>
      </x:c>
      <x:c r="AI58" s="87" t="n">
        <x:v>46255</x:v>
      </x:c>
    </x:row>
    <x:row r="59" ht="48" customHeight="1">
      <x:c r="A59" s="72" t="str">
        <x:f>IF(OR(C59="",D59=""),"",B59&amp;"-"&amp;UPPER(C59)&amp;"-"&amp;TEXT(D59,"0000")&amp;"-"&amp;E59)</x:f>
        <x:v>M03-RTEF-0053-V1.0</x:v>
      </x:c>
      <x:c r="B59" s="74" t="str">
        <x:v>M03</x:v>
      </x:c>
      <x:c r="C59" s="74" t="str">
        <x:v>RTEF</x:v>
      </x:c>
      <x:c r="D59" s="79" t="n">
        <x:v>53</x:v>
      </x:c>
      <x:c r="E59" s="74" t="str">
        <x:v>V1.0</x:v>
      </x:c>
      <x:c r="F59" s="68" t="str">
        <x:v>气候与流通可限制根气功能</x:v>
      </x:c>
      <x:c r="G59" s="82" t="str">
        <x:v>结构层</x:v>
      </x:c>
      <x:c r="H59" s="68" t="str">
        <x:v>根气</x:v>
      </x:c>
      <x:c r="I59" s="68" t="str">
        <x:v>环境有效性</x:v>
      </x:c>
      <x:c r="J59" s="68"/>
      <x:c r="K59" s="82" t="str">
        <x:v>其他</x:v>
      </x:c>
      <x:c r="L59" s="82" t="str">
        <x:v>待定</x:v>
      </x:c>
      <x:c r="M59" s="82" t="str">
        <x:v>其他</x:v>
      </x:c>
      <x:c r="N59" s="68" t="str">
        <x:v>根气存在且M13/M12识别寒暖燥湿或流通问题</x:v>
      </x:c>
      <x:c r="O59" s="68" t="str">
        <x:v>环境问题确实阻碍该五行生化、透达或承载</x:v>
      </x:c>
      <x:c r="P59" s="68" t="str">
        <x:v>有调候、通关或连续生扶使根气能够发挥</x:v>
      </x:c>
      <x:c r="Q59" s="68" t="str">
        <x:v>寒凝、燥枯、湿滞、源头被截或桥梁受阻</x:v>
      </x:c>
      <x:c r="R59" s="90" t="str">
        <x:v>不得因功能受限而把基础根气改写为不存在</x:v>
      </x:c>
      <x:c r="S59" s="68" t="str">
        <x:v>调候和流通只是有效性修正，不替代根的藏干层级。</x:v>
      </x:c>
      <x:c r="T59" s="68" t="str">
        <x:v>根气功能</x:v>
      </x:c>
      <x:c r="U59" s="82" t="str">
        <x:v>冻结</x:v>
      </x:c>
      <x:c r="V59" s="82" t="str">
        <x:v>中</x:v>
      </x:c>
      <x:c r="W59" s="82" t="str">
        <x:v>P2_中</x:v>
      </x:c>
      <x:c r="X59" s="82" t="str">
        <x:v>软约束</x:v>
      </x:c>
      <x:c r="Y59" s="84" t="str">
        <x:v>根存在功能受限</x:v>
      </x:c>
      <x:c r="Z59" s="84" t="str">
        <x:v>根气可以客观存在但因寒暖燥湿或流通卡点而难以发挥；应输出“有根、功能受限”。</x:v>
      </x:c>
      <x:c r="AA59" s="82" t="str">
        <x:v>中等</x:v>
      </x:c>
      <x:c r="AB59" s="82" t="str">
        <x:v>现代综合</x:v>
      </x:c>
      <x:c r="AC59" s="68" t="str">
        <x:v>有效力量不仅取决于数量与位置，还取决于能否生化与传导。</x:v>
      </x:c>
      <x:c r="AD59" s="68" t="str">
        <x:v>寒湿局中木根存在，但木气寒湿不发，功能受限。</x:v>
      </x:c>
      <x:c r="AE59" s="90" t="str">
        <x:v>看到功能受限就直接判该木完全无根。</x:v>
      </x:c>
      <x:c r="AF59" s="68" t="str">
        <x:v>内部综合规则；需M12/M13联动</x:v>
      </x:c>
      <x:c r="AG59" s="82" t="str">
        <x:v>待验证</x:v>
      </x:c>
      <x:c r="AH59" s="82" t="str">
        <x:v>初审</x:v>
      </x:c>
      <x:c r="AI59" s="87" t="n">
        <x:v>46255</x:v>
      </x:c>
    </x:row>
    <x:row r="60" ht="48" customHeight="1">
      <x:c r="A60" s="72" t="str">
        <x:f>IF(OR(C60="",D60=""),"",B60&amp;"-"&amp;UPPER(C60)&amp;"-"&amp;TEXT(D60,"0000")&amp;"-"&amp;E60)</x:f>
        <x:v>M03-DIM-0054-V1.0</x:v>
      </x:c>
      <x:c r="B60" s="74" t="str">
        <x:v>M03</x:v>
      </x:c>
      <x:c r="C60" s="74" t="str">
        <x:v>DIM</x:v>
      </x:c>
      <x:c r="D60" s="79" t="n">
        <x:v>54</x:v>
      </x:c>
      <x:c r="E60" s="74" t="str">
        <x:v>V1.0</x:v>
      </x:c>
      <x:c r="F60" s="68" t="str">
        <x:v>得令的定义与输出边界</x:v>
      </x:c>
      <x:c r="G60" s="82" t="str">
        <x:v>结构层</x:v>
      </x:c>
      <x:c r="H60" s="68" t="str">
        <x:v>日主及五行</x:v>
      </x:c>
      <x:c r="I60" s="68" t="str">
        <x:v>得令</x:v>
      </x:c>
      <x:c r="J60" s="68" t="str">
        <x:v>对象获得月令旺或相的季节支持</x:v>
      </x:c>
      <x:c r="K60" s="82" t="str">
        <x:v>其他</x:v>
      </x:c>
      <x:c r="L60" s="82" t="str">
        <x:v>待定</x:v>
      </x:c>
      <x:c r="M60" s="82" t="str">
        <x:v>其他</x:v>
      </x:c>
      <x:c r="N60" s="68" t="str">
        <x:v>月支与季节关系已准确识别</x:v>
      </x:c>
      <x:c r="O60" s="68" t="str">
        <x:v>对象在月令层面获得直接或派生支持</x:v>
      </x:c>
      <x:c r="P60" s="68" t="str">
        <x:v>同类本气当令、月令透出或与根助呼应</x:v>
      </x:c>
      <x:c r="Q60" s="68" t="str">
        <x:v>仅得相而无根、受强制泄耗或交节边界不确定</x:v>
      </x:c>
      <x:c r="R60" s="90" t="str">
        <x:v>不得把得令自动等同于得地、得势或最终旺</x:v>
      </x:c>
      <x:c r="S60" s="68" t="str">
        <x:v>特殊格局与调候仍需独立审查。</x:v>
      </x:c>
      <x:c r="T60" s="68" t="str">
        <x:v>旺衰维度</x:v>
      </x:c>
      <x:c r="U60" s="82" t="str">
        <x:v>增强</x:v>
      </x:c>
      <x:c r="V60" s="82" t="str">
        <x:v>强</x:v>
      </x:c>
      <x:c r="W60" s="82" t="str">
        <x:v>P1_高</x:v>
      </x:c>
      <x:c r="X60" s="82" t="str">
        <x:v>硬约束</x:v>
      </x:c>
      <x:c r="Y60" s="84" t="str">
        <x:v>得令定义</x:v>
      </x:c>
      <x:c r="Z60" s="84" t="str">
        <x:v>得令只回答对象是否获得季节支持；它是高权重证据，但不是日主旺衰的完整结论。</x:v>
      </x:c>
      <x:c r="AA60" s="82" t="str">
        <x:v>确定</x:v>
      </x:c>
      <x:c r="AB60" s="82" t="str">
        <x:v>现代综合</x:v>
      </x:c>
      <x:c r="AC60" s="68" t="str">
        <x:v>统一术语，防止得令与身旺混用。</x:v>
      </x:c>
      <x:c r="AD60" s="68" t="str">
        <x:v>甲日寅月可记得令，再另判是否有根与同党。</x:v>
      </x:c>
      <x:c r="AE60" s="90" t="str">
        <x:v>甲日寅月直接写“得令所以身旺”。</x:v>
      </x:c>
      <x:c r="AF60" s="68" t="str">
        <x:v>内部术语治理</x:v>
      </x:c>
      <x:c r="AG60" s="82" t="str">
        <x:v>采用</x:v>
      </x:c>
      <x:c r="AH60" s="82" t="str">
        <x:v>初审</x:v>
      </x:c>
      <x:c r="AI60" s="87" t="n">
        <x:v>46255</x:v>
      </x:c>
    </x:row>
    <x:row r="61" ht="48" customHeight="1">
      <x:c r="A61" s="72" t="str">
        <x:f>IF(OR(C61="",D61=""),"",B61&amp;"-"&amp;UPPER(C61)&amp;"-"&amp;TEXT(D61,"0000")&amp;"-"&amp;E61)</x:f>
        <x:v>M03-DIM-0055-V1.0</x:v>
      </x:c>
      <x:c r="B61" s="74" t="str">
        <x:v>M03</x:v>
      </x:c>
      <x:c r="C61" s="74" t="str">
        <x:v>DIM</x:v>
      </x:c>
      <x:c r="D61" s="79" t="n">
        <x:v>55</x:v>
      </x:c>
      <x:c r="E61" s="74" t="str">
        <x:v>V1.0</x:v>
      </x:c>
      <x:c r="F61" s="68" t="str">
        <x:v>得地的定义与分级</x:v>
      </x:c>
      <x:c r="G61" s="82" t="str">
        <x:v>结构层</x:v>
      </x:c>
      <x:c r="H61" s="68" t="str">
        <x:v>日主及五行</x:v>
      </x:c>
      <x:c r="I61" s="68" t="str">
        <x:v>得地</x:v>
      </x:c>
      <x:c r="J61" s="68"/>
      <x:c r="K61" s="82" t="str">
        <x:v>其他</x:v>
      </x:c>
      <x:c r="L61" s="82" t="str">
        <x:v>待定</x:v>
      </x:c>
      <x:c r="M61" s="82" t="str">
        <x:v>其他</x:v>
      </x:c>
      <x:c r="N61" s="68" t="str">
        <x:v>四支根气已完成直接根、同类根及层级识别</x:v>
      </x:c>
      <x:c r="O61" s="68" t="str">
        <x:v>至少存在一处有效直接根或可采用的同类根</x:v>
      </x:c>
      <x:c r="P61" s="68" t="str">
        <x:v>根处本气、月支、日支、多处呼应或透出</x:v>
      </x:c>
      <x:c r="Q61" s="68" t="str">
        <x:v>根浅、远隔、受损、共源或功能受限</x:v>
      </x:c>
      <x:c r="R61" s="90" t="str">
        <x:v>有根不等于得地强；必须输出根型、根位与等级</x:v>
      </x:c>
      <x:c r="S61" s="68" t="str">
        <x:v>从格等特殊结构仍须转M14。</x:v>
      </x:c>
      <x:c r="T61" s="68" t="str">
        <x:v>旺衰维度</x:v>
      </x:c>
      <x:c r="U61" s="82" t="str">
        <x:v>增强</x:v>
      </x:c>
      <x:c r="V61" s="82" t="str">
        <x:v>待定</x:v>
      </x:c>
      <x:c r="W61" s="82" t="str">
        <x:v>P1_高</x:v>
      </x:c>
      <x:c r="X61" s="82" t="str">
        <x:v>硬约束</x:v>
      </x:c>
      <x:c r="Y61" s="84" t="str">
        <x:v>得地定义</x:v>
      </x:c>
      <x:c r="Z61" s="84" t="str">
        <x:v>得地表示对象在地支中有根；必须进一步写明直接根/同类根、本中余气、位置和有效等级。</x:v>
      </x:c>
      <x:c r="AA61" s="82" t="str">
        <x:v>较高</x:v>
      </x:c>
      <x:c r="AB61" s="82" t="str">
        <x:v>现代综合</x:v>
      </x:c>
      <x:c r="AC61" s="68" t="str">
        <x:v>得地是分级概念，不是简单的是/否。</x:v>
      </x:c>
      <x:c r="AD61" s="68" t="str">
        <x:v>甲见寅本气根，可记得地较强；甲仅见卯同类根，应另行分级。</x:v>
      </x:c>
      <x:c r="AE61" s="90" t="str">
        <x:v>只要见一个余气根就写“得地强”。</x:v>
      </x:c>
      <x:c r="AF61" s="68" t="str">
        <x:v>内部术语治理</x:v>
      </x:c>
      <x:c r="AG61" s="82" t="str">
        <x:v>采用</x:v>
      </x:c>
      <x:c r="AH61" s="82" t="str">
        <x:v>初审</x:v>
      </x:c>
      <x:c r="AI61" s="87" t="n">
        <x:v>46255</x:v>
      </x:c>
    </x:row>
    <x:row r="62" ht="48" customHeight="1">
      <x:c r="A62" s="72" t="str">
        <x:f>IF(OR(C62="",D62=""),"",B62&amp;"-"&amp;UPPER(C62)&amp;"-"&amp;TEXT(D62,"0000")&amp;"-"&amp;E62)</x:f>
        <x:v>M03-DIM-0056-V1.0</x:v>
      </x:c>
      <x:c r="B62" s="74" t="str">
        <x:v>M03</x:v>
      </x:c>
      <x:c r="C62" s="74" t="str">
        <x:v>DIM</x:v>
      </x:c>
      <x:c r="D62" s="79" t="n">
        <x:v>56</x:v>
      </x:c>
      <x:c r="E62" s="74" t="str">
        <x:v>V1.0</x:v>
      </x:c>
      <x:c r="F62" s="68" t="str">
        <x:v>得势的定义与证据来源</x:v>
      </x:c>
      <x:c r="G62" s="82" t="str">
        <x:v>结构层</x:v>
      </x:c>
      <x:c r="H62" s="68" t="str">
        <x:v>日主及五行</x:v>
      </x:c>
      <x:c r="I62" s="68" t="str">
        <x:v>得势</x:v>
      </x:c>
      <x:c r="J62" s="68"/>
      <x:c r="K62" s="82" t="str">
        <x:v>其他</x:v>
      </x:c>
      <x:c r="L62" s="82" t="str">
        <x:v>待定</x:v>
      </x:c>
      <x:c r="M62" s="82" t="str">
        <x:v>其他</x:v>
      </x:c>
      <x:c r="N62" s="68" t="str">
        <x:v>已统计同类、印比、生源、透干与成党成势关系</x:v>
      </x:c>
      <x:c r="O62" s="68" t="str">
        <x:v>同一阵营在全局形成可持续的数量、位置或流通优势</x:v>
      </x:c>
      <x:c r="P62" s="68" t="str">
        <x:v>多透、多根、相邻呼应、连续生扶或会局成势</x:v>
      </x:c>
      <x:c r="Q62" s="68" t="str">
        <x:v>同党共源、各自无根、被制或生化链中断</x:v>
      </x:c>
      <x:c r="R62" s="90" t="str">
        <x:v>不得用单一根或单一天干数量直接代替得势</x:v>
      </x:c>
      <x:c r="S62" s="68" t="str">
        <x:v>从格、专旺候选须转M14严格验证。</x:v>
      </x:c>
      <x:c r="T62" s="68" t="str">
        <x:v>旺衰维度</x:v>
      </x:c>
      <x:c r="U62" s="82" t="str">
        <x:v>增强</x:v>
      </x:c>
      <x:c r="V62" s="82" t="str">
        <x:v>强</x:v>
      </x:c>
      <x:c r="W62" s="82" t="str">
        <x:v>P1_高</x:v>
      </x:c>
      <x:c r="X62" s="82" t="str">
        <x:v>软约束</x:v>
      </x:c>
      <x:c r="Y62" s="84" t="str">
        <x:v>得势定义</x:v>
      </x:c>
      <x:c r="Z62" s="84" t="str">
        <x:v>得势表示同类及生扶阵营在全局形成整体趋势；它不同于单独得令或得地。</x:v>
      </x:c>
      <x:c r="AA62" s="82" t="str">
        <x:v>中等</x:v>
      </x:c>
      <x:c r="AB62" s="82" t="str">
        <x:v>现代综合</x:v>
      </x:c>
      <x:c r="AC62" s="68" t="str">
        <x:v>势来自群体与路径，不来自单点证据。</x:v>
      </x:c>
      <x:c r="AD62" s="68" t="str">
        <x:v>日主失令但印比多透、多根且连续相生，可获得得势支持。</x:v>
      </x:c>
      <x:c r="AE62" s="90" t="str">
        <x:v>只因一个比肩透干就判得势。</x:v>
      </x:c>
      <x:c r="AF62" s="68" t="str">
        <x:v>内部术语治理</x:v>
      </x:c>
      <x:c r="AG62" s="82" t="str">
        <x:v>待验证</x:v>
      </x:c>
      <x:c r="AH62" s="82" t="str">
        <x:v>初审</x:v>
      </x:c>
      <x:c r="AI62" s="87" t="n">
        <x:v>46255</x:v>
      </x:c>
    </x:row>
    <x:row r="63" ht="48" customHeight="1">
      <x:c r="A63" s="72" t="str">
        <x:f>IF(OR(C63="",D63=""),"",B63&amp;"-"&amp;UPPER(C63)&amp;"-"&amp;TEXT(D63,"0000")&amp;"-"&amp;E63)</x:f>
        <x:v>M03-DIM-0057-V1.0</x:v>
      </x:c>
      <x:c r="B63" s="74" t="str">
        <x:v>M03</x:v>
      </x:c>
      <x:c r="C63" s="74" t="str">
        <x:v>DIM</x:v>
      </x:c>
      <x:c r="D63" s="79" t="n">
        <x:v>57</x:v>
      </x:c>
      <x:c r="E63" s="74" t="str">
        <x:v>V1.0</x:v>
      </x:c>
      <x:c r="F63" s="68" t="str">
        <x:v>得令得地得势必须分维度汇总</x:v>
      </x:c>
      <x:c r="G63" s="82" t="str">
        <x:v>综合层</x:v>
      </x:c>
      <x:c r="H63" s="68" t="str">
        <x:v>日主及五行</x:v>
      </x:c>
      <x:c r="I63" s="68" t="str">
        <x:v>证据聚合</x:v>
      </x:c>
      <x:c r="J63" s="68"/>
      <x:c r="K63" s="82" t="str">
        <x:v>其他</x:v>
      </x:c>
      <x:c r="L63" s="82" t="str">
        <x:v>待定</x:v>
      </x:c>
      <x:c r="M63" s="82" t="str">
        <x:v>其他</x:v>
      </x:c>
      <x:c r="N63" s="68" t="str">
        <x:v>得令、得地、得势三类证据均已分别记录</x:v>
      </x:c>
      <x:c r="O63" s="68" t="str">
        <x:v>汇总时保留每一维度的支持与反向证据</x:v>
      </x:c>
      <x:c r="P63" s="68" t="str">
        <x:v>三者同向、来源相对独立且有效</x:v>
      </x:c>
      <x:c r="Q63" s="68" t="str">
        <x:v>证据共源、某维度受损或相互抵消</x:v>
      </x:c>
      <x:c r="R63" s="90" t="str">
        <x:v>不得用一个维度代替另外两个，也不得只报总分不报证据</x:v>
      </x:c>
      <x:c r="S63" s="68" t="str">
        <x:v>得生、受制、受泄、受耗还须在M07/M09补充。</x:v>
      </x:c>
      <x:c r="T63" s="68" t="str">
        <x:v>旺衰综合证据</x:v>
      </x:c>
      <x:c r="U63" s="82" t="str">
        <x:v>条件性</x:v>
      </x:c>
      <x:c r="V63" s="82" t="str">
        <x:v>决定性</x:v>
      </x:c>
      <x:c r="W63" s="82" t="str">
        <x:v>P0_硬约束</x:v>
      </x:c>
      <x:c r="X63" s="82" t="str">
        <x:v>硬约束</x:v>
      </x:c>
      <x:c r="Y63" s="84" t="str">
        <x:v>三维分栏</x:v>
      </x:c>
      <x:c r="Z63" s="84" t="str">
        <x:v>得令、得地、得势须分别输出，再综合到旺衰结论；任何单一维度都不能独立包办最终判断。</x:v>
      </x:c>
      <x:c r="AA63" s="82" t="str">
        <x:v>确定</x:v>
      </x:c>
      <x:c r="AB63" s="82" t="str">
        <x:v>现代综合</x:v>
      </x:c>
      <x:c r="AC63" s="68" t="str">
        <x:v>本库要求证据可追溯，避免“得令即旺”或“有根即强”。</x:v>
      </x:c>
      <x:c r="AD63" s="68" t="str">
        <x:v>甲日得令但无根、无势，结论保留支持与反向证据。</x:v>
      </x:c>
      <x:c r="AE63" s="90" t="str">
        <x:v>只看得令一项就跳到身旺等级。</x:v>
      </x:c>
      <x:c r="AF63" s="68" t="str">
        <x:v>内部模型治理规则</x:v>
      </x:c>
      <x:c r="AG63" s="82" t="str">
        <x:v>采用</x:v>
      </x:c>
      <x:c r="AH63" s="82" t="str">
        <x:v>初审</x:v>
      </x:c>
      <x:c r="AI63" s="87" t="n">
        <x:v>46255</x:v>
      </x:c>
    </x:row>
    <x:row r="64" ht="48" customHeight="1">
      <x:c r="A64" s="72" t="str">
        <x:f>IF(OR(C64="",D64=""),"",B64&amp;"-"&amp;UPPER(C64)&amp;"-"&amp;TEXT(D64,"0000")&amp;"-"&amp;E64)</x:f>
        <x:v>M03-EDGE-0058-V1.0</x:v>
      </x:c>
      <x:c r="B64" s="74" t="str">
        <x:v>M03</x:v>
      </x:c>
      <x:c r="C64" s="74" t="str">
        <x:v>EDGE</x:v>
      </x:c>
      <x:c r="D64" s="79" t="n">
        <x:v>58</x:v>
      </x:c>
      <x:c r="E64" s="74" t="str">
        <x:v>V1.0</x:v>
      </x:c>
      <x:c r="F64" s="68" t="str">
        <x:v>无根不自动等于最终身弱或五行弱</x:v>
      </x:c>
      <x:c r="G64" s="82" t="str">
        <x:v>综合层</x:v>
      </x:c>
      <x:c r="H64" s="68" t="str">
        <x:v>日主及五行</x:v>
      </x:c>
      <x:c r="I64" s="68" t="str">
        <x:v>反例边界</x:v>
      </x:c>
      <x:c r="J64" s="68"/>
      <x:c r="K64" s="82" t="str">
        <x:v>无根</x:v>
      </x:c>
      <x:c r="L64" s="82" t="str">
        <x:v>无根</x:v>
      </x:c>
      <x:c r="M64" s="82" t="str">
        <x:v>其他</x:v>
      </x:c>
      <x:c r="N64" s="68" t="str">
        <x:v>对象已确认无直接根与同类根</x:v>
      </x:c>
      <x:c r="O64" s="68" t="str">
        <x:v>同时检查月令、透干、同党、生源与特殊格局</x:v>
      </x:c>
      <x:c r="P64" s="68" t="str">
        <x:v>对象得令、同党成势、印比连续生扶或特殊格局成立</x:v>
      </x:c>
      <x:c r="Q64" s="68" t="str">
        <x:v>对象失令、无根、无助并受强制泄耗</x:v>
      </x:c>
      <x:c r="R64" s="90" t="str">
        <x:v>不得把无根作为最终弱结论的唯一充分条件</x:v>
      </x:c>
      <x:c r="S64" s="68" t="str">
        <x:v>普通格局中无根通常是重要弱证据；从格等结构另审。</x:v>
      </x:c>
      <x:c r="T64" s="68" t="str">
        <x:v>旺衰结论</x:v>
      </x:c>
      <x:c r="U64" s="82" t="str">
        <x:v>减弱</x:v>
      </x:c>
      <x:c r="V64" s="82" t="str">
        <x:v>强</x:v>
      </x:c>
      <x:c r="W64" s="82" t="str">
        <x:v>P1_高</x:v>
      </x:c>
      <x:c r="X64" s="82" t="str">
        <x:v>例外规则</x:v>
      </x:c>
      <x:c r="Y64" s="84" t="str">
        <x:v>无根非必弱</x:v>
      </x:c>
      <x:c r="Z64" s="84" t="str">
        <x:v>无根是得地不足的重要证据，但最终旺衰仍需结合得令、得势、得生与克泄耗。</x:v>
      </x:c>
      <x:c r="AA64" s="82" t="str">
        <x:v>较高</x:v>
      </x:c>
      <x:c r="AB64" s="82" t="str">
        <x:v>现代综合</x:v>
      </x:c>
      <x:c r="AC64" s="68" t="str">
        <x:v>否定单因决定论，同时保留无根的高权重弱证据。</x:v>
      </x:c>
      <x:c r="AD64" s="68" t="str">
        <x:v>日主无根但得令、印比多透成势时，不宜仅据无根判极弱。</x:v>
      </x:c>
      <x:c r="AE64" s="90" t="str">
        <x:v>日主无根、失令又受强克泄，却因一个透干同类就判中和。</x:v>
      </x:c>
      <x:c r="AF64" s="68" t="str">
        <x:v>内部综合规则</x:v>
      </x:c>
      <x:c r="AG64" s="82" t="str">
        <x:v>待验证</x:v>
      </x:c>
      <x:c r="AH64" s="82" t="str">
        <x:v>初审</x:v>
      </x:c>
      <x:c r="AI64" s="87" t="n">
        <x:v>46255</x:v>
      </x:c>
    </x:row>
    <x:row r="65" ht="48" customHeight="1">
      <x:c r="A65" s="72" t="str">
        <x:f>IF(OR(C65="",D65=""),"",B65&amp;"-"&amp;UPPER(C65)&amp;"-"&amp;TEXT(D65,"0000")&amp;"-"&amp;E65)</x:f>
        <x:v>M03-EDGE-0059-V1.0</x:v>
      </x:c>
      <x:c r="B65" s="74" t="str">
        <x:v>M03</x:v>
      </x:c>
      <x:c r="C65" s="74" t="str">
        <x:v>EDGE</x:v>
      </x:c>
      <x:c r="D65" s="79" t="n">
        <x:v>59</x:v>
      </x:c>
      <x:c r="E65" s="74" t="str">
        <x:v>V1.0</x:v>
      </x:c>
      <x:c r="F65" s="68" t="str">
        <x:v>有根不自动等于最终身旺或五行旺</x:v>
      </x:c>
      <x:c r="G65" s="82" t="str">
        <x:v>综合层</x:v>
      </x:c>
      <x:c r="H65" s="68" t="str">
        <x:v>日主及五行</x:v>
      </x:c>
      <x:c r="I65" s="68" t="str">
        <x:v>反例边界</x:v>
      </x:c>
      <x:c r="J65" s="68"/>
      <x:c r="K65" s="82" t="str">
        <x:v>其他</x:v>
      </x:c>
      <x:c r="L65" s="82" t="str">
        <x:v>待定</x:v>
      </x:c>
      <x:c r="M65" s="82" t="str">
        <x:v>其他</x:v>
      </x:c>
      <x:c r="N65" s="68" t="str">
        <x:v>对象至少有一处直接根或同类根</x:v>
      </x:c>
      <x:c r="O65" s="68" t="str">
        <x:v>同时检查根力、月令、同党、生源及克泄耗</x:v>
      </x:c>
      <x:c r="P65" s="68" t="str">
        <x:v>根深、多根、得令且同党成势</x:v>
      </x:c>
      <x:c r="Q65" s="68" t="str">
        <x:v>根浅、失令、根支受损并遭强制泄耗</x:v>
      </x:c>
      <x:c r="R65" s="90" t="str">
        <x:v>不得把“有根”作为最终旺结论的唯一充分条件</x:v>
      </x:c>
      <x:c r="S65" s="68" t="str">
        <x:v>单一弱根可否决绝对无根，但不必足以改变总体偏弱。</x:v>
      </x:c>
      <x:c r="T65" s="68" t="str">
        <x:v>旺衰结论</x:v>
      </x:c>
      <x:c r="U65" s="82" t="str">
        <x:v>增强</x:v>
      </x:c>
      <x:c r="V65" s="82" t="str">
        <x:v>待定</x:v>
      </x:c>
      <x:c r="W65" s="82" t="str">
        <x:v>P1_高</x:v>
      </x:c>
      <x:c r="X65" s="82" t="str">
        <x:v>例外规则</x:v>
      </x:c>
      <x:c r="Y65" s="84" t="str">
        <x:v>有根非必旺</x:v>
      </x:c>
      <x:c r="Z65" s="84" t="str">
        <x:v>有根只证明对象在地支有落点；根的质量与全局承载决定其能否改变最终旺衰。</x:v>
      </x:c>
      <x:c r="AA65" s="82" t="str">
        <x:v>较高</x:v>
      </x:c>
      <x:c r="AB65" s="82" t="str">
        <x:v>现代综合</x:v>
      </x:c>
      <x:c r="AC65" s="68" t="str">
        <x:v>根气存在性与总体力量必须分开。</x:v>
      </x:c>
      <x:c r="AD65" s="68" t="str">
        <x:v>甲仅有受制的亥中气根，仍可能整体偏弱。</x:v>
      </x:c>
      <x:c r="AE65" s="90" t="str">
        <x:v>只要见一处根就直接判身旺。</x:v>
      </x:c>
      <x:c r="AF65" s="68" t="str">
        <x:v>内部综合规则</x:v>
      </x:c>
      <x:c r="AG65" s="82" t="str">
        <x:v>待验证</x:v>
      </x:c>
      <x:c r="AH65" s="82" t="str">
        <x:v>初审</x:v>
      </x:c>
      <x:c r="AI65" s="87" t="n">
        <x:v>46255</x:v>
      </x:c>
    </x:row>
    <x:row r="66" ht="48" customHeight="1">
      <x:c r="A66" s="72" t="str">
        <x:f>IF(OR(C66="",D66=""),"",B66&amp;"-"&amp;UPPER(C66)&amp;"-"&amp;TEXT(D66,"0000")&amp;"-"&amp;E66)</x:f>
        <x:v>M03-EDGE-0060-V1.0</x:v>
      </x:c>
      <x:c r="B66" s="74" t="str">
        <x:v>M03</x:v>
      </x:c>
      <x:c r="C66" s="74" t="str">
        <x:v>EDGE</x:v>
      </x:c>
      <x:c r="D66" s="79" t="n">
        <x:v>60</x:v>
      </x:c>
      <x:c r="E66" s="74" t="str">
        <x:v>V1.0</x:v>
      </x:c>
      <x:c r="F66" s="68" t="str">
        <x:v>根气结论必须保留原始与有效两套输出</x:v>
      </x:c>
      <x:c r="G66" s="82" t="str">
        <x:v>综合层</x:v>
      </x:c>
      <x:c r="H66" s="68" t="str">
        <x:v>根气与旺衰输出</x:v>
      </x:c>
      <x:c r="I66" s="68" t="str">
        <x:v>输出规范</x:v>
      </x:c>
      <x:c r="J66" s="68"/>
      <x:c r="K66" s="82" t="str">
        <x:v>其他</x:v>
      </x:c>
      <x:c r="L66" s="82" t="str">
        <x:v>待定</x:v>
      </x:c>
      <x:c r="M66" s="82" t="str">
        <x:v>其他</x:v>
      </x:c>
      <x:c r="N66" s="68" t="str">
        <x:v>M03根气识别与M06/M08效应修正均已完成</x:v>
      </x:c>
      <x:c r="O66" s="68" t="str">
        <x:v>同时输出原始根、有效根、支持证据、反向证据与置信度</x:v>
      </x:c>
      <x:c r="P66" s="68" t="str">
        <x:v>证据一致、规则状态已验证且无重大争议</x:v>
      </x:c>
      <x:c r="Q66" s="68" t="str">
        <x:v>交节边界不明、关系效应争议或根力来源共源</x:v>
      </x:c>
      <x:c r="R66" s="90" t="str">
        <x:v>不得只输出“有根/无根”而省略层级、位置、受损与置信度</x:v>
      </x:c>
      <x:c r="S66" s="68" t="str">
        <x:v>存在流派争议时，主结论与备选结论均须进入M21。</x:v>
      </x:c>
      <x:c r="T66" s="68" t="str">
        <x:v>结构化输出</x:v>
      </x:c>
      <x:c r="U66" s="82" t="str">
        <x:v>条件性</x:v>
      </x:c>
      <x:c r="V66" s="82" t="str">
        <x:v>决定性</x:v>
      </x:c>
      <x:c r="W66" s="82" t="str">
        <x:v>P0_硬约束</x:v>
      </x:c>
      <x:c r="X66" s="82" t="str">
        <x:v>硬约束</x:v>
      </x:c>
      <x:c r="Y66" s="84" t="str">
        <x:v>原始有效双输出</x:v>
      </x:c>
      <x:c r="Z66" s="84" t="str">
        <x:v>根气结论统一写为：原始根型与位置、有效根等级、增强因素、削弱因素、反向证据、置信度。</x:v>
      </x:c>
      <x:c r="AA66" s="82" t="str">
        <x:v>确定</x:v>
      </x:c>
      <x:c r="AB66" s="82" t="str">
        <x:v>现代综合</x:v>
      </x:c>
      <x:c r="AC66" s="68" t="str">
        <x:v>为M07、M08、M09提供可追溯输入，避免同一案例反复改口。</x:v>
      </x:c>
      <x:c r="AD66" s="68" t="str">
        <x:v>原始：甲有寅本气根；有效：寅受冲但得令，根力中等偏强，置信较高。</x:v>
      </x:c>
      <x:c r="AE66" s="90" t="str">
        <x:v>只写“甲有根”，不说明根在哪里、是否受损及为何有效。</x:v>
      </x:c>
      <x:c r="AF66" s="68" t="str">
        <x:v>内部输出治理规则</x:v>
      </x:c>
      <x:c r="AG66" s="82" t="str">
        <x:v>采用</x:v>
      </x:c>
      <x:c r="AH66" s="82" t="str">
        <x:v>初审</x:v>
      </x:c>
      <x:c r="AI66" s="87" t="n">
        <x:v>46255</x:v>
      </x:c>
    </x:row>
    <x:row r="67">
      <x:c r="A67" s="72" t="str">
        <x:f>IF(OR(C67="",D67=""),"",B67&amp;"-"&amp;UPPER(C67)&amp;"-"&amp;TEXT(D67,"0000")&amp;"-"&amp;E67)</x:f>
      </x:c>
      <x:c r="B67" s="74" t="str">
        <x:v>M03</x:v>
      </x:c>
      <x:c r="C67" s="74"/>
      <x:c r="D67" s="79"/>
      <x:c r="E67" s="74" t="str">
        <x:v>V1.0</x:v>
      </x:c>
      <x:c r="F67" s="68"/>
      <x:c r="G67" s="82"/>
      <x:c r="H67" s="68"/>
      <x:c r="I67" s="68"/>
      <x:c r="J67" s="68"/>
      <x:c r="K67" s="82"/>
      <x:c r="L67" s="82"/>
      <x:c r="M67" s="82"/>
      <x:c r="N67" s="68"/>
      <x:c r="O67" s="68"/>
      <x:c r="P67" s="68"/>
      <x:c r="Q67" s="68"/>
      <x:c r="R67" s="90"/>
      <x:c r="S67" s="68"/>
      <x:c r="T67" s="68"/>
      <x:c r="U67" s="82"/>
      <x:c r="V67" s="82"/>
      <x:c r="W67" s="82"/>
      <x:c r="X67" s="82"/>
      <x:c r="Y67" s="84"/>
      <x:c r="Z67" s="84"/>
      <x:c r="AA67" s="82"/>
      <x:c r="AB67" s="82"/>
      <x:c r="AC67" s="68"/>
      <x:c r="AD67" s="68"/>
      <x:c r="AE67" s="90"/>
      <x:c r="AF67" s="68"/>
      <x:c r="AG67" s="82"/>
      <x:c r="AH67" s="82"/>
      <x:c r="AI67" s="87"/>
    </x:row>
    <x:row r="68">
      <x:c r="A68" s="72" t="str">
        <x:f>IF(OR(C68="",D68=""),"",B68&amp;"-"&amp;UPPER(C68)&amp;"-"&amp;TEXT(D68,"0000")&amp;"-"&amp;E68)</x:f>
      </x:c>
      <x:c r="B68" s="74" t="str">
        <x:v>M03</x:v>
      </x:c>
      <x:c r="C68" s="74"/>
      <x:c r="D68" s="79"/>
      <x:c r="E68" s="74" t="str">
        <x:v>V1.0</x:v>
      </x:c>
      <x:c r="F68" s="68"/>
      <x:c r="G68" s="82"/>
      <x:c r="H68" s="68"/>
      <x:c r="I68" s="68"/>
      <x:c r="J68" s="68"/>
      <x:c r="K68" s="82"/>
      <x:c r="L68" s="82"/>
      <x:c r="M68" s="82"/>
      <x:c r="N68" s="68"/>
      <x:c r="O68" s="68"/>
      <x:c r="P68" s="68"/>
      <x:c r="Q68" s="68"/>
      <x:c r="R68" s="90"/>
      <x:c r="S68" s="68"/>
      <x:c r="T68" s="68"/>
      <x:c r="U68" s="82"/>
      <x:c r="V68" s="82"/>
      <x:c r="W68" s="82"/>
      <x:c r="X68" s="82"/>
      <x:c r="Y68" s="84"/>
      <x:c r="Z68" s="84"/>
      <x:c r="AA68" s="82"/>
      <x:c r="AB68" s="82"/>
      <x:c r="AC68" s="68"/>
      <x:c r="AD68" s="68"/>
      <x:c r="AE68" s="90"/>
      <x:c r="AF68" s="68"/>
      <x:c r="AG68" s="82"/>
      <x:c r="AH68" s="82"/>
      <x:c r="AI68" s="87"/>
    </x:row>
    <x:row r="69">
      <x:c r="A69" s="72" t="str">
        <x:f>IF(OR(C69="",D69=""),"",B69&amp;"-"&amp;UPPER(C69)&amp;"-"&amp;TEXT(D69,"0000")&amp;"-"&amp;E69)</x:f>
      </x:c>
      <x:c r="B69" s="74" t="str">
        <x:v>M03</x:v>
      </x:c>
      <x:c r="C69" s="74"/>
      <x:c r="D69" s="79"/>
      <x:c r="E69" s="74" t="str">
        <x:v>V1.0</x:v>
      </x:c>
      <x:c r="F69" s="68"/>
      <x:c r="G69" s="82"/>
      <x:c r="H69" s="68"/>
      <x:c r="I69" s="68"/>
      <x:c r="J69" s="68"/>
      <x:c r="K69" s="82"/>
      <x:c r="L69" s="82"/>
      <x:c r="M69" s="82"/>
      <x:c r="N69" s="68"/>
      <x:c r="O69" s="68"/>
      <x:c r="P69" s="68"/>
      <x:c r="Q69" s="68"/>
      <x:c r="R69" s="90"/>
      <x:c r="S69" s="68"/>
      <x:c r="T69" s="68"/>
      <x:c r="U69" s="82"/>
      <x:c r="V69" s="82"/>
      <x:c r="W69" s="82"/>
      <x:c r="X69" s="82"/>
      <x:c r="Y69" s="84"/>
      <x:c r="Z69" s="84"/>
      <x:c r="AA69" s="82"/>
      <x:c r="AB69" s="82"/>
      <x:c r="AC69" s="68"/>
      <x:c r="AD69" s="68"/>
      <x:c r="AE69" s="90"/>
      <x:c r="AF69" s="68"/>
      <x:c r="AG69" s="82"/>
      <x:c r="AH69" s="82"/>
      <x:c r="AI69" s="87"/>
    </x:row>
    <x:row r="70">
      <x:c r="A70" s="72" t="str">
        <x:f>IF(OR(C70="",D70=""),"",B70&amp;"-"&amp;UPPER(C70)&amp;"-"&amp;TEXT(D70,"0000")&amp;"-"&amp;E70)</x:f>
      </x:c>
      <x:c r="B70" s="74" t="str">
        <x:v>M03</x:v>
      </x:c>
      <x:c r="C70" s="74"/>
      <x:c r="D70" s="79"/>
      <x:c r="E70" s="74" t="str">
        <x:v>V1.0</x:v>
      </x:c>
      <x:c r="F70" s="68"/>
      <x:c r="G70" s="82"/>
      <x:c r="H70" s="68"/>
      <x:c r="I70" s="68"/>
      <x:c r="J70" s="68"/>
      <x:c r="K70" s="82"/>
      <x:c r="L70" s="82"/>
      <x:c r="M70" s="82"/>
      <x:c r="N70" s="68"/>
      <x:c r="O70" s="68"/>
      <x:c r="P70" s="68"/>
      <x:c r="Q70" s="68"/>
      <x:c r="R70" s="90"/>
      <x:c r="S70" s="68"/>
      <x:c r="T70" s="68"/>
      <x:c r="U70" s="82"/>
      <x:c r="V70" s="82"/>
      <x:c r="W70" s="82"/>
      <x:c r="X70" s="82"/>
      <x:c r="Y70" s="84"/>
      <x:c r="Z70" s="84"/>
      <x:c r="AA70" s="82"/>
      <x:c r="AB70" s="82"/>
      <x:c r="AC70" s="68"/>
      <x:c r="AD70" s="68"/>
      <x:c r="AE70" s="90"/>
      <x:c r="AF70" s="68"/>
      <x:c r="AG70" s="82"/>
      <x:c r="AH70" s="82"/>
      <x:c r="AI70" s="87"/>
    </x:row>
    <x:row r="71">
      <x:c r="A71" s="72" t="str">
        <x:f>IF(OR(C71="",D71=""),"",B71&amp;"-"&amp;UPPER(C71)&amp;"-"&amp;TEXT(D71,"0000")&amp;"-"&amp;E71)</x:f>
      </x:c>
      <x:c r="B71" s="74" t="str">
        <x:v>M03</x:v>
      </x:c>
      <x:c r="C71" s="74"/>
      <x:c r="D71" s="79"/>
      <x:c r="E71" s="74" t="str">
        <x:v>V1.0</x:v>
      </x:c>
      <x:c r="F71" s="68"/>
      <x:c r="G71" s="82"/>
      <x:c r="H71" s="68"/>
      <x:c r="I71" s="68"/>
      <x:c r="J71" s="68"/>
      <x:c r="K71" s="82"/>
      <x:c r="L71" s="82"/>
      <x:c r="M71" s="82"/>
      <x:c r="N71" s="68"/>
      <x:c r="O71" s="68"/>
      <x:c r="P71" s="68"/>
      <x:c r="Q71" s="68"/>
      <x:c r="R71" s="90"/>
      <x:c r="S71" s="68"/>
      <x:c r="T71" s="68"/>
      <x:c r="U71" s="82"/>
      <x:c r="V71" s="82"/>
      <x:c r="W71" s="82"/>
      <x:c r="X71" s="82"/>
      <x:c r="Y71" s="84"/>
      <x:c r="Z71" s="84"/>
      <x:c r="AA71" s="82"/>
      <x:c r="AB71" s="82"/>
      <x:c r="AC71" s="68"/>
      <x:c r="AD71" s="68"/>
      <x:c r="AE71" s="90"/>
      <x:c r="AF71" s="68"/>
      <x:c r="AG71" s="82"/>
      <x:c r="AH71" s="82"/>
      <x:c r="AI71" s="87"/>
    </x:row>
    <x:row r="72">
      <x:c r="A72" s="72" t="str">
        <x:f>IF(OR(C72="",D72=""),"",B72&amp;"-"&amp;UPPER(C72)&amp;"-"&amp;TEXT(D72,"0000")&amp;"-"&amp;E72)</x:f>
      </x:c>
      <x:c r="B72" s="74" t="str">
        <x:v>M03</x:v>
      </x:c>
      <x:c r="C72" s="74"/>
      <x:c r="D72" s="79"/>
      <x:c r="E72" s="74" t="str">
        <x:v>V1.0</x:v>
      </x:c>
      <x:c r="F72" s="68"/>
      <x:c r="G72" s="82"/>
      <x:c r="H72" s="68"/>
      <x:c r="I72" s="68"/>
      <x:c r="J72" s="68"/>
      <x:c r="K72" s="82"/>
      <x:c r="L72" s="82"/>
      <x:c r="M72" s="82"/>
      <x:c r="N72" s="68"/>
      <x:c r="O72" s="68"/>
      <x:c r="P72" s="68"/>
      <x:c r="Q72" s="68"/>
      <x:c r="R72" s="90"/>
      <x:c r="S72" s="68"/>
      <x:c r="T72" s="68"/>
      <x:c r="U72" s="82"/>
      <x:c r="V72" s="82"/>
      <x:c r="W72" s="82"/>
      <x:c r="X72" s="82"/>
      <x:c r="Y72" s="84"/>
      <x:c r="Z72" s="84"/>
      <x:c r="AA72" s="82"/>
      <x:c r="AB72" s="82"/>
      <x:c r="AC72" s="68"/>
      <x:c r="AD72" s="68"/>
      <x:c r="AE72" s="90"/>
      <x:c r="AF72" s="68"/>
      <x:c r="AG72" s="82"/>
      <x:c r="AH72" s="82"/>
      <x:c r="AI72" s="87"/>
    </x:row>
    <x:row r="73">
      <x:c r="A73" s="72" t="str">
        <x:f>IF(OR(C73="",D73=""),"",B73&amp;"-"&amp;UPPER(C73)&amp;"-"&amp;TEXT(D73,"0000")&amp;"-"&amp;E73)</x:f>
      </x:c>
      <x:c r="B73" s="74" t="str">
        <x:v>M03</x:v>
      </x:c>
      <x:c r="C73" s="74"/>
      <x:c r="D73" s="79"/>
      <x:c r="E73" s="74" t="str">
        <x:v>V1.0</x:v>
      </x:c>
      <x:c r="F73" s="68"/>
      <x:c r="G73" s="82"/>
      <x:c r="H73" s="68"/>
      <x:c r="I73" s="68"/>
      <x:c r="J73" s="68"/>
      <x:c r="K73" s="82"/>
      <x:c r="L73" s="82"/>
      <x:c r="M73" s="82"/>
      <x:c r="N73" s="68"/>
      <x:c r="O73" s="68"/>
      <x:c r="P73" s="68"/>
      <x:c r="Q73" s="68"/>
      <x:c r="R73" s="90"/>
      <x:c r="S73" s="68"/>
      <x:c r="T73" s="68"/>
      <x:c r="U73" s="82"/>
      <x:c r="V73" s="82"/>
      <x:c r="W73" s="82"/>
      <x:c r="X73" s="82"/>
      <x:c r="Y73" s="84"/>
      <x:c r="Z73" s="84"/>
      <x:c r="AA73" s="82"/>
      <x:c r="AB73" s="82"/>
      <x:c r="AC73" s="68"/>
      <x:c r="AD73" s="68"/>
      <x:c r="AE73" s="90"/>
      <x:c r="AF73" s="68"/>
      <x:c r="AG73" s="82"/>
      <x:c r="AH73" s="82"/>
      <x:c r="AI73" s="87"/>
    </x:row>
    <x:row r="74">
      <x:c r="A74" s="72" t="str">
        <x:f>IF(OR(C74="",D74=""),"",B74&amp;"-"&amp;UPPER(C74)&amp;"-"&amp;TEXT(D74,"0000")&amp;"-"&amp;E74)</x:f>
      </x:c>
      <x:c r="B74" s="74" t="str">
        <x:v>M03</x:v>
      </x:c>
      <x:c r="C74" s="74"/>
      <x:c r="D74" s="79"/>
      <x:c r="E74" s="74" t="str">
        <x:v>V1.0</x:v>
      </x:c>
      <x:c r="F74" s="68"/>
      <x:c r="G74" s="82"/>
      <x:c r="H74" s="68"/>
      <x:c r="I74" s="68"/>
      <x:c r="J74" s="68"/>
      <x:c r="K74" s="82"/>
      <x:c r="L74" s="82"/>
      <x:c r="M74" s="82"/>
      <x:c r="N74" s="68"/>
      <x:c r="O74" s="68"/>
      <x:c r="P74" s="68"/>
      <x:c r="Q74" s="68"/>
      <x:c r="R74" s="90"/>
      <x:c r="S74" s="68"/>
      <x:c r="T74" s="68"/>
      <x:c r="U74" s="82"/>
      <x:c r="V74" s="82"/>
      <x:c r="W74" s="82"/>
      <x:c r="X74" s="82"/>
      <x:c r="Y74" s="84"/>
      <x:c r="Z74" s="84"/>
      <x:c r="AA74" s="82"/>
      <x:c r="AB74" s="82"/>
      <x:c r="AC74" s="68"/>
      <x:c r="AD74" s="68"/>
      <x:c r="AE74" s="90"/>
      <x:c r="AF74" s="68"/>
      <x:c r="AG74" s="82"/>
      <x:c r="AH74" s="82"/>
      <x:c r="AI74" s="87"/>
    </x:row>
    <x:row r="75">
      <x:c r="A75" s="72" t="str">
        <x:f>IF(OR(C75="",D75=""),"",B75&amp;"-"&amp;UPPER(C75)&amp;"-"&amp;TEXT(D75,"0000")&amp;"-"&amp;E75)</x:f>
      </x:c>
      <x:c r="B75" s="74" t="str">
        <x:v>M03</x:v>
      </x:c>
      <x:c r="C75" s="74"/>
      <x:c r="D75" s="79"/>
      <x:c r="E75" s="74" t="str">
        <x:v>V1.0</x:v>
      </x:c>
      <x:c r="F75" s="68"/>
      <x:c r="G75" s="82"/>
      <x:c r="H75" s="68"/>
      <x:c r="I75" s="68"/>
      <x:c r="J75" s="68"/>
      <x:c r="K75" s="82"/>
      <x:c r="L75" s="82"/>
      <x:c r="M75" s="82"/>
      <x:c r="N75" s="68"/>
      <x:c r="O75" s="68"/>
      <x:c r="P75" s="68"/>
      <x:c r="Q75" s="68"/>
      <x:c r="R75" s="90"/>
      <x:c r="S75" s="68"/>
      <x:c r="T75" s="68"/>
      <x:c r="U75" s="82"/>
      <x:c r="V75" s="82"/>
      <x:c r="W75" s="82"/>
      <x:c r="X75" s="82"/>
      <x:c r="Y75" s="84"/>
      <x:c r="Z75" s="84"/>
      <x:c r="AA75" s="82"/>
      <x:c r="AB75" s="82"/>
      <x:c r="AC75" s="68"/>
      <x:c r="AD75" s="68"/>
      <x:c r="AE75" s="90"/>
      <x:c r="AF75" s="68"/>
      <x:c r="AG75" s="82"/>
      <x:c r="AH75" s="82"/>
      <x:c r="AI75" s="87"/>
    </x:row>
    <x:row r="76">
      <x:c r="A76" s="72" t="str">
        <x:f>IF(OR(C76="",D76=""),"",B76&amp;"-"&amp;UPPER(C76)&amp;"-"&amp;TEXT(D76,"0000")&amp;"-"&amp;E76)</x:f>
      </x:c>
      <x:c r="B76" s="74" t="str">
        <x:v>M03</x:v>
      </x:c>
      <x:c r="C76" s="74"/>
      <x:c r="D76" s="79"/>
      <x:c r="E76" s="74" t="str">
        <x:v>V1.0</x:v>
      </x:c>
      <x:c r="F76" s="68"/>
      <x:c r="G76" s="82"/>
      <x:c r="H76" s="68"/>
      <x:c r="I76" s="68"/>
      <x:c r="J76" s="68"/>
      <x:c r="K76" s="82"/>
      <x:c r="L76" s="82"/>
      <x:c r="M76" s="82"/>
      <x:c r="N76" s="68"/>
      <x:c r="O76" s="68"/>
      <x:c r="P76" s="68"/>
      <x:c r="Q76" s="68"/>
      <x:c r="R76" s="90"/>
      <x:c r="S76" s="68"/>
      <x:c r="T76" s="68"/>
      <x:c r="U76" s="82"/>
      <x:c r="V76" s="82"/>
      <x:c r="W76" s="82"/>
      <x:c r="X76" s="82"/>
      <x:c r="Y76" s="84"/>
      <x:c r="Z76" s="84"/>
      <x:c r="AA76" s="82"/>
      <x:c r="AB76" s="82"/>
      <x:c r="AC76" s="68"/>
      <x:c r="AD76" s="68"/>
      <x:c r="AE76" s="90"/>
      <x:c r="AF76" s="68"/>
      <x:c r="AG76" s="82"/>
      <x:c r="AH76" s="82"/>
      <x:c r="AI76" s="87"/>
    </x:row>
    <x:row r="77">
      <x:c r="A77" s="72" t="str">
        <x:f>IF(OR(C77="",D77=""),"",B77&amp;"-"&amp;UPPER(C77)&amp;"-"&amp;TEXT(D77,"0000")&amp;"-"&amp;E77)</x:f>
      </x:c>
      <x:c r="B77" s="74" t="str">
        <x:v>M03</x:v>
      </x:c>
      <x:c r="C77" s="74"/>
      <x:c r="D77" s="79"/>
      <x:c r="E77" s="74" t="str">
        <x:v>V1.0</x:v>
      </x:c>
      <x:c r="F77" s="68"/>
      <x:c r="G77" s="82"/>
      <x:c r="H77" s="68"/>
      <x:c r="I77" s="68"/>
      <x:c r="J77" s="68"/>
      <x:c r="K77" s="82"/>
      <x:c r="L77" s="82"/>
      <x:c r="M77" s="82"/>
      <x:c r="N77" s="68"/>
      <x:c r="O77" s="68"/>
      <x:c r="P77" s="68"/>
      <x:c r="Q77" s="68"/>
      <x:c r="R77" s="90"/>
      <x:c r="S77" s="68"/>
      <x:c r="T77" s="68"/>
      <x:c r="U77" s="82"/>
      <x:c r="V77" s="82"/>
      <x:c r="W77" s="82"/>
      <x:c r="X77" s="82"/>
      <x:c r="Y77" s="84"/>
      <x:c r="Z77" s="84"/>
      <x:c r="AA77" s="82"/>
      <x:c r="AB77" s="82"/>
      <x:c r="AC77" s="68"/>
      <x:c r="AD77" s="68"/>
      <x:c r="AE77" s="90"/>
      <x:c r="AF77" s="68"/>
      <x:c r="AG77" s="82"/>
      <x:c r="AH77" s="82"/>
      <x:c r="AI77" s="87"/>
    </x:row>
    <x:row r="78">
      <x:c r="A78" s="72" t="str">
        <x:f>IF(OR(C78="",D78=""),"",B78&amp;"-"&amp;UPPER(C78)&amp;"-"&amp;TEXT(D78,"0000")&amp;"-"&amp;E78)</x:f>
      </x:c>
      <x:c r="B78" s="74" t="str">
        <x:v>M03</x:v>
      </x:c>
      <x:c r="C78" s="74"/>
      <x:c r="D78" s="79"/>
      <x:c r="E78" s="74" t="str">
        <x:v>V1.0</x:v>
      </x:c>
      <x:c r="F78" s="68"/>
      <x:c r="G78" s="82"/>
      <x:c r="H78" s="68"/>
      <x:c r="I78" s="68"/>
      <x:c r="J78" s="68"/>
      <x:c r="K78" s="82"/>
      <x:c r="L78" s="82"/>
      <x:c r="M78" s="82"/>
      <x:c r="N78" s="68"/>
      <x:c r="O78" s="68"/>
      <x:c r="P78" s="68"/>
      <x:c r="Q78" s="68"/>
      <x:c r="R78" s="90"/>
      <x:c r="S78" s="68"/>
      <x:c r="T78" s="68"/>
      <x:c r="U78" s="82"/>
      <x:c r="V78" s="82"/>
      <x:c r="W78" s="82"/>
      <x:c r="X78" s="82"/>
      <x:c r="Y78" s="84"/>
      <x:c r="Z78" s="84"/>
      <x:c r="AA78" s="82"/>
      <x:c r="AB78" s="82"/>
      <x:c r="AC78" s="68"/>
      <x:c r="AD78" s="68"/>
      <x:c r="AE78" s="90"/>
      <x:c r="AF78" s="68"/>
      <x:c r="AG78" s="82"/>
      <x:c r="AH78" s="82"/>
      <x:c r="AI78" s="87"/>
    </x:row>
    <x:row r="79">
      <x:c r="A79" s="72" t="str">
        <x:f>IF(OR(C79="",D79=""),"",B79&amp;"-"&amp;UPPER(C79)&amp;"-"&amp;TEXT(D79,"0000")&amp;"-"&amp;E79)</x:f>
      </x:c>
      <x:c r="B79" s="74" t="str">
        <x:v>M03</x:v>
      </x:c>
      <x:c r="C79" s="74"/>
      <x:c r="D79" s="79"/>
      <x:c r="E79" s="74" t="str">
        <x:v>V1.0</x:v>
      </x:c>
      <x:c r="F79" s="68"/>
      <x:c r="G79" s="82"/>
      <x:c r="H79" s="68"/>
      <x:c r="I79" s="68"/>
      <x:c r="J79" s="68"/>
      <x:c r="K79" s="82"/>
      <x:c r="L79" s="82"/>
      <x:c r="M79" s="82"/>
      <x:c r="N79" s="68"/>
      <x:c r="O79" s="68"/>
      <x:c r="P79" s="68"/>
      <x:c r="Q79" s="68"/>
      <x:c r="R79" s="90"/>
      <x:c r="S79" s="68"/>
      <x:c r="T79" s="68"/>
      <x:c r="U79" s="82"/>
      <x:c r="V79" s="82"/>
      <x:c r="W79" s="82"/>
      <x:c r="X79" s="82"/>
      <x:c r="Y79" s="84"/>
      <x:c r="Z79" s="84"/>
      <x:c r="AA79" s="82"/>
      <x:c r="AB79" s="82"/>
      <x:c r="AC79" s="68"/>
      <x:c r="AD79" s="68"/>
      <x:c r="AE79" s="90"/>
      <x:c r="AF79" s="68"/>
      <x:c r="AG79" s="82"/>
      <x:c r="AH79" s="82"/>
      <x:c r="AI79" s="87"/>
    </x:row>
    <x:row r="80">
      <x:c r="A80" s="72" t="str">
        <x:f>IF(OR(C80="",D80=""),"",B80&amp;"-"&amp;UPPER(C80)&amp;"-"&amp;TEXT(D80,"0000")&amp;"-"&amp;E80)</x:f>
      </x:c>
      <x:c r="B80" s="74" t="str">
        <x:v>M03</x:v>
      </x:c>
      <x:c r="C80" s="74"/>
      <x:c r="D80" s="79"/>
      <x:c r="E80" s="74" t="str">
        <x:v>V1.0</x:v>
      </x:c>
      <x:c r="F80" s="68"/>
      <x:c r="G80" s="82"/>
      <x:c r="H80" s="68"/>
      <x:c r="I80" s="68"/>
      <x:c r="J80" s="68"/>
      <x:c r="K80" s="82"/>
      <x:c r="L80" s="82"/>
      <x:c r="M80" s="82"/>
      <x:c r="N80" s="68"/>
      <x:c r="O80" s="68"/>
      <x:c r="P80" s="68"/>
      <x:c r="Q80" s="68"/>
      <x:c r="R80" s="90"/>
      <x:c r="S80" s="68"/>
      <x:c r="T80" s="68"/>
      <x:c r="U80" s="82"/>
      <x:c r="V80" s="82"/>
      <x:c r="W80" s="82"/>
      <x:c r="X80" s="82"/>
      <x:c r="Y80" s="84"/>
      <x:c r="Z80" s="84"/>
      <x:c r="AA80" s="82"/>
      <x:c r="AB80" s="82"/>
      <x:c r="AC80" s="68"/>
      <x:c r="AD80" s="68"/>
      <x:c r="AE80" s="90"/>
      <x:c r="AF80" s="68"/>
      <x:c r="AG80" s="82"/>
      <x:c r="AH80" s="82"/>
      <x:c r="AI80" s="87"/>
    </x:row>
    <x:row r="81">
      <x:c r="A81" s="72" t="str">
        <x:f>IF(OR(C81="",D81=""),"",B81&amp;"-"&amp;UPPER(C81)&amp;"-"&amp;TEXT(D81,"0000")&amp;"-"&amp;E81)</x:f>
      </x:c>
      <x:c r="B81" s="74" t="str">
        <x:v>M03</x:v>
      </x:c>
      <x:c r="C81" s="74"/>
      <x:c r="D81" s="79"/>
      <x:c r="E81" s="74" t="str">
        <x:v>V1.0</x:v>
      </x:c>
      <x:c r="F81" s="68"/>
      <x:c r="G81" s="82"/>
      <x:c r="H81" s="68"/>
      <x:c r="I81" s="68"/>
      <x:c r="J81" s="68"/>
      <x:c r="K81" s="82"/>
      <x:c r="L81" s="82"/>
      <x:c r="M81" s="82"/>
      <x:c r="N81" s="68"/>
      <x:c r="O81" s="68"/>
      <x:c r="P81" s="68"/>
      <x:c r="Q81" s="68"/>
      <x:c r="R81" s="90"/>
      <x:c r="S81" s="68"/>
      <x:c r="T81" s="68"/>
      <x:c r="U81" s="82"/>
      <x:c r="V81" s="82"/>
      <x:c r="W81" s="82"/>
      <x:c r="X81" s="82"/>
      <x:c r="Y81" s="84"/>
      <x:c r="Z81" s="84"/>
      <x:c r="AA81" s="82"/>
      <x:c r="AB81" s="82"/>
      <x:c r="AC81" s="68"/>
      <x:c r="AD81" s="68"/>
      <x:c r="AE81" s="90"/>
      <x:c r="AF81" s="68"/>
      <x:c r="AG81" s="82"/>
      <x:c r="AH81" s="82"/>
      <x:c r="AI81" s="87"/>
    </x:row>
    <x:row r="82">
      <x:c r="A82" s="72" t="str">
        <x:f>IF(OR(C82="",D82=""),"",B82&amp;"-"&amp;UPPER(C82)&amp;"-"&amp;TEXT(D82,"0000")&amp;"-"&amp;E82)</x:f>
      </x:c>
      <x:c r="B82" s="74" t="str">
        <x:v>M03</x:v>
      </x:c>
      <x:c r="C82" s="74"/>
      <x:c r="D82" s="79"/>
      <x:c r="E82" s="74" t="str">
        <x:v>V1.0</x:v>
      </x:c>
      <x:c r="F82" s="68"/>
      <x:c r="G82" s="82"/>
      <x:c r="H82" s="68"/>
      <x:c r="I82" s="68"/>
      <x:c r="J82" s="68"/>
      <x:c r="K82" s="82"/>
      <x:c r="L82" s="82"/>
      <x:c r="M82" s="82"/>
      <x:c r="N82" s="68"/>
      <x:c r="O82" s="68"/>
      <x:c r="P82" s="68"/>
      <x:c r="Q82" s="68"/>
      <x:c r="R82" s="90"/>
      <x:c r="S82" s="68"/>
      <x:c r="T82" s="68"/>
      <x:c r="U82" s="82"/>
      <x:c r="V82" s="82"/>
      <x:c r="W82" s="82"/>
      <x:c r="X82" s="82"/>
      <x:c r="Y82" s="84"/>
      <x:c r="Z82" s="84"/>
      <x:c r="AA82" s="82"/>
      <x:c r="AB82" s="82"/>
      <x:c r="AC82" s="68"/>
      <x:c r="AD82" s="68"/>
      <x:c r="AE82" s="90"/>
      <x:c r="AF82" s="68"/>
      <x:c r="AG82" s="82"/>
      <x:c r="AH82" s="82"/>
      <x:c r="AI82" s="87"/>
    </x:row>
    <x:row r="83">
      <x:c r="A83" s="72" t="str">
        <x:f>IF(OR(C83="",D83=""),"",B83&amp;"-"&amp;UPPER(C83)&amp;"-"&amp;TEXT(D83,"0000")&amp;"-"&amp;E83)</x:f>
      </x:c>
      <x:c r="B83" s="74" t="str">
        <x:v>M03</x:v>
      </x:c>
      <x:c r="C83" s="74"/>
      <x:c r="D83" s="79"/>
      <x:c r="E83" s="74" t="str">
        <x:v>V1.0</x:v>
      </x:c>
      <x:c r="F83" s="68"/>
      <x:c r="G83" s="82"/>
      <x:c r="H83" s="68"/>
      <x:c r="I83" s="68"/>
      <x:c r="J83" s="68"/>
      <x:c r="K83" s="82"/>
      <x:c r="L83" s="82"/>
      <x:c r="M83" s="82"/>
      <x:c r="N83" s="68"/>
      <x:c r="O83" s="68"/>
      <x:c r="P83" s="68"/>
      <x:c r="Q83" s="68"/>
      <x:c r="R83" s="90"/>
      <x:c r="S83" s="68"/>
      <x:c r="T83" s="68"/>
      <x:c r="U83" s="82"/>
      <x:c r="V83" s="82"/>
      <x:c r="W83" s="82"/>
      <x:c r="X83" s="82"/>
      <x:c r="Y83" s="84"/>
      <x:c r="Z83" s="84"/>
      <x:c r="AA83" s="82"/>
      <x:c r="AB83" s="82"/>
      <x:c r="AC83" s="68"/>
      <x:c r="AD83" s="68"/>
      <x:c r="AE83" s="90"/>
      <x:c r="AF83" s="68"/>
      <x:c r="AG83" s="82"/>
      <x:c r="AH83" s="82"/>
      <x:c r="AI83" s="87"/>
    </x:row>
    <x:row r="84">
      <x:c r="A84" s="72" t="str">
        <x:f>IF(OR(C84="",D84=""),"",B84&amp;"-"&amp;UPPER(C84)&amp;"-"&amp;TEXT(D84,"0000")&amp;"-"&amp;E84)</x:f>
      </x:c>
      <x:c r="B84" s="74" t="str">
        <x:v>M03</x:v>
      </x:c>
      <x:c r="C84" s="74"/>
      <x:c r="D84" s="79"/>
      <x:c r="E84" s="74" t="str">
        <x:v>V1.0</x:v>
      </x:c>
      <x:c r="F84" s="68"/>
      <x:c r="G84" s="82"/>
      <x:c r="H84" s="68"/>
      <x:c r="I84" s="68"/>
      <x:c r="J84" s="68"/>
      <x:c r="K84" s="82"/>
      <x:c r="L84" s="82"/>
      <x:c r="M84" s="82"/>
      <x:c r="N84" s="68"/>
      <x:c r="O84" s="68"/>
      <x:c r="P84" s="68"/>
      <x:c r="Q84" s="68"/>
      <x:c r="R84" s="90"/>
      <x:c r="S84" s="68"/>
      <x:c r="T84" s="68"/>
      <x:c r="U84" s="82"/>
      <x:c r="V84" s="82"/>
      <x:c r="W84" s="82"/>
      <x:c r="X84" s="82"/>
      <x:c r="Y84" s="84"/>
      <x:c r="Z84" s="84"/>
      <x:c r="AA84" s="82"/>
      <x:c r="AB84" s="82"/>
      <x:c r="AC84" s="68"/>
      <x:c r="AD84" s="68"/>
      <x:c r="AE84" s="90"/>
      <x:c r="AF84" s="68"/>
      <x:c r="AG84" s="82"/>
      <x:c r="AH84" s="82"/>
      <x:c r="AI84" s="87"/>
    </x:row>
    <x:row r="85">
      <x:c r="A85" s="72" t="str">
        <x:f>IF(OR(C85="",D85=""),"",B85&amp;"-"&amp;UPPER(C85)&amp;"-"&amp;TEXT(D85,"0000")&amp;"-"&amp;E85)</x:f>
      </x:c>
      <x:c r="B85" s="74" t="str">
        <x:v>M03</x:v>
      </x:c>
      <x:c r="C85" s="74"/>
      <x:c r="D85" s="79"/>
      <x:c r="E85" s="74" t="str">
        <x:v>V1.0</x:v>
      </x:c>
      <x:c r="F85" s="68"/>
      <x:c r="G85" s="82"/>
      <x:c r="H85" s="68"/>
      <x:c r="I85" s="68"/>
      <x:c r="J85" s="68"/>
      <x:c r="K85" s="82"/>
      <x:c r="L85" s="82"/>
      <x:c r="M85" s="82"/>
      <x:c r="N85" s="68"/>
      <x:c r="O85" s="68"/>
      <x:c r="P85" s="68"/>
      <x:c r="Q85" s="68"/>
      <x:c r="R85" s="90"/>
      <x:c r="S85" s="68"/>
      <x:c r="T85" s="68"/>
      <x:c r="U85" s="82"/>
      <x:c r="V85" s="82"/>
      <x:c r="W85" s="82"/>
      <x:c r="X85" s="82"/>
      <x:c r="Y85" s="84"/>
      <x:c r="Z85" s="84"/>
      <x:c r="AA85" s="82"/>
      <x:c r="AB85" s="82"/>
      <x:c r="AC85" s="68"/>
      <x:c r="AD85" s="68"/>
      <x:c r="AE85" s="90"/>
      <x:c r="AF85" s="68"/>
      <x:c r="AG85" s="82"/>
      <x:c r="AH85" s="82"/>
      <x:c r="AI85" s="87"/>
    </x:row>
    <x:row r="86">
      <x:c r="A86" s="72" t="str">
        <x:f>IF(OR(C86="",D86=""),"",B86&amp;"-"&amp;UPPER(C86)&amp;"-"&amp;TEXT(D86,"0000")&amp;"-"&amp;E86)</x:f>
      </x:c>
      <x:c r="B86" s="74" t="str">
        <x:v>M03</x:v>
      </x:c>
      <x:c r="C86" s="74"/>
      <x:c r="D86" s="79"/>
      <x:c r="E86" s="74" t="str">
        <x:v>V1.0</x:v>
      </x:c>
      <x:c r="F86" s="68"/>
      <x:c r="G86" s="82"/>
      <x:c r="H86" s="68"/>
      <x:c r="I86" s="68"/>
      <x:c r="J86" s="68"/>
      <x:c r="K86" s="82"/>
      <x:c r="L86" s="82"/>
      <x:c r="M86" s="82"/>
      <x:c r="N86" s="68"/>
      <x:c r="O86" s="68"/>
      <x:c r="P86" s="68"/>
      <x:c r="Q86" s="68"/>
      <x:c r="R86" s="90"/>
      <x:c r="S86" s="68"/>
      <x:c r="T86" s="68"/>
      <x:c r="U86" s="82"/>
      <x:c r="V86" s="82"/>
      <x:c r="W86" s="82"/>
      <x:c r="X86" s="82"/>
      <x:c r="Y86" s="84"/>
      <x:c r="Z86" s="84"/>
      <x:c r="AA86" s="82"/>
      <x:c r="AB86" s="82"/>
      <x:c r="AC86" s="68"/>
      <x:c r="AD86" s="68"/>
      <x:c r="AE86" s="90"/>
      <x:c r="AF86" s="68"/>
      <x:c r="AG86" s="82"/>
      <x:c r="AH86" s="82"/>
      <x:c r="AI86" s="87"/>
    </x:row>
    <x:row r="87">
      <x:c r="A87" s="72" t="str">
        <x:f>IF(OR(C87="",D87=""),"",B87&amp;"-"&amp;UPPER(C87)&amp;"-"&amp;TEXT(D87,"0000")&amp;"-"&amp;E87)</x:f>
      </x:c>
      <x:c r="B87" s="74" t="str">
        <x:v>M03</x:v>
      </x:c>
      <x:c r="C87" s="74"/>
      <x:c r="D87" s="79"/>
      <x:c r="E87" s="74" t="str">
        <x:v>V1.0</x:v>
      </x:c>
      <x:c r="F87" s="68"/>
      <x:c r="G87" s="82"/>
      <x:c r="H87" s="68"/>
      <x:c r="I87" s="68"/>
      <x:c r="J87" s="68"/>
      <x:c r="K87" s="82"/>
      <x:c r="L87" s="82"/>
      <x:c r="M87" s="82"/>
      <x:c r="N87" s="68"/>
      <x:c r="O87" s="68"/>
      <x:c r="P87" s="68"/>
      <x:c r="Q87" s="68"/>
      <x:c r="R87" s="90"/>
      <x:c r="S87" s="68"/>
      <x:c r="T87" s="68"/>
      <x:c r="U87" s="82"/>
      <x:c r="V87" s="82"/>
      <x:c r="W87" s="82"/>
      <x:c r="X87" s="82"/>
      <x:c r="Y87" s="84"/>
      <x:c r="Z87" s="84"/>
      <x:c r="AA87" s="82"/>
      <x:c r="AB87" s="82"/>
      <x:c r="AC87" s="68"/>
      <x:c r="AD87" s="68"/>
      <x:c r="AE87" s="90"/>
      <x:c r="AF87" s="68"/>
      <x:c r="AG87" s="82"/>
      <x:c r="AH87" s="82"/>
      <x:c r="AI87" s="87"/>
    </x:row>
    <x:row r="88">
      <x:c r="A88" s="72" t="str">
        <x:f>IF(OR(C88="",D88=""),"",B88&amp;"-"&amp;UPPER(C88)&amp;"-"&amp;TEXT(D88,"0000")&amp;"-"&amp;E88)</x:f>
      </x:c>
      <x:c r="B88" s="74" t="str">
        <x:v>M03</x:v>
      </x:c>
      <x:c r="C88" s="74"/>
      <x:c r="D88" s="79"/>
      <x:c r="E88" s="74" t="str">
        <x:v>V1.0</x:v>
      </x:c>
      <x:c r="F88" s="68"/>
      <x:c r="G88" s="82"/>
      <x:c r="H88" s="68"/>
      <x:c r="I88" s="68"/>
      <x:c r="J88" s="68"/>
      <x:c r="K88" s="82"/>
      <x:c r="L88" s="82"/>
      <x:c r="M88" s="82"/>
      <x:c r="N88" s="68"/>
      <x:c r="O88" s="68"/>
      <x:c r="P88" s="68"/>
      <x:c r="Q88" s="68"/>
      <x:c r="R88" s="90"/>
      <x:c r="S88" s="68"/>
      <x:c r="T88" s="68"/>
      <x:c r="U88" s="82"/>
      <x:c r="V88" s="82"/>
      <x:c r="W88" s="82"/>
      <x:c r="X88" s="82"/>
      <x:c r="Y88" s="84"/>
      <x:c r="Z88" s="84"/>
      <x:c r="AA88" s="82"/>
      <x:c r="AB88" s="82"/>
      <x:c r="AC88" s="68"/>
      <x:c r="AD88" s="68"/>
      <x:c r="AE88" s="90"/>
      <x:c r="AF88" s="68"/>
      <x:c r="AG88" s="82"/>
      <x:c r="AH88" s="82"/>
      <x:c r="AI88" s="87"/>
    </x:row>
    <x:row r="89">
      <x:c r="A89" s="72" t="str">
        <x:f>IF(OR(C89="",D89=""),"",B89&amp;"-"&amp;UPPER(C89)&amp;"-"&amp;TEXT(D89,"0000")&amp;"-"&amp;E89)</x:f>
      </x:c>
      <x:c r="B89" s="74" t="str">
        <x:v>M03</x:v>
      </x:c>
      <x:c r="C89" s="74"/>
      <x:c r="D89" s="79"/>
      <x:c r="E89" s="74" t="str">
        <x:v>V1.0</x:v>
      </x:c>
      <x:c r="F89" s="68"/>
      <x:c r="G89" s="82"/>
      <x:c r="H89" s="68"/>
      <x:c r="I89" s="68"/>
      <x:c r="J89" s="68"/>
      <x:c r="K89" s="82"/>
      <x:c r="L89" s="82"/>
      <x:c r="M89" s="82"/>
      <x:c r="N89" s="68"/>
      <x:c r="O89" s="68"/>
      <x:c r="P89" s="68"/>
      <x:c r="Q89" s="68"/>
      <x:c r="R89" s="90"/>
      <x:c r="S89" s="68"/>
      <x:c r="T89" s="68"/>
      <x:c r="U89" s="82"/>
      <x:c r="V89" s="82"/>
      <x:c r="W89" s="82"/>
      <x:c r="X89" s="82"/>
      <x:c r="Y89" s="84"/>
      <x:c r="Z89" s="84"/>
      <x:c r="AA89" s="82"/>
      <x:c r="AB89" s="82"/>
      <x:c r="AC89" s="68"/>
      <x:c r="AD89" s="68"/>
      <x:c r="AE89" s="90"/>
      <x:c r="AF89" s="68"/>
      <x:c r="AG89" s="82"/>
      <x:c r="AH89" s="82"/>
      <x:c r="AI89" s="87"/>
    </x:row>
    <x:row r="90">
      <x:c r="A90" s="72" t="str">
        <x:f>IF(OR(C90="",D90=""),"",B90&amp;"-"&amp;UPPER(C90)&amp;"-"&amp;TEXT(D90,"0000")&amp;"-"&amp;E90)</x:f>
      </x:c>
      <x:c r="B90" s="74" t="str">
        <x:v>M03</x:v>
      </x:c>
      <x:c r="C90" s="74"/>
      <x:c r="D90" s="79"/>
      <x:c r="E90" s="74" t="str">
        <x:v>V1.0</x:v>
      </x:c>
      <x:c r="F90" s="68"/>
      <x:c r="G90" s="82"/>
      <x:c r="H90" s="68"/>
      <x:c r="I90" s="68"/>
      <x:c r="J90" s="68"/>
      <x:c r="K90" s="82"/>
      <x:c r="L90" s="82"/>
      <x:c r="M90" s="82"/>
      <x:c r="N90" s="68"/>
      <x:c r="O90" s="68"/>
      <x:c r="P90" s="68"/>
      <x:c r="Q90" s="68"/>
      <x:c r="R90" s="90"/>
      <x:c r="S90" s="68"/>
      <x:c r="T90" s="68"/>
      <x:c r="U90" s="82"/>
      <x:c r="V90" s="82"/>
      <x:c r="W90" s="82"/>
      <x:c r="X90" s="82"/>
      <x:c r="Y90" s="84"/>
      <x:c r="Z90" s="84"/>
      <x:c r="AA90" s="82"/>
      <x:c r="AB90" s="82"/>
      <x:c r="AC90" s="68"/>
      <x:c r="AD90" s="68"/>
      <x:c r="AE90" s="90"/>
      <x:c r="AF90" s="68"/>
      <x:c r="AG90" s="82"/>
      <x:c r="AH90" s="82"/>
      <x:c r="AI90" s="87"/>
    </x:row>
    <x:row r="91">
      <x:c r="A91" s="72" t="str">
        <x:f>IF(OR(C91="",D91=""),"",B91&amp;"-"&amp;UPPER(C91)&amp;"-"&amp;TEXT(D91,"0000")&amp;"-"&amp;E91)</x:f>
      </x:c>
      <x:c r="B91" s="74" t="str">
        <x:v>M03</x:v>
      </x:c>
      <x:c r="C91" s="74"/>
      <x:c r="D91" s="79"/>
      <x:c r="E91" s="74" t="str">
        <x:v>V1.0</x:v>
      </x:c>
      <x:c r="F91" s="68"/>
      <x:c r="G91" s="82"/>
      <x:c r="H91" s="68"/>
      <x:c r="I91" s="68"/>
      <x:c r="J91" s="68"/>
      <x:c r="K91" s="82"/>
      <x:c r="L91" s="82"/>
      <x:c r="M91" s="82"/>
      <x:c r="N91" s="68"/>
      <x:c r="O91" s="68"/>
      <x:c r="P91" s="68"/>
      <x:c r="Q91" s="68"/>
      <x:c r="R91" s="90"/>
      <x:c r="S91" s="68"/>
      <x:c r="T91" s="68"/>
      <x:c r="U91" s="82"/>
      <x:c r="V91" s="82"/>
      <x:c r="W91" s="82"/>
      <x:c r="X91" s="82"/>
      <x:c r="Y91" s="84"/>
      <x:c r="Z91" s="84"/>
      <x:c r="AA91" s="82"/>
      <x:c r="AB91" s="82"/>
      <x:c r="AC91" s="68"/>
      <x:c r="AD91" s="68"/>
      <x:c r="AE91" s="90"/>
      <x:c r="AF91" s="68"/>
      <x:c r="AG91" s="82"/>
      <x:c r="AH91" s="82"/>
      <x:c r="AI91" s="87"/>
    </x:row>
    <x:row r="92">
      <x:c r="A92" s="72" t="str">
        <x:f>IF(OR(C92="",D92=""),"",B92&amp;"-"&amp;UPPER(C92)&amp;"-"&amp;TEXT(D92,"0000")&amp;"-"&amp;E92)</x:f>
      </x:c>
      <x:c r="B92" s="74" t="str">
        <x:v>M03</x:v>
      </x:c>
      <x:c r="C92" s="74"/>
      <x:c r="D92" s="79"/>
      <x:c r="E92" s="74" t="str">
        <x:v>V1.0</x:v>
      </x:c>
      <x:c r="F92" s="68"/>
      <x:c r="G92" s="82"/>
      <x:c r="H92" s="68"/>
      <x:c r="I92" s="68"/>
      <x:c r="J92" s="68"/>
      <x:c r="K92" s="82"/>
      <x:c r="L92" s="82"/>
      <x:c r="M92" s="82"/>
      <x:c r="N92" s="68"/>
      <x:c r="O92" s="68"/>
      <x:c r="P92" s="68"/>
      <x:c r="Q92" s="68"/>
      <x:c r="R92" s="90"/>
      <x:c r="S92" s="68"/>
      <x:c r="T92" s="68"/>
      <x:c r="U92" s="82"/>
      <x:c r="V92" s="82"/>
      <x:c r="W92" s="82"/>
      <x:c r="X92" s="82"/>
      <x:c r="Y92" s="84"/>
      <x:c r="Z92" s="84"/>
      <x:c r="AA92" s="82"/>
      <x:c r="AB92" s="82"/>
      <x:c r="AC92" s="68"/>
      <x:c r="AD92" s="68"/>
      <x:c r="AE92" s="90"/>
      <x:c r="AF92" s="68"/>
      <x:c r="AG92" s="82"/>
      <x:c r="AH92" s="82"/>
      <x:c r="AI92" s="87"/>
    </x:row>
    <x:row r="93">
      <x:c r="A93" s="72" t="str">
        <x:f>IF(OR(C93="",D93=""),"",B93&amp;"-"&amp;UPPER(C93)&amp;"-"&amp;TEXT(D93,"0000")&amp;"-"&amp;E93)</x:f>
      </x:c>
      <x:c r="B93" s="74" t="str">
        <x:v>M03</x:v>
      </x:c>
      <x:c r="C93" s="74"/>
      <x:c r="D93" s="79"/>
      <x:c r="E93" s="74" t="str">
        <x:v>V1.0</x:v>
      </x:c>
      <x:c r="F93" s="68"/>
      <x:c r="G93" s="82"/>
      <x:c r="H93" s="68"/>
      <x:c r="I93" s="68"/>
      <x:c r="J93" s="68"/>
      <x:c r="K93" s="82"/>
      <x:c r="L93" s="82"/>
      <x:c r="M93" s="82"/>
      <x:c r="N93" s="68"/>
      <x:c r="O93" s="68"/>
      <x:c r="P93" s="68"/>
      <x:c r="Q93" s="68"/>
      <x:c r="R93" s="90"/>
      <x:c r="S93" s="68"/>
      <x:c r="T93" s="68"/>
      <x:c r="U93" s="82"/>
      <x:c r="V93" s="82"/>
      <x:c r="W93" s="82"/>
      <x:c r="X93" s="82"/>
      <x:c r="Y93" s="84"/>
      <x:c r="Z93" s="84"/>
      <x:c r="AA93" s="82"/>
      <x:c r="AB93" s="82"/>
      <x:c r="AC93" s="68"/>
      <x:c r="AD93" s="68"/>
      <x:c r="AE93" s="90"/>
      <x:c r="AF93" s="68"/>
      <x:c r="AG93" s="82"/>
      <x:c r="AH93" s="82"/>
      <x:c r="AI93" s="87"/>
    </x:row>
    <x:row r="94">
      <x:c r="A94" s="72" t="str">
        <x:f>IF(OR(C94="",D94=""),"",B94&amp;"-"&amp;UPPER(C94)&amp;"-"&amp;TEXT(D94,"0000")&amp;"-"&amp;E94)</x:f>
      </x:c>
      <x:c r="B94" s="74" t="str">
        <x:v>M03</x:v>
      </x:c>
      <x:c r="C94" s="74"/>
      <x:c r="D94" s="79"/>
      <x:c r="E94" s="74" t="str">
        <x:v>V1.0</x:v>
      </x:c>
      <x:c r="F94" s="68"/>
      <x:c r="G94" s="82"/>
      <x:c r="H94" s="68"/>
      <x:c r="I94" s="68"/>
      <x:c r="J94" s="68"/>
      <x:c r="K94" s="82"/>
      <x:c r="L94" s="82"/>
      <x:c r="M94" s="82"/>
      <x:c r="N94" s="68"/>
      <x:c r="O94" s="68"/>
      <x:c r="P94" s="68"/>
      <x:c r="Q94" s="68"/>
      <x:c r="R94" s="90"/>
      <x:c r="S94" s="68"/>
      <x:c r="T94" s="68"/>
      <x:c r="U94" s="82"/>
      <x:c r="V94" s="82"/>
      <x:c r="W94" s="82"/>
      <x:c r="X94" s="82"/>
      <x:c r="Y94" s="84"/>
      <x:c r="Z94" s="84"/>
      <x:c r="AA94" s="82"/>
      <x:c r="AB94" s="82"/>
      <x:c r="AC94" s="68"/>
      <x:c r="AD94" s="68"/>
      <x:c r="AE94" s="90"/>
      <x:c r="AF94" s="68"/>
      <x:c r="AG94" s="82"/>
      <x:c r="AH94" s="82"/>
      <x:c r="AI94" s="87"/>
    </x:row>
    <x:row r="95">
      <x:c r="A95" s="72" t="str">
        <x:f>IF(OR(C95="",D95=""),"",B95&amp;"-"&amp;UPPER(C95)&amp;"-"&amp;TEXT(D95,"0000")&amp;"-"&amp;E95)</x:f>
      </x:c>
      <x:c r="B95" s="74" t="str">
        <x:v>M03</x:v>
      </x:c>
      <x:c r="C95" s="74"/>
      <x:c r="D95" s="79"/>
      <x:c r="E95" s="74" t="str">
        <x:v>V1.0</x:v>
      </x:c>
      <x:c r="F95" s="68"/>
      <x:c r="G95" s="82"/>
      <x:c r="H95" s="68"/>
      <x:c r="I95" s="68"/>
      <x:c r="J95" s="68"/>
      <x:c r="K95" s="82"/>
      <x:c r="L95" s="82"/>
      <x:c r="M95" s="82"/>
      <x:c r="N95" s="68"/>
      <x:c r="O95" s="68"/>
      <x:c r="P95" s="68"/>
      <x:c r="Q95" s="68"/>
      <x:c r="R95" s="90"/>
      <x:c r="S95" s="68"/>
      <x:c r="T95" s="68"/>
      <x:c r="U95" s="82"/>
      <x:c r="V95" s="82"/>
      <x:c r="W95" s="82"/>
      <x:c r="X95" s="82"/>
      <x:c r="Y95" s="84"/>
      <x:c r="Z95" s="84"/>
      <x:c r="AA95" s="82"/>
      <x:c r="AB95" s="82"/>
      <x:c r="AC95" s="68"/>
      <x:c r="AD95" s="68"/>
      <x:c r="AE95" s="90"/>
      <x:c r="AF95" s="68"/>
      <x:c r="AG95" s="82"/>
      <x:c r="AH95" s="82"/>
      <x:c r="AI95" s="87"/>
    </x:row>
    <x:row r="96">
      <x:c r="A96" s="72" t="str">
        <x:f>IF(OR(C96="",D96=""),"",B96&amp;"-"&amp;UPPER(C96)&amp;"-"&amp;TEXT(D96,"0000")&amp;"-"&amp;E96)</x:f>
      </x:c>
      <x:c r="B96" s="74" t="str">
        <x:v>M03</x:v>
      </x:c>
      <x:c r="C96" s="74"/>
      <x:c r="D96" s="79"/>
      <x:c r="E96" s="74" t="str">
        <x:v>V1.0</x:v>
      </x:c>
      <x:c r="F96" s="68"/>
      <x:c r="G96" s="82"/>
      <x:c r="H96" s="68"/>
      <x:c r="I96" s="68"/>
      <x:c r="J96" s="68"/>
      <x:c r="K96" s="82"/>
      <x:c r="L96" s="82"/>
      <x:c r="M96" s="82"/>
      <x:c r="N96" s="68"/>
      <x:c r="O96" s="68"/>
      <x:c r="P96" s="68"/>
      <x:c r="Q96" s="68"/>
      <x:c r="R96" s="90"/>
      <x:c r="S96" s="68"/>
      <x:c r="T96" s="68"/>
      <x:c r="U96" s="82"/>
      <x:c r="V96" s="82"/>
      <x:c r="W96" s="82"/>
      <x:c r="X96" s="82"/>
      <x:c r="Y96" s="84"/>
      <x:c r="Z96" s="84"/>
      <x:c r="AA96" s="82"/>
      <x:c r="AB96" s="82"/>
      <x:c r="AC96" s="68"/>
      <x:c r="AD96" s="68"/>
      <x:c r="AE96" s="90"/>
      <x:c r="AF96" s="68"/>
      <x:c r="AG96" s="82"/>
      <x:c r="AH96" s="82"/>
      <x:c r="AI96" s="87"/>
    </x:row>
    <x:row r="97">
      <x:c r="A97" s="72" t="str">
        <x:f>IF(OR(C97="",D97=""),"",B97&amp;"-"&amp;UPPER(C97)&amp;"-"&amp;TEXT(D97,"0000")&amp;"-"&amp;E97)</x:f>
      </x:c>
      <x:c r="B97" s="74" t="str">
        <x:v>M03</x:v>
      </x:c>
      <x:c r="C97" s="74"/>
      <x:c r="D97" s="79"/>
      <x:c r="E97" s="74" t="str">
        <x:v>V1.0</x:v>
      </x:c>
      <x:c r="F97" s="68"/>
      <x:c r="G97" s="82"/>
      <x:c r="H97" s="68"/>
      <x:c r="I97" s="68"/>
      <x:c r="J97" s="68"/>
      <x:c r="K97" s="82"/>
      <x:c r="L97" s="82"/>
      <x:c r="M97" s="82"/>
      <x:c r="N97" s="68"/>
      <x:c r="O97" s="68"/>
      <x:c r="P97" s="68"/>
      <x:c r="Q97" s="68"/>
      <x:c r="R97" s="90"/>
      <x:c r="S97" s="68"/>
      <x:c r="T97" s="68"/>
      <x:c r="U97" s="82"/>
      <x:c r="V97" s="82"/>
      <x:c r="W97" s="82"/>
      <x:c r="X97" s="82"/>
      <x:c r="Y97" s="84"/>
      <x:c r="Z97" s="84"/>
      <x:c r="AA97" s="82"/>
      <x:c r="AB97" s="82"/>
      <x:c r="AC97" s="68"/>
      <x:c r="AD97" s="68"/>
      <x:c r="AE97" s="90"/>
      <x:c r="AF97" s="68"/>
      <x:c r="AG97" s="82"/>
      <x:c r="AH97" s="82"/>
      <x:c r="AI97" s="87"/>
    </x:row>
    <x:row r="98">
      <x:c r="A98" s="72" t="str">
        <x:f>IF(OR(C98="",D98=""),"",B98&amp;"-"&amp;UPPER(C98)&amp;"-"&amp;TEXT(D98,"0000")&amp;"-"&amp;E98)</x:f>
      </x:c>
      <x:c r="B98" s="74" t="str">
        <x:v>M03</x:v>
      </x:c>
      <x:c r="C98" s="74"/>
      <x:c r="D98" s="79"/>
      <x:c r="E98" s="74" t="str">
        <x:v>V1.0</x:v>
      </x:c>
      <x:c r="F98" s="68"/>
      <x:c r="G98" s="82"/>
      <x:c r="H98" s="68"/>
      <x:c r="I98" s="68"/>
      <x:c r="J98" s="68"/>
      <x:c r="K98" s="82"/>
      <x:c r="L98" s="82"/>
      <x:c r="M98" s="82"/>
      <x:c r="N98" s="68"/>
      <x:c r="O98" s="68"/>
      <x:c r="P98" s="68"/>
      <x:c r="Q98" s="68"/>
      <x:c r="R98" s="90"/>
      <x:c r="S98" s="68"/>
      <x:c r="T98" s="68"/>
      <x:c r="U98" s="82"/>
      <x:c r="V98" s="82"/>
      <x:c r="W98" s="82"/>
      <x:c r="X98" s="82"/>
      <x:c r="Y98" s="84"/>
      <x:c r="Z98" s="84"/>
      <x:c r="AA98" s="82"/>
      <x:c r="AB98" s="82"/>
      <x:c r="AC98" s="68"/>
      <x:c r="AD98" s="68"/>
      <x:c r="AE98" s="90"/>
      <x:c r="AF98" s="68"/>
      <x:c r="AG98" s="82"/>
      <x:c r="AH98" s="82"/>
      <x:c r="AI98" s="87"/>
    </x:row>
    <x:row r="99">
      <x:c r="A99" s="72" t="str">
        <x:f>IF(OR(C99="",D99=""),"",B99&amp;"-"&amp;UPPER(C99)&amp;"-"&amp;TEXT(D99,"0000")&amp;"-"&amp;E99)</x:f>
      </x:c>
      <x:c r="B99" s="74" t="str">
        <x:v>M03</x:v>
      </x:c>
      <x:c r="C99" s="74"/>
      <x:c r="D99" s="79"/>
      <x:c r="E99" s="74" t="str">
        <x:v>V1.0</x:v>
      </x:c>
      <x:c r="F99" s="68"/>
      <x:c r="G99" s="82"/>
      <x:c r="H99" s="68"/>
      <x:c r="I99" s="68"/>
      <x:c r="J99" s="68"/>
      <x:c r="K99" s="82"/>
      <x:c r="L99" s="82"/>
      <x:c r="M99" s="82"/>
      <x:c r="N99" s="68"/>
      <x:c r="O99" s="68"/>
      <x:c r="P99" s="68"/>
      <x:c r="Q99" s="68"/>
      <x:c r="R99" s="90"/>
      <x:c r="S99" s="68"/>
      <x:c r="T99" s="68"/>
      <x:c r="U99" s="82"/>
      <x:c r="V99" s="82"/>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M03</x:v>
      </x:c>
      <x:c r="C100" s="74"/>
      <x:c r="D100" s="79"/>
      <x:c r="E100" s="74" t="str">
        <x:v>V1.0</x:v>
      </x:c>
      <x:c r="F100" s="68"/>
      <x:c r="G100" s="82"/>
      <x:c r="H100" s="68"/>
      <x:c r="I100" s="68"/>
      <x:c r="J100" s="68"/>
      <x:c r="K100" s="82"/>
      <x:c r="L100" s="82"/>
      <x:c r="M100" s="82"/>
      <x:c r="N100" s="68"/>
      <x:c r="O100" s="68"/>
      <x:c r="P100" s="68"/>
      <x:c r="Q100" s="68"/>
      <x:c r="R100" s="90"/>
      <x:c r="S100" s="68"/>
      <x:c r="T100" s="68"/>
      <x:c r="U100" s="82"/>
      <x:c r="V100" s="82"/>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M03</x:v>
      </x:c>
      <x:c r="C101" s="74"/>
      <x:c r="D101" s="79"/>
      <x:c r="E101" s="74" t="str">
        <x:v>V1.0</x:v>
      </x:c>
      <x:c r="F101" s="68"/>
      <x:c r="G101" s="82"/>
      <x:c r="H101" s="68"/>
      <x:c r="I101" s="68"/>
      <x:c r="J101" s="68"/>
      <x:c r="K101" s="82"/>
      <x:c r="L101" s="82"/>
      <x:c r="M101" s="82"/>
      <x:c r="N101" s="68"/>
      <x:c r="O101" s="68"/>
      <x:c r="P101" s="68"/>
      <x:c r="Q101" s="68"/>
      <x:c r="R101" s="90"/>
      <x:c r="S101" s="68"/>
      <x:c r="T101" s="68"/>
      <x:c r="U101" s="82"/>
      <x:c r="V101" s="82"/>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M03</x:v>
      </x:c>
      <x:c r="C102" s="74"/>
      <x:c r="D102" s="79"/>
      <x:c r="E102" s="74" t="str">
        <x:v>V1.0</x:v>
      </x:c>
      <x:c r="F102" s="68"/>
      <x:c r="G102" s="82"/>
      <x:c r="H102" s="68"/>
      <x:c r="I102" s="68"/>
      <x:c r="J102" s="68"/>
      <x:c r="K102" s="82"/>
      <x:c r="L102" s="82"/>
      <x:c r="M102" s="82"/>
      <x:c r="N102" s="68"/>
      <x:c r="O102" s="68"/>
      <x:c r="P102" s="68"/>
      <x:c r="Q102" s="68"/>
      <x:c r="R102" s="90"/>
      <x:c r="S102" s="68"/>
      <x:c r="T102" s="68"/>
      <x:c r="U102" s="82"/>
      <x:c r="V102" s="82"/>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M03</x:v>
      </x:c>
      <x:c r="C103" s="74"/>
      <x:c r="D103" s="79"/>
      <x:c r="E103" s="74" t="str">
        <x:v>V1.0</x:v>
      </x:c>
      <x:c r="F103" s="68"/>
      <x:c r="G103" s="82"/>
      <x:c r="H103" s="68"/>
      <x:c r="I103" s="68"/>
      <x:c r="J103" s="68"/>
      <x:c r="K103" s="82"/>
      <x:c r="L103" s="82"/>
      <x:c r="M103" s="82"/>
      <x:c r="N103" s="68"/>
      <x:c r="O103" s="68"/>
      <x:c r="P103" s="68"/>
      <x:c r="Q103" s="68"/>
      <x:c r="R103" s="90"/>
      <x:c r="S103" s="68"/>
      <x:c r="T103" s="68"/>
      <x:c r="U103" s="82"/>
      <x:c r="V103" s="82"/>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M03</x:v>
      </x:c>
      <x:c r="C104" s="74"/>
      <x:c r="D104" s="79"/>
      <x:c r="E104" s="74" t="str">
        <x:v>V1.0</x:v>
      </x:c>
      <x:c r="F104" s="68"/>
      <x:c r="G104" s="82"/>
      <x:c r="H104" s="68"/>
      <x:c r="I104" s="68"/>
      <x:c r="J104" s="68"/>
      <x:c r="K104" s="82"/>
      <x:c r="L104" s="82"/>
      <x:c r="M104" s="82"/>
      <x:c r="N104" s="68"/>
      <x:c r="O104" s="68"/>
      <x:c r="P104" s="68"/>
      <x:c r="Q104" s="68"/>
      <x:c r="R104" s="90"/>
      <x:c r="S104" s="68"/>
      <x:c r="T104" s="68"/>
      <x:c r="U104" s="82"/>
      <x:c r="V104" s="82"/>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M03</x:v>
      </x:c>
      <x:c r="C105" s="74"/>
      <x:c r="D105" s="79"/>
      <x:c r="E105" s="74" t="str">
        <x:v>V1.0</x:v>
      </x:c>
      <x:c r="F105" s="68"/>
      <x:c r="G105" s="82"/>
      <x:c r="H105" s="68"/>
      <x:c r="I105" s="68"/>
      <x:c r="J105" s="68"/>
      <x:c r="K105" s="82"/>
      <x:c r="L105" s="82"/>
      <x:c r="M105" s="82"/>
      <x:c r="N105" s="68"/>
      <x:c r="O105" s="68"/>
      <x:c r="P105" s="68"/>
      <x:c r="Q105" s="68"/>
      <x:c r="R105" s="90"/>
      <x:c r="S105" s="68"/>
      <x:c r="T105" s="68"/>
      <x:c r="U105" s="82"/>
      <x:c r="V105" s="82"/>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 priority="1">
      <x:formula>AND(A6&lt;&gt;"",COUNTIF($A$6:$A$105,A6)&gt;1)</x:formula>
    </x:cfRule>
  </x:conditionalFormatting>
  <x:dataValidations count="15">
    <x:dataValidation type="list" sqref="E6:E105">
      <x:formula1>'99_下拉选项'!$BG$4:$BG$12</x:formula1>
    </x:dataValidation>
    <x:dataValidation type="list" sqref="G6:G105">
      <x:formula1>'99_下拉选项'!$F$4:$F$7</x:formula1>
    </x:dataValidation>
    <x:dataValidation type="list" sqref="K6:K105">
      <x:formula1>'99_下拉选项'!$J$4:$J$10</x:formula1>
    </x:dataValidation>
    <x:dataValidation type="list" sqref="L6:L105">
      <x:formula1>'99_下拉选项'!$K$4:$K$10</x:formula1>
    </x:dataValidation>
    <x:dataValidation type="list" sqref="M6:M105">
      <x:formula1>'99_下拉选项'!$H$4:$H$14</x:formula1>
    </x:dataValidation>
    <x:dataValidation type="list" sqref="U6:U105">
      <x:formula1>'99_下拉选项'!$M$4:$M$12</x:formula1>
    </x:dataValidation>
    <x:dataValidation type="list" sqref="V6:V105">
      <x:formula1>'99_下拉选项'!$N$4:$N$8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'99_下拉选项'!$BG$4:$BG$16</x:formula1>
    </x:dataValidation>
  </x:dataValidations>
  <x:pageMargins left="0.7" right="0.7" top="0.75" bottom="0.75" header="0.3" footer="0.3"/>
  <x:tableParts count="1">
    <x:tablePart xmlns:r="http://schemas.openxmlformats.org/officeDocument/2006/relationships" r:id="R7112076e8d0849b1"/>
  </x:tableParts>
</x:worksheet>
</file>

<file path=xl/worksheets/sheet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30"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M04｜天干合克关系识别规则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已录入50条正式规则：天干五合5、定向相克20、柱位6、合化候选5、争合与边界14。本表只确认关系、柱位与候选，不直接裁定合化、合绊或力量增减。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前置依赖：M02　｜　主要输出：天干关系清单与合化候选　｜　直接下游：M06/M08/M10/M11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参与天干</x:v>
      </x:c>
      <x:c r="J5" s="61" t="str">
        <x:v>位置关系</x:v>
      </x:c>
      <x:c r="K5" s="61" t="str">
        <x:v>完整度</x:v>
      </x:c>
      <x:c r="L5" s="61" t="str">
        <x:v>月令条件</x:v>
      </x:c>
      <x:c r="M5" s="61" t="str">
        <x:v>根气/透干条件</x:v>
      </x:c>
      <x:c r="N5" s="61" t="str">
        <x:v>合化候选五行</x:v>
      </x:c>
      <x:c r="O5" s="61" t="str">
        <x:v>同时关系</x:v>
      </x:c>
      <x:c r="P5" s="61" t="str">
        <x:v>前置条件</x:v>
      </x:c>
      <x:c r="Q5" s="61" t="str">
        <x:v>必要条件</x:v>
      </x:c>
      <x:c r="R5" s="61" t="str">
        <x:v>增强条件</x:v>
      </x:c>
      <x:c r="S5" s="61" t="str">
        <x:v>削弱条件</x:v>
      </x:c>
      <x:c r="T5" s="61" t="str">
        <x:v>否决条件</x:v>
      </x:c>
      <x:c r="U5" s="61" t="str">
        <x:v>例外条件</x:v>
      </x:c>
      <x:c r="V5" s="61" t="str">
        <x:v>识别结论</x:v>
      </x:c>
      <x:c r="W5" s="61" t="str">
        <x:v>不得直接推出</x:v>
      </x:c>
      <x:c r="X5" s="61" t="str">
        <x:v>优先级</x:v>
      </x:c>
      <x:c r="Y5" s="61" t="str">
        <x:v>规则性质</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M04-DEMO-9999-V0.1</x:v>
      </x:c>
      <x:c r="B6" s="76" t="str">
        <x:v>M04</x:v>
      </x:c>
      <x:c r="C6" s="76" t="str">
        <x:v>DEMO</x:v>
      </x:c>
      <x:c r="D6" s="78" t="n">
        <x:v>9999</x:v>
      </x:c>
      <x:c r="E6" s="76" t="str">
        <x:v>V0.1</x:v>
      </x:c>
      <x:c r="F6" s="76" t="str">
        <x:v>甲己同时出现可识别为甲己合候选</x:v>
      </x:c>
      <x:c r="G6" s="76" t="str">
        <x:v>识别层</x:v>
      </x:c>
      <x:c r="H6" s="76" t="str">
        <x:v>天干五合</x:v>
      </x:c>
      <x:c r="I6" s="76" t="str">
        <x:v>甲、己</x:v>
      </x:c>
      <x:c r="J6" s="76" t="str">
        <x:v>相邻</x:v>
      </x:c>
      <x:c r="K6" s="76" t="str">
        <x:v>完整</x:v>
      </x:c>
      <x:c r="L6" s="76" t="str">
        <x:v>识别关系本身不以月令为必要条件</x:v>
      </x:c>
      <x:c r="M6" s="76" t="str">
        <x:v>双方均在天干出现</x:v>
      </x:c>
      <x:c r="N6" s="76" t="str">
        <x:v>土</x:v>
      </x:c>
      <x:c r="O6" s="76" t="str">
        <x:v>需另查争合、妒合、克制与根气</x:v>
      </x:c>
      <x:c r="P6" s="76" t="str">
        <x:v>四柱天干已标准化</x:v>
      </x:c>
      <x:c r="Q6" s="76" t="str">
        <x:v>甲与己同时出现</x:v>
      </x:c>
      <x:c r="R6" s="76" t="str">
        <x:v>相邻、得化神之令、化神有根有势</x:v>
      </x:c>
      <x:c r="S6" s="76" t="str">
        <x:v>遥隔、多方争合、双方根深不从化</x:v>
      </x:c>
      <x:c r="T6" s="76" t="str">
        <x:v>缺少甲或己则关系不存在</x:v>
      </x:c>
      <x:c r="U6" s="76" t="str">
        <x:v>合化是否成立转入M06判断</x:v>
      </x:c>
      <x:c r="V6" s="76" t="str">
        <x:v>存在甲己合关系候选</x:v>
      </x:c>
      <x:c r="W6" s="76" t="str">
        <x:v>不得直接推出合化为土、任何一方消失或必然减力</x:v>
      </x:c>
      <x:c r="X6" s="76" t="str">
        <x:v>P1_高</x:v>
      </x:c>
      <x:c r="Y6" s="76" t="str">
        <x:v>硬约束</x:v>
      </x:c>
      <x:c r="Z6" s="76" t="str">
        <x:v>天干合识别</x:v>
      </x:c>
      <x:c r="AA6" s="76" t="str">
        <x:v>原局存在甲己合候选；是否合绊、合住或合化，需结合月令、根气及其他作用判断。</x:v>
      </x:c>
      <x:c r="AB6" s="76" t="str">
        <x:v>确定</x:v>
      </x:c>
      <x:c r="AC6" s="76" t="str">
        <x:v>跨流派共识</x:v>
      </x:c>
      <x:c r="AD6" s="76" t="str">
        <x:v>关系存在与效应成立必须分层。</x:v>
      </x:c>
      <x:c r="AE6" s="76" t="str">
        <x:v>天干同时见甲、己。</x:v>
      </x:c>
      <x:c r="AF6" s="76" t="str">
        <x:v>只有地支藏甲而天干不见甲，不能直接按天干甲己合处理。</x:v>
      </x:c>
      <x:c r="AG6" s="76" t="str">
        <x:v>示例，仅演示字段用法</x:v>
      </x:c>
      <x:c r="AH6" s="76" t="str">
        <x:v>示例</x:v>
      </x:c>
      <x:c r="AI6" s="76" t="str">
        <x:v>未审核</x:v>
      </x:c>
      <x:c r="AJ6" s="86" t="n">
        <x:v>46254</x:v>
      </x:c>
    </x:row>
    <x:row r="7">
      <x:c r="A7" s="72" t="str">
        <x:f>IF(OR(C7="",D7=""),"",B7&amp;"-"&amp;UPPER(C7)&amp;"-"&amp;TEXT(D7,"0000")&amp;"-"&amp;E7)</x:f>
        <x:v>M04-HE-0001-V1.0</x:v>
      </x:c>
      <x:c r="B7" s="74" t="str">
        <x:v>M04</x:v>
      </x:c>
      <x:c r="C7" s="74" t="str">
        <x:v>HE</x:v>
      </x:c>
      <x:c r="D7" s="79" t="n">
        <x:v>1</x:v>
      </x:c>
      <x:c r="E7" s="74" t="str">
        <x:v>V1.0</x:v>
      </x:c>
      <x:c r="F7" s="68" t="str">
        <x:v>甲己天干五合识别</x:v>
      </x:c>
      <x:c r="G7" s="82" t="str">
        <x:v>识别层</x:v>
      </x:c>
      <x:c r="H7" s="82" t="str">
        <x:v>天干五合</x:v>
      </x:c>
      <x:c r="I7" s="68" t="str">
        <x:v>甲、己</x:v>
      </x:c>
      <x:c r="J7" s="82" t="str">
        <x:v>其他</x:v>
      </x:c>
      <x:c r="K7" s="82" t="str">
        <x:v>完整</x:v>
      </x:c>
      <x:c r="L7" s="68" t="str">
        <x:v>关系存在不以月令为必要条件；月令只供后续判断实际效应或合化。</x:v>
      </x:c>
      <x:c r="M7" s="68" t="str">
        <x:v>参与干须在四柱天干明现；根气与透干强弱不作为关系存在的必要条件。</x:v>
      </x:c>
      <x:c r="N7" s="82" t="str">
        <x:v>土</x:v>
      </x:c>
      <x:c r="O7" s="68" t="str">
        <x:v>检查是否另有五合、相克、重复干或多重关系。</x:v>
      </x:c>
      <x:c r="P7" s="68" t="str">
        <x:v>四柱天干已按年、月、日、时标准化并保留柱位。</x:v>
      </x:c>
      <x:c r="Q7" s="68" t="str">
        <x:v>四柱天干中同时出现甲与己，不要求先满足相邻、得令或有根。</x:v>
      </x:c>
      <x:c r="R7" s="68" t="str">
        <x:v>位置相邻、关系单一时，关系实例更清楚；仅作为后续效应判断信息。</x:v>
      </x:c>
      <x:c r="S7" s="68" t="str">
        <x:v>隔位、遥隔或多方重复时，结构更复杂，但不自动否定关系存在。</x:v>
      </x:c>
      <x:c r="T7" s="90" t="str">
        <x:v>天干缺少甲或己；若仅在地支藏干中出现，不登记为天干甲己合。</x:v>
      </x:c>
      <x:c r="U7" s="68" t="str">
        <x:v>实际合绊、合化、制化与力量变化统一转M06判断。</x:v>
      </x:c>
      <x:c r="V7" s="68" t="str">
        <x:v>原局存在甲己合关系，并生成合化为土的候选。</x:v>
      </x:c>
      <x:c r="W7" s="68" t="str">
        <x:v>不得直接推出任何一干消失、必然增减力、吉凶或喜忌。</x:v>
      </x:c>
      <x:c r="X7" s="82" t="str">
        <x:v>P0_硬约束</x:v>
      </x:c>
      <x:c r="Y7" s="82" t="str">
        <x:v>硬约束</x:v>
      </x:c>
      <x:c r="Z7" s="84" t="str">
        <x:v>甲己合识别</x:v>
      </x:c>
      <x:c r="AA7" s="84" t="str">
        <x:v>天干见甲、己，识别为甲己合；合化候选为土，实际是合绊、合动、合住还是合化，转M06判断。</x:v>
      </x:c>
      <x:c r="AB7" s="82" t="str">
        <x:v>确定</x:v>
      </x:c>
      <x:c r="AC7" s="82" t="str">
        <x:v>跨流派共识</x:v>
      </x:c>
      <x:c r="AD7" s="68" t="str">
        <x:v>天干五合的固定配对为甲己、乙庚、丙辛、丁壬、戊癸；本条只确认配对与候选五行。</x:v>
      </x:c>
      <x:c r="AE7" s="68" t="str">
        <x:v>年干为甲、月干为己，登记一组甲己合。</x:v>
      </x:c>
      <x:c r="AF7" s="90" t="str">
        <x:v>甲仅藏于某地支而天干不见甲，即使天干见己，也不能登记天干甲己合。</x:v>
      </x:c>
      <x:c r="AG7" s="68" t="str">
        <x:v>https://zh.wikisource.org/wiki/淵海子平；https://zh.wikisource.org/zh-hans/三命通會_(四庫全書本)</x:v>
      </x:c>
      <x:c r="AH7" s="82" t="str">
        <x:v>采用</x:v>
      </x:c>
      <x:c r="AI7" s="82" t="str">
        <x:v>初审</x:v>
      </x:c>
      <x:c r="AJ7" s="87" t="n">
        <x:v>46255</x:v>
      </x:c>
    </x:row>
    <x:row r="8">
      <x:c r="A8" s="72" t="str">
        <x:f>IF(OR(C8="",D8=""),"",B8&amp;"-"&amp;UPPER(C8)&amp;"-"&amp;TEXT(D8,"0000")&amp;"-"&amp;E8)</x:f>
        <x:v>M04-HE-0002-V1.0</x:v>
      </x:c>
      <x:c r="B8" s="74" t="str">
        <x:v>M04</x:v>
      </x:c>
      <x:c r="C8" s="74" t="str">
        <x:v>HE</x:v>
      </x:c>
      <x:c r="D8" s="79" t="n">
        <x:v>2</x:v>
      </x:c>
      <x:c r="E8" s="74" t="str">
        <x:v>V1.0</x:v>
      </x:c>
      <x:c r="F8" s="68" t="str">
        <x:v>乙庚天干五合识别</x:v>
      </x:c>
      <x:c r="G8" s="82" t="str">
        <x:v>识别层</x:v>
      </x:c>
      <x:c r="H8" s="82" t="str">
        <x:v>天干五合</x:v>
      </x:c>
      <x:c r="I8" s="68" t="str">
        <x:v>乙、庚</x:v>
      </x:c>
      <x:c r="J8" s="82" t="str">
        <x:v>其他</x:v>
      </x:c>
      <x:c r="K8" s="82" t="str">
        <x:v>完整</x:v>
      </x:c>
      <x:c r="L8" s="68" t="str">
        <x:v>关系存在不以月令为必要条件；月令只供后续判断实际效应或合化。</x:v>
      </x:c>
      <x:c r="M8" s="68" t="str">
        <x:v>参与干须在四柱天干明现；根气与透干强弱不作为关系存在的必要条件。</x:v>
      </x:c>
      <x:c r="N8" s="82" t="str">
        <x:v>金</x:v>
      </x:c>
      <x:c r="O8" s="68" t="str">
        <x:v>检查是否另有五合、相克、重复干或多重关系。</x:v>
      </x:c>
      <x:c r="P8" s="68" t="str">
        <x:v>四柱天干已按年、月、日、时标准化并保留柱位。</x:v>
      </x:c>
      <x:c r="Q8" s="68" t="str">
        <x:v>四柱天干中同时出现乙与庚，不要求先满足相邻、得令或有根。</x:v>
      </x:c>
      <x:c r="R8" s="68" t="str">
        <x:v>位置相邻、关系单一时，关系实例更清楚；仅作为后续效应判断信息。</x:v>
      </x:c>
      <x:c r="S8" s="68" t="str">
        <x:v>隔位、遥隔或多方重复时，结构更复杂，但不自动否定关系存在。</x:v>
      </x:c>
      <x:c r="T8" s="90" t="str">
        <x:v>天干缺少乙或庚；若仅在地支藏干中出现，不登记为天干乙庚合。</x:v>
      </x:c>
      <x:c r="U8" s="68" t="str">
        <x:v>实际合绊、合化、制化与力量变化统一转M06判断。</x:v>
      </x:c>
      <x:c r="V8" s="68" t="str">
        <x:v>原局存在乙庚合关系，并生成合化为金的候选。</x:v>
      </x:c>
      <x:c r="W8" s="68" t="str">
        <x:v>不得直接推出任何一干消失、必然增减力、吉凶或喜忌。</x:v>
      </x:c>
      <x:c r="X8" s="82" t="str">
        <x:v>P0_硬约束</x:v>
      </x:c>
      <x:c r="Y8" s="82" t="str">
        <x:v>硬约束</x:v>
      </x:c>
      <x:c r="Z8" s="84" t="str">
        <x:v>乙庚合识别</x:v>
      </x:c>
      <x:c r="AA8" s="84" t="str">
        <x:v>天干见乙、庚，识别为乙庚合；合化候选为金，实际是合绊、合动、合住还是合化，转M06判断。</x:v>
      </x:c>
      <x:c r="AB8" s="82" t="str">
        <x:v>确定</x:v>
      </x:c>
      <x:c r="AC8" s="82" t="str">
        <x:v>跨流派共识</x:v>
      </x:c>
      <x:c r="AD8" s="68" t="str">
        <x:v>天干五合的固定配对为甲己、乙庚、丙辛、丁壬、戊癸；本条只确认配对与候选五行。</x:v>
      </x:c>
      <x:c r="AE8" s="68" t="str">
        <x:v>年干为乙、月干为庚，登记一组乙庚合。</x:v>
      </x:c>
      <x:c r="AF8" s="90" t="str">
        <x:v>乙仅藏于某地支而天干不见乙，即使天干见庚，也不能登记天干乙庚合。</x:v>
      </x:c>
      <x:c r="AG8" s="68" t="str">
        <x:v>https://zh.wikisource.org/wiki/淵海子平；https://zh.wikisource.org/zh-hans/三命通會_(四庫全書本)</x:v>
      </x:c>
      <x:c r="AH8" s="82" t="str">
        <x:v>采用</x:v>
      </x:c>
      <x:c r="AI8" s="82" t="str">
        <x:v>初审</x:v>
      </x:c>
      <x:c r="AJ8" s="87" t="n">
        <x:v>46255</x:v>
      </x:c>
    </x:row>
    <x:row r="9">
      <x:c r="A9" s="72" t="str">
        <x:f>IF(OR(C9="",D9=""),"",B9&amp;"-"&amp;UPPER(C9)&amp;"-"&amp;TEXT(D9,"0000")&amp;"-"&amp;E9)</x:f>
        <x:v>M04-HE-0003-V1.0</x:v>
      </x:c>
      <x:c r="B9" s="74" t="str">
        <x:v>M04</x:v>
      </x:c>
      <x:c r="C9" s="74" t="str">
        <x:v>HE</x:v>
      </x:c>
      <x:c r="D9" s="79" t="n">
        <x:v>3</x:v>
      </x:c>
      <x:c r="E9" s="74" t="str">
        <x:v>V1.0</x:v>
      </x:c>
      <x:c r="F9" s="68" t="str">
        <x:v>丙辛天干五合识别</x:v>
      </x:c>
      <x:c r="G9" s="82" t="str">
        <x:v>识别层</x:v>
      </x:c>
      <x:c r="H9" s="82" t="str">
        <x:v>天干五合</x:v>
      </x:c>
      <x:c r="I9" s="68" t="str">
        <x:v>丙、辛</x:v>
      </x:c>
      <x:c r="J9" s="82" t="str">
        <x:v>其他</x:v>
      </x:c>
      <x:c r="K9" s="82" t="str">
        <x:v>完整</x:v>
      </x:c>
      <x:c r="L9" s="68" t="str">
        <x:v>关系存在不以月令为必要条件；月令只供后续判断实际效应或合化。</x:v>
      </x:c>
      <x:c r="M9" s="68" t="str">
        <x:v>参与干须在四柱天干明现；根气与透干强弱不作为关系存在的必要条件。</x:v>
      </x:c>
      <x:c r="N9" s="82" t="str">
        <x:v>水</x:v>
      </x:c>
      <x:c r="O9" s="68" t="str">
        <x:v>检查是否另有五合、相克、重复干或多重关系。</x:v>
      </x:c>
      <x:c r="P9" s="68" t="str">
        <x:v>四柱天干已按年、月、日、时标准化并保留柱位。</x:v>
      </x:c>
      <x:c r="Q9" s="68" t="str">
        <x:v>四柱天干中同时出现丙与辛，不要求先满足相邻、得令或有根。</x:v>
      </x:c>
      <x:c r="R9" s="68" t="str">
        <x:v>位置相邻、关系单一时，关系实例更清楚；仅作为后续效应判断信息。</x:v>
      </x:c>
      <x:c r="S9" s="68" t="str">
        <x:v>隔位、遥隔或多方重复时，结构更复杂，但不自动否定关系存在。</x:v>
      </x:c>
      <x:c r="T9" s="90" t="str">
        <x:v>天干缺少丙或辛；若仅在地支藏干中出现，不登记为天干丙辛合。</x:v>
      </x:c>
      <x:c r="U9" s="68" t="str">
        <x:v>实际合绊、合化、制化与力量变化统一转M06判断。</x:v>
      </x:c>
      <x:c r="V9" s="68" t="str">
        <x:v>原局存在丙辛合关系，并生成合化为水的候选。</x:v>
      </x:c>
      <x:c r="W9" s="68" t="str">
        <x:v>不得直接推出任何一干消失、必然增减力、吉凶或喜忌。</x:v>
      </x:c>
      <x:c r="X9" s="82" t="str">
        <x:v>P0_硬约束</x:v>
      </x:c>
      <x:c r="Y9" s="82" t="str">
        <x:v>硬约束</x:v>
      </x:c>
      <x:c r="Z9" s="84" t="str">
        <x:v>丙辛合识别</x:v>
      </x:c>
      <x:c r="AA9" s="84" t="str">
        <x:v>天干见丙、辛，识别为丙辛合；合化候选为水，实际是合绊、合动、合住还是合化，转M06判断。</x:v>
      </x:c>
      <x:c r="AB9" s="82" t="str">
        <x:v>确定</x:v>
      </x:c>
      <x:c r="AC9" s="82" t="str">
        <x:v>跨流派共识</x:v>
      </x:c>
      <x:c r="AD9" s="68" t="str">
        <x:v>天干五合的固定配对为甲己、乙庚、丙辛、丁壬、戊癸；本条只确认配对与候选五行。</x:v>
      </x:c>
      <x:c r="AE9" s="68" t="str">
        <x:v>年干为丙、月干为辛，登记一组丙辛合。</x:v>
      </x:c>
      <x:c r="AF9" s="90" t="str">
        <x:v>丙仅藏于某地支而天干不见丙，即使天干见辛，也不能登记天干丙辛合。</x:v>
      </x:c>
      <x:c r="AG9" s="68" t="str">
        <x:v>https://zh.wikisource.org/wiki/淵海子平；https://zh.wikisource.org/zh-hans/三命通會_(四庫全書本)</x:v>
      </x:c>
      <x:c r="AH9" s="82" t="str">
        <x:v>采用</x:v>
      </x:c>
      <x:c r="AI9" s="82" t="str">
        <x:v>初审</x:v>
      </x:c>
      <x:c r="AJ9" s="87" t="n">
        <x:v>46255</x:v>
      </x:c>
    </x:row>
    <x:row r="10">
      <x:c r="A10" s="72" t="str">
        <x:f>IF(OR(C10="",D10=""),"",B10&amp;"-"&amp;UPPER(C10)&amp;"-"&amp;TEXT(D10,"0000")&amp;"-"&amp;E10)</x:f>
        <x:v>M04-HE-0004-V1.0</x:v>
      </x:c>
      <x:c r="B10" s="74" t="str">
        <x:v>M04</x:v>
      </x:c>
      <x:c r="C10" s="74" t="str">
        <x:v>HE</x:v>
      </x:c>
      <x:c r="D10" s="79" t="n">
        <x:v>4</x:v>
      </x:c>
      <x:c r="E10" s="74" t="str">
        <x:v>V1.0</x:v>
      </x:c>
      <x:c r="F10" s="68" t="str">
        <x:v>丁壬天干五合识别</x:v>
      </x:c>
      <x:c r="G10" s="82" t="str">
        <x:v>识别层</x:v>
      </x:c>
      <x:c r="H10" s="82" t="str">
        <x:v>天干五合</x:v>
      </x:c>
      <x:c r="I10" s="68" t="str">
        <x:v>丁、壬</x:v>
      </x:c>
      <x:c r="J10" s="82" t="str">
        <x:v>其他</x:v>
      </x:c>
      <x:c r="K10" s="82" t="str">
        <x:v>完整</x:v>
      </x:c>
      <x:c r="L10" s="68" t="str">
        <x:v>关系存在不以月令为必要条件；月令只供后续判断实际效应或合化。</x:v>
      </x:c>
      <x:c r="M10" s="68" t="str">
        <x:v>参与干须在四柱天干明现；根气与透干强弱不作为关系存在的必要条件。</x:v>
      </x:c>
      <x:c r="N10" s="82" t="str">
        <x:v>木</x:v>
      </x:c>
      <x:c r="O10" s="68" t="str">
        <x:v>检查是否另有五合、相克、重复干或多重关系。</x:v>
      </x:c>
      <x:c r="P10" s="68" t="str">
        <x:v>四柱天干已按年、月、日、时标准化并保留柱位。</x:v>
      </x:c>
      <x:c r="Q10" s="68" t="str">
        <x:v>四柱天干中同时出现丁与壬，不要求先满足相邻、得令或有根。</x:v>
      </x:c>
      <x:c r="R10" s="68" t="str">
        <x:v>位置相邻、关系单一时，关系实例更清楚；仅作为后续效应判断信息。</x:v>
      </x:c>
      <x:c r="S10" s="68" t="str">
        <x:v>隔位、遥隔或多方重复时，结构更复杂，但不自动否定关系存在。</x:v>
      </x:c>
      <x:c r="T10" s="90" t="str">
        <x:v>天干缺少丁或壬；若仅在地支藏干中出现，不登记为天干丁壬合。</x:v>
      </x:c>
      <x:c r="U10" s="68" t="str">
        <x:v>实际合绊、合化、制化与力量变化统一转M06判断。</x:v>
      </x:c>
      <x:c r="V10" s="68" t="str">
        <x:v>原局存在丁壬合关系，并生成合化为木的候选。</x:v>
      </x:c>
      <x:c r="W10" s="68" t="str">
        <x:v>不得直接推出任何一干消失、必然增减力、吉凶或喜忌。</x:v>
      </x:c>
      <x:c r="X10" s="82" t="str">
        <x:v>P0_硬约束</x:v>
      </x:c>
      <x:c r="Y10" s="82" t="str">
        <x:v>硬约束</x:v>
      </x:c>
      <x:c r="Z10" s="84" t="str">
        <x:v>丁壬合识别</x:v>
      </x:c>
      <x:c r="AA10" s="84" t="str">
        <x:v>天干见丁、壬，识别为丁壬合；合化候选为木，实际是合绊、合动、合住还是合化，转M06判断。</x:v>
      </x:c>
      <x:c r="AB10" s="82" t="str">
        <x:v>确定</x:v>
      </x:c>
      <x:c r="AC10" s="82" t="str">
        <x:v>跨流派共识</x:v>
      </x:c>
      <x:c r="AD10" s="68" t="str">
        <x:v>天干五合的固定配对为甲己、乙庚、丙辛、丁壬、戊癸；本条只确认配对与候选五行。</x:v>
      </x:c>
      <x:c r="AE10" s="68" t="str">
        <x:v>年干为丁、月干为壬，登记一组丁壬合。</x:v>
      </x:c>
      <x:c r="AF10" s="90" t="str">
        <x:v>丁仅藏于某地支而天干不见丁，即使天干见壬，也不能登记天干丁壬合。</x:v>
      </x:c>
      <x:c r="AG10" s="68" t="str">
        <x:v>https://zh.wikisource.org/wiki/淵海子平；https://zh.wikisource.org/zh-hans/三命通會_(四庫全書本)</x:v>
      </x:c>
      <x:c r="AH10" s="82" t="str">
        <x:v>采用</x:v>
      </x:c>
      <x:c r="AI10" s="82" t="str">
        <x:v>初审</x:v>
      </x:c>
      <x:c r="AJ10" s="87" t="n">
        <x:v>46255</x:v>
      </x:c>
    </x:row>
    <x:row r="11">
      <x:c r="A11" s="72" t="str">
        <x:f>IF(OR(C11="",D11=""),"",B11&amp;"-"&amp;UPPER(C11)&amp;"-"&amp;TEXT(D11,"0000")&amp;"-"&amp;E11)</x:f>
        <x:v>M04-HE-0005-V1.0</x:v>
      </x:c>
      <x:c r="B11" s="74" t="str">
        <x:v>M04</x:v>
      </x:c>
      <x:c r="C11" s="74" t="str">
        <x:v>HE</x:v>
      </x:c>
      <x:c r="D11" s="79" t="n">
        <x:v>5</x:v>
      </x:c>
      <x:c r="E11" s="74" t="str">
        <x:v>V1.0</x:v>
      </x:c>
      <x:c r="F11" s="68" t="str">
        <x:v>戊癸天干五合识别</x:v>
      </x:c>
      <x:c r="G11" s="82" t="str">
        <x:v>识别层</x:v>
      </x:c>
      <x:c r="H11" s="82" t="str">
        <x:v>天干五合</x:v>
      </x:c>
      <x:c r="I11" s="68" t="str">
        <x:v>戊、癸</x:v>
      </x:c>
      <x:c r="J11" s="82" t="str">
        <x:v>其他</x:v>
      </x:c>
      <x:c r="K11" s="82" t="str">
        <x:v>完整</x:v>
      </x:c>
      <x:c r="L11" s="68" t="str">
        <x:v>关系存在不以月令为必要条件；月令只供后续判断实际效应或合化。</x:v>
      </x:c>
      <x:c r="M11" s="68" t="str">
        <x:v>参与干须在四柱天干明现；根气与透干强弱不作为关系存在的必要条件。</x:v>
      </x:c>
      <x:c r="N11" s="82" t="str">
        <x:v>火</x:v>
      </x:c>
      <x:c r="O11" s="68" t="str">
        <x:v>检查是否另有五合、相克、重复干或多重关系。</x:v>
      </x:c>
      <x:c r="P11" s="68" t="str">
        <x:v>四柱天干已按年、月、日、时标准化并保留柱位。</x:v>
      </x:c>
      <x:c r="Q11" s="68" t="str">
        <x:v>四柱天干中同时出现戊与癸，不要求先满足相邻、得令或有根。</x:v>
      </x:c>
      <x:c r="R11" s="68" t="str">
        <x:v>位置相邻、关系单一时，关系实例更清楚；仅作为后续效应判断信息。</x:v>
      </x:c>
      <x:c r="S11" s="68" t="str">
        <x:v>隔位、遥隔或多方重复时，结构更复杂，但不自动否定关系存在。</x:v>
      </x:c>
      <x:c r="T11" s="90" t="str">
        <x:v>天干缺少戊或癸；若仅在地支藏干中出现，不登记为天干戊癸合。</x:v>
      </x:c>
      <x:c r="U11" s="68" t="str">
        <x:v>实际合绊、合化、制化与力量变化统一转M06判断。</x:v>
      </x:c>
      <x:c r="V11" s="68" t="str">
        <x:v>原局存在戊癸合关系，并生成合化为火的候选。</x:v>
      </x:c>
      <x:c r="W11" s="68" t="str">
        <x:v>不得直接推出任何一干消失、必然增减力、吉凶或喜忌。</x:v>
      </x:c>
      <x:c r="X11" s="82" t="str">
        <x:v>P0_硬约束</x:v>
      </x:c>
      <x:c r="Y11" s="82" t="str">
        <x:v>硬约束</x:v>
      </x:c>
      <x:c r="Z11" s="84" t="str">
        <x:v>戊癸合识别</x:v>
      </x:c>
      <x:c r="AA11" s="84" t="str">
        <x:v>天干见戊、癸，识别为戊癸合；合化候选为火，实际是合绊、合动、合住还是合化，转M06判断。</x:v>
      </x:c>
      <x:c r="AB11" s="82" t="str">
        <x:v>确定</x:v>
      </x:c>
      <x:c r="AC11" s="82" t="str">
        <x:v>跨流派共识</x:v>
      </x:c>
      <x:c r="AD11" s="68" t="str">
        <x:v>天干五合的固定配对为甲己、乙庚、丙辛、丁壬、戊癸；本条只确认配对与候选五行。</x:v>
      </x:c>
      <x:c r="AE11" s="68" t="str">
        <x:v>年干为戊、月干为癸，登记一组戊癸合。</x:v>
      </x:c>
      <x:c r="AF11" s="90" t="str">
        <x:v>戊仅藏于某地支而天干不见戊，即使天干见癸，也不能登记天干戊癸合。</x:v>
      </x:c>
      <x:c r="AG11" s="68" t="str">
        <x:v>https://zh.wikisource.org/wiki/淵海子平；https://zh.wikisource.org/zh-hans/三命通會_(四庫全書本)</x:v>
      </x:c>
      <x:c r="AH11" s="82" t="str">
        <x:v>采用</x:v>
      </x:c>
      <x:c r="AI11" s="82" t="str">
        <x:v>初审</x:v>
      </x:c>
      <x:c r="AJ11" s="87" t="n">
        <x:v>46255</x:v>
      </x:c>
    </x:row>
    <x:row r="12">
      <x:c r="A12" s="72" t="str">
        <x:f>IF(OR(C12="",D12=""),"",B12&amp;"-"&amp;UPPER(C12)&amp;"-"&amp;TEXT(D12,"0000")&amp;"-"&amp;E12)</x:f>
        <x:v>M04-KE-0006-V1.0</x:v>
      </x:c>
      <x:c r="B12" s="74" t="str">
        <x:v>M04</x:v>
      </x:c>
      <x:c r="C12" s="74" t="str">
        <x:v>KE</x:v>
      </x:c>
      <x:c r="D12" s="79" t="n">
        <x:v>6</x:v>
      </x:c>
      <x:c r="E12" s="74" t="str">
        <x:v>V1.0</x:v>
      </x:c>
      <x:c r="F12" s="68" t="str">
        <x:v>甲克戊天干路径识别</x:v>
      </x:c>
      <x:c r="G12" s="82" t="str">
        <x:v>识别层</x:v>
      </x:c>
      <x:c r="H12" s="82" t="str">
        <x:v>天干相克</x:v>
      </x:c>
      <x:c r="I12" s="68" t="str">
        <x:v>甲、戊</x:v>
      </x:c>
      <x:c r="J12" s="82" t="str">
        <x:v>其他</x:v>
      </x:c>
      <x:c r="K12" s="82" t="str">
        <x:v>完整</x:v>
      </x:c>
      <x:c r="L12" s="68" t="str">
        <x:v>关系存在不以月令为必要条件；月令只供后续判断实际效应或合化。</x:v>
      </x:c>
      <x:c r="M12" s="68" t="str">
        <x:v>参与干须在四柱天干明现；根气与透干强弱不作为关系存在的必要条件。</x:v>
      </x:c>
      <x:c r="N12" s="82"/>
      <x:c r="O12" s="68" t="str">
        <x:v>检查是否另有五合、相克、重复干或多重关系。</x:v>
      </x:c>
      <x:c r="P12" s="68" t="str">
        <x:v>四柱天干已按年、月、日、时标准化并保留柱位。</x:v>
      </x:c>
      <x:c r="Q12" s="68" t="str">
        <x:v>四柱天干中同时出现甲与戊；按五行关系，甲所属五行克戊所属五行。</x:v>
      </x:c>
      <x:c r="R12" s="68" t="str">
        <x:v>位置相邻、关系单一时，关系实例更清楚；仅作为后续效应判断信息。</x:v>
      </x:c>
      <x:c r="S12" s="68" t="str">
        <x:v>隔位、遥隔或多方重复时，结构更复杂，但不自动否定关系存在。</x:v>
      </x:c>
      <x:c r="T12" s="90" t="str">
        <x:v>天干缺少甲或戊；若任一方只藏支未透，不按本条登记天干相克实例。</x:v>
      </x:c>
      <x:c r="U12" s="68" t="str">
        <x:v>实际合绊、合化、制化与力量变化统一转M06判断。</x:v>
      </x:c>
      <x:c r="V12" s="68" t="str">
        <x:v>原局存在甲对戊的天干相克路径。</x:v>
      </x:c>
      <x:c r="W12" s="68" t="str">
        <x:v>不得直接推出戊必弱、甲必胜、作用已经落实或由此直接定吉凶喜忌。</x:v>
      </x:c>
      <x:c r="X12" s="82" t="str">
        <x:v>P0_硬约束</x:v>
      </x:c>
      <x:c r="Y12" s="82" t="str">
        <x:v>硬约束</x:v>
      </x:c>
      <x:c r="Z12" s="84" t="str">
        <x:v>甲克戊识别</x:v>
      </x:c>
      <x:c r="AA12" s="84" t="str">
        <x:v>天干见甲与戊，登记“甲克戊”的有向相克关系；实际制约程度须结合柱位、旺衰及其他作用转M06判断。</x:v>
      </x:c>
      <x:c r="AB12" s="82" t="str">
        <x:v>确定</x:v>
      </x:c>
      <x:c r="AC12" s="82" t="str">
        <x:v>跨流派共识</x:v>
      </x:c>
      <x:c r="AD12" s="68" t="str">
        <x:v>天干相克按五行克制方向展开为有向关系；阴阳同异只影响后续十神与作用细节，不改变五行相克方向。</x:v>
      </x:c>
      <x:c r="AE12" s="68" t="str">
        <x:v>月干为甲、日干为戊，登记甲克戊。</x:v>
      </x:c>
      <x:c r="AF12" s="90" t="str">
        <x:v>仅见戊而不见甲，不能登记甲克戊。</x:v>
      </x:c>
      <x:c r="AG12" s="68" t="str">
        <x:v>https://zh.wikisource.org/wiki/淵海子平；https://zh.wikisource.org/zh-hans/三命通會_(四庫全書本)</x:v>
      </x:c>
      <x:c r="AH12" s="82" t="str">
        <x:v>采用</x:v>
      </x:c>
      <x:c r="AI12" s="82" t="str">
        <x:v>初审</x:v>
      </x:c>
      <x:c r="AJ12" s="87" t="n">
        <x:v>46255</x:v>
      </x:c>
    </x:row>
    <x:row r="13">
      <x:c r="A13" s="72" t="str">
        <x:f>IF(OR(C13="",D13=""),"",B13&amp;"-"&amp;UPPER(C13)&amp;"-"&amp;TEXT(D13,"0000")&amp;"-"&amp;E13)</x:f>
        <x:v>M04-KE-0007-V1.0</x:v>
      </x:c>
      <x:c r="B13" s="74" t="str">
        <x:v>M04</x:v>
      </x:c>
      <x:c r="C13" s="74" t="str">
        <x:v>KE</x:v>
      </x:c>
      <x:c r="D13" s="79" t="n">
        <x:v>7</x:v>
      </x:c>
      <x:c r="E13" s="74" t="str">
        <x:v>V1.0</x:v>
      </x:c>
      <x:c r="F13" s="68" t="str">
        <x:v>甲克己天干路径识别</x:v>
      </x:c>
      <x:c r="G13" s="82" t="str">
        <x:v>识别层</x:v>
      </x:c>
      <x:c r="H13" s="82" t="str">
        <x:v>天干相克</x:v>
      </x:c>
      <x:c r="I13" s="68" t="str">
        <x:v>甲、己</x:v>
      </x:c>
      <x:c r="J13" s="82" t="str">
        <x:v>其他</x:v>
      </x:c>
      <x:c r="K13" s="82" t="str">
        <x:v>完整</x:v>
      </x:c>
      <x:c r="L13" s="68" t="str">
        <x:v>关系存在不以月令为必要条件；月令只供后续判断实际效应或合化。</x:v>
      </x:c>
      <x:c r="M13" s="68" t="str">
        <x:v>参与干须在四柱天干明现；根气与透干强弱不作为关系存在的必要条件。</x:v>
      </x:c>
      <x:c r="N13" s="82"/>
      <x:c r="O13" s="68" t="str">
        <x:v>检查是否另有五合、相克、重复干或多重关系。</x:v>
      </x:c>
      <x:c r="P13" s="68" t="str">
        <x:v>四柱天干已按年、月、日、时标准化并保留柱位。</x:v>
      </x:c>
      <x:c r="Q13" s="68" t="str">
        <x:v>四柱天干中同时出现甲与己；按五行关系，甲所属五行克己所属五行。</x:v>
      </x:c>
      <x:c r="R13" s="68" t="str">
        <x:v>位置相邻、关系单一时，关系实例更清楚；仅作为后续效应判断信息。</x:v>
      </x:c>
      <x:c r="S13" s="68" t="str">
        <x:v>隔位、遥隔或多方重复时，结构更复杂，但不自动否定关系存在。</x:v>
      </x:c>
      <x:c r="T13" s="90" t="str">
        <x:v>天干缺少甲或己；若任一方只藏支未透，不按本条登记天干相克实例。</x:v>
      </x:c>
      <x:c r="U13" s="68" t="str">
        <x:v>实际合绊、合化、制化与力量变化统一转M06判断。</x:v>
      </x:c>
      <x:c r="V13" s="68" t="str">
        <x:v>原局存在甲对己的天干相克路径。</x:v>
      </x:c>
      <x:c r="W13" s="68" t="str">
        <x:v>不得直接推出己必弱、甲必胜、作用已经落实或由此直接定吉凶喜忌。</x:v>
      </x:c>
      <x:c r="X13" s="82" t="str">
        <x:v>P0_硬约束</x:v>
      </x:c>
      <x:c r="Y13" s="82" t="str">
        <x:v>硬约束</x:v>
      </x:c>
      <x:c r="Z13" s="84" t="str">
        <x:v>甲克己识别</x:v>
      </x:c>
      <x:c r="AA13" s="84" t="str">
        <x:v>天干见甲与己，登记“甲克己”的有向相克关系；实际制约程度须结合柱位、旺衰及其他作用转M06判断。</x:v>
      </x:c>
      <x:c r="AB13" s="82" t="str">
        <x:v>确定</x:v>
      </x:c>
      <x:c r="AC13" s="82" t="str">
        <x:v>跨流派共识</x:v>
      </x:c>
      <x:c r="AD13" s="68" t="str">
        <x:v>天干相克按五行克制方向展开为有向关系；阴阳同异只影响后续十神与作用细节，不改变五行相克方向。</x:v>
      </x:c>
      <x:c r="AE13" s="68" t="str">
        <x:v>月干为甲、日干为己，登记甲克己。</x:v>
      </x:c>
      <x:c r="AF13" s="90" t="str">
        <x:v>仅见己而不见甲，不能登记甲克己。</x:v>
      </x:c>
      <x:c r="AG13" s="68" t="str">
        <x:v>https://zh.wikisource.org/wiki/淵海子平；https://zh.wikisource.org/zh-hans/三命通會_(四庫全書本)</x:v>
      </x:c>
      <x:c r="AH13" s="82" t="str">
        <x:v>采用</x:v>
      </x:c>
      <x:c r="AI13" s="82" t="str">
        <x:v>初审</x:v>
      </x:c>
      <x:c r="AJ13" s="87" t="n">
        <x:v>46255</x:v>
      </x:c>
    </x:row>
    <x:row r="14">
      <x:c r="A14" s="72" t="str">
        <x:f>IF(OR(C14="",D14=""),"",B14&amp;"-"&amp;UPPER(C14)&amp;"-"&amp;TEXT(D14,"0000")&amp;"-"&amp;E14)</x:f>
        <x:v>M04-KE-0008-V1.0</x:v>
      </x:c>
      <x:c r="B14" s="74" t="str">
        <x:v>M04</x:v>
      </x:c>
      <x:c r="C14" s="74" t="str">
        <x:v>KE</x:v>
      </x:c>
      <x:c r="D14" s="79" t="n">
        <x:v>8</x:v>
      </x:c>
      <x:c r="E14" s="74" t="str">
        <x:v>V1.0</x:v>
      </x:c>
      <x:c r="F14" s="68" t="str">
        <x:v>乙克戊天干路径识别</x:v>
      </x:c>
      <x:c r="G14" s="82" t="str">
        <x:v>识别层</x:v>
      </x:c>
      <x:c r="H14" s="82" t="str">
        <x:v>天干相克</x:v>
      </x:c>
      <x:c r="I14" s="68" t="str">
        <x:v>乙、戊</x:v>
      </x:c>
      <x:c r="J14" s="82" t="str">
        <x:v>其他</x:v>
      </x:c>
      <x:c r="K14" s="82" t="str">
        <x:v>完整</x:v>
      </x:c>
      <x:c r="L14" s="68" t="str">
        <x:v>关系存在不以月令为必要条件；月令只供后续判断实际效应或合化。</x:v>
      </x:c>
      <x:c r="M14" s="68" t="str">
        <x:v>参与干须在四柱天干明现；根气与透干强弱不作为关系存在的必要条件。</x:v>
      </x:c>
      <x:c r="N14" s="82"/>
      <x:c r="O14" s="68" t="str">
        <x:v>检查是否另有五合、相克、重复干或多重关系。</x:v>
      </x:c>
      <x:c r="P14" s="68" t="str">
        <x:v>四柱天干已按年、月、日、时标准化并保留柱位。</x:v>
      </x:c>
      <x:c r="Q14" s="68" t="str">
        <x:v>四柱天干中同时出现乙与戊；按五行关系，乙所属五行克戊所属五行。</x:v>
      </x:c>
      <x:c r="R14" s="68" t="str">
        <x:v>位置相邻、关系单一时，关系实例更清楚；仅作为后续效应判断信息。</x:v>
      </x:c>
      <x:c r="S14" s="68" t="str">
        <x:v>隔位、遥隔或多方重复时，结构更复杂，但不自动否定关系存在。</x:v>
      </x:c>
      <x:c r="T14" s="90" t="str">
        <x:v>天干缺少乙或戊；若任一方只藏支未透，不按本条登记天干相克实例。</x:v>
      </x:c>
      <x:c r="U14" s="68" t="str">
        <x:v>实际合绊、合化、制化与力量变化统一转M06判断。</x:v>
      </x:c>
      <x:c r="V14" s="68" t="str">
        <x:v>原局存在乙对戊的天干相克路径。</x:v>
      </x:c>
      <x:c r="W14" s="68" t="str">
        <x:v>不得直接推出戊必弱、乙必胜、作用已经落实或由此直接定吉凶喜忌。</x:v>
      </x:c>
      <x:c r="X14" s="82" t="str">
        <x:v>P0_硬约束</x:v>
      </x:c>
      <x:c r="Y14" s="82" t="str">
        <x:v>硬约束</x:v>
      </x:c>
      <x:c r="Z14" s="84" t="str">
        <x:v>乙克戊识别</x:v>
      </x:c>
      <x:c r="AA14" s="84" t="str">
        <x:v>天干见乙与戊，登记“乙克戊”的有向相克关系；实际制约程度须结合柱位、旺衰及其他作用转M06判断。</x:v>
      </x:c>
      <x:c r="AB14" s="82" t="str">
        <x:v>确定</x:v>
      </x:c>
      <x:c r="AC14" s="82" t="str">
        <x:v>跨流派共识</x:v>
      </x:c>
      <x:c r="AD14" s="68" t="str">
        <x:v>天干相克按五行克制方向展开为有向关系；阴阳同异只影响后续十神与作用细节，不改变五行相克方向。</x:v>
      </x:c>
      <x:c r="AE14" s="68" t="str">
        <x:v>月干为乙、日干为戊，登记乙克戊。</x:v>
      </x:c>
      <x:c r="AF14" s="90" t="str">
        <x:v>仅见戊而不见乙，不能登记乙克戊。</x:v>
      </x:c>
      <x:c r="AG14" s="68" t="str">
        <x:v>https://zh.wikisource.org/wiki/淵海子平；https://zh.wikisource.org/zh-hans/三命通會_(四庫全書本)</x:v>
      </x:c>
      <x:c r="AH14" s="82" t="str">
        <x:v>采用</x:v>
      </x:c>
      <x:c r="AI14" s="82" t="str">
        <x:v>初审</x:v>
      </x:c>
      <x:c r="AJ14" s="87" t="n">
        <x:v>46255</x:v>
      </x:c>
    </x:row>
    <x:row r="15">
      <x:c r="A15" s="72" t="str">
        <x:f>IF(OR(C15="",D15=""),"",B15&amp;"-"&amp;UPPER(C15)&amp;"-"&amp;TEXT(D15,"0000")&amp;"-"&amp;E15)</x:f>
        <x:v>M04-KE-0009-V1.0</x:v>
      </x:c>
      <x:c r="B15" s="74" t="str">
        <x:v>M04</x:v>
      </x:c>
      <x:c r="C15" s="74" t="str">
        <x:v>KE</x:v>
      </x:c>
      <x:c r="D15" s="79" t="n">
        <x:v>9</x:v>
      </x:c>
      <x:c r="E15" s="74" t="str">
        <x:v>V1.0</x:v>
      </x:c>
      <x:c r="F15" s="68" t="str">
        <x:v>乙克己天干路径识别</x:v>
      </x:c>
      <x:c r="G15" s="82" t="str">
        <x:v>识别层</x:v>
      </x:c>
      <x:c r="H15" s="82" t="str">
        <x:v>天干相克</x:v>
      </x:c>
      <x:c r="I15" s="68" t="str">
        <x:v>乙、己</x:v>
      </x:c>
      <x:c r="J15" s="82" t="str">
        <x:v>其他</x:v>
      </x:c>
      <x:c r="K15" s="82" t="str">
        <x:v>完整</x:v>
      </x:c>
      <x:c r="L15" s="68" t="str">
        <x:v>关系存在不以月令为必要条件；月令只供后续判断实际效应或合化。</x:v>
      </x:c>
      <x:c r="M15" s="68" t="str">
        <x:v>参与干须在四柱天干明现；根气与透干强弱不作为关系存在的必要条件。</x:v>
      </x:c>
      <x:c r="N15" s="82"/>
      <x:c r="O15" s="68" t="str">
        <x:v>检查是否另有五合、相克、重复干或多重关系。</x:v>
      </x:c>
      <x:c r="P15" s="68" t="str">
        <x:v>四柱天干已按年、月、日、时标准化并保留柱位。</x:v>
      </x:c>
      <x:c r="Q15" s="68" t="str">
        <x:v>四柱天干中同时出现乙与己；按五行关系，乙所属五行克己所属五行。</x:v>
      </x:c>
      <x:c r="R15" s="68" t="str">
        <x:v>位置相邻、关系单一时，关系实例更清楚；仅作为后续效应判断信息。</x:v>
      </x:c>
      <x:c r="S15" s="68" t="str">
        <x:v>隔位、遥隔或多方重复时，结构更复杂，但不自动否定关系存在。</x:v>
      </x:c>
      <x:c r="T15" s="90" t="str">
        <x:v>天干缺少乙或己；若任一方只藏支未透，不按本条登记天干相克实例。</x:v>
      </x:c>
      <x:c r="U15" s="68" t="str">
        <x:v>实际合绊、合化、制化与力量变化统一转M06判断。</x:v>
      </x:c>
      <x:c r="V15" s="68" t="str">
        <x:v>原局存在乙对己的天干相克路径。</x:v>
      </x:c>
      <x:c r="W15" s="68" t="str">
        <x:v>不得直接推出己必弱、乙必胜、作用已经落实或由此直接定吉凶喜忌。</x:v>
      </x:c>
      <x:c r="X15" s="82" t="str">
        <x:v>P0_硬约束</x:v>
      </x:c>
      <x:c r="Y15" s="82" t="str">
        <x:v>硬约束</x:v>
      </x:c>
      <x:c r="Z15" s="84" t="str">
        <x:v>乙克己识别</x:v>
      </x:c>
      <x:c r="AA15" s="84" t="str">
        <x:v>天干见乙与己，登记“乙克己”的有向相克关系；实际制约程度须结合柱位、旺衰及其他作用转M06判断。</x:v>
      </x:c>
      <x:c r="AB15" s="82" t="str">
        <x:v>确定</x:v>
      </x:c>
      <x:c r="AC15" s="82" t="str">
        <x:v>跨流派共识</x:v>
      </x:c>
      <x:c r="AD15" s="68" t="str">
        <x:v>天干相克按五行克制方向展开为有向关系；阴阳同异只影响后续十神与作用细节，不改变五行相克方向。</x:v>
      </x:c>
      <x:c r="AE15" s="68" t="str">
        <x:v>月干为乙、日干为己，登记乙克己。</x:v>
      </x:c>
      <x:c r="AF15" s="90" t="str">
        <x:v>仅见己而不见乙，不能登记乙克己。</x:v>
      </x:c>
      <x:c r="AG15" s="68" t="str">
        <x:v>https://zh.wikisource.org/wiki/淵海子平；https://zh.wikisource.org/zh-hans/三命通會_(四庫全書本)</x:v>
      </x:c>
      <x:c r="AH15" s="82" t="str">
        <x:v>采用</x:v>
      </x:c>
      <x:c r="AI15" s="82" t="str">
        <x:v>初审</x:v>
      </x:c>
      <x:c r="AJ15" s="87" t="n">
        <x:v>46255</x:v>
      </x:c>
    </x:row>
    <x:row r="16">
      <x:c r="A16" s="72" t="str">
        <x:f>IF(OR(C16="",D16=""),"",B16&amp;"-"&amp;UPPER(C16)&amp;"-"&amp;TEXT(D16,"0000")&amp;"-"&amp;E16)</x:f>
        <x:v>M04-KE-0010-V1.0</x:v>
      </x:c>
      <x:c r="B16" s="74" t="str">
        <x:v>M04</x:v>
      </x:c>
      <x:c r="C16" s="74" t="str">
        <x:v>KE</x:v>
      </x:c>
      <x:c r="D16" s="79" t="n">
        <x:v>10</x:v>
      </x:c>
      <x:c r="E16" s="74" t="str">
        <x:v>V1.0</x:v>
      </x:c>
      <x:c r="F16" s="68" t="str">
        <x:v>丙克庚天干路径识别</x:v>
      </x:c>
      <x:c r="G16" s="82" t="str">
        <x:v>识别层</x:v>
      </x:c>
      <x:c r="H16" s="82" t="str">
        <x:v>天干相克</x:v>
      </x:c>
      <x:c r="I16" s="68" t="str">
        <x:v>丙、庚</x:v>
      </x:c>
      <x:c r="J16" s="82" t="str">
        <x:v>其他</x:v>
      </x:c>
      <x:c r="K16" s="82" t="str">
        <x:v>完整</x:v>
      </x:c>
      <x:c r="L16" s="68" t="str">
        <x:v>关系存在不以月令为必要条件；月令只供后续判断实际效应或合化。</x:v>
      </x:c>
      <x:c r="M16" s="68" t="str">
        <x:v>参与干须在四柱天干明现；根气与透干强弱不作为关系存在的必要条件。</x:v>
      </x:c>
      <x:c r="N16" s="82"/>
      <x:c r="O16" s="68" t="str">
        <x:v>检查是否另有五合、相克、重复干或多重关系。</x:v>
      </x:c>
      <x:c r="P16" s="68" t="str">
        <x:v>四柱天干已按年、月、日、时标准化并保留柱位。</x:v>
      </x:c>
      <x:c r="Q16" s="68" t="str">
        <x:v>四柱天干中同时出现丙与庚；按五行关系，丙所属五行克庚所属五行。</x:v>
      </x:c>
      <x:c r="R16" s="68" t="str">
        <x:v>位置相邻、关系单一时，关系实例更清楚；仅作为后续效应判断信息。</x:v>
      </x:c>
      <x:c r="S16" s="68" t="str">
        <x:v>隔位、遥隔或多方重复时，结构更复杂，但不自动否定关系存在。</x:v>
      </x:c>
      <x:c r="T16" s="90" t="str">
        <x:v>天干缺少丙或庚；若任一方只藏支未透，不按本条登记天干相克实例。</x:v>
      </x:c>
      <x:c r="U16" s="68" t="str">
        <x:v>实际合绊、合化、制化与力量变化统一转M06判断。</x:v>
      </x:c>
      <x:c r="V16" s="68" t="str">
        <x:v>原局存在丙对庚的天干相克路径。</x:v>
      </x:c>
      <x:c r="W16" s="68" t="str">
        <x:v>不得直接推出庚必弱、丙必胜、作用已经落实或由此直接定吉凶喜忌。</x:v>
      </x:c>
      <x:c r="X16" s="82" t="str">
        <x:v>P0_硬约束</x:v>
      </x:c>
      <x:c r="Y16" s="82" t="str">
        <x:v>硬约束</x:v>
      </x:c>
      <x:c r="Z16" s="84" t="str">
        <x:v>丙克庚识别</x:v>
      </x:c>
      <x:c r="AA16" s="84" t="str">
        <x:v>天干见丙与庚，登记“丙克庚”的有向相克关系；实际制约程度须结合柱位、旺衰及其他作用转M06判断。</x:v>
      </x:c>
      <x:c r="AB16" s="82" t="str">
        <x:v>确定</x:v>
      </x:c>
      <x:c r="AC16" s="82" t="str">
        <x:v>跨流派共识</x:v>
      </x:c>
      <x:c r="AD16" s="68" t="str">
        <x:v>天干相克按五行克制方向展开为有向关系；阴阳同异只影响后续十神与作用细节，不改变五行相克方向。</x:v>
      </x:c>
      <x:c r="AE16" s="68" t="str">
        <x:v>月干为丙、日干为庚，登记丙克庚。</x:v>
      </x:c>
      <x:c r="AF16" s="90" t="str">
        <x:v>仅见庚而不见丙，不能登记丙克庚。</x:v>
      </x:c>
      <x:c r="AG16" s="68" t="str">
        <x:v>https://zh.wikisource.org/wiki/淵海子平；https://zh.wikisource.org/zh-hans/三命通會_(四庫全書本)</x:v>
      </x:c>
      <x:c r="AH16" s="82" t="str">
        <x:v>采用</x:v>
      </x:c>
      <x:c r="AI16" s="82" t="str">
        <x:v>初审</x:v>
      </x:c>
      <x:c r="AJ16" s="87" t="n">
        <x:v>46255</x:v>
      </x:c>
    </x:row>
    <x:row r="17">
      <x:c r="A17" s="72" t="str">
        <x:f>IF(OR(C17="",D17=""),"",B17&amp;"-"&amp;UPPER(C17)&amp;"-"&amp;TEXT(D17,"0000")&amp;"-"&amp;E17)</x:f>
        <x:v>M04-KE-0011-V1.0</x:v>
      </x:c>
      <x:c r="B17" s="74" t="str">
        <x:v>M04</x:v>
      </x:c>
      <x:c r="C17" s="74" t="str">
        <x:v>KE</x:v>
      </x:c>
      <x:c r="D17" s="79" t="n">
        <x:v>11</x:v>
      </x:c>
      <x:c r="E17" s="74" t="str">
        <x:v>V1.0</x:v>
      </x:c>
      <x:c r="F17" s="68" t="str">
        <x:v>丙克辛天干路径识别</x:v>
      </x:c>
      <x:c r="G17" s="82" t="str">
        <x:v>识别层</x:v>
      </x:c>
      <x:c r="H17" s="82" t="str">
        <x:v>天干相克</x:v>
      </x:c>
      <x:c r="I17" s="68" t="str">
        <x:v>丙、辛</x:v>
      </x:c>
      <x:c r="J17" s="82" t="str">
        <x:v>其他</x:v>
      </x:c>
      <x:c r="K17" s="82" t="str">
        <x:v>完整</x:v>
      </x:c>
      <x:c r="L17" s="68" t="str">
        <x:v>关系存在不以月令为必要条件；月令只供后续判断实际效应或合化。</x:v>
      </x:c>
      <x:c r="M17" s="68" t="str">
        <x:v>参与干须在四柱天干明现；根气与透干强弱不作为关系存在的必要条件。</x:v>
      </x:c>
      <x:c r="N17" s="82"/>
      <x:c r="O17" s="68" t="str">
        <x:v>检查是否另有五合、相克、重复干或多重关系。</x:v>
      </x:c>
      <x:c r="P17" s="68" t="str">
        <x:v>四柱天干已按年、月、日、时标准化并保留柱位。</x:v>
      </x:c>
      <x:c r="Q17" s="68" t="str">
        <x:v>四柱天干中同时出现丙与辛；按五行关系，丙所属五行克辛所属五行。</x:v>
      </x:c>
      <x:c r="R17" s="68" t="str">
        <x:v>位置相邻、关系单一时，关系实例更清楚；仅作为后续效应判断信息。</x:v>
      </x:c>
      <x:c r="S17" s="68" t="str">
        <x:v>隔位、遥隔或多方重复时，结构更复杂，但不自动否定关系存在。</x:v>
      </x:c>
      <x:c r="T17" s="90" t="str">
        <x:v>天干缺少丙或辛；若任一方只藏支未透，不按本条登记天干相克实例。</x:v>
      </x:c>
      <x:c r="U17" s="68" t="str">
        <x:v>实际合绊、合化、制化与力量变化统一转M06判断。</x:v>
      </x:c>
      <x:c r="V17" s="68" t="str">
        <x:v>原局存在丙对辛的天干相克路径。</x:v>
      </x:c>
      <x:c r="W17" s="68" t="str">
        <x:v>不得直接推出辛必弱、丙必胜、作用已经落实或由此直接定吉凶喜忌。</x:v>
      </x:c>
      <x:c r="X17" s="82" t="str">
        <x:v>P0_硬约束</x:v>
      </x:c>
      <x:c r="Y17" s="82" t="str">
        <x:v>硬约束</x:v>
      </x:c>
      <x:c r="Z17" s="84" t="str">
        <x:v>丙克辛识别</x:v>
      </x:c>
      <x:c r="AA17" s="84" t="str">
        <x:v>天干见丙与辛，登记“丙克辛”的有向相克关系；实际制约程度须结合柱位、旺衰及其他作用转M06判断。</x:v>
      </x:c>
      <x:c r="AB17" s="82" t="str">
        <x:v>确定</x:v>
      </x:c>
      <x:c r="AC17" s="82" t="str">
        <x:v>跨流派共识</x:v>
      </x:c>
      <x:c r="AD17" s="68" t="str">
        <x:v>天干相克按五行克制方向展开为有向关系；阴阳同异只影响后续十神与作用细节，不改变五行相克方向。</x:v>
      </x:c>
      <x:c r="AE17" s="68" t="str">
        <x:v>月干为丙、日干为辛，登记丙克辛。</x:v>
      </x:c>
      <x:c r="AF17" s="90" t="str">
        <x:v>仅见辛而不见丙，不能登记丙克辛。</x:v>
      </x:c>
      <x:c r="AG17" s="68" t="str">
        <x:v>https://zh.wikisource.org/wiki/淵海子平；https://zh.wikisource.org/zh-hans/三命通會_(四庫全書本)</x:v>
      </x:c>
      <x:c r="AH17" s="82" t="str">
        <x:v>采用</x:v>
      </x:c>
      <x:c r="AI17" s="82" t="str">
        <x:v>初审</x:v>
      </x:c>
      <x:c r="AJ17" s="87" t="n">
        <x:v>46255</x:v>
      </x:c>
    </x:row>
    <x:row r="18">
      <x:c r="A18" s="72" t="str">
        <x:f>IF(OR(C18="",D18=""),"",B18&amp;"-"&amp;UPPER(C18)&amp;"-"&amp;TEXT(D18,"0000")&amp;"-"&amp;E18)</x:f>
        <x:v>M04-KE-0012-V1.0</x:v>
      </x:c>
      <x:c r="B18" s="74" t="str">
        <x:v>M04</x:v>
      </x:c>
      <x:c r="C18" s="74" t="str">
        <x:v>KE</x:v>
      </x:c>
      <x:c r="D18" s="79" t="n">
        <x:v>12</x:v>
      </x:c>
      <x:c r="E18" s="74" t="str">
        <x:v>V1.0</x:v>
      </x:c>
      <x:c r="F18" s="68" t="str">
        <x:v>丁克庚天干路径识别</x:v>
      </x:c>
      <x:c r="G18" s="82" t="str">
        <x:v>识别层</x:v>
      </x:c>
      <x:c r="H18" s="82" t="str">
        <x:v>天干相克</x:v>
      </x:c>
      <x:c r="I18" s="68" t="str">
        <x:v>丁、庚</x:v>
      </x:c>
      <x:c r="J18" s="82" t="str">
        <x:v>其他</x:v>
      </x:c>
      <x:c r="K18" s="82" t="str">
        <x:v>完整</x:v>
      </x:c>
      <x:c r="L18" s="68" t="str">
        <x:v>关系存在不以月令为必要条件；月令只供后续判断实际效应或合化。</x:v>
      </x:c>
      <x:c r="M18" s="68" t="str">
        <x:v>参与干须在四柱天干明现；根气与透干强弱不作为关系存在的必要条件。</x:v>
      </x:c>
      <x:c r="N18" s="82"/>
      <x:c r="O18" s="68" t="str">
        <x:v>检查是否另有五合、相克、重复干或多重关系。</x:v>
      </x:c>
      <x:c r="P18" s="68" t="str">
        <x:v>四柱天干已按年、月、日、时标准化并保留柱位。</x:v>
      </x:c>
      <x:c r="Q18" s="68" t="str">
        <x:v>四柱天干中同时出现丁与庚；按五行关系，丁所属五行克庚所属五行。</x:v>
      </x:c>
      <x:c r="R18" s="68" t="str">
        <x:v>位置相邻、关系单一时，关系实例更清楚；仅作为后续效应判断信息。</x:v>
      </x:c>
      <x:c r="S18" s="68" t="str">
        <x:v>隔位、遥隔或多方重复时，结构更复杂，但不自动否定关系存在。</x:v>
      </x:c>
      <x:c r="T18" s="90" t="str">
        <x:v>天干缺少丁或庚；若任一方只藏支未透，不按本条登记天干相克实例。</x:v>
      </x:c>
      <x:c r="U18" s="68" t="str">
        <x:v>实际合绊、合化、制化与力量变化统一转M06判断。</x:v>
      </x:c>
      <x:c r="V18" s="68" t="str">
        <x:v>原局存在丁对庚的天干相克路径。</x:v>
      </x:c>
      <x:c r="W18" s="68" t="str">
        <x:v>不得直接推出庚必弱、丁必胜、作用已经落实或由此直接定吉凶喜忌。</x:v>
      </x:c>
      <x:c r="X18" s="82" t="str">
        <x:v>P0_硬约束</x:v>
      </x:c>
      <x:c r="Y18" s="82" t="str">
        <x:v>硬约束</x:v>
      </x:c>
      <x:c r="Z18" s="84" t="str">
        <x:v>丁克庚识别</x:v>
      </x:c>
      <x:c r="AA18" s="84" t="str">
        <x:v>天干见丁与庚，登记“丁克庚”的有向相克关系；实际制约程度须结合柱位、旺衰及其他作用转M06判断。</x:v>
      </x:c>
      <x:c r="AB18" s="82" t="str">
        <x:v>确定</x:v>
      </x:c>
      <x:c r="AC18" s="82" t="str">
        <x:v>跨流派共识</x:v>
      </x:c>
      <x:c r="AD18" s="68" t="str">
        <x:v>天干相克按五行克制方向展开为有向关系；阴阳同异只影响后续十神与作用细节，不改变五行相克方向。</x:v>
      </x:c>
      <x:c r="AE18" s="68" t="str">
        <x:v>月干为丁、日干为庚，登记丁克庚。</x:v>
      </x:c>
      <x:c r="AF18" s="90" t="str">
        <x:v>仅见庚而不见丁，不能登记丁克庚。</x:v>
      </x:c>
      <x:c r="AG18" s="68" t="str">
        <x:v>https://zh.wikisource.org/wiki/淵海子平；https://zh.wikisource.org/zh-hans/三命通會_(四庫全書本)</x:v>
      </x:c>
      <x:c r="AH18" s="82" t="str">
        <x:v>采用</x:v>
      </x:c>
      <x:c r="AI18" s="82" t="str">
        <x:v>初审</x:v>
      </x:c>
      <x:c r="AJ18" s="87" t="n">
        <x:v>46255</x:v>
      </x:c>
    </x:row>
    <x:row r="19">
      <x:c r="A19" s="72" t="str">
        <x:f>IF(OR(C19="",D19=""),"",B19&amp;"-"&amp;UPPER(C19)&amp;"-"&amp;TEXT(D19,"0000")&amp;"-"&amp;E19)</x:f>
        <x:v>M04-KE-0013-V1.0</x:v>
      </x:c>
      <x:c r="B19" s="74" t="str">
        <x:v>M04</x:v>
      </x:c>
      <x:c r="C19" s="74" t="str">
        <x:v>KE</x:v>
      </x:c>
      <x:c r="D19" s="79" t="n">
        <x:v>13</x:v>
      </x:c>
      <x:c r="E19" s="74" t="str">
        <x:v>V1.0</x:v>
      </x:c>
      <x:c r="F19" s="68" t="str">
        <x:v>丁克辛天干路径识别</x:v>
      </x:c>
      <x:c r="G19" s="82" t="str">
        <x:v>识别层</x:v>
      </x:c>
      <x:c r="H19" s="82" t="str">
        <x:v>天干相克</x:v>
      </x:c>
      <x:c r="I19" s="68" t="str">
        <x:v>丁、辛</x:v>
      </x:c>
      <x:c r="J19" s="82" t="str">
        <x:v>其他</x:v>
      </x:c>
      <x:c r="K19" s="82" t="str">
        <x:v>完整</x:v>
      </x:c>
      <x:c r="L19" s="68" t="str">
        <x:v>关系存在不以月令为必要条件；月令只供后续判断实际效应或合化。</x:v>
      </x:c>
      <x:c r="M19" s="68" t="str">
        <x:v>参与干须在四柱天干明现；根气与透干强弱不作为关系存在的必要条件。</x:v>
      </x:c>
      <x:c r="N19" s="82"/>
      <x:c r="O19" s="68" t="str">
        <x:v>检查是否另有五合、相克、重复干或多重关系。</x:v>
      </x:c>
      <x:c r="P19" s="68" t="str">
        <x:v>四柱天干已按年、月、日、时标准化并保留柱位。</x:v>
      </x:c>
      <x:c r="Q19" s="68" t="str">
        <x:v>四柱天干中同时出现丁与辛；按五行关系，丁所属五行克辛所属五行。</x:v>
      </x:c>
      <x:c r="R19" s="68" t="str">
        <x:v>位置相邻、关系单一时，关系实例更清楚；仅作为后续效应判断信息。</x:v>
      </x:c>
      <x:c r="S19" s="68" t="str">
        <x:v>隔位、遥隔或多方重复时，结构更复杂，但不自动否定关系存在。</x:v>
      </x:c>
      <x:c r="T19" s="90" t="str">
        <x:v>天干缺少丁或辛；若任一方只藏支未透，不按本条登记天干相克实例。</x:v>
      </x:c>
      <x:c r="U19" s="68" t="str">
        <x:v>实际合绊、合化、制化与力量变化统一转M06判断。</x:v>
      </x:c>
      <x:c r="V19" s="68" t="str">
        <x:v>原局存在丁对辛的天干相克路径。</x:v>
      </x:c>
      <x:c r="W19" s="68" t="str">
        <x:v>不得直接推出辛必弱、丁必胜、作用已经落实或由此直接定吉凶喜忌。</x:v>
      </x:c>
      <x:c r="X19" s="82" t="str">
        <x:v>P0_硬约束</x:v>
      </x:c>
      <x:c r="Y19" s="82" t="str">
        <x:v>硬约束</x:v>
      </x:c>
      <x:c r="Z19" s="84" t="str">
        <x:v>丁克辛识别</x:v>
      </x:c>
      <x:c r="AA19" s="84" t="str">
        <x:v>天干见丁与辛，登记“丁克辛”的有向相克关系；实际制约程度须结合柱位、旺衰及其他作用转M06判断。</x:v>
      </x:c>
      <x:c r="AB19" s="82" t="str">
        <x:v>确定</x:v>
      </x:c>
      <x:c r="AC19" s="82" t="str">
        <x:v>跨流派共识</x:v>
      </x:c>
      <x:c r="AD19" s="68" t="str">
        <x:v>天干相克按五行克制方向展开为有向关系；阴阳同异只影响后续十神与作用细节，不改变五行相克方向。</x:v>
      </x:c>
      <x:c r="AE19" s="68" t="str">
        <x:v>月干为丁、日干为辛，登记丁克辛。</x:v>
      </x:c>
      <x:c r="AF19" s="90" t="str">
        <x:v>仅见辛而不见丁，不能登记丁克辛。</x:v>
      </x:c>
      <x:c r="AG19" s="68" t="str">
        <x:v>https://zh.wikisource.org/wiki/淵海子平；https://zh.wikisource.org/zh-hans/三命通會_(四庫全書本)</x:v>
      </x:c>
      <x:c r="AH19" s="82" t="str">
        <x:v>采用</x:v>
      </x:c>
      <x:c r="AI19" s="82" t="str">
        <x:v>初审</x:v>
      </x:c>
      <x:c r="AJ19" s="87" t="n">
        <x:v>46255</x:v>
      </x:c>
    </x:row>
    <x:row r="20">
      <x:c r="A20" s="72" t="str">
        <x:f>IF(OR(C20="",D20=""),"",B20&amp;"-"&amp;UPPER(C20)&amp;"-"&amp;TEXT(D20,"0000")&amp;"-"&amp;E20)</x:f>
        <x:v>M04-KE-0014-V1.0</x:v>
      </x:c>
      <x:c r="B20" s="74" t="str">
        <x:v>M04</x:v>
      </x:c>
      <x:c r="C20" s="74" t="str">
        <x:v>KE</x:v>
      </x:c>
      <x:c r="D20" s="79" t="n">
        <x:v>14</x:v>
      </x:c>
      <x:c r="E20" s="74" t="str">
        <x:v>V1.0</x:v>
      </x:c>
      <x:c r="F20" s="68" t="str">
        <x:v>戊克壬天干路径识别</x:v>
      </x:c>
      <x:c r="G20" s="82" t="str">
        <x:v>识别层</x:v>
      </x:c>
      <x:c r="H20" s="82" t="str">
        <x:v>天干相克</x:v>
      </x:c>
      <x:c r="I20" s="68" t="str">
        <x:v>戊、壬</x:v>
      </x:c>
      <x:c r="J20" s="82" t="str">
        <x:v>其他</x:v>
      </x:c>
      <x:c r="K20" s="82" t="str">
        <x:v>完整</x:v>
      </x:c>
      <x:c r="L20" s="68" t="str">
        <x:v>关系存在不以月令为必要条件；月令只供后续判断实际效应或合化。</x:v>
      </x:c>
      <x:c r="M20" s="68" t="str">
        <x:v>参与干须在四柱天干明现；根气与透干强弱不作为关系存在的必要条件。</x:v>
      </x:c>
      <x:c r="N20" s="82"/>
      <x:c r="O20" s="68" t="str">
        <x:v>检查是否另有五合、相克、重复干或多重关系。</x:v>
      </x:c>
      <x:c r="P20" s="68" t="str">
        <x:v>四柱天干已按年、月、日、时标准化并保留柱位。</x:v>
      </x:c>
      <x:c r="Q20" s="68" t="str">
        <x:v>四柱天干中同时出现戊与壬；按五行关系，戊所属五行克壬所属五行。</x:v>
      </x:c>
      <x:c r="R20" s="68" t="str">
        <x:v>位置相邻、关系单一时，关系实例更清楚；仅作为后续效应判断信息。</x:v>
      </x:c>
      <x:c r="S20" s="68" t="str">
        <x:v>隔位、遥隔或多方重复时，结构更复杂，但不自动否定关系存在。</x:v>
      </x:c>
      <x:c r="T20" s="90" t="str">
        <x:v>天干缺少戊或壬；若任一方只藏支未透，不按本条登记天干相克实例。</x:v>
      </x:c>
      <x:c r="U20" s="68" t="str">
        <x:v>实际合绊、合化、制化与力量变化统一转M06判断。</x:v>
      </x:c>
      <x:c r="V20" s="68" t="str">
        <x:v>原局存在戊对壬的天干相克路径。</x:v>
      </x:c>
      <x:c r="W20" s="68" t="str">
        <x:v>不得直接推出壬必弱、戊必胜、作用已经落实或由此直接定吉凶喜忌。</x:v>
      </x:c>
      <x:c r="X20" s="82" t="str">
        <x:v>P0_硬约束</x:v>
      </x:c>
      <x:c r="Y20" s="82" t="str">
        <x:v>硬约束</x:v>
      </x:c>
      <x:c r="Z20" s="84" t="str">
        <x:v>戊克壬识别</x:v>
      </x:c>
      <x:c r="AA20" s="84" t="str">
        <x:v>天干见戊与壬，登记“戊克壬”的有向相克关系；实际制约程度须结合柱位、旺衰及其他作用转M06判断。</x:v>
      </x:c>
      <x:c r="AB20" s="82" t="str">
        <x:v>确定</x:v>
      </x:c>
      <x:c r="AC20" s="82" t="str">
        <x:v>跨流派共识</x:v>
      </x:c>
      <x:c r="AD20" s="68" t="str">
        <x:v>天干相克按五行克制方向展开为有向关系；阴阳同异只影响后续十神与作用细节，不改变五行相克方向。</x:v>
      </x:c>
      <x:c r="AE20" s="68" t="str">
        <x:v>月干为戊、日干为壬，登记戊克壬。</x:v>
      </x:c>
      <x:c r="AF20" s="90" t="str">
        <x:v>仅见壬而不见戊，不能登记戊克壬。</x:v>
      </x:c>
      <x:c r="AG20" s="68" t="str">
        <x:v>https://zh.wikisource.org/wiki/淵海子平；https://zh.wikisource.org/zh-hans/三命通會_(四庫全書本)</x:v>
      </x:c>
      <x:c r="AH20" s="82" t="str">
        <x:v>采用</x:v>
      </x:c>
      <x:c r="AI20" s="82" t="str">
        <x:v>初审</x:v>
      </x:c>
      <x:c r="AJ20" s="87" t="n">
        <x:v>46255</x:v>
      </x:c>
    </x:row>
    <x:row r="21">
      <x:c r="A21" s="72" t="str">
        <x:f>IF(OR(C21="",D21=""),"",B21&amp;"-"&amp;UPPER(C21)&amp;"-"&amp;TEXT(D21,"0000")&amp;"-"&amp;E21)</x:f>
        <x:v>M04-KE-0015-V1.0</x:v>
      </x:c>
      <x:c r="B21" s="74" t="str">
        <x:v>M04</x:v>
      </x:c>
      <x:c r="C21" s="74" t="str">
        <x:v>KE</x:v>
      </x:c>
      <x:c r="D21" s="79" t="n">
        <x:v>15</x:v>
      </x:c>
      <x:c r="E21" s="74" t="str">
        <x:v>V1.0</x:v>
      </x:c>
      <x:c r="F21" s="68" t="str">
        <x:v>戊克癸天干路径识别</x:v>
      </x:c>
      <x:c r="G21" s="82" t="str">
        <x:v>识别层</x:v>
      </x:c>
      <x:c r="H21" s="82" t="str">
        <x:v>天干相克</x:v>
      </x:c>
      <x:c r="I21" s="68" t="str">
        <x:v>戊、癸</x:v>
      </x:c>
      <x:c r="J21" s="82" t="str">
        <x:v>其他</x:v>
      </x:c>
      <x:c r="K21" s="82" t="str">
        <x:v>完整</x:v>
      </x:c>
      <x:c r="L21" s="68" t="str">
        <x:v>关系存在不以月令为必要条件；月令只供后续判断实际效应或合化。</x:v>
      </x:c>
      <x:c r="M21" s="68" t="str">
        <x:v>参与干须在四柱天干明现；根气与透干强弱不作为关系存在的必要条件。</x:v>
      </x:c>
      <x:c r="N21" s="82"/>
      <x:c r="O21" s="68" t="str">
        <x:v>检查是否另有五合、相克、重复干或多重关系。</x:v>
      </x:c>
      <x:c r="P21" s="68" t="str">
        <x:v>四柱天干已按年、月、日、时标准化并保留柱位。</x:v>
      </x:c>
      <x:c r="Q21" s="68" t="str">
        <x:v>四柱天干中同时出现戊与癸；按五行关系，戊所属五行克癸所属五行。</x:v>
      </x:c>
      <x:c r="R21" s="68" t="str">
        <x:v>位置相邻、关系单一时，关系实例更清楚；仅作为后续效应判断信息。</x:v>
      </x:c>
      <x:c r="S21" s="68" t="str">
        <x:v>隔位、遥隔或多方重复时，结构更复杂，但不自动否定关系存在。</x:v>
      </x:c>
      <x:c r="T21" s="90" t="str">
        <x:v>天干缺少戊或癸；若任一方只藏支未透，不按本条登记天干相克实例。</x:v>
      </x:c>
      <x:c r="U21" s="68" t="str">
        <x:v>实际合绊、合化、制化与力量变化统一转M06判断。</x:v>
      </x:c>
      <x:c r="V21" s="68" t="str">
        <x:v>原局存在戊对癸的天干相克路径。</x:v>
      </x:c>
      <x:c r="W21" s="68" t="str">
        <x:v>不得直接推出癸必弱、戊必胜、作用已经落实或由此直接定吉凶喜忌。</x:v>
      </x:c>
      <x:c r="X21" s="82" t="str">
        <x:v>P0_硬约束</x:v>
      </x:c>
      <x:c r="Y21" s="82" t="str">
        <x:v>硬约束</x:v>
      </x:c>
      <x:c r="Z21" s="84" t="str">
        <x:v>戊克癸识别</x:v>
      </x:c>
      <x:c r="AA21" s="84" t="str">
        <x:v>天干见戊与癸，登记“戊克癸”的有向相克关系；实际制约程度须结合柱位、旺衰及其他作用转M06判断。</x:v>
      </x:c>
      <x:c r="AB21" s="82" t="str">
        <x:v>确定</x:v>
      </x:c>
      <x:c r="AC21" s="82" t="str">
        <x:v>跨流派共识</x:v>
      </x:c>
      <x:c r="AD21" s="68" t="str">
        <x:v>天干相克按五行克制方向展开为有向关系；阴阳同异只影响后续十神与作用细节，不改变五行相克方向。</x:v>
      </x:c>
      <x:c r="AE21" s="68" t="str">
        <x:v>月干为戊、日干为癸，登记戊克癸。</x:v>
      </x:c>
      <x:c r="AF21" s="90" t="str">
        <x:v>仅见癸而不见戊，不能登记戊克癸。</x:v>
      </x:c>
      <x:c r="AG21" s="68" t="str">
        <x:v>https://zh.wikisource.org/wiki/淵海子平；https://zh.wikisource.org/zh-hans/三命通會_(四庫全書本)</x:v>
      </x:c>
      <x:c r="AH21" s="82" t="str">
        <x:v>采用</x:v>
      </x:c>
      <x:c r="AI21" s="82" t="str">
        <x:v>初审</x:v>
      </x:c>
      <x:c r="AJ21" s="87" t="n">
        <x:v>46255</x:v>
      </x:c>
    </x:row>
    <x:row r="22">
      <x:c r="A22" s="72" t="str">
        <x:f>IF(OR(C22="",D22=""),"",B22&amp;"-"&amp;UPPER(C22)&amp;"-"&amp;TEXT(D22,"0000")&amp;"-"&amp;E22)</x:f>
        <x:v>M04-KE-0016-V1.0</x:v>
      </x:c>
      <x:c r="B22" s="74" t="str">
        <x:v>M04</x:v>
      </x:c>
      <x:c r="C22" s="74" t="str">
        <x:v>KE</x:v>
      </x:c>
      <x:c r="D22" s="79" t="n">
        <x:v>16</x:v>
      </x:c>
      <x:c r="E22" s="74" t="str">
        <x:v>V1.0</x:v>
      </x:c>
      <x:c r="F22" s="68" t="str">
        <x:v>己克壬天干路径识别</x:v>
      </x:c>
      <x:c r="G22" s="82" t="str">
        <x:v>识别层</x:v>
      </x:c>
      <x:c r="H22" s="82" t="str">
        <x:v>天干相克</x:v>
      </x:c>
      <x:c r="I22" s="68" t="str">
        <x:v>己、壬</x:v>
      </x:c>
      <x:c r="J22" s="82" t="str">
        <x:v>其他</x:v>
      </x:c>
      <x:c r="K22" s="82" t="str">
        <x:v>完整</x:v>
      </x:c>
      <x:c r="L22" s="68" t="str">
        <x:v>关系存在不以月令为必要条件；月令只供后续判断实际效应或合化。</x:v>
      </x:c>
      <x:c r="M22" s="68" t="str">
        <x:v>参与干须在四柱天干明现；根气与透干强弱不作为关系存在的必要条件。</x:v>
      </x:c>
      <x:c r="N22" s="82"/>
      <x:c r="O22" s="68" t="str">
        <x:v>检查是否另有五合、相克、重复干或多重关系。</x:v>
      </x:c>
      <x:c r="P22" s="68" t="str">
        <x:v>四柱天干已按年、月、日、时标准化并保留柱位。</x:v>
      </x:c>
      <x:c r="Q22" s="68" t="str">
        <x:v>四柱天干中同时出现己与壬；按五行关系，己所属五行克壬所属五行。</x:v>
      </x:c>
      <x:c r="R22" s="68" t="str">
        <x:v>位置相邻、关系单一时，关系实例更清楚；仅作为后续效应判断信息。</x:v>
      </x:c>
      <x:c r="S22" s="68" t="str">
        <x:v>隔位、遥隔或多方重复时，结构更复杂，但不自动否定关系存在。</x:v>
      </x:c>
      <x:c r="T22" s="90" t="str">
        <x:v>天干缺少己或壬；若任一方只藏支未透，不按本条登记天干相克实例。</x:v>
      </x:c>
      <x:c r="U22" s="68" t="str">
        <x:v>实际合绊、合化、制化与力量变化统一转M06判断。</x:v>
      </x:c>
      <x:c r="V22" s="68" t="str">
        <x:v>原局存在己对壬的天干相克路径。</x:v>
      </x:c>
      <x:c r="W22" s="68" t="str">
        <x:v>不得直接推出壬必弱、己必胜、作用已经落实或由此直接定吉凶喜忌。</x:v>
      </x:c>
      <x:c r="X22" s="82" t="str">
        <x:v>P0_硬约束</x:v>
      </x:c>
      <x:c r="Y22" s="82" t="str">
        <x:v>硬约束</x:v>
      </x:c>
      <x:c r="Z22" s="84" t="str">
        <x:v>己克壬识别</x:v>
      </x:c>
      <x:c r="AA22" s="84" t="str">
        <x:v>天干见己与壬，登记“己克壬”的有向相克关系；实际制约程度须结合柱位、旺衰及其他作用转M06判断。</x:v>
      </x:c>
      <x:c r="AB22" s="82" t="str">
        <x:v>确定</x:v>
      </x:c>
      <x:c r="AC22" s="82" t="str">
        <x:v>跨流派共识</x:v>
      </x:c>
      <x:c r="AD22" s="68" t="str">
        <x:v>天干相克按五行克制方向展开为有向关系；阴阳同异只影响后续十神与作用细节，不改变五行相克方向。</x:v>
      </x:c>
      <x:c r="AE22" s="68" t="str">
        <x:v>月干为己、日干为壬，登记己克壬。</x:v>
      </x:c>
      <x:c r="AF22" s="90" t="str">
        <x:v>仅见壬而不见己，不能登记己克壬。</x:v>
      </x:c>
      <x:c r="AG22" s="68" t="str">
        <x:v>https://zh.wikisource.org/wiki/淵海子平；https://zh.wikisource.org/zh-hans/三命通會_(四庫全書本)</x:v>
      </x:c>
      <x:c r="AH22" s="82" t="str">
        <x:v>采用</x:v>
      </x:c>
      <x:c r="AI22" s="82" t="str">
        <x:v>初审</x:v>
      </x:c>
      <x:c r="AJ22" s="87" t="n">
        <x:v>46255</x:v>
      </x:c>
    </x:row>
    <x:row r="23">
      <x:c r="A23" s="72" t="str">
        <x:f>IF(OR(C23="",D23=""),"",B23&amp;"-"&amp;UPPER(C23)&amp;"-"&amp;TEXT(D23,"0000")&amp;"-"&amp;E23)</x:f>
        <x:v>M04-KE-0017-V1.0</x:v>
      </x:c>
      <x:c r="B23" s="74" t="str">
        <x:v>M04</x:v>
      </x:c>
      <x:c r="C23" s="74" t="str">
        <x:v>KE</x:v>
      </x:c>
      <x:c r="D23" s="79" t="n">
        <x:v>17</x:v>
      </x:c>
      <x:c r="E23" s="74" t="str">
        <x:v>V1.0</x:v>
      </x:c>
      <x:c r="F23" s="68" t="str">
        <x:v>己克癸天干路径识别</x:v>
      </x:c>
      <x:c r="G23" s="82" t="str">
        <x:v>识别层</x:v>
      </x:c>
      <x:c r="H23" s="82" t="str">
        <x:v>天干相克</x:v>
      </x:c>
      <x:c r="I23" s="68" t="str">
        <x:v>己、癸</x:v>
      </x:c>
      <x:c r="J23" s="82" t="str">
        <x:v>其他</x:v>
      </x:c>
      <x:c r="K23" s="82" t="str">
        <x:v>完整</x:v>
      </x:c>
      <x:c r="L23" s="68" t="str">
        <x:v>关系存在不以月令为必要条件；月令只供后续判断实际效应或合化。</x:v>
      </x:c>
      <x:c r="M23" s="68" t="str">
        <x:v>参与干须在四柱天干明现；根气与透干强弱不作为关系存在的必要条件。</x:v>
      </x:c>
      <x:c r="N23" s="82"/>
      <x:c r="O23" s="68" t="str">
        <x:v>检查是否另有五合、相克、重复干或多重关系。</x:v>
      </x:c>
      <x:c r="P23" s="68" t="str">
        <x:v>四柱天干已按年、月、日、时标准化并保留柱位。</x:v>
      </x:c>
      <x:c r="Q23" s="68" t="str">
        <x:v>四柱天干中同时出现己与癸；按五行关系，己所属五行克癸所属五行。</x:v>
      </x:c>
      <x:c r="R23" s="68" t="str">
        <x:v>位置相邻、关系单一时，关系实例更清楚；仅作为后续效应判断信息。</x:v>
      </x:c>
      <x:c r="S23" s="68" t="str">
        <x:v>隔位、遥隔或多方重复时，结构更复杂，但不自动否定关系存在。</x:v>
      </x:c>
      <x:c r="T23" s="90" t="str">
        <x:v>天干缺少己或癸；若任一方只藏支未透，不按本条登记天干相克实例。</x:v>
      </x:c>
      <x:c r="U23" s="68" t="str">
        <x:v>实际合绊、合化、制化与力量变化统一转M06判断。</x:v>
      </x:c>
      <x:c r="V23" s="68" t="str">
        <x:v>原局存在己对癸的天干相克路径。</x:v>
      </x:c>
      <x:c r="W23" s="68" t="str">
        <x:v>不得直接推出癸必弱、己必胜、作用已经落实或由此直接定吉凶喜忌。</x:v>
      </x:c>
      <x:c r="X23" s="82" t="str">
        <x:v>P0_硬约束</x:v>
      </x:c>
      <x:c r="Y23" s="82" t="str">
        <x:v>硬约束</x:v>
      </x:c>
      <x:c r="Z23" s="84" t="str">
        <x:v>己克癸识别</x:v>
      </x:c>
      <x:c r="AA23" s="84" t="str">
        <x:v>天干见己与癸，登记“己克癸”的有向相克关系；实际制约程度须结合柱位、旺衰及其他作用转M06判断。</x:v>
      </x:c>
      <x:c r="AB23" s="82" t="str">
        <x:v>确定</x:v>
      </x:c>
      <x:c r="AC23" s="82" t="str">
        <x:v>跨流派共识</x:v>
      </x:c>
      <x:c r="AD23" s="68" t="str">
        <x:v>天干相克按五行克制方向展开为有向关系；阴阳同异只影响后续十神与作用细节，不改变五行相克方向。</x:v>
      </x:c>
      <x:c r="AE23" s="68" t="str">
        <x:v>月干为己、日干为癸，登记己克癸。</x:v>
      </x:c>
      <x:c r="AF23" s="90" t="str">
        <x:v>仅见癸而不见己，不能登记己克癸。</x:v>
      </x:c>
      <x:c r="AG23" s="68" t="str">
        <x:v>https://zh.wikisource.org/wiki/淵海子平；https://zh.wikisource.org/zh-hans/三命通會_(四庫全書本)</x:v>
      </x:c>
      <x:c r="AH23" s="82" t="str">
        <x:v>采用</x:v>
      </x:c>
      <x:c r="AI23" s="82" t="str">
        <x:v>初审</x:v>
      </x:c>
      <x:c r="AJ23" s="87" t="n">
        <x:v>46255</x:v>
      </x:c>
    </x:row>
    <x:row r="24">
      <x:c r="A24" s="72" t="str">
        <x:f>IF(OR(C24="",D24=""),"",B24&amp;"-"&amp;UPPER(C24)&amp;"-"&amp;TEXT(D24,"0000")&amp;"-"&amp;E24)</x:f>
        <x:v>M04-KE-0018-V1.0</x:v>
      </x:c>
      <x:c r="B24" s="74" t="str">
        <x:v>M04</x:v>
      </x:c>
      <x:c r="C24" s="74" t="str">
        <x:v>KE</x:v>
      </x:c>
      <x:c r="D24" s="79" t="n">
        <x:v>18</x:v>
      </x:c>
      <x:c r="E24" s="74" t="str">
        <x:v>V1.0</x:v>
      </x:c>
      <x:c r="F24" s="68" t="str">
        <x:v>庚克甲天干路径识别</x:v>
      </x:c>
      <x:c r="G24" s="82" t="str">
        <x:v>识别层</x:v>
      </x:c>
      <x:c r="H24" s="82" t="str">
        <x:v>天干相克</x:v>
      </x:c>
      <x:c r="I24" s="68" t="str">
        <x:v>庚、甲</x:v>
      </x:c>
      <x:c r="J24" s="82" t="str">
        <x:v>其他</x:v>
      </x:c>
      <x:c r="K24" s="82" t="str">
        <x:v>完整</x:v>
      </x:c>
      <x:c r="L24" s="68" t="str">
        <x:v>关系存在不以月令为必要条件；月令只供后续判断实际效应或合化。</x:v>
      </x:c>
      <x:c r="M24" s="68" t="str">
        <x:v>参与干须在四柱天干明现；根气与透干强弱不作为关系存在的必要条件。</x:v>
      </x:c>
      <x:c r="N24" s="82"/>
      <x:c r="O24" s="68" t="str">
        <x:v>检查是否另有五合、相克、重复干或多重关系。</x:v>
      </x:c>
      <x:c r="P24" s="68" t="str">
        <x:v>四柱天干已按年、月、日、时标准化并保留柱位。</x:v>
      </x:c>
      <x:c r="Q24" s="68" t="str">
        <x:v>四柱天干中同时出现庚与甲；按五行关系，庚所属五行克甲所属五行。</x:v>
      </x:c>
      <x:c r="R24" s="68" t="str">
        <x:v>位置相邻、关系单一时，关系实例更清楚；仅作为后续效应判断信息。</x:v>
      </x:c>
      <x:c r="S24" s="68" t="str">
        <x:v>隔位、遥隔或多方重复时，结构更复杂，但不自动否定关系存在。</x:v>
      </x:c>
      <x:c r="T24" s="90" t="str">
        <x:v>天干缺少庚或甲；若任一方只藏支未透，不按本条登记天干相克实例。</x:v>
      </x:c>
      <x:c r="U24" s="68" t="str">
        <x:v>实际合绊、合化、制化与力量变化统一转M06判断。</x:v>
      </x:c>
      <x:c r="V24" s="68" t="str">
        <x:v>原局存在庚对甲的天干相克路径。</x:v>
      </x:c>
      <x:c r="W24" s="68" t="str">
        <x:v>不得直接推出甲必弱、庚必胜、作用已经落实或由此直接定吉凶喜忌。</x:v>
      </x:c>
      <x:c r="X24" s="82" t="str">
        <x:v>P0_硬约束</x:v>
      </x:c>
      <x:c r="Y24" s="82" t="str">
        <x:v>硬约束</x:v>
      </x:c>
      <x:c r="Z24" s="84" t="str">
        <x:v>庚克甲识别</x:v>
      </x:c>
      <x:c r="AA24" s="84" t="str">
        <x:v>天干见庚与甲，登记“庚克甲”的有向相克关系；实际制约程度须结合柱位、旺衰及其他作用转M06判断。</x:v>
      </x:c>
      <x:c r="AB24" s="82" t="str">
        <x:v>确定</x:v>
      </x:c>
      <x:c r="AC24" s="82" t="str">
        <x:v>跨流派共识</x:v>
      </x:c>
      <x:c r="AD24" s="68" t="str">
        <x:v>天干相克按五行克制方向展开为有向关系；阴阳同异只影响后续十神与作用细节，不改变五行相克方向。</x:v>
      </x:c>
      <x:c r="AE24" s="68" t="str">
        <x:v>月干为庚、日干为甲，登记庚克甲。</x:v>
      </x:c>
      <x:c r="AF24" s="90" t="str">
        <x:v>仅见甲而不见庚，不能登记庚克甲。</x:v>
      </x:c>
      <x:c r="AG24" s="68" t="str">
        <x:v>https://zh.wikisource.org/wiki/淵海子平；https://zh.wikisource.org/zh-hans/三命通會_(四庫全書本)</x:v>
      </x:c>
      <x:c r="AH24" s="82" t="str">
        <x:v>采用</x:v>
      </x:c>
      <x:c r="AI24" s="82" t="str">
        <x:v>初审</x:v>
      </x:c>
      <x:c r="AJ24" s="87" t="n">
        <x:v>46255</x:v>
      </x:c>
    </x:row>
    <x:row r="25">
      <x:c r="A25" s="72" t="str">
        <x:f>IF(OR(C25="",D25=""),"",B25&amp;"-"&amp;UPPER(C25)&amp;"-"&amp;TEXT(D25,"0000")&amp;"-"&amp;E25)</x:f>
        <x:v>M04-KE-0019-V1.0</x:v>
      </x:c>
      <x:c r="B25" s="74" t="str">
        <x:v>M04</x:v>
      </x:c>
      <x:c r="C25" s="74" t="str">
        <x:v>KE</x:v>
      </x:c>
      <x:c r="D25" s="79" t="n">
        <x:v>19</x:v>
      </x:c>
      <x:c r="E25" s="74" t="str">
        <x:v>V1.0</x:v>
      </x:c>
      <x:c r="F25" s="68" t="str">
        <x:v>庚克乙天干路径识别</x:v>
      </x:c>
      <x:c r="G25" s="82" t="str">
        <x:v>识别层</x:v>
      </x:c>
      <x:c r="H25" s="82" t="str">
        <x:v>天干相克</x:v>
      </x:c>
      <x:c r="I25" s="68" t="str">
        <x:v>庚、乙</x:v>
      </x:c>
      <x:c r="J25" s="82" t="str">
        <x:v>其他</x:v>
      </x:c>
      <x:c r="K25" s="82" t="str">
        <x:v>完整</x:v>
      </x:c>
      <x:c r="L25" s="68" t="str">
        <x:v>关系存在不以月令为必要条件；月令只供后续判断实际效应或合化。</x:v>
      </x:c>
      <x:c r="M25" s="68" t="str">
        <x:v>参与干须在四柱天干明现；根气与透干强弱不作为关系存在的必要条件。</x:v>
      </x:c>
      <x:c r="N25" s="82"/>
      <x:c r="O25" s="68" t="str">
        <x:v>检查是否另有五合、相克、重复干或多重关系。</x:v>
      </x:c>
      <x:c r="P25" s="68" t="str">
        <x:v>四柱天干已按年、月、日、时标准化并保留柱位。</x:v>
      </x:c>
      <x:c r="Q25" s="68" t="str">
        <x:v>四柱天干中同时出现庚与乙；按五行关系，庚所属五行克乙所属五行。</x:v>
      </x:c>
      <x:c r="R25" s="68" t="str">
        <x:v>位置相邻、关系单一时，关系实例更清楚；仅作为后续效应判断信息。</x:v>
      </x:c>
      <x:c r="S25" s="68" t="str">
        <x:v>隔位、遥隔或多方重复时，结构更复杂，但不自动否定关系存在。</x:v>
      </x:c>
      <x:c r="T25" s="90" t="str">
        <x:v>天干缺少庚或乙；若任一方只藏支未透，不按本条登记天干相克实例。</x:v>
      </x:c>
      <x:c r="U25" s="68" t="str">
        <x:v>实际合绊、合化、制化与力量变化统一转M06判断。</x:v>
      </x:c>
      <x:c r="V25" s="68" t="str">
        <x:v>原局存在庚对乙的天干相克路径。</x:v>
      </x:c>
      <x:c r="W25" s="68" t="str">
        <x:v>不得直接推出乙必弱、庚必胜、作用已经落实或由此直接定吉凶喜忌。</x:v>
      </x:c>
      <x:c r="X25" s="82" t="str">
        <x:v>P0_硬约束</x:v>
      </x:c>
      <x:c r="Y25" s="82" t="str">
        <x:v>硬约束</x:v>
      </x:c>
      <x:c r="Z25" s="84" t="str">
        <x:v>庚克乙识别</x:v>
      </x:c>
      <x:c r="AA25" s="84" t="str">
        <x:v>天干见庚与乙，登记“庚克乙”的有向相克关系；实际制约程度须结合柱位、旺衰及其他作用转M06判断。</x:v>
      </x:c>
      <x:c r="AB25" s="82" t="str">
        <x:v>确定</x:v>
      </x:c>
      <x:c r="AC25" s="82" t="str">
        <x:v>跨流派共识</x:v>
      </x:c>
      <x:c r="AD25" s="68" t="str">
        <x:v>天干相克按五行克制方向展开为有向关系；阴阳同异只影响后续十神与作用细节，不改变五行相克方向。</x:v>
      </x:c>
      <x:c r="AE25" s="68" t="str">
        <x:v>月干为庚、日干为乙，登记庚克乙。</x:v>
      </x:c>
      <x:c r="AF25" s="90" t="str">
        <x:v>仅见乙而不见庚，不能登记庚克乙。</x:v>
      </x:c>
      <x:c r="AG25" s="68" t="str">
        <x:v>https://zh.wikisource.org/wiki/淵海子平；https://zh.wikisource.org/zh-hans/三命通會_(四庫全書本)</x:v>
      </x:c>
      <x:c r="AH25" s="82" t="str">
        <x:v>采用</x:v>
      </x:c>
      <x:c r="AI25" s="82" t="str">
        <x:v>初审</x:v>
      </x:c>
      <x:c r="AJ25" s="87" t="n">
        <x:v>46255</x:v>
      </x:c>
    </x:row>
    <x:row r="26">
      <x:c r="A26" s="72" t="str">
        <x:f>IF(OR(C26="",D26=""),"",B26&amp;"-"&amp;UPPER(C26)&amp;"-"&amp;TEXT(D26,"0000")&amp;"-"&amp;E26)</x:f>
        <x:v>M04-KE-0020-V1.0</x:v>
      </x:c>
      <x:c r="B26" s="74" t="str">
        <x:v>M04</x:v>
      </x:c>
      <x:c r="C26" s="74" t="str">
        <x:v>KE</x:v>
      </x:c>
      <x:c r="D26" s="79" t="n">
        <x:v>20</x:v>
      </x:c>
      <x:c r="E26" s="74" t="str">
        <x:v>V1.0</x:v>
      </x:c>
      <x:c r="F26" s="68" t="str">
        <x:v>辛克甲天干路径识别</x:v>
      </x:c>
      <x:c r="G26" s="82" t="str">
        <x:v>识别层</x:v>
      </x:c>
      <x:c r="H26" s="82" t="str">
        <x:v>天干相克</x:v>
      </x:c>
      <x:c r="I26" s="68" t="str">
        <x:v>辛、甲</x:v>
      </x:c>
      <x:c r="J26" s="82" t="str">
        <x:v>其他</x:v>
      </x:c>
      <x:c r="K26" s="82" t="str">
        <x:v>完整</x:v>
      </x:c>
      <x:c r="L26" s="68" t="str">
        <x:v>关系存在不以月令为必要条件；月令只供后续判断实际效应或合化。</x:v>
      </x:c>
      <x:c r="M26" s="68" t="str">
        <x:v>参与干须在四柱天干明现；根气与透干强弱不作为关系存在的必要条件。</x:v>
      </x:c>
      <x:c r="N26" s="82"/>
      <x:c r="O26" s="68" t="str">
        <x:v>检查是否另有五合、相克、重复干或多重关系。</x:v>
      </x:c>
      <x:c r="P26" s="68" t="str">
        <x:v>四柱天干已按年、月、日、时标准化并保留柱位。</x:v>
      </x:c>
      <x:c r="Q26" s="68" t="str">
        <x:v>四柱天干中同时出现辛与甲；按五行关系，辛所属五行克甲所属五行。</x:v>
      </x:c>
      <x:c r="R26" s="68" t="str">
        <x:v>位置相邻、关系单一时，关系实例更清楚；仅作为后续效应判断信息。</x:v>
      </x:c>
      <x:c r="S26" s="68" t="str">
        <x:v>隔位、遥隔或多方重复时，结构更复杂，但不自动否定关系存在。</x:v>
      </x:c>
      <x:c r="T26" s="90" t="str">
        <x:v>天干缺少辛或甲；若任一方只藏支未透，不按本条登记天干相克实例。</x:v>
      </x:c>
      <x:c r="U26" s="68" t="str">
        <x:v>实际合绊、合化、制化与力量变化统一转M06判断。</x:v>
      </x:c>
      <x:c r="V26" s="68" t="str">
        <x:v>原局存在辛对甲的天干相克路径。</x:v>
      </x:c>
      <x:c r="W26" s="68" t="str">
        <x:v>不得直接推出甲必弱、辛必胜、作用已经落实或由此直接定吉凶喜忌。</x:v>
      </x:c>
      <x:c r="X26" s="82" t="str">
        <x:v>P0_硬约束</x:v>
      </x:c>
      <x:c r="Y26" s="82" t="str">
        <x:v>硬约束</x:v>
      </x:c>
      <x:c r="Z26" s="84" t="str">
        <x:v>辛克甲识别</x:v>
      </x:c>
      <x:c r="AA26" s="84" t="str">
        <x:v>天干见辛与甲，登记“辛克甲”的有向相克关系；实际制约程度须结合柱位、旺衰及其他作用转M06判断。</x:v>
      </x:c>
      <x:c r="AB26" s="82" t="str">
        <x:v>确定</x:v>
      </x:c>
      <x:c r="AC26" s="82" t="str">
        <x:v>跨流派共识</x:v>
      </x:c>
      <x:c r="AD26" s="68" t="str">
        <x:v>天干相克按五行克制方向展开为有向关系；阴阳同异只影响后续十神与作用细节，不改变五行相克方向。</x:v>
      </x:c>
      <x:c r="AE26" s="68" t="str">
        <x:v>月干为辛、日干为甲，登记辛克甲。</x:v>
      </x:c>
      <x:c r="AF26" s="90" t="str">
        <x:v>仅见甲而不见辛，不能登记辛克甲。</x:v>
      </x:c>
      <x:c r="AG26" s="68" t="str">
        <x:v>https://zh.wikisource.org/wiki/淵海子平；https://zh.wikisource.org/zh-hans/三命通會_(四庫全書本)</x:v>
      </x:c>
      <x:c r="AH26" s="82" t="str">
        <x:v>采用</x:v>
      </x:c>
      <x:c r="AI26" s="82" t="str">
        <x:v>初审</x:v>
      </x:c>
      <x:c r="AJ26" s="87" t="n">
        <x:v>46255</x:v>
      </x:c>
    </x:row>
    <x:row r="27">
      <x:c r="A27" s="72" t="str">
        <x:f>IF(OR(C27="",D27=""),"",B27&amp;"-"&amp;UPPER(C27)&amp;"-"&amp;TEXT(D27,"0000")&amp;"-"&amp;E27)</x:f>
        <x:v>M04-KE-0021-V1.0</x:v>
      </x:c>
      <x:c r="B27" s="74" t="str">
        <x:v>M04</x:v>
      </x:c>
      <x:c r="C27" s="74" t="str">
        <x:v>KE</x:v>
      </x:c>
      <x:c r="D27" s="79" t="n">
        <x:v>21</x:v>
      </x:c>
      <x:c r="E27" s="74" t="str">
        <x:v>V1.0</x:v>
      </x:c>
      <x:c r="F27" s="68" t="str">
        <x:v>辛克乙天干路径识别</x:v>
      </x:c>
      <x:c r="G27" s="82" t="str">
        <x:v>识别层</x:v>
      </x:c>
      <x:c r="H27" s="82" t="str">
        <x:v>天干相克</x:v>
      </x:c>
      <x:c r="I27" s="68" t="str">
        <x:v>辛、乙</x:v>
      </x:c>
      <x:c r="J27" s="82" t="str">
        <x:v>其他</x:v>
      </x:c>
      <x:c r="K27" s="82" t="str">
        <x:v>完整</x:v>
      </x:c>
      <x:c r="L27" s="68" t="str">
        <x:v>关系存在不以月令为必要条件；月令只供后续判断实际效应或合化。</x:v>
      </x:c>
      <x:c r="M27" s="68" t="str">
        <x:v>参与干须在四柱天干明现；根气与透干强弱不作为关系存在的必要条件。</x:v>
      </x:c>
      <x:c r="N27" s="82"/>
      <x:c r="O27" s="68" t="str">
        <x:v>检查是否另有五合、相克、重复干或多重关系。</x:v>
      </x:c>
      <x:c r="P27" s="68" t="str">
        <x:v>四柱天干已按年、月、日、时标准化并保留柱位。</x:v>
      </x:c>
      <x:c r="Q27" s="68" t="str">
        <x:v>四柱天干中同时出现辛与乙；按五行关系，辛所属五行克乙所属五行。</x:v>
      </x:c>
      <x:c r="R27" s="68" t="str">
        <x:v>位置相邻、关系单一时，关系实例更清楚；仅作为后续效应判断信息。</x:v>
      </x:c>
      <x:c r="S27" s="68" t="str">
        <x:v>隔位、遥隔或多方重复时，结构更复杂，但不自动否定关系存在。</x:v>
      </x:c>
      <x:c r="T27" s="90" t="str">
        <x:v>天干缺少辛或乙；若任一方只藏支未透，不按本条登记天干相克实例。</x:v>
      </x:c>
      <x:c r="U27" s="68" t="str">
        <x:v>实际合绊、合化、制化与力量变化统一转M06判断。</x:v>
      </x:c>
      <x:c r="V27" s="68" t="str">
        <x:v>原局存在辛对乙的天干相克路径。</x:v>
      </x:c>
      <x:c r="W27" s="68" t="str">
        <x:v>不得直接推出乙必弱、辛必胜、作用已经落实或由此直接定吉凶喜忌。</x:v>
      </x:c>
      <x:c r="X27" s="82" t="str">
        <x:v>P0_硬约束</x:v>
      </x:c>
      <x:c r="Y27" s="82" t="str">
        <x:v>硬约束</x:v>
      </x:c>
      <x:c r="Z27" s="84" t="str">
        <x:v>辛克乙识别</x:v>
      </x:c>
      <x:c r="AA27" s="84" t="str">
        <x:v>天干见辛与乙，登记“辛克乙”的有向相克关系；实际制约程度须结合柱位、旺衰及其他作用转M06判断。</x:v>
      </x:c>
      <x:c r="AB27" s="82" t="str">
        <x:v>确定</x:v>
      </x:c>
      <x:c r="AC27" s="82" t="str">
        <x:v>跨流派共识</x:v>
      </x:c>
      <x:c r="AD27" s="68" t="str">
        <x:v>天干相克按五行克制方向展开为有向关系；阴阳同异只影响后续十神与作用细节，不改变五行相克方向。</x:v>
      </x:c>
      <x:c r="AE27" s="68" t="str">
        <x:v>月干为辛、日干为乙，登记辛克乙。</x:v>
      </x:c>
      <x:c r="AF27" s="90" t="str">
        <x:v>仅见乙而不见辛，不能登记辛克乙。</x:v>
      </x:c>
      <x:c r="AG27" s="68" t="str">
        <x:v>https://zh.wikisource.org/wiki/淵海子平；https://zh.wikisource.org/zh-hans/三命通會_(四庫全書本)</x:v>
      </x:c>
      <x:c r="AH27" s="82" t="str">
        <x:v>采用</x:v>
      </x:c>
      <x:c r="AI27" s="82" t="str">
        <x:v>初审</x:v>
      </x:c>
      <x:c r="AJ27" s="87" t="n">
        <x:v>46255</x:v>
      </x:c>
    </x:row>
    <x:row r="28">
      <x:c r="A28" s="72" t="str">
        <x:f>IF(OR(C28="",D28=""),"",B28&amp;"-"&amp;UPPER(C28)&amp;"-"&amp;TEXT(D28,"0000")&amp;"-"&amp;E28)</x:f>
        <x:v>M04-KE-0022-V1.0</x:v>
      </x:c>
      <x:c r="B28" s="74" t="str">
        <x:v>M04</x:v>
      </x:c>
      <x:c r="C28" s="74" t="str">
        <x:v>KE</x:v>
      </x:c>
      <x:c r="D28" s="79" t="n">
        <x:v>22</x:v>
      </x:c>
      <x:c r="E28" s="74" t="str">
        <x:v>V1.0</x:v>
      </x:c>
      <x:c r="F28" s="68" t="str">
        <x:v>壬克丙天干路径识别</x:v>
      </x:c>
      <x:c r="G28" s="82" t="str">
        <x:v>识别层</x:v>
      </x:c>
      <x:c r="H28" s="82" t="str">
        <x:v>天干相克</x:v>
      </x:c>
      <x:c r="I28" s="68" t="str">
        <x:v>壬、丙</x:v>
      </x:c>
      <x:c r="J28" s="82" t="str">
        <x:v>其他</x:v>
      </x:c>
      <x:c r="K28" s="82" t="str">
        <x:v>完整</x:v>
      </x:c>
      <x:c r="L28" s="68" t="str">
        <x:v>关系存在不以月令为必要条件；月令只供后续判断实际效应或合化。</x:v>
      </x:c>
      <x:c r="M28" s="68" t="str">
        <x:v>参与干须在四柱天干明现；根气与透干强弱不作为关系存在的必要条件。</x:v>
      </x:c>
      <x:c r="N28" s="82"/>
      <x:c r="O28" s="68" t="str">
        <x:v>检查是否另有五合、相克、重复干或多重关系。</x:v>
      </x:c>
      <x:c r="P28" s="68" t="str">
        <x:v>四柱天干已按年、月、日、时标准化并保留柱位。</x:v>
      </x:c>
      <x:c r="Q28" s="68" t="str">
        <x:v>四柱天干中同时出现壬与丙；按五行关系，壬所属五行克丙所属五行。</x:v>
      </x:c>
      <x:c r="R28" s="68" t="str">
        <x:v>位置相邻、关系单一时，关系实例更清楚；仅作为后续效应判断信息。</x:v>
      </x:c>
      <x:c r="S28" s="68" t="str">
        <x:v>隔位、遥隔或多方重复时，结构更复杂，但不自动否定关系存在。</x:v>
      </x:c>
      <x:c r="T28" s="90" t="str">
        <x:v>天干缺少壬或丙；若任一方只藏支未透，不按本条登记天干相克实例。</x:v>
      </x:c>
      <x:c r="U28" s="68" t="str">
        <x:v>实际合绊、合化、制化与力量变化统一转M06判断。</x:v>
      </x:c>
      <x:c r="V28" s="68" t="str">
        <x:v>原局存在壬对丙的天干相克路径。</x:v>
      </x:c>
      <x:c r="W28" s="68" t="str">
        <x:v>不得直接推出丙必弱、壬必胜、作用已经落实或由此直接定吉凶喜忌。</x:v>
      </x:c>
      <x:c r="X28" s="82" t="str">
        <x:v>P0_硬约束</x:v>
      </x:c>
      <x:c r="Y28" s="82" t="str">
        <x:v>硬约束</x:v>
      </x:c>
      <x:c r="Z28" s="84" t="str">
        <x:v>壬克丙识别</x:v>
      </x:c>
      <x:c r="AA28" s="84" t="str">
        <x:v>天干见壬与丙，登记“壬克丙”的有向相克关系；实际制约程度须结合柱位、旺衰及其他作用转M06判断。</x:v>
      </x:c>
      <x:c r="AB28" s="82" t="str">
        <x:v>确定</x:v>
      </x:c>
      <x:c r="AC28" s="82" t="str">
        <x:v>跨流派共识</x:v>
      </x:c>
      <x:c r="AD28" s="68" t="str">
        <x:v>天干相克按五行克制方向展开为有向关系；阴阳同异只影响后续十神与作用细节，不改变五行相克方向。</x:v>
      </x:c>
      <x:c r="AE28" s="68" t="str">
        <x:v>月干为壬、日干为丙，登记壬克丙。</x:v>
      </x:c>
      <x:c r="AF28" s="90" t="str">
        <x:v>仅见丙而不见壬，不能登记壬克丙。</x:v>
      </x:c>
      <x:c r="AG28" s="68" t="str">
        <x:v>https://zh.wikisource.org/wiki/淵海子平；https://zh.wikisource.org/zh-hans/三命通會_(四庫全書本)</x:v>
      </x:c>
      <x:c r="AH28" s="82" t="str">
        <x:v>采用</x:v>
      </x:c>
      <x:c r="AI28" s="82" t="str">
        <x:v>初审</x:v>
      </x:c>
      <x:c r="AJ28" s="87" t="n">
        <x:v>46255</x:v>
      </x:c>
    </x:row>
    <x:row r="29">
      <x:c r="A29" s="72" t="str">
        <x:f>IF(OR(C29="",D29=""),"",B29&amp;"-"&amp;UPPER(C29)&amp;"-"&amp;TEXT(D29,"0000")&amp;"-"&amp;E29)</x:f>
        <x:v>M04-KE-0023-V1.0</x:v>
      </x:c>
      <x:c r="B29" s="74" t="str">
        <x:v>M04</x:v>
      </x:c>
      <x:c r="C29" s="74" t="str">
        <x:v>KE</x:v>
      </x:c>
      <x:c r="D29" s="79" t="n">
        <x:v>23</x:v>
      </x:c>
      <x:c r="E29" s="74" t="str">
        <x:v>V1.0</x:v>
      </x:c>
      <x:c r="F29" s="68" t="str">
        <x:v>壬克丁天干路径识别</x:v>
      </x:c>
      <x:c r="G29" s="82" t="str">
        <x:v>识别层</x:v>
      </x:c>
      <x:c r="H29" s="82" t="str">
        <x:v>天干相克</x:v>
      </x:c>
      <x:c r="I29" s="68" t="str">
        <x:v>壬、丁</x:v>
      </x:c>
      <x:c r="J29" s="82" t="str">
        <x:v>其他</x:v>
      </x:c>
      <x:c r="K29" s="82" t="str">
        <x:v>完整</x:v>
      </x:c>
      <x:c r="L29" s="68" t="str">
        <x:v>关系存在不以月令为必要条件；月令只供后续判断实际效应或合化。</x:v>
      </x:c>
      <x:c r="M29" s="68" t="str">
        <x:v>参与干须在四柱天干明现；根气与透干强弱不作为关系存在的必要条件。</x:v>
      </x:c>
      <x:c r="N29" s="82"/>
      <x:c r="O29" s="68" t="str">
        <x:v>检查是否另有五合、相克、重复干或多重关系。</x:v>
      </x:c>
      <x:c r="P29" s="68" t="str">
        <x:v>四柱天干已按年、月、日、时标准化并保留柱位。</x:v>
      </x:c>
      <x:c r="Q29" s="68" t="str">
        <x:v>四柱天干中同时出现壬与丁；按五行关系，壬所属五行克丁所属五行。</x:v>
      </x:c>
      <x:c r="R29" s="68" t="str">
        <x:v>位置相邻、关系单一时，关系实例更清楚；仅作为后续效应判断信息。</x:v>
      </x:c>
      <x:c r="S29" s="68" t="str">
        <x:v>隔位、遥隔或多方重复时，结构更复杂，但不自动否定关系存在。</x:v>
      </x:c>
      <x:c r="T29" s="90" t="str">
        <x:v>天干缺少壬或丁；若任一方只藏支未透，不按本条登记天干相克实例。</x:v>
      </x:c>
      <x:c r="U29" s="68" t="str">
        <x:v>实际合绊、合化、制化与力量变化统一转M06判断。</x:v>
      </x:c>
      <x:c r="V29" s="68" t="str">
        <x:v>原局存在壬对丁的天干相克路径。</x:v>
      </x:c>
      <x:c r="W29" s="68" t="str">
        <x:v>不得直接推出丁必弱、壬必胜、作用已经落实或由此直接定吉凶喜忌。</x:v>
      </x:c>
      <x:c r="X29" s="82" t="str">
        <x:v>P0_硬约束</x:v>
      </x:c>
      <x:c r="Y29" s="82" t="str">
        <x:v>硬约束</x:v>
      </x:c>
      <x:c r="Z29" s="84" t="str">
        <x:v>壬克丁识别</x:v>
      </x:c>
      <x:c r="AA29" s="84" t="str">
        <x:v>天干见壬与丁，登记“壬克丁”的有向相克关系；实际制约程度须结合柱位、旺衰及其他作用转M06判断。</x:v>
      </x:c>
      <x:c r="AB29" s="82" t="str">
        <x:v>确定</x:v>
      </x:c>
      <x:c r="AC29" s="82" t="str">
        <x:v>跨流派共识</x:v>
      </x:c>
      <x:c r="AD29" s="68" t="str">
        <x:v>天干相克按五行克制方向展开为有向关系；阴阳同异只影响后续十神与作用细节，不改变五行相克方向。</x:v>
      </x:c>
      <x:c r="AE29" s="68" t="str">
        <x:v>月干为壬、日干为丁，登记壬克丁。</x:v>
      </x:c>
      <x:c r="AF29" s="90" t="str">
        <x:v>仅见丁而不见壬，不能登记壬克丁。</x:v>
      </x:c>
      <x:c r="AG29" s="68" t="str">
        <x:v>https://zh.wikisource.org/wiki/淵海子平；https://zh.wikisource.org/zh-hans/三命通會_(四庫全書本)</x:v>
      </x:c>
      <x:c r="AH29" s="82" t="str">
        <x:v>采用</x:v>
      </x:c>
      <x:c r="AI29" s="82" t="str">
        <x:v>初审</x:v>
      </x:c>
      <x:c r="AJ29" s="87" t="n">
        <x:v>46255</x:v>
      </x:c>
    </x:row>
    <x:row r="30">
      <x:c r="A30" s="72" t="str">
        <x:f>IF(OR(C30="",D30=""),"",B30&amp;"-"&amp;UPPER(C30)&amp;"-"&amp;TEXT(D30,"0000")&amp;"-"&amp;E30)</x:f>
        <x:v>M04-KE-0024-V1.0</x:v>
      </x:c>
      <x:c r="B30" s="74" t="str">
        <x:v>M04</x:v>
      </x:c>
      <x:c r="C30" s="74" t="str">
        <x:v>KE</x:v>
      </x:c>
      <x:c r="D30" s="79" t="n">
        <x:v>24</x:v>
      </x:c>
      <x:c r="E30" s="74" t="str">
        <x:v>V1.0</x:v>
      </x:c>
      <x:c r="F30" s="68" t="str">
        <x:v>癸克丙天干路径识别</x:v>
      </x:c>
      <x:c r="G30" s="82" t="str">
        <x:v>识别层</x:v>
      </x:c>
      <x:c r="H30" s="82" t="str">
        <x:v>天干相克</x:v>
      </x:c>
      <x:c r="I30" s="68" t="str">
        <x:v>癸、丙</x:v>
      </x:c>
      <x:c r="J30" s="82" t="str">
        <x:v>其他</x:v>
      </x:c>
      <x:c r="K30" s="82" t="str">
        <x:v>完整</x:v>
      </x:c>
      <x:c r="L30" s="68" t="str">
        <x:v>关系存在不以月令为必要条件；月令只供后续判断实际效应或合化。</x:v>
      </x:c>
      <x:c r="M30" s="68" t="str">
        <x:v>参与干须在四柱天干明现；根气与透干强弱不作为关系存在的必要条件。</x:v>
      </x:c>
      <x:c r="N30" s="82"/>
      <x:c r="O30" s="68" t="str">
        <x:v>检查是否另有五合、相克、重复干或多重关系。</x:v>
      </x:c>
      <x:c r="P30" s="68" t="str">
        <x:v>四柱天干已按年、月、日、时标准化并保留柱位。</x:v>
      </x:c>
      <x:c r="Q30" s="68" t="str">
        <x:v>四柱天干中同时出现癸与丙；按五行关系，癸所属五行克丙所属五行。</x:v>
      </x:c>
      <x:c r="R30" s="68" t="str">
        <x:v>位置相邻、关系单一时，关系实例更清楚；仅作为后续效应判断信息。</x:v>
      </x:c>
      <x:c r="S30" s="68" t="str">
        <x:v>隔位、遥隔或多方重复时，结构更复杂，但不自动否定关系存在。</x:v>
      </x:c>
      <x:c r="T30" s="90" t="str">
        <x:v>天干缺少癸或丙；若任一方只藏支未透，不按本条登记天干相克实例。</x:v>
      </x:c>
      <x:c r="U30" s="68" t="str">
        <x:v>实际合绊、合化、制化与力量变化统一转M06判断。</x:v>
      </x:c>
      <x:c r="V30" s="68" t="str">
        <x:v>原局存在癸对丙的天干相克路径。</x:v>
      </x:c>
      <x:c r="W30" s="68" t="str">
        <x:v>不得直接推出丙必弱、癸必胜、作用已经落实或由此直接定吉凶喜忌。</x:v>
      </x:c>
      <x:c r="X30" s="82" t="str">
        <x:v>P0_硬约束</x:v>
      </x:c>
      <x:c r="Y30" s="82" t="str">
        <x:v>硬约束</x:v>
      </x:c>
      <x:c r="Z30" s="84" t="str">
        <x:v>癸克丙识别</x:v>
      </x:c>
      <x:c r="AA30" s="84" t="str">
        <x:v>天干见癸与丙，登记“癸克丙”的有向相克关系；实际制约程度须结合柱位、旺衰及其他作用转M06判断。</x:v>
      </x:c>
      <x:c r="AB30" s="82" t="str">
        <x:v>确定</x:v>
      </x:c>
      <x:c r="AC30" s="82" t="str">
        <x:v>跨流派共识</x:v>
      </x:c>
      <x:c r="AD30" s="68" t="str">
        <x:v>天干相克按五行克制方向展开为有向关系；阴阳同异只影响后续十神与作用细节，不改变五行相克方向。</x:v>
      </x:c>
      <x:c r="AE30" s="68" t="str">
        <x:v>月干为癸、日干为丙，登记癸克丙。</x:v>
      </x:c>
      <x:c r="AF30" s="90" t="str">
        <x:v>仅见丙而不见癸，不能登记癸克丙。</x:v>
      </x:c>
      <x:c r="AG30" s="68" t="str">
        <x:v>https://zh.wikisource.org/wiki/淵海子平；https://zh.wikisource.org/zh-hans/三命通會_(四庫全書本)</x:v>
      </x:c>
      <x:c r="AH30" s="82" t="str">
        <x:v>采用</x:v>
      </x:c>
      <x:c r="AI30" s="82" t="str">
        <x:v>初审</x:v>
      </x:c>
      <x:c r="AJ30" s="87" t="n">
        <x:v>46255</x:v>
      </x:c>
    </x:row>
    <x:row r="31">
      <x:c r="A31" s="72" t="str">
        <x:f>IF(OR(C31="",D31=""),"",B31&amp;"-"&amp;UPPER(C31)&amp;"-"&amp;TEXT(D31,"0000")&amp;"-"&amp;E31)</x:f>
        <x:v>M04-KE-0025-V1.0</x:v>
      </x:c>
      <x:c r="B31" s="74" t="str">
        <x:v>M04</x:v>
      </x:c>
      <x:c r="C31" s="74" t="str">
        <x:v>KE</x:v>
      </x:c>
      <x:c r="D31" s="79" t="n">
        <x:v>25</x:v>
      </x:c>
      <x:c r="E31" s="74" t="str">
        <x:v>V1.0</x:v>
      </x:c>
      <x:c r="F31" s="68" t="str">
        <x:v>癸克丁天干路径识别</x:v>
      </x:c>
      <x:c r="G31" s="82" t="str">
        <x:v>识别层</x:v>
      </x:c>
      <x:c r="H31" s="82" t="str">
        <x:v>天干相克</x:v>
      </x:c>
      <x:c r="I31" s="68" t="str">
        <x:v>癸、丁</x:v>
      </x:c>
      <x:c r="J31" s="82" t="str">
        <x:v>其他</x:v>
      </x:c>
      <x:c r="K31" s="82" t="str">
        <x:v>完整</x:v>
      </x:c>
      <x:c r="L31" s="68" t="str">
        <x:v>关系存在不以月令为必要条件；月令只供后续判断实际效应或合化。</x:v>
      </x:c>
      <x:c r="M31" s="68" t="str">
        <x:v>参与干须在四柱天干明现；根气与透干强弱不作为关系存在的必要条件。</x:v>
      </x:c>
      <x:c r="N31" s="82"/>
      <x:c r="O31" s="68" t="str">
        <x:v>检查是否另有五合、相克、重复干或多重关系。</x:v>
      </x:c>
      <x:c r="P31" s="68" t="str">
        <x:v>四柱天干已按年、月、日、时标准化并保留柱位。</x:v>
      </x:c>
      <x:c r="Q31" s="68" t="str">
        <x:v>四柱天干中同时出现癸与丁；按五行关系，癸所属五行克丁所属五行。</x:v>
      </x:c>
      <x:c r="R31" s="68" t="str">
        <x:v>位置相邻、关系单一时，关系实例更清楚；仅作为后续效应判断信息。</x:v>
      </x:c>
      <x:c r="S31" s="68" t="str">
        <x:v>隔位、遥隔或多方重复时，结构更复杂，但不自动否定关系存在。</x:v>
      </x:c>
      <x:c r="T31" s="90" t="str">
        <x:v>天干缺少癸或丁；若任一方只藏支未透，不按本条登记天干相克实例。</x:v>
      </x:c>
      <x:c r="U31" s="68" t="str">
        <x:v>实际合绊、合化、制化与力量变化统一转M06判断。</x:v>
      </x:c>
      <x:c r="V31" s="68" t="str">
        <x:v>原局存在癸对丁的天干相克路径。</x:v>
      </x:c>
      <x:c r="W31" s="68" t="str">
        <x:v>不得直接推出丁必弱、癸必胜、作用已经落实或由此直接定吉凶喜忌。</x:v>
      </x:c>
      <x:c r="X31" s="82" t="str">
        <x:v>P0_硬约束</x:v>
      </x:c>
      <x:c r="Y31" s="82" t="str">
        <x:v>硬约束</x:v>
      </x:c>
      <x:c r="Z31" s="84" t="str">
        <x:v>癸克丁识别</x:v>
      </x:c>
      <x:c r="AA31" s="84" t="str">
        <x:v>天干见癸与丁，登记“癸克丁”的有向相克关系；实际制约程度须结合柱位、旺衰及其他作用转M06判断。</x:v>
      </x:c>
      <x:c r="AB31" s="82" t="str">
        <x:v>确定</x:v>
      </x:c>
      <x:c r="AC31" s="82" t="str">
        <x:v>跨流派共识</x:v>
      </x:c>
      <x:c r="AD31" s="68" t="str">
        <x:v>天干相克按五行克制方向展开为有向关系；阴阳同异只影响后续十神与作用细节，不改变五行相克方向。</x:v>
      </x:c>
      <x:c r="AE31" s="68" t="str">
        <x:v>月干为癸、日干为丁，登记癸克丁。</x:v>
      </x:c>
      <x:c r="AF31" s="90" t="str">
        <x:v>仅见丁而不见癸，不能登记癸克丁。</x:v>
      </x:c>
      <x:c r="AG31" s="68" t="str">
        <x:v>https://zh.wikisource.org/wiki/淵海子平；https://zh.wikisource.org/zh-hans/三命通會_(四庫全書本)</x:v>
      </x:c>
      <x:c r="AH31" s="82" t="str">
        <x:v>采用</x:v>
      </x:c>
      <x:c r="AI31" s="82" t="str">
        <x:v>初审</x:v>
      </x:c>
      <x:c r="AJ31" s="87" t="n">
        <x:v>46255</x:v>
      </x:c>
    </x:row>
    <x:row r="32">
      <x:c r="A32" s="72" t="str">
        <x:f>IF(OR(C32="",D32=""),"",B32&amp;"-"&amp;UPPER(C32)&amp;"-"&amp;TEXT(D32,"0000")&amp;"-"&amp;E32)</x:f>
        <x:v>M04-POS-0026-V1.0</x:v>
      </x:c>
      <x:c r="B32" s="74" t="str">
        <x:v>M04</x:v>
      </x:c>
      <x:c r="C32" s="74" t="str">
        <x:v>POS</x:v>
      </x:c>
      <x:c r="D32" s="79" t="n">
        <x:v>26</x:v>
      </x:c>
      <x:c r="E32" s="74" t="str">
        <x:v>V1.0</x:v>
      </x:c>
      <x:c r="F32" s="68" t="str">
        <x:v>年月天干关系位置标记</x:v>
      </x:c>
      <x:c r="G32" s="82" t="str">
        <x:v>识别层</x:v>
      </x:c>
      <x:c r="H32" s="82" t="str">
        <x:v>其他</x:v>
      </x:c>
      <x:c r="I32" s="68" t="str">
        <x:v>年干、月干</x:v>
      </x:c>
      <x:c r="J32" s="82" t="str">
        <x:v>年月</x:v>
      </x:c>
      <x:c r="K32" s="82" t="str">
        <x:v>完整</x:v>
      </x:c>
      <x:c r="L32" s="68" t="str">
        <x:v>本条只标记柱位，不涉及月令强弱。</x:v>
      </x:c>
      <x:c r="M32" s="68" t="str">
        <x:v>本条只标记明现天干的位置；根气与透干强弱转后续模块。</x:v>
      </x:c>
      <x:c r="N32" s="82"/>
      <x:c r="O32" s="68" t="str">
        <x:v>同一对天干若同时满足五合或相克，须另引用相应关系规则。</x:v>
      </x:c>
      <x:c r="P32" s="68" t="str">
        <x:v>四柱天干已按年、月、日、时标准化并保留柱位。</x:v>
      </x:c>
      <x:c r="Q32" s="68" t="str">
        <x:v>已识别的两个参与天干分别位于年月两柱。</x:v>
      </x:c>
      <x:c r="R32" s="68" t="str">
        <x:v>年月属于相邻位置；该信息供M06评估接触路径，不在本条换算强弱。</x:v>
      </x:c>
      <x:c r="S32" s="68" t="str">
        <x:v>若同类天干重复出现，必须用柱位区分不同关系实例。</x:v>
      </x:c>
      <x:c r="T32" s="90" t="str">
        <x:v>参与干不位于年月两柱。</x:v>
      </x:c>
      <x:c r="U32" s="68" t="str">
        <x:v>柱位只描述空间顺序，不决定关系是否有效、谁强谁弱。</x:v>
      </x:c>
      <x:c r="V32" s="68" t="str">
        <x:v>该天干关系实例的位置标记为年月，位置类别为相邻。</x:v>
      </x:c>
      <x:c r="W32" s="68" t="str">
        <x:v>不得仅凭相邻、隔位或遥隔直接判合成、合断、克胜或无作用。</x:v>
      </x:c>
      <x:c r="X32" s="82" t="str">
        <x:v>P1_高</x:v>
      </x:c>
      <x:c r="Y32" s="82" t="str">
        <x:v>辅助证据</x:v>
      </x:c>
      <x:c r="Z32" s="84" t="str">
        <x:v>年月位置</x:v>
      </x:c>
      <x:c r="AA32" s="84" t="str">
        <x:v>该关系发生于年月，归入相邻位置；关系本身与实际效应分别记录。</x:v>
      </x:c>
      <x:c r="AB32" s="82" t="str">
        <x:v>确定</x:v>
      </x:c>
      <x:c r="AC32" s="82" t="str">
        <x:v>现代综合</x:v>
      </x:c>
      <x:c r="AD32" s="68" t="str">
        <x:v>四柱天干共有年月、月日、日时三个相邻组合，年日与月时为隔位，年时为遥隔；位置用于实例化关系。</x:v>
      </x:c>
      <x:c r="AE32" s="68" t="str">
        <x:v>关系两端分别位于年月，按本条记录。</x:v>
      </x:c>
      <x:c r="AF32" s="90" t="str">
        <x:v>关系两端实际位于其他柱位，不能标记为年月。</x:v>
      </x:c>
      <x:c r="AG32" s="68" t="str">
        <x:v>https://zh.wikisource.org/wiki/淵海子平；https://zh.wikisource.org/zh-hans/三命通會_(四庫全書本)</x:v>
      </x:c>
      <x:c r="AH32" s="82" t="str">
        <x:v>采用</x:v>
      </x:c>
      <x:c r="AI32" s="82" t="str">
        <x:v>初审</x:v>
      </x:c>
      <x:c r="AJ32" s="87" t="n">
        <x:v>46255</x:v>
      </x:c>
    </x:row>
    <x:row r="33">
      <x:c r="A33" s="72" t="str">
        <x:f>IF(OR(C33="",D33=""),"",B33&amp;"-"&amp;UPPER(C33)&amp;"-"&amp;TEXT(D33,"0000")&amp;"-"&amp;E33)</x:f>
        <x:v>M04-POS-0027-V1.0</x:v>
      </x:c>
      <x:c r="B33" s="74" t="str">
        <x:v>M04</x:v>
      </x:c>
      <x:c r="C33" s="74" t="str">
        <x:v>POS</x:v>
      </x:c>
      <x:c r="D33" s="79" t="n">
        <x:v>27</x:v>
      </x:c>
      <x:c r="E33" s="74" t="str">
        <x:v>V1.0</x:v>
      </x:c>
      <x:c r="F33" s="68" t="str">
        <x:v>月日天干关系位置标记</x:v>
      </x:c>
      <x:c r="G33" s="82" t="str">
        <x:v>识别层</x:v>
      </x:c>
      <x:c r="H33" s="82" t="str">
        <x:v>其他</x:v>
      </x:c>
      <x:c r="I33" s="68" t="str">
        <x:v>月干、日干</x:v>
      </x:c>
      <x:c r="J33" s="82" t="str">
        <x:v>月日</x:v>
      </x:c>
      <x:c r="K33" s="82" t="str">
        <x:v>完整</x:v>
      </x:c>
      <x:c r="L33" s="68" t="str">
        <x:v>本条只标记柱位，不涉及月令强弱。</x:v>
      </x:c>
      <x:c r="M33" s="68" t="str">
        <x:v>本条只标记明现天干的位置；根气与透干强弱转后续模块。</x:v>
      </x:c>
      <x:c r="N33" s="82"/>
      <x:c r="O33" s="68" t="str">
        <x:v>同一对天干若同时满足五合或相克，须另引用相应关系规则。</x:v>
      </x:c>
      <x:c r="P33" s="68" t="str">
        <x:v>四柱天干已按年、月、日、时标准化并保留柱位。</x:v>
      </x:c>
      <x:c r="Q33" s="68" t="str">
        <x:v>已识别的两个参与天干分别位于月日两柱。</x:v>
      </x:c>
      <x:c r="R33" s="68" t="str">
        <x:v>月日属于相邻位置；该信息供M06评估接触路径，不在本条换算强弱。</x:v>
      </x:c>
      <x:c r="S33" s="68" t="str">
        <x:v>若同类天干重复出现，必须用柱位区分不同关系实例。</x:v>
      </x:c>
      <x:c r="T33" s="90" t="str">
        <x:v>参与干不位于月日两柱。</x:v>
      </x:c>
      <x:c r="U33" s="68" t="str">
        <x:v>柱位只描述空间顺序，不决定关系是否有效、谁强谁弱。</x:v>
      </x:c>
      <x:c r="V33" s="68" t="str">
        <x:v>该天干关系实例的位置标记为月日，位置类别为相邻。</x:v>
      </x:c>
      <x:c r="W33" s="68" t="str">
        <x:v>不得仅凭相邻、隔位或遥隔直接判合成、合断、克胜或无作用。</x:v>
      </x:c>
      <x:c r="X33" s="82" t="str">
        <x:v>P1_高</x:v>
      </x:c>
      <x:c r="Y33" s="82" t="str">
        <x:v>辅助证据</x:v>
      </x:c>
      <x:c r="Z33" s="84" t="str">
        <x:v>月日位置</x:v>
      </x:c>
      <x:c r="AA33" s="84" t="str">
        <x:v>该关系发生于月日，归入相邻位置；关系本身与实际效应分别记录。</x:v>
      </x:c>
      <x:c r="AB33" s="82" t="str">
        <x:v>确定</x:v>
      </x:c>
      <x:c r="AC33" s="82" t="str">
        <x:v>现代综合</x:v>
      </x:c>
      <x:c r="AD33" s="68" t="str">
        <x:v>四柱天干共有年月、月日、日时三个相邻组合，年日与月时为隔位，年时为遥隔；位置用于实例化关系。</x:v>
      </x:c>
      <x:c r="AE33" s="68" t="str">
        <x:v>关系两端分别位于月日，按本条记录。</x:v>
      </x:c>
      <x:c r="AF33" s="90" t="str">
        <x:v>关系两端实际位于其他柱位，不能标记为月日。</x:v>
      </x:c>
      <x:c r="AG33" s="68" t="str">
        <x:v>https://zh.wikisource.org/wiki/淵海子平；https://zh.wikisource.org/zh-hans/三命通會_(四庫全書本)</x:v>
      </x:c>
      <x:c r="AH33" s="82" t="str">
        <x:v>采用</x:v>
      </x:c>
      <x:c r="AI33" s="82" t="str">
        <x:v>初审</x:v>
      </x:c>
      <x:c r="AJ33" s="87" t="n">
        <x:v>46255</x:v>
      </x:c>
    </x:row>
    <x:row r="34">
      <x:c r="A34" s="72" t="str">
        <x:f>IF(OR(C34="",D34=""),"",B34&amp;"-"&amp;UPPER(C34)&amp;"-"&amp;TEXT(D34,"0000")&amp;"-"&amp;E34)</x:f>
        <x:v>M04-POS-0028-V1.0</x:v>
      </x:c>
      <x:c r="B34" s="74" t="str">
        <x:v>M04</x:v>
      </x:c>
      <x:c r="C34" s="74" t="str">
        <x:v>POS</x:v>
      </x:c>
      <x:c r="D34" s="79" t="n">
        <x:v>28</x:v>
      </x:c>
      <x:c r="E34" s="74" t="str">
        <x:v>V1.0</x:v>
      </x:c>
      <x:c r="F34" s="68" t="str">
        <x:v>日时天干关系位置标记</x:v>
      </x:c>
      <x:c r="G34" s="82" t="str">
        <x:v>识别层</x:v>
      </x:c>
      <x:c r="H34" s="82" t="str">
        <x:v>其他</x:v>
      </x:c>
      <x:c r="I34" s="68" t="str">
        <x:v>日干、时干</x:v>
      </x:c>
      <x:c r="J34" s="82" t="str">
        <x:v>日时</x:v>
      </x:c>
      <x:c r="K34" s="82" t="str">
        <x:v>完整</x:v>
      </x:c>
      <x:c r="L34" s="68" t="str">
        <x:v>本条只标记柱位，不涉及月令强弱。</x:v>
      </x:c>
      <x:c r="M34" s="68" t="str">
        <x:v>本条只标记明现天干的位置；根气与透干强弱转后续模块。</x:v>
      </x:c>
      <x:c r="N34" s="82"/>
      <x:c r="O34" s="68" t="str">
        <x:v>同一对天干若同时满足五合或相克，须另引用相应关系规则。</x:v>
      </x:c>
      <x:c r="P34" s="68" t="str">
        <x:v>四柱天干已按年、月、日、时标准化并保留柱位。</x:v>
      </x:c>
      <x:c r="Q34" s="68" t="str">
        <x:v>已识别的两个参与天干分别位于日时两柱。</x:v>
      </x:c>
      <x:c r="R34" s="68" t="str">
        <x:v>日时属于相邻位置；该信息供M06评估接触路径，不在本条换算强弱。</x:v>
      </x:c>
      <x:c r="S34" s="68" t="str">
        <x:v>若同类天干重复出现，必须用柱位区分不同关系实例。</x:v>
      </x:c>
      <x:c r="T34" s="90" t="str">
        <x:v>参与干不位于日时两柱。</x:v>
      </x:c>
      <x:c r="U34" s="68" t="str">
        <x:v>柱位只描述空间顺序，不决定关系是否有效、谁强谁弱。</x:v>
      </x:c>
      <x:c r="V34" s="68" t="str">
        <x:v>该天干关系实例的位置标记为日时，位置类别为相邻。</x:v>
      </x:c>
      <x:c r="W34" s="68" t="str">
        <x:v>不得仅凭相邻、隔位或遥隔直接判合成、合断、克胜或无作用。</x:v>
      </x:c>
      <x:c r="X34" s="82" t="str">
        <x:v>P1_高</x:v>
      </x:c>
      <x:c r="Y34" s="82" t="str">
        <x:v>辅助证据</x:v>
      </x:c>
      <x:c r="Z34" s="84" t="str">
        <x:v>日时位置</x:v>
      </x:c>
      <x:c r="AA34" s="84" t="str">
        <x:v>该关系发生于日时，归入相邻位置；关系本身与实际效应分别记录。</x:v>
      </x:c>
      <x:c r="AB34" s="82" t="str">
        <x:v>确定</x:v>
      </x:c>
      <x:c r="AC34" s="82" t="str">
        <x:v>现代综合</x:v>
      </x:c>
      <x:c r="AD34" s="68" t="str">
        <x:v>四柱天干共有年月、月日、日时三个相邻组合，年日与月时为隔位，年时为遥隔；位置用于实例化关系。</x:v>
      </x:c>
      <x:c r="AE34" s="68" t="str">
        <x:v>关系两端分别位于日时，按本条记录。</x:v>
      </x:c>
      <x:c r="AF34" s="90" t="str">
        <x:v>关系两端实际位于其他柱位，不能标记为日时。</x:v>
      </x:c>
      <x:c r="AG34" s="68" t="str">
        <x:v>https://zh.wikisource.org/wiki/淵海子平；https://zh.wikisource.org/zh-hans/三命通會_(四庫全書本)</x:v>
      </x:c>
      <x:c r="AH34" s="82" t="str">
        <x:v>采用</x:v>
      </x:c>
      <x:c r="AI34" s="82" t="str">
        <x:v>初审</x:v>
      </x:c>
      <x:c r="AJ34" s="87" t="n">
        <x:v>46255</x:v>
      </x:c>
    </x:row>
    <x:row r="35">
      <x:c r="A35" s="72" t="str">
        <x:f>IF(OR(C35="",D35=""),"",B35&amp;"-"&amp;UPPER(C35)&amp;"-"&amp;TEXT(D35,"0000")&amp;"-"&amp;E35)</x:f>
        <x:v>M04-POS-0029-V1.0</x:v>
      </x:c>
      <x:c r="B35" s="74" t="str">
        <x:v>M04</x:v>
      </x:c>
      <x:c r="C35" s="74" t="str">
        <x:v>POS</x:v>
      </x:c>
      <x:c r="D35" s="79" t="n">
        <x:v>29</x:v>
      </x:c>
      <x:c r="E35" s="74" t="str">
        <x:v>V1.0</x:v>
      </x:c>
      <x:c r="F35" s="68" t="str">
        <x:v>年日天干关系位置标记</x:v>
      </x:c>
      <x:c r="G35" s="82" t="str">
        <x:v>识别层</x:v>
      </x:c>
      <x:c r="H35" s="82" t="str">
        <x:v>其他</x:v>
      </x:c>
      <x:c r="I35" s="68" t="str">
        <x:v>年干、日干</x:v>
      </x:c>
      <x:c r="J35" s="82" t="str">
        <x:v>年日</x:v>
      </x:c>
      <x:c r="K35" s="82" t="str">
        <x:v>完整</x:v>
      </x:c>
      <x:c r="L35" s="68" t="str">
        <x:v>本条只标记柱位，不涉及月令强弱。</x:v>
      </x:c>
      <x:c r="M35" s="68" t="str">
        <x:v>本条只标记明现天干的位置；根气与透干强弱转后续模块。</x:v>
      </x:c>
      <x:c r="N35" s="82"/>
      <x:c r="O35" s="68" t="str">
        <x:v>同一对天干若同时满足五合或相克，须另引用相应关系规则。</x:v>
      </x:c>
      <x:c r="P35" s="68" t="str">
        <x:v>四柱天干已按年、月、日、时标准化并保留柱位。</x:v>
      </x:c>
      <x:c r="Q35" s="68" t="str">
        <x:v>已识别的两个参与天干分别位于年日两柱。</x:v>
      </x:c>
      <x:c r="R35" s="68" t="str">
        <x:v>年日属于隔位位置；该信息供M06评估接触路径，不在本条换算强弱。</x:v>
      </x:c>
      <x:c r="S35" s="68" t="str">
        <x:v>若同类天干重复出现，必须用柱位区分不同关系实例。</x:v>
      </x:c>
      <x:c r="T35" s="90" t="str">
        <x:v>参与干不位于年日两柱。</x:v>
      </x:c>
      <x:c r="U35" s="68" t="str">
        <x:v>柱位只描述空间顺序，不决定关系是否有效、谁强谁弱。</x:v>
      </x:c>
      <x:c r="V35" s="68" t="str">
        <x:v>该天干关系实例的位置标记为年日，位置类别为隔位。</x:v>
      </x:c>
      <x:c r="W35" s="68" t="str">
        <x:v>不得仅凭相邻、隔位或遥隔直接判合成、合断、克胜或无作用。</x:v>
      </x:c>
      <x:c r="X35" s="82" t="str">
        <x:v>P1_高</x:v>
      </x:c>
      <x:c r="Y35" s="82" t="str">
        <x:v>辅助证据</x:v>
      </x:c>
      <x:c r="Z35" s="84" t="str">
        <x:v>年日位置</x:v>
      </x:c>
      <x:c r="AA35" s="84" t="str">
        <x:v>该关系发生于年日，归入隔位位置；关系本身与实际效应分别记录。</x:v>
      </x:c>
      <x:c r="AB35" s="82" t="str">
        <x:v>确定</x:v>
      </x:c>
      <x:c r="AC35" s="82" t="str">
        <x:v>现代综合</x:v>
      </x:c>
      <x:c r="AD35" s="68" t="str">
        <x:v>四柱天干共有年月、月日、日时三个相邻组合，年日与月时为隔位，年时为遥隔；位置用于实例化关系。</x:v>
      </x:c>
      <x:c r="AE35" s="68" t="str">
        <x:v>关系两端分别位于年日，按本条记录。</x:v>
      </x:c>
      <x:c r="AF35" s="90" t="str">
        <x:v>关系两端实际位于其他柱位，不能标记为年日。</x:v>
      </x:c>
      <x:c r="AG35" s="68" t="str">
        <x:v>https://zh.wikisource.org/wiki/淵海子平；https://zh.wikisource.org/zh-hans/三命通會_(四庫全書本)</x:v>
      </x:c>
      <x:c r="AH35" s="82" t="str">
        <x:v>采用</x:v>
      </x:c>
      <x:c r="AI35" s="82" t="str">
        <x:v>初审</x:v>
      </x:c>
      <x:c r="AJ35" s="87" t="n">
        <x:v>46255</x:v>
      </x:c>
    </x:row>
    <x:row r="36">
      <x:c r="A36" s="72" t="str">
        <x:f>IF(OR(C36="",D36=""),"",B36&amp;"-"&amp;UPPER(C36)&amp;"-"&amp;TEXT(D36,"0000")&amp;"-"&amp;E36)</x:f>
        <x:v>M04-POS-0030-V1.0</x:v>
      </x:c>
      <x:c r="B36" s="74" t="str">
        <x:v>M04</x:v>
      </x:c>
      <x:c r="C36" s="74" t="str">
        <x:v>POS</x:v>
      </x:c>
      <x:c r="D36" s="79" t="n">
        <x:v>30</x:v>
      </x:c>
      <x:c r="E36" s="74" t="str">
        <x:v>V1.0</x:v>
      </x:c>
      <x:c r="F36" s="68" t="str">
        <x:v>月时天干关系位置标记</x:v>
      </x:c>
      <x:c r="G36" s="82" t="str">
        <x:v>识别层</x:v>
      </x:c>
      <x:c r="H36" s="82" t="str">
        <x:v>其他</x:v>
      </x:c>
      <x:c r="I36" s="68" t="str">
        <x:v>月干、时干</x:v>
      </x:c>
      <x:c r="J36" s="82" t="str">
        <x:v>月时</x:v>
      </x:c>
      <x:c r="K36" s="82" t="str">
        <x:v>完整</x:v>
      </x:c>
      <x:c r="L36" s="68" t="str">
        <x:v>本条只标记柱位，不涉及月令强弱。</x:v>
      </x:c>
      <x:c r="M36" s="68" t="str">
        <x:v>本条只标记明现天干的位置；根气与透干强弱转后续模块。</x:v>
      </x:c>
      <x:c r="N36" s="82"/>
      <x:c r="O36" s="68" t="str">
        <x:v>同一对天干若同时满足五合或相克，须另引用相应关系规则。</x:v>
      </x:c>
      <x:c r="P36" s="68" t="str">
        <x:v>四柱天干已按年、月、日、时标准化并保留柱位。</x:v>
      </x:c>
      <x:c r="Q36" s="68" t="str">
        <x:v>已识别的两个参与天干分别位于月时两柱。</x:v>
      </x:c>
      <x:c r="R36" s="68" t="str">
        <x:v>月时属于隔位位置；该信息供M06评估接触路径，不在本条换算强弱。</x:v>
      </x:c>
      <x:c r="S36" s="68" t="str">
        <x:v>若同类天干重复出现，必须用柱位区分不同关系实例。</x:v>
      </x:c>
      <x:c r="T36" s="90" t="str">
        <x:v>参与干不位于月时两柱。</x:v>
      </x:c>
      <x:c r="U36" s="68" t="str">
        <x:v>柱位只描述空间顺序，不决定关系是否有效、谁强谁弱。</x:v>
      </x:c>
      <x:c r="V36" s="68" t="str">
        <x:v>该天干关系实例的位置标记为月时，位置类别为隔位。</x:v>
      </x:c>
      <x:c r="W36" s="68" t="str">
        <x:v>不得仅凭相邻、隔位或遥隔直接判合成、合断、克胜或无作用。</x:v>
      </x:c>
      <x:c r="X36" s="82" t="str">
        <x:v>P1_高</x:v>
      </x:c>
      <x:c r="Y36" s="82" t="str">
        <x:v>辅助证据</x:v>
      </x:c>
      <x:c r="Z36" s="84" t="str">
        <x:v>月时位置</x:v>
      </x:c>
      <x:c r="AA36" s="84" t="str">
        <x:v>该关系发生于月时，归入隔位位置；关系本身与实际效应分别记录。</x:v>
      </x:c>
      <x:c r="AB36" s="82" t="str">
        <x:v>确定</x:v>
      </x:c>
      <x:c r="AC36" s="82" t="str">
        <x:v>现代综合</x:v>
      </x:c>
      <x:c r="AD36" s="68" t="str">
        <x:v>四柱天干共有年月、月日、日时三个相邻组合，年日与月时为隔位，年时为遥隔；位置用于实例化关系。</x:v>
      </x:c>
      <x:c r="AE36" s="68" t="str">
        <x:v>关系两端分别位于月时，按本条记录。</x:v>
      </x:c>
      <x:c r="AF36" s="90" t="str">
        <x:v>关系两端实际位于其他柱位，不能标记为月时。</x:v>
      </x:c>
      <x:c r="AG36" s="68" t="str">
        <x:v>https://zh.wikisource.org/wiki/淵海子平；https://zh.wikisource.org/zh-hans/三命通會_(四庫全書本)</x:v>
      </x:c>
      <x:c r="AH36" s="82" t="str">
        <x:v>采用</x:v>
      </x:c>
      <x:c r="AI36" s="82" t="str">
        <x:v>初审</x:v>
      </x:c>
      <x:c r="AJ36" s="87" t="n">
        <x:v>46255</x:v>
      </x:c>
    </x:row>
    <x:row r="37">
      <x:c r="A37" s="72" t="str">
        <x:f>IF(OR(C37="",D37=""),"",B37&amp;"-"&amp;UPPER(C37)&amp;"-"&amp;TEXT(D37,"0000")&amp;"-"&amp;E37)</x:f>
        <x:v>M04-POS-0031-V1.0</x:v>
      </x:c>
      <x:c r="B37" s="74" t="str">
        <x:v>M04</x:v>
      </x:c>
      <x:c r="C37" s="74" t="str">
        <x:v>POS</x:v>
      </x:c>
      <x:c r="D37" s="79" t="n">
        <x:v>31</x:v>
      </x:c>
      <x:c r="E37" s="74" t="str">
        <x:v>V1.0</x:v>
      </x:c>
      <x:c r="F37" s="68" t="str">
        <x:v>年时天干关系位置标记</x:v>
      </x:c>
      <x:c r="G37" s="82" t="str">
        <x:v>识别层</x:v>
      </x:c>
      <x:c r="H37" s="82" t="str">
        <x:v>其他</x:v>
      </x:c>
      <x:c r="I37" s="68" t="str">
        <x:v>年干、时干</x:v>
      </x:c>
      <x:c r="J37" s="82" t="str">
        <x:v>年时</x:v>
      </x:c>
      <x:c r="K37" s="82" t="str">
        <x:v>完整</x:v>
      </x:c>
      <x:c r="L37" s="68" t="str">
        <x:v>本条只标记柱位，不涉及月令强弱。</x:v>
      </x:c>
      <x:c r="M37" s="68" t="str">
        <x:v>本条只标记明现天干的位置；根气与透干强弱转后续模块。</x:v>
      </x:c>
      <x:c r="N37" s="82"/>
      <x:c r="O37" s="68" t="str">
        <x:v>同一对天干若同时满足五合或相克，须另引用相应关系规则。</x:v>
      </x:c>
      <x:c r="P37" s="68" t="str">
        <x:v>四柱天干已按年、月、日、时标准化并保留柱位。</x:v>
      </x:c>
      <x:c r="Q37" s="68" t="str">
        <x:v>已识别的两个参与天干分别位于年时两柱。</x:v>
      </x:c>
      <x:c r="R37" s="68" t="str">
        <x:v>年时属于遥隔位置；该信息供M06评估接触路径，不在本条换算强弱。</x:v>
      </x:c>
      <x:c r="S37" s="68" t="str">
        <x:v>若同类天干重复出现，必须用柱位区分不同关系实例。</x:v>
      </x:c>
      <x:c r="T37" s="90" t="str">
        <x:v>参与干不位于年时两柱。</x:v>
      </x:c>
      <x:c r="U37" s="68" t="str">
        <x:v>柱位只描述空间顺序，不决定关系是否有效、谁强谁弱。</x:v>
      </x:c>
      <x:c r="V37" s="68" t="str">
        <x:v>该天干关系实例的位置标记为年时，位置类别为遥隔。</x:v>
      </x:c>
      <x:c r="W37" s="68" t="str">
        <x:v>不得仅凭相邻、隔位或遥隔直接判合成、合断、克胜或无作用。</x:v>
      </x:c>
      <x:c r="X37" s="82" t="str">
        <x:v>P1_高</x:v>
      </x:c>
      <x:c r="Y37" s="82" t="str">
        <x:v>辅助证据</x:v>
      </x:c>
      <x:c r="Z37" s="84" t="str">
        <x:v>年时位置</x:v>
      </x:c>
      <x:c r="AA37" s="84" t="str">
        <x:v>该关系发生于年时，归入遥隔位置；关系本身与实际效应分别记录。</x:v>
      </x:c>
      <x:c r="AB37" s="82" t="str">
        <x:v>确定</x:v>
      </x:c>
      <x:c r="AC37" s="82" t="str">
        <x:v>现代综合</x:v>
      </x:c>
      <x:c r="AD37" s="68" t="str">
        <x:v>四柱天干共有年月、月日、日时三个相邻组合，年日与月时为隔位，年时为遥隔；位置用于实例化关系。</x:v>
      </x:c>
      <x:c r="AE37" s="68" t="str">
        <x:v>关系两端分别位于年时，按本条记录。</x:v>
      </x:c>
      <x:c r="AF37" s="90" t="str">
        <x:v>关系两端实际位于其他柱位，不能标记为年时。</x:v>
      </x:c>
      <x:c r="AG37" s="68" t="str">
        <x:v>https://zh.wikisource.org/wiki/淵海子平；https://zh.wikisource.org/zh-hans/三命通會_(四庫全書本)</x:v>
      </x:c>
      <x:c r="AH37" s="82" t="str">
        <x:v>采用</x:v>
      </x:c>
      <x:c r="AI37" s="82" t="str">
        <x:v>初审</x:v>
      </x:c>
      <x:c r="AJ37" s="87" t="n">
        <x:v>46255</x:v>
      </x:c>
    </x:row>
    <x:row r="38">
      <x:c r="A38" s="72" t="str">
        <x:f>IF(OR(C38="",D38=""),"",B38&amp;"-"&amp;UPPER(C38)&amp;"-"&amp;TEXT(D38,"0000")&amp;"-"&amp;E38)</x:f>
        <x:v>M04-HHC-0032-V1.0</x:v>
      </x:c>
      <x:c r="B38" s="74" t="str">
        <x:v>M04</x:v>
      </x:c>
      <x:c r="C38" s="74" t="str">
        <x:v>HHC</x:v>
      </x:c>
      <x:c r="D38" s="79" t="n">
        <x:v>32</x:v>
      </x:c>
      <x:c r="E38" s="74" t="str">
        <x:v>V1.0</x:v>
      </x:c>
      <x:c r="F38" s="68" t="str">
        <x:v>甲己合化为土候选生成</x:v>
      </x:c>
      <x:c r="G38" s="82" t="str">
        <x:v>识别层</x:v>
      </x:c>
      <x:c r="H38" s="82" t="str">
        <x:v>天干五合</x:v>
      </x:c>
      <x:c r="I38" s="68" t="str">
        <x:v>甲、己</x:v>
      </x:c>
      <x:c r="J38" s="82" t="str">
        <x:v>其他</x:v>
      </x:c>
      <x:c r="K38" s="82" t="str">
        <x:v>部分</x:v>
      </x:c>
      <x:c r="L38" s="68" t="str">
        <x:v>若后续验证合化，须检查土是否得令、得地或成势；本条不裁定。</x:v>
      </x:c>
      <x:c r="M38" s="68" t="str">
        <x:v>须在M06检查双方根气、是否从化及土的根源；本条只生成候选。</x:v>
      </x:c>
      <x:c r="N38" s="82" t="str">
        <x:v>土</x:v>
      </x:c>
      <x:c r="O38" s="68" t="str">
        <x:v>检查争合、妒合、隔合、遥合、第三干克制及地支化神基础。</x:v>
      </x:c>
      <x:c r="P38" s="68" t="str">
        <x:v>M04-HE-0001-V1.0已经识别为完整的甲己天干五合关系。</x:v>
      </x:c>
      <x:c r="Q38" s="68" t="str">
        <x:v>已存在甲己合关系；候选目标固定为土。</x:v>
      </x:c>
      <x:c r="R38" s="68" t="str">
        <x:v>土得令、有根有势、双方缺乏强力反化根时，候选后续通过的可能性提高。</x:v>
      </x:c>
      <x:c r="S38" s="68" t="str">
        <x:v>双方各自根深、化神土无根无势、被强力克制或多方争合时，候选通过可能性降低。</x:v>
      </x:c>
      <x:c r="T38" s="90" t="str">
        <x:v>若甲己合关系本身不存在，不生成合化为土候选。</x:v>
      </x:c>
      <x:c r="U38" s="68" t="str">
        <x:v>候选生成不等于合化成立；严格条件由M06或化气格模块逐项验证。</x:v>
      </x:c>
      <x:c r="V38" s="68" t="str">
        <x:v>建立“甲己可能合化为土”的待验证候选。</x:v>
      </x:c>
      <x:c r="W38" s="68" t="str">
        <x:v>不得输出“甲、己已经化为土”，也不得删除原有甲、己属性。</x:v>
      </x:c>
      <x:c r="X38" s="82" t="str">
        <x:v>P1_高</x:v>
      </x:c>
      <x:c r="Y38" s="82" t="str">
        <x:v>辅助证据</x:v>
      </x:c>
      <x:c r="Z38" s="84" t="str">
        <x:v>甲己化土候选</x:v>
      </x:c>
      <x:c r="AA38" s="84" t="str">
        <x:v>甲己合的合化目标为土，当前仅生成候选；在M06完成月令、根气、化神势与破坏条件核验前，不判合化成立。</x:v>
      </x:c>
      <x:c r="AB38" s="82" t="str">
        <x:v>确定</x:v>
      </x:c>
      <x:c r="AC38" s="82" t="str">
        <x:v>跨流派共识</x:v>
      </x:c>
      <x:c r="AD38" s="68" t="str">
        <x:v>五合各有固定化神候选；识别层只生成候选，不承担合化成败。</x:v>
      </x:c>
      <x:c r="AE38" s="68" t="str">
        <x:v>原局天干见甲己，可生成化土候选。</x:v>
      </x:c>
      <x:c r="AF38" s="90" t="str">
        <x:v>原局不见完整甲己，不能因为土旺就反推甲己合化。</x:v>
      </x:c>
      <x:c r="AG38" s="68" t="str">
        <x:v>内部结构化规则：识别层与效应层分离；https://zh.wikisource.org/wiki/淵海子平；https://zh.wikisource.org/zh-hans/三命通會_(四庫全書本)</x:v>
      </x:c>
      <x:c r="AH38" s="82" t="str">
        <x:v>采用</x:v>
      </x:c>
      <x:c r="AI38" s="82" t="str">
        <x:v>初审</x:v>
      </x:c>
      <x:c r="AJ38" s="87" t="n">
        <x:v>46255</x:v>
      </x:c>
    </x:row>
    <x:row r="39">
      <x:c r="A39" s="72" t="str">
        <x:f>IF(OR(C39="",D39=""),"",B39&amp;"-"&amp;UPPER(C39)&amp;"-"&amp;TEXT(D39,"0000")&amp;"-"&amp;E39)</x:f>
        <x:v>M04-HHC-0033-V1.0</x:v>
      </x:c>
      <x:c r="B39" s="74" t="str">
        <x:v>M04</x:v>
      </x:c>
      <x:c r="C39" s="74" t="str">
        <x:v>HHC</x:v>
      </x:c>
      <x:c r="D39" s="79" t="n">
        <x:v>33</x:v>
      </x:c>
      <x:c r="E39" s="74" t="str">
        <x:v>V1.0</x:v>
      </x:c>
      <x:c r="F39" s="68" t="str">
        <x:v>乙庚合化为金候选生成</x:v>
      </x:c>
      <x:c r="G39" s="82" t="str">
        <x:v>识别层</x:v>
      </x:c>
      <x:c r="H39" s="82" t="str">
        <x:v>天干五合</x:v>
      </x:c>
      <x:c r="I39" s="68" t="str">
        <x:v>乙、庚</x:v>
      </x:c>
      <x:c r="J39" s="82" t="str">
        <x:v>其他</x:v>
      </x:c>
      <x:c r="K39" s="82" t="str">
        <x:v>部分</x:v>
      </x:c>
      <x:c r="L39" s="68" t="str">
        <x:v>若后续验证合化，须检查金是否得令、得地或成势；本条不裁定。</x:v>
      </x:c>
      <x:c r="M39" s="68" t="str">
        <x:v>须在M06检查双方根气、是否从化及金的根源；本条只生成候选。</x:v>
      </x:c>
      <x:c r="N39" s="82" t="str">
        <x:v>金</x:v>
      </x:c>
      <x:c r="O39" s="68" t="str">
        <x:v>检查争合、妒合、隔合、遥合、第三干克制及地支化神基础。</x:v>
      </x:c>
      <x:c r="P39" s="68" t="str">
        <x:v>M04-HE-0002-V1.0已经识别为完整的乙庚天干五合关系。</x:v>
      </x:c>
      <x:c r="Q39" s="68" t="str">
        <x:v>已存在乙庚合关系；候选目标固定为金。</x:v>
      </x:c>
      <x:c r="R39" s="68" t="str">
        <x:v>金得令、有根有势、双方缺乏强力反化根时，候选后续通过的可能性提高。</x:v>
      </x:c>
      <x:c r="S39" s="68" t="str">
        <x:v>双方各自根深、化神金无根无势、被强力克制或多方争合时，候选通过可能性降低。</x:v>
      </x:c>
      <x:c r="T39" s="90" t="str">
        <x:v>若乙庚合关系本身不存在，不生成合化为金候选。</x:v>
      </x:c>
      <x:c r="U39" s="68" t="str">
        <x:v>候选生成不等于合化成立；严格条件由M06或化气格模块逐项验证。</x:v>
      </x:c>
      <x:c r="V39" s="68" t="str">
        <x:v>建立“乙庚可能合化为金”的待验证候选。</x:v>
      </x:c>
      <x:c r="W39" s="68" t="str">
        <x:v>不得输出“乙、庚已经化为金”，也不得删除原有乙、庚属性。</x:v>
      </x:c>
      <x:c r="X39" s="82" t="str">
        <x:v>P1_高</x:v>
      </x:c>
      <x:c r="Y39" s="82" t="str">
        <x:v>辅助证据</x:v>
      </x:c>
      <x:c r="Z39" s="84" t="str">
        <x:v>乙庚化金候选</x:v>
      </x:c>
      <x:c r="AA39" s="84" t="str">
        <x:v>乙庚合的合化目标为金，当前仅生成候选；在M06完成月令、根气、化神势与破坏条件核验前，不判合化成立。</x:v>
      </x:c>
      <x:c r="AB39" s="82" t="str">
        <x:v>确定</x:v>
      </x:c>
      <x:c r="AC39" s="82" t="str">
        <x:v>跨流派共识</x:v>
      </x:c>
      <x:c r="AD39" s="68" t="str">
        <x:v>五合各有固定化神候选；识别层只生成候选，不承担合化成败。</x:v>
      </x:c>
      <x:c r="AE39" s="68" t="str">
        <x:v>原局天干见乙庚，可生成化金候选。</x:v>
      </x:c>
      <x:c r="AF39" s="90" t="str">
        <x:v>原局不见完整乙庚，不能因为金旺就反推乙庚合化。</x:v>
      </x:c>
      <x:c r="AG39" s="68" t="str">
        <x:v>内部结构化规则：识别层与效应层分离；https://zh.wikisource.org/wiki/淵海子平；https://zh.wikisource.org/zh-hans/三命通會_(四庫全書本)</x:v>
      </x:c>
      <x:c r="AH39" s="82" t="str">
        <x:v>采用</x:v>
      </x:c>
      <x:c r="AI39" s="82" t="str">
        <x:v>初审</x:v>
      </x:c>
      <x:c r="AJ39" s="87" t="n">
        <x:v>46255</x:v>
      </x:c>
    </x:row>
    <x:row r="40">
      <x:c r="A40" s="72" t="str">
        <x:f>IF(OR(C40="",D40=""),"",B40&amp;"-"&amp;UPPER(C40)&amp;"-"&amp;TEXT(D40,"0000")&amp;"-"&amp;E40)</x:f>
        <x:v>M04-HHC-0034-V1.0</x:v>
      </x:c>
      <x:c r="B40" s="74" t="str">
        <x:v>M04</x:v>
      </x:c>
      <x:c r="C40" s="74" t="str">
        <x:v>HHC</x:v>
      </x:c>
      <x:c r="D40" s="79" t="n">
        <x:v>34</x:v>
      </x:c>
      <x:c r="E40" s="74" t="str">
        <x:v>V1.0</x:v>
      </x:c>
      <x:c r="F40" s="68" t="str">
        <x:v>丙辛合化为水候选生成</x:v>
      </x:c>
      <x:c r="G40" s="82" t="str">
        <x:v>识别层</x:v>
      </x:c>
      <x:c r="H40" s="82" t="str">
        <x:v>天干五合</x:v>
      </x:c>
      <x:c r="I40" s="68" t="str">
        <x:v>丙、辛</x:v>
      </x:c>
      <x:c r="J40" s="82" t="str">
        <x:v>其他</x:v>
      </x:c>
      <x:c r="K40" s="82" t="str">
        <x:v>部分</x:v>
      </x:c>
      <x:c r="L40" s="68" t="str">
        <x:v>若后续验证合化，须检查水是否得令、得地或成势；本条不裁定。</x:v>
      </x:c>
      <x:c r="M40" s="68" t="str">
        <x:v>须在M06检查双方根气、是否从化及水的根源；本条只生成候选。</x:v>
      </x:c>
      <x:c r="N40" s="82" t="str">
        <x:v>水</x:v>
      </x:c>
      <x:c r="O40" s="68" t="str">
        <x:v>检查争合、妒合、隔合、遥合、第三干克制及地支化神基础。</x:v>
      </x:c>
      <x:c r="P40" s="68" t="str">
        <x:v>M04-HE-0003-V1.0已经识别为完整的丙辛天干五合关系。</x:v>
      </x:c>
      <x:c r="Q40" s="68" t="str">
        <x:v>已存在丙辛合关系；候选目标固定为水。</x:v>
      </x:c>
      <x:c r="R40" s="68" t="str">
        <x:v>水得令、有根有势、双方缺乏强力反化根时，候选后续通过的可能性提高。</x:v>
      </x:c>
      <x:c r="S40" s="68" t="str">
        <x:v>双方各自根深、化神水无根无势、被强力克制或多方争合时，候选通过可能性降低。</x:v>
      </x:c>
      <x:c r="T40" s="90" t="str">
        <x:v>若丙辛合关系本身不存在，不生成合化为水候选。</x:v>
      </x:c>
      <x:c r="U40" s="68" t="str">
        <x:v>候选生成不等于合化成立；严格条件由M06或化气格模块逐项验证。</x:v>
      </x:c>
      <x:c r="V40" s="68" t="str">
        <x:v>建立“丙辛可能合化为水”的待验证候选。</x:v>
      </x:c>
      <x:c r="W40" s="68" t="str">
        <x:v>不得输出“丙、辛已经化为水”，也不得删除原有丙、辛属性。</x:v>
      </x:c>
      <x:c r="X40" s="82" t="str">
        <x:v>P1_高</x:v>
      </x:c>
      <x:c r="Y40" s="82" t="str">
        <x:v>辅助证据</x:v>
      </x:c>
      <x:c r="Z40" s="84" t="str">
        <x:v>丙辛化水候选</x:v>
      </x:c>
      <x:c r="AA40" s="84" t="str">
        <x:v>丙辛合的合化目标为水，当前仅生成候选；在M06完成月令、根气、化神势与破坏条件核验前，不判合化成立。</x:v>
      </x:c>
      <x:c r="AB40" s="82" t="str">
        <x:v>确定</x:v>
      </x:c>
      <x:c r="AC40" s="82" t="str">
        <x:v>跨流派共识</x:v>
      </x:c>
      <x:c r="AD40" s="68" t="str">
        <x:v>五合各有固定化神候选；识别层只生成候选，不承担合化成败。</x:v>
      </x:c>
      <x:c r="AE40" s="68" t="str">
        <x:v>原局天干见丙辛，可生成化水候选。</x:v>
      </x:c>
      <x:c r="AF40" s="90" t="str">
        <x:v>原局不见完整丙辛，不能因为水旺就反推丙辛合化。</x:v>
      </x:c>
      <x:c r="AG40" s="68" t="str">
        <x:v>内部结构化规则：识别层与效应层分离；https://zh.wikisource.org/wiki/淵海子平；https://zh.wikisource.org/zh-hans/三命通會_(四庫全書本)</x:v>
      </x:c>
      <x:c r="AH40" s="82" t="str">
        <x:v>采用</x:v>
      </x:c>
      <x:c r="AI40" s="82" t="str">
        <x:v>初审</x:v>
      </x:c>
      <x:c r="AJ40" s="87" t="n">
        <x:v>46255</x:v>
      </x:c>
    </x:row>
    <x:row r="41">
      <x:c r="A41" s="72" t="str">
        <x:f>IF(OR(C41="",D41=""),"",B41&amp;"-"&amp;UPPER(C41)&amp;"-"&amp;TEXT(D41,"0000")&amp;"-"&amp;E41)</x:f>
        <x:v>M04-HHC-0035-V1.0</x:v>
      </x:c>
      <x:c r="B41" s="74" t="str">
        <x:v>M04</x:v>
      </x:c>
      <x:c r="C41" s="74" t="str">
        <x:v>HHC</x:v>
      </x:c>
      <x:c r="D41" s="79" t="n">
        <x:v>35</x:v>
      </x:c>
      <x:c r="E41" s="74" t="str">
        <x:v>V1.0</x:v>
      </x:c>
      <x:c r="F41" s="68" t="str">
        <x:v>丁壬合化为木候选生成</x:v>
      </x:c>
      <x:c r="G41" s="82" t="str">
        <x:v>识别层</x:v>
      </x:c>
      <x:c r="H41" s="82" t="str">
        <x:v>天干五合</x:v>
      </x:c>
      <x:c r="I41" s="68" t="str">
        <x:v>丁、壬</x:v>
      </x:c>
      <x:c r="J41" s="82" t="str">
        <x:v>其他</x:v>
      </x:c>
      <x:c r="K41" s="82" t="str">
        <x:v>部分</x:v>
      </x:c>
      <x:c r="L41" s="68" t="str">
        <x:v>若后续验证合化，须检查木是否得令、得地或成势；本条不裁定。</x:v>
      </x:c>
      <x:c r="M41" s="68" t="str">
        <x:v>须在M06检查双方根气、是否从化及木的根源；本条只生成候选。</x:v>
      </x:c>
      <x:c r="N41" s="82" t="str">
        <x:v>木</x:v>
      </x:c>
      <x:c r="O41" s="68" t="str">
        <x:v>检查争合、妒合、隔合、遥合、第三干克制及地支化神基础。</x:v>
      </x:c>
      <x:c r="P41" s="68" t="str">
        <x:v>M04-HE-0004-V1.0已经识别为完整的丁壬天干五合关系。</x:v>
      </x:c>
      <x:c r="Q41" s="68" t="str">
        <x:v>已存在丁壬合关系；候选目标固定为木。</x:v>
      </x:c>
      <x:c r="R41" s="68" t="str">
        <x:v>木得令、有根有势、双方缺乏强力反化根时，候选后续通过的可能性提高。</x:v>
      </x:c>
      <x:c r="S41" s="68" t="str">
        <x:v>双方各自根深、化神木无根无势、被强力克制或多方争合时，候选通过可能性降低。</x:v>
      </x:c>
      <x:c r="T41" s="90" t="str">
        <x:v>若丁壬合关系本身不存在，不生成合化为木候选。</x:v>
      </x:c>
      <x:c r="U41" s="68" t="str">
        <x:v>候选生成不等于合化成立；严格条件由M06或化气格模块逐项验证。</x:v>
      </x:c>
      <x:c r="V41" s="68" t="str">
        <x:v>建立“丁壬可能合化为木”的待验证候选。</x:v>
      </x:c>
      <x:c r="W41" s="68" t="str">
        <x:v>不得输出“丁、壬已经化为木”，也不得删除原有丁、壬属性。</x:v>
      </x:c>
      <x:c r="X41" s="82" t="str">
        <x:v>P1_高</x:v>
      </x:c>
      <x:c r="Y41" s="82" t="str">
        <x:v>辅助证据</x:v>
      </x:c>
      <x:c r="Z41" s="84" t="str">
        <x:v>丁壬化木候选</x:v>
      </x:c>
      <x:c r="AA41" s="84" t="str">
        <x:v>丁壬合的合化目标为木，当前仅生成候选；在M06完成月令、根气、化神势与破坏条件核验前，不判合化成立。</x:v>
      </x:c>
      <x:c r="AB41" s="82" t="str">
        <x:v>确定</x:v>
      </x:c>
      <x:c r="AC41" s="82" t="str">
        <x:v>跨流派共识</x:v>
      </x:c>
      <x:c r="AD41" s="68" t="str">
        <x:v>五合各有固定化神候选；识别层只生成候选，不承担合化成败。</x:v>
      </x:c>
      <x:c r="AE41" s="68" t="str">
        <x:v>原局天干见丁壬，可生成化木候选。</x:v>
      </x:c>
      <x:c r="AF41" s="90" t="str">
        <x:v>原局不见完整丁壬，不能因为木旺就反推丁壬合化。</x:v>
      </x:c>
      <x:c r="AG41" s="68" t="str">
        <x:v>内部结构化规则：识别层与效应层分离；https://zh.wikisource.org/wiki/淵海子平；https://zh.wikisource.org/zh-hans/三命通會_(四庫全書本)</x:v>
      </x:c>
      <x:c r="AH41" s="82" t="str">
        <x:v>采用</x:v>
      </x:c>
      <x:c r="AI41" s="82" t="str">
        <x:v>初审</x:v>
      </x:c>
      <x:c r="AJ41" s="87" t="n">
        <x:v>46255</x:v>
      </x:c>
    </x:row>
    <x:row r="42">
      <x:c r="A42" s="72" t="str">
        <x:f>IF(OR(C42="",D42=""),"",B42&amp;"-"&amp;UPPER(C42)&amp;"-"&amp;TEXT(D42,"0000")&amp;"-"&amp;E42)</x:f>
        <x:v>M04-HHC-0036-V1.0</x:v>
      </x:c>
      <x:c r="B42" s="74" t="str">
        <x:v>M04</x:v>
      </x:c>
      <x:c r="C42" s="74" t="str">
        <x:v>HHC</x:v>
      </x:c>
      <x:c r="D42" s="79" t="n">
        <x:v>36</x:v>
      </x:c>
      <x:c r="E42" s="74" t="str">
        <x:v>V1.0</x:v>
      </x:c>
      <x:c r="F42" s="68" t="str">
        <x:v>戊癸合化为火候选生成</x:v>
      </x:c>
      <x:c r="G42" s="82" t="str">
        <x:v>识别层</x:v>
      </x:c>
      <x:c r="H42" s="82" t="str">
        <x:v>天干五合</x:v>
      </x:c>
      <x:c r="I42" s="68" t="str">
        <x:v>戊、癸</x:v>
      </x:c>
      <x:c r="J42" s="82" t="str">
        <x:v>其他</x:v>
      </x:c>
      <x:c r="K42" s="82" t="str">
        <x:v>部分</x:v>
      </x:c>
      <x:c r="L42" s="68" t="str">
        <x:v>若后续验证合化，须检查火是否得令、得地或成势；本条不裁定。</x:v>
      </x:c>
      <x:c r="M42" s="68" t="str">
        <x:v>须在M06检查双方根气、是否从化及火的根源；本条只生成候选。</x:v>
      </x:c>
      <x:c r="N42" s="82" t="str">
        <x:v>火</x:v>
      </x:c>
      <x:c r="O42" s="68" t="str">
        <x:v>检查争合、妒合、隔合、遥合、第三干克制及地支化神基础。</x:v>
      </x:c>
      <x:c r="P42" s="68" t="str">
        <x:v>M04-HE-0005-V1.0已经识别为完整的戊癸天干五合关系。</x:v>
      </x:c>
      <x:c r="Q42" s="68" t="str">
        <x:v>已存在戊癸合关系；候选目标固定为火。</x:v>
      </x:c>
      <x:c r="R42" s="68" t="str">
        <x:v>火得令、有根有势、双方缺乏强力反化根时，候选后续通过的可能性提高。</x:v>
      </x:c>
      <x:c r="S42" s="68" t="str">
        <x:v>双方各自根深、化神火无根无势、被强力克制或多方争合时，候选通过可能性降低。</x:v>
      </x:c>
      <x:c r="T42" s="90" t="str">
        <x:v>若戊癸合关系本身不存在，不生成合化为火候选。</x:v>
      </x:c>
      <x:c r="U42" s="68" t="str">
        <x:v>候选生成不等于合化成立；严格条件由M06或化气格模块逐项验证。</x:v>
      </x:c>
      <x:c r="V42" s="68" t="str">
        <x:v>建立“戊癸可能合化为火”的待验证候选。</x:v>
      </x:c>
      <x:c r="W42" s="68" t="str">
        <x:v>不得输出“戊、癸已经化为火”，也不得删除原有戊、癸属性。</x:v>
      </x:c>
      <x:c r="X42" s="82" t="str">
        <x:v>P1_高</x:v>
      </x:c>
      <x:c r="Y42" s="82" t="str">
        <x:v>辅助证据</x:v>
      </x:c>
      <x:c r="Z42" s="84" t="str">
        <x:v>戊癸化火候选</x:v>
      </x:c>
      <x:c r="AA42" s="84" t="str">
        <x:v>戊癸合的合化目标为火，当前仅生成候选；在M06完成月令、根气、化神势与破坏条件核验前，不判合化成立。</x:v>
      </x:c>
      <x:c r="AB42" s="82" t="str">
        <x:v>确定</x:v>
      </x:c>
      <x:c r="AC42" s="82" t="str">
        <x:v>跨流派共识</x:v>
      </x:c>
      <x:c r="AD42" s="68" t="str">
        <x:v>五合各有固定化神候选；识别层只生成候选，不承担合化成败。</x:v>
      </x:c>
      <x:c r="AE42" s="68" t="str">
        <x:v>原局天干见戊癸，可生成化火候选。</x:v>
      </x:c>
      <x:c r="AF42" s="90" t="str">
        <x:v>原局不见完整戊癸，不能因为火旺就反推戊癸合化。</x:v>
      </x:c>
      <x:c r="AG42" s="68" t="str">
        <x:v>内部结构化规则：识别层与效应层分离；https://zh.wikisource.org/wiki/淵海子平；https://zh.wikisource.org/zh-hans/三命通會_(四庫全書本)</x:v>
      </x:c>
      <x:c r="AH42" s="82" t="str">
        <x:v>采用</x:v>
      </x:c>
      <x:c r="AI42" s="82" t="str">
        <x:v>初审</x:v>
      </x:c>
      <x:c r="AJ42" s="87" t="n">
        <x:v>46255</x:v>
      </x:c>
    </x:row>
    <x:row r="43">
      <x:c r="A43" s="72" t="str">
        <x:f>IF(OR(C43="",D43=""),"",B43&amp;"-"&amp;UPPER(C43)&amp;"-"&amp;TEXT(D43,"0000")&amp;"-"&amp;E43)</x:f>
        <x:v>M04-ZHENG-0037-V1.0</x:v>
      </x:c>
      <x:c r="B43" s="74" t="str">
        <x:v>M04</x:v>
      </x:c>
      <x:c r="C43" s="74" t="str">
        <x:v>ZHENG</x:v>
      </x:c>
      <x:c r="D43" s="79" t="n">
        <x:v>37</x:v>
      </x:c>
      <x:c r="E43" s="74" t="str">
        <x:v>V1.0</x:v>
      </x:c>
      <x:c r="F43" s="68" t="str">
        <x:v>甲己组合一方重复的争合候选</x:v>
      </x:c>
      <x:c r="G43" s="82" t="str">
        <x:v>识别层</x:v>
      </x:c>
      <x:c r="H43" s="82" t="str">
        <x:v>争合</x:v>
      </x:c>
      <x:c r="I43" s="68" t="str">
        <x:v>甲、己及其中一方重复</x:v>
      </x:c>
      <x:c r="J43" s="82" t="str">
        <x:v>其他</x:v>
      </x:c>
      <x:c r="K43" s="82" t="str">
        <x:v>完整</x:v>
      </x:c>
      <x:c r="L43" s="68" t="str">
        <x:v>争合结构的存在不以月令为条件；月令只影响后续哪一关系更有作用。</x:v>
      </x:c>
      <x:c r="M43" s="68" t="str">
        <x:v>重复干与配对干均须在天干明现；根气不决定争合结构是否存在。</x:v>
      </x:c>
      <x:c r="N43" s="82" t="str">
        <x:v>土</x:v>
      </x:c>
      <x:c r="O43" s="68" t="str">
        <x:v>同时逐一列出每一组甲己五合实例，并检查隔合、遥合与第三干克制。</x:v>
      </x:c>
      <x:c r="P43" s="68" t="str">
        <x:v>四柱天干已按年、月、日、时标准化并保留柱位。</x:v>
      </x:c>
      <x:c r="Q43" s="68" t="str">
        <x:v>天干中甲至少出现两次且己至少一次，或己至少出现两次且甲至少一次。</x:v>
      </x:c>
      <x:c r="R43" s="68" t="str">
        <x:v>重复干分居配对干两侧、多个实例均相邻时，争合结构更直观。</x:v>
      </x:c>
      <x:c r="S43" s="68" t="str">
        <x:v>某一实例遥隔或受其他关系牵连时，只降低后续作用确定性，不否定争合候选。</x:v>
      </x:c>
      <x:c r="T43" s="90" t="str">
        <x:v>甲与己均只出现一次，或缺少其中一方。</x:v>
      </x:c>
      <x:c r="U43" s="68" t="str">
        <x:v>“争合”与“妒合”在部分流派中近义；本库优先用争合描述可计数的多对一合关系。</x:v>
      </x:c>
      <x:c r="V43" s="68" t="str">
        <x:v>原局存在甲己组合的多对一或一对多争合候选。</x:v>
      </x:c>
      <x:c r="W43" s="68" t="str">
        <x:v>不得直接判断哪一干争胜、哪一干被合去，也不得据此删除任何天干。</x:v>
      </x:c>
      <x:c r="X43" s="82" t="str">
        <x:v>P1_高</x:v>
      </x:c>
      <x:c r="Y43" s="82" t="str">
        <x:v>硬约束</x:v>
      </x:c>
      <x:c r="Z43" s="84" t="str">
        <x:v>甲己争合</x:v>
      </x:c>
      <x:c r="AA43" s="84" t="str">
        <x:v>甲己配对中有一方重复出现，登记争合候选，并按柱位拆分所有甲己合实例；胜负与实际牵制转M06。</x:v>
      </x:c>
      <x:c r="AB43" s="82" t="str">
        <x:v>较高</x:v>
      </x:c>
      <x:c r="AC43" s="82" t="str">
        <x:v>现代综合</x:v>
      </x:c>
      <x:c r="AD43" s="68" t="str">
        <x:v>当五合配对的一方重复出现时，会形成多个共享同一节点的合关系；结构可客观计数，效应仍需另判。</x:v>
      </x:c>
      <x:c r="AE43" s="68" t="str">
        <x:v>天干见两个甲与一个己，形成两组共享己的甲己合实例。</x:v>
      </x:c>
      <x:c r="AF43" s="90" t="str">
        <x:v>天干仅见一个甲与一个己，只能登记普通五合，不能标争合。</x:v>
      </x:c>
      <x:c r="AG43" s="68" t="str">
        <x:v>内部结构化规则：识别层与效应层分离；https://zh.wikisource.org/wiki/淵海子平；https://zh.wikisource.org/zh-hans/三命通會_(四庫全書本)</x:v>
      </x:c>
      <x:c r="AH43" s="82" t="str">
        <x:v>采用</x:v>
      </x:c>
      <x:c r="AI43" s="82" t="str">
        <x:v>初审</x:v>
      </x:c>
      <x:c r="AJ43" s="87" t="n">
        <x:v>46255</x:v>
      </x:c>
    </x:row>
    <x:row r="44">
      <x:c r="A44" s="72" t="str">
        <x:f>IF(OR(C44="",D44=""),"",B44&amp;"-"&amp;UPPER(C44)&amp;"-"&amp;TEXT(D44,"0000")&amp;"-"&amp;E44)</x:f>
        <x:v>M04-ZHENG-0038-V1.0</x:v>
      </x:c>
      <x:c r="B44" s="74" t="str">
        <x:v>M04</x:v>
      </x:c>
      <x:c r="C44" s="74" t="str">
        <x:v>ZHENG</x:v>
      </x:c>
      <x:c r="D44" s="79" t="n">
        <x:v>38</x:v>
      </x:c>
      <x:c r="E44" s="74" t="str">
        <x:v>V1.0</x:v>
      </x:c>
      <x:c r="F44" s="68" t="str">
        <x:v>乙庚组合一方重复的争合候选</x:v>
      </x:c>
      <x:c r="G44" s="82" t="str">
        <x:v>识别层</x:v>
      </x:c>
      <x:c r="H44" s="82" t="str">
        <x:v>争合</x:v>
      </x:c>
      <x:c r="I44" s="68" t="str">
        <x:v>乙、庚及其中一方重复</x:v>
      </x:c>
      <x:c r="J44" s="82" t="str">
        <x:v>其他</x:v>
      </x:c>
      <x:c r="K44" s="82" t="str">
        <x:v>完整</x:v>
      </x:c>
      <x:c r="L44" s="68" t="str">
        <x:v>争合结构的存在不以月令为条件；月令只影响后续哪一关系更有作用。</x:v>
      </x:c>
      <x:c r="M44" s="68" t="str">
        <x:v>重复干与配对干均须在天干明现；根气不决定争合结构是否存在。</x:v>
      </x:c>
      <x:c r="N44" s="82" t="str">
        <x:v>金</x:v>
      </x:c>
      <x:c r="O44" s="68" t="str">
        <x:v>同时逐一列出每一组乙庚五合实例，并检查隔合、遥合与第三干克制。</x:v>
      </x:c>
      <x:c r="P44" s="68" t="str">
        <x:v>四柱天干已按年、月、日、时标准化并保留柱位。</x:v>
      </x:c>
      <x:c r="Q44" s="68" t="str">
        <x:v>天干中乙至少出现两次且庚至少一次，或庚至少出现两次且乙至少一次。</x:v>
      </x:c>
      <x:c r="R44" s="68" t="str">
        <x:v>重复干分居配对干两侧、多个实例均相邻时，争合结构更直观。</x:v>
      </x:c>
      <x:c r="S44" s="68" t="str">
        <x:v>某一实例遥隔或受其他关系牵连时，只降低后续作用确定性，不否定争合候选。</x:v>
      </x:c>
      <x:c r="T44" s="90" t="str">
        <x:v>乙与庚均只出现一次，或缺少其中一方。</x:v>
      </x:c>
      <x:c r="U44" s="68" t="str">
        <x:v>“争合”与“妒合”在部分流派中近义；本库优先用争合描述可计数的多对一合关系。</x:v>
      </x:c>
      <x:c r="V44" s="68" t="str">
        <x:v>原局存在乙庚组合的多对一或一对多争合候选。</x:v>
      </x:c>
      <x:c r="W44" s="68" t="str">
        <x:v>不得直接判断哪一干争胜、哪一干被合去，也不得据此删除任何天干。</x:v>
      </x:c>
      <x:c r="X44" s="82" t="str">
        <x:v>P1_高</x:v>
      </x:c>
      <x:c r="Y44" s="82" t="str">
        <x:v>硬约束</x:v>
      </x:c>
      <x:c r="Z44" s="84" t="str">
        <x:v>乙庚争合</x:v>
      </x:c>
      <x:c r="AA44" s="84" t="str">
        <x:v>乙庚配对中有一方重复出现，登记争合候选，并按柱位拆分所有乙庚合实例；胜负与实际牵制转M06。</x:v>
      </x:c>
      <x:c r="AB44" s="82" t="str">
        <x:v>较高</x:v>
      </x:c>
      <x:c r="AC44" s="82" t="str">
        <x:v>现代综合</x:v>
      </x:c>
      <x:c r="AD44" s="68" t="str">
        <x:v>当五合配对的一方重复出现时，会形成多个共享同一节点的合关系；结构可客观计数，效应仍需另判。</x:v>
      </x:c>
      <x:c r="AE44" s="68" t="str">
        <x:v>天干见两个乙与一个庚，形成两组共享庚的乙庚合实例。</x:v>
      </x:c>
      <x:c r="AF44" s="90" t="str">
        <x:v>天干仅见一个乙与一个庚，只能登记普通五合，不能标争合。</x:v>
      </x:c>
      <x:c r="AG44" s="68" t="str">
        <x:v>内部结构化规则：识别层与效应层分离；https://zh.wikisource.org/wiki/淵海子平；https://zh.wikisource.org/zh-hans/三命通會_(四庫全書本)</x:v>
      </x:c>
      <x:c r="AH44" s="82" t="str">
        <x:v>采用</x:v>
      </x:c>
      <x:c r="AI44" s="82" t="str">
        <x:v>初审</x:v>
      </x:c>
      <x:c r="AJ44" s="87" t="n">
        <x:v>46255</x:v>
      </x:c>
    </x:row>
    <x:row r="45">
      <x:c r="A45" s="72" t="str">
        <x:f>IF(OR(C45="",D45=""),"",B45&amp;"-"&amp;UPPER(C45)&amp;"-"&amp;TEXT(D45,"0000")&amp;"-"&amp;E45)</x:f>
        <x:v>M04-ZHENG-0039-V1.0</x:v>
      </x:c>
      <x:c r="B45" s="74" t="str">
        <x:v>M04</x:v>
      </x:c>
      <x:c r="C45" s="74" t="str">
        <x:v>ZHENG</x:v>
      </x:c>
      <x:c r="D45" s="79" t="n">
        <x:v>39</x:v>
      </x:c>
      <x:c r="E45" s="74" t="str">
        <x:v>V1.0</x:v>
      </x:c>
      <x:c r="F45" s="68" t="str">
        <x:v>丙辛组合一方重复的争合候选</x:v>
      </x:c>
      <x:c r="G45" s="82" t="str">
        <x:v>识别层</x:v>
      </x:c>
      <x:c r="H45" s="82" t="str">
        <x:v>争合</x:v>
      </x:c>
      <x:c r="I45" s="68" t="str">
        <x:v>丙、辛及其中一方重复</x:v>
      </x:c>
      <x:c r="J45" s="82" t="str">
        <x:v>其他</x:v>
      </x:c>
      <x:c r="K45" s="82" t="str">
        <x:v>完整</x:v>
      </x:c>
      <x:c r="L45" s="68" t="str">
        <x:v>争合结构的存在不以月令为条件；月令只影响后续哪一关系更有作用。</x:v>
      </x:c>
      <x:c r="M45" s="68" t="str">
        <x:v>重复干与配对干均须在天干明现；根气不决定争合结构是否存在。</x:v>
      </x:c>
      <x:c r="N45" s="82" t="str">
        <x:v>水</x:v>
      </x:c>
      <x:c r="O45" s="68" t="str">
        <x:v>同时逐一列出每一组丙辛五合实例，并检查隔合、遥合与第三干克制。</x:v>
      </x:c>
      <x:c r="P45" s="68" t="str">
        <x:v>四柱天干已按年、月、日、时标准化并保留柱位。</x:v>
      </x:c>
      <x:c r="Q45" s="68" t="str">
        <x:v>天干中丙至少出现两次且辛至少一次，或辛至少出现两次且丙至少一次。</x:v>
      </x:c>
      <x:c r="R45" s="68" t="str">
        <x:v>重复干分居配对干两侧、多个实例均相邻时，争合结构更直观。</x:v>
      </x:c>
      <x:c r="S45" s="68" t="str">
        <x:v>某一实例遥隔或受其他关系牵连时，只降低后续作用确定性，不否定争合候选。</x:v>
      </x:c>
      <x:c r="T45" s="90" t="str">
        <x:v>丙与辛均只出现一次，或缺少其中一方。</x:v>
      </x:c>
      <x:c r="U45" s="68" t="str">
        <x:v>“争合”与“妒合”在部分流派中近义；本库优先用争合描述可计数的多对一合关系。</x:v>
      </x:c>
      <x:c r="V45" s="68" t="str">
        <x:v>原局存在丙辛组合的多对一或一对多争合候选。</x:v>
      </x:c>
      <x:c r="W45" s="68" t="str">
        <x:v>不得直接判断哪一干争胜、哪一干被合去，也不得据此删除任何天干。</x:v>
      </x:c>
      <x:c r="X45" s="82" t="str">
        <x:v>P1_高</x:v>
      </x:c>
      <x:c r="Y45" s="82" t="str">
        <x:v>硬约束</x:v>
      </x:c>
      <x:c r="Z45" s="84" t="str">
        <x:v>丙辛争合</x:v>
      </x:c>
      <x:c r="AA45" s="84" t="str">
        <x:v>丙辛配对中有一方重复出现，登记争合候选，并按柱位拆分所有丙辛合实例；胜负与实际牵制转M06。</x:v>
      </x:c>
      <x:c r="AB45" s="82" t="str">
        <x:v>较高</x:v>
      </x:c>
      <x:c r="AC45" s="82" t="str">
        <x:v>现代综合</x:v>
      </x:c>
      <x:c r="AD45" s="68" t="str">
        <x:v>当五合配对的一方重复出现时，会形成多个共享同一节点的合关系；结构可客观计数，效应仍需另判。</x:v>
      </x:c>
      <x:c r="AE45" s="68" t="str">
        <x:v>天干见两个丙与一个辛，形成两组共享辛的丙辛合实例。</x:v>
      </x:c>
      <x:c r="AF45" s="90" t="str">
        <x:v>天干仅见一个丙与一个辛，只能登记普通五合，不能标争合。</x:v>
      </x:c>
      <x:c r="AG45" s="68" t="str">
        <x:v>内部结构化规则：识别层与效应层分离；https://zh.wikisource.org/wiki/淵海子平；https://zh.wikisource.org/zh-hans/三命通會_(四庫全書本)</x:v>
      </x:c>
      <x:c r="AH45" s="82" t="str">
        <x:v>采用</x:v>
      </x:c>
      <x:c r="AI45" s="82" t="str">
        <x:v>初审</x:v>
      </x:c>
      <x:c r="AJ45" s="87" t="n">
        <x:v>46255</x:v>
      </x:c>
    </x:row>
    <x:row r="46">
      <x:c r="A46" s="72" t="str">
        <x:f>IF(OR(C46="",D46=""),"",B46&amp;"-"&amp;UPPER(C46)&amp;"-"&amp;TEXT(D46,"0000")&amp;"-"&amp;E46)</x:f>
        <x:v>M04-ZHENG-0040-V1.0</x:v>
      </x:c>
      <x:c r="B46" s="74" t="str">
        <x:v>M04</x:v>
      </x:c>
      <x:c r="C46" s="74" t="str">
        <x:v>ZHENG</x:v>
      </x:c>
      <x:c r="D46" s="79" t="n">
        <x:v>40</x:v>
      </x:c>
      <x:c r="E46" s="74" t="str">
        <x:v>V1.0</x:v>
      </x:c>
      <x:c r="F46" s="68" t="str">
        <x:v>丁壬组合一方重复的争合候选</x:v>
      </x:c>
      <x:c r="G46" s="82" t="str">
        <x:v>识别层</x:v>
      </x:c>
      <x:c r="H46" s="82" t="str">
        <x:v>争合</x:v>
      </x:c>
      <x:c r="I46" s="68" t="str">
        <x:v>丁、壬及其中一方重复</x:v>
      </x:c>
      <x:c r="J46" s="82" t="str">
        <x:v>其他</x:v>
      </x:c>
      <x:c r="K46" s="82" t="str">
        <x:v>完整</x:v>
      </x:c>
      <x:c r="L46" s="68" t="str">
        <x:v>争合结构的存在不以月令为条件；月令只影响后续哪一关系更有作用。</x:v>
      </x:c>
      <x:c r="M46" s="68" t="str">
        <x:v>重复干与配对干均须在天干明现；根气不决定争合结构是否存在。</x:v>
      </x:c>
      <x:c r="N46" s="82" t="str">
        <x:v>木</x:v>
      </x:c>
      <x:c r="O46" s="68" t="str">
        <x:v>同时逐一列出每一组丁壬五合实例，并检查隔合、遥合与第三干克制。</x:v>
      </x:c>
      <x:c r="P46" s="68" t="str">
        <x:v>四柱天干已按年、月、日、时标准化并保留柱位。</x:v>
      </x:c>
      <x:c r="Q46" s="68" t="str">
        <x:v>天干中丁至少出现两次且壬至少一次，或壬至少出现两次且丁至少一次。</x:v>
      </x:c>
      <x:c r="R46" s="68" t="str">
        <x:v>重复干分居配对干两侧、多个实例均相邻时，争合结构更直观。</x:v>
      </x:c>
      <x:c r="S46" s="68" t="str">
        <x:v>某一实例遥隔或受其他关系牵连时，只降低后续作用确定性，不否定争合候选。</x:v>
      </x:c>
      <x:c r="T46" s="90" t="str">
        <x:v>丁与壬均只出现一次，或缺少其中一方。</x:v>
      </x:c>
      <x:c r="U46" s="68" t="str">
        <x:v>“争合”与“妒合”在部分流派中近义；本库优先用争合描述可计数的多对一合关系。</x:v>
      </x:c>
      <x:c r="V46" s="68" t="str">
        <x:v>原局存在丁壬组合的多对一或一对多争合候选。</x:v>
      </x:c>
      <x:c r="W46" s="68" t="str">
        <x:v>不得直接判断哪一干争胜、哪一干被合去，也不得据此删除任何天干。</x:v>
      </x:c>
      <x:c r="X46" s="82" t="str">
        <x:v>P1_高</x:v>
      </x:c>
      <x:c r="Y46" s="82" t="str">
        <x:v>硬约束</x:v>
      </x:c>
      <x:c r="Z46" s="84" t="str">
        <x:v>丁壬争合</x:v>
      </x:c>
      <x:c r="AA46" s="84" t="str">
        <x:v>丁壬配对中有一方重复出现，登记争合候选，并按柱位拆分所有丁壬合实例；胜负与实际牵制转M06。</x:v>
      </x:c>
      <x:c r="AB46" s="82" t="str">
        <x:v>较高</x:v>
      </x:c>
      <x:c r="AC46" s="82" t="str">
        <x:v>现代综合</x:v>
      </x:c>
      <x:c r="AD46" s="68" t="str">
        <x:v>当五合配对的一方重复出现时，会形成多个共享同一节点的合关系；结构可客观计数，效应仍需另判。</x:v>
      </x:c>
      <x:c r="AE46" s="68" t="str">
        <x:v>天干见两个丁与一个壬，形成两组共享壬的丁壬合实例。</x:v>
      </x:c>
      <x:c r="AF46" s="90" t="str">
        <x:v>天干仅见一个丁与一个壬，只能登记普通五合，不能标争合。</x:v>
      </x:c>
      <x:c r="AG46" s="68" t="str">
        <x:v>内部结构化规则：识别层与效应层分离；https://zh.wikisource.org/wiki/淵海子平；https://zh.wikisource.org/zh-hans/三命通會_(四庫全書本)</x:v>
      </x:c>
      <x:c r="AH46" s="82" t="str">
        <x:v>采用</x:v>
      </x:c>
      <x:c r="AI46" s="82" t="str">
        <x:v>初审</x:v>
      </x:c>
      <x:c r="AJ46" s="87" t="n">
        <x:v>46255</x:v>
      </x:c>
    </x:row>
    <x:row r="47">
      <x:c r="A47" s="72" t="str">
        <x:f>IF(OR(C47="",D47=""),"",B47&amp;"-"&amp;UPPER(C47)&amp;"-"&amp;TEXT(D47,"0000")&amp;"-"&amp;E47)</x:f>
        <x:v>M04-ZHENG-0041-V1.0</x:v>
      </x:c>
      <x:c r="B47" s="74" t="str">
        <x:v>M04</x:v>
      </x:c>
      <x:c r="C47" s="74" t="str">
        <x:v>ZHENG</x:v>
      </x:c>
      <x:c r="D47" s="79" t="n">
        <x:v>41</x:v>
      </x:c>
      <x:c r="E47" s="74" t="str">
        <x:v>V1.0</x:v>
      </x:c>
      <x:c r="F47" s="68" t="str">
        <x:v>戊癸组合一方重复的争合候选</x:v>
      </x:c>
      <x:c r="G47" s="82" t="str">
        <x:v>识别层</x:v>
      </x:c>
      <x:c r="H47" s="82" t="str">
        <x:v>争合</x:v>
      </x:c>
      <x:c r="I47" s="68" t="str">
        <x:v>戊、癸及其中一方重复</x:v>
      </x:c>
      <x:c r="J47" s="82" t="str">
        <x:v>其他</x:v>
      </x:c>
      <x:c r="K47" s="82" t="str">
        <x:v>完整</x:v>
      </x:c>
      <x:c r="L47" s="68" t="str">
        <x:v>争合结构的存在不以月令为条件；月令只影响后续哪一关系更有作用。</x:v>
      </x:c>
      <x:c r="M47" s="68" t="str">
        <x:v>重复干与配对干均须在天干明现；根气不决定争合结构是否存在。</x:v>
      </x:c>
      <x:c r="N47" s="82" t="str">
        <x:v>火</x:v>
      </x:c>
      <x:c r="O47" s="68" t="str">
        <x:v>同时逐一列出每一组戊癸五合实例，并检查隔合、遥合与第三干克制。</x:v>
      </x:c>
      <x:c r="P47" s="68" t="str">
        <x:v>四柱天干已按年、月、日、时标准化并保留柱位。</x:v>
      </x:c>
      <x:c r="Q47" s="68" t="str">
        <x:v>天干中戊至少出现两次且癸至少一次，或癸至少出现两次且戊至少一次。</x:v>
      </x:c>
      <x:c r="R47" s="68" t="str">
        <x:v>重复干分居配对干两侧、多个实例均相邻时，争合结构更直观。</x:v>
      </x:c>
      <x:c r="S47" s="68" t="str">
        <x:v>某一实例遥隔或受其他关系牵连时，只降低后续作用确定性，不否定争合候选。</x:v>
      </x:c>
      <x:c r="T47" s="90" t="str">
        <x:v>戊与癸均只出现一次，或缺少其中一方。</x:v>
      </x:c>
      <x:c r="U47" s="68" t="str">
        <x:v>“争合”与“妒合”在部分流派中近义；本库优先用争合描述可计数的多对一合关系。</x:v>
      </x:c>
      <x:c r="V47" s="68" t="str">
        <x:v>原局存在戊癸组合的多对一或一对多争合候选。</x:v>
      </x:c>
      <x:c r="W47" s="68" t="str">
        <x:v>不得直接判断哪一干争胜、哪一干被合去，也不得据此删除任何天干。</x:v>
      </x:c>
      <x:c r="X47" s="82" t="str">
        <x:v>P1_高</x:v>
      </x:c>
      <x:c r="Y47" s="82" t="str">
        <x:v>硬约束</x:v>
      </x:c>
      <x:c r="Z47" s="84" t="str">
        <x:v>戊癸争合</x:v>
      </x:c>
      <x:c r="AA47" s="84" t="str">
        <x:v>戊癸配对中有一方重复出现，登记争合候选，并按柱位拆分所有戊癸合实例；胜负与实际牵制转M06。</x:v>
      </x:c>
      <x:c r="AB47" s="82" t="str">
        <x:v>较高</x:v>
      </x:c>
      <x:c r="AC47" s="82" t="str">
        <x:v>现代综合</x:v>
      </x:c>
      <x:c r="AD47" s="68" t="str">
        <x:v>当五合配对的一方重复出现时，会形成多个共享同一节点的合关系；结构可客观计数，效应仍需另判。</x:v>
      </x:c>
      <x:c r="AE47" s="68" t="str">
        <x:v>天干见两个戊与一个癸，形成两组共享癸的戊癸合实例。</x:v>
      </x:c>
      <x:c r="AF47" s="90" t="str">
        <x:v>天干仅见一个戊与一个癸，只能登记普通五合，不能标争合。</x:v>
      </x:c>
      <x:c r="AG47" s="68" t="str">
        <x:v>内部结构化规则：识别层与效应层分离；https://zh.wikisource.org/wiki/淵海子平；https://zh.wikisource.org/zh-hans/三命通會_(四庫全書本)</x:v>
      </x:c>
      <x:c r="AH47" s="82" t="str">
        <x:v>采用</x:v>
      </x:c>
      <x:c r="AI47" s="82" t="str">
        <x:v>初审</x:v>
      </x:c>
      <x:c r="AJ47" s="87" t="n">
        <x:v>46255</x:v>
      </x:c>
    </x:row>
    <x:row r="48">
      <x:c r="A48" s="72" t="str">
        <x:f>IF(OR(C48="",D48=""),"",B48&amp;"-"&amp;UPPER(C48)&amp;"-"&amp;TEXT(D48,"0000")&amp;"-"&amp;E48)</x:f>
        <x:v>M04-ZHENG-0042-V1.0</x:v>
      </x:c>
      <x:c r="B48" s="74" t="str">
        <x:v>M04</x:v>
      </x:c>
      <x:c r="C48" s="74" t="str">
        <x:v>ZHENG</x:v>
      </x:c>
      <x:c r="D48" s="79" t="n">
        <x:v>42</x:v>
      </x:c>
      <x:c r="E48" s="74" t="str">
        <x:v>V1.0</x:v>
      </x:c>
      <x:c r="F48" s="68" t="str">
        <x:v>多重争合关系按柱位实例化计数</x:v>
      </x:c>
      <x:c r="G48" s="82" t="str">
        <x:v>识别层</x:v>
      </x:c>
      <x:c r="H48" s="82" t="str">
        <x:v>争合</x:v>
      </x:c>
      <x:c r="I48" s="68" t="str">
        <x:v>任一五合配对及重复干</x:v>
      </x:c>
      <x:c r="J48" s="82" t="str">
        <x:v>其他</x:v>
      </x:c>
      <x:c r="K48" s="82" t="str">
        <x:v>完整</x:v>
      </x:c>
      <x:c r="L48" s="68" t="str">
        <x:v>关系存在不以月令为必要条件；月令只供后续判断实际效应或合化。</x:v>
      </x:c>
      <x:c r="M48" s="68" t="str">
        <x:v>参与干须在四柱天干明现；根气与透干强弱不作为关系存在的必要条件。</x:v>
      </x:c>
      <x:c r="N48" s="82"/>
      <x:c r="O48" s="68" t="str">
        <x:v>检查是否另有五合、相克、重复干或多重关系。</x:v>
      </x:c>
      <x:c r="P48" s="68" t="str">
        <x:v>四柱天干已按年、月、日、时标准化并保留柱位。</x:v>
      </x:c>
      <x:c r="Q48" s="68" t="str">
        <x:v>五合配对至少一方在不同柱位重复出现，并已生成两条或以上共享节点的五合关系。</x:v>
      </x:c>
      <x:c r="R48" s="68" t="str">
        <x:v>位置相邻、关系单一时，关系实例更清楚；仅作为后续效应判断信息。</x:v>
      </x:c>
      <x:c r="S48" s="68" t="str">
        <x:v>隔位、遥隔或多方重复时，结构更复杂，但不自动否定关系存在。</x:v>
      </x:c>
      <x:c r="T48" s="90" t="str"/>
      <x:c r="U48" s="68" t="str">
        <x:v>实际合绊、合化、制化与力量变化统一转M06判断。</x:v>
      </x:c>
      <x:c r="V48" s="68" t="str">
        <x:v>每一对具体柱位构成一个独立关系实例，并附加同一争合组编号。</x:v>
      </x:c>
      <x:c r="W48" s="68" t="str">
        <x:v>不得把多个关系实例压缩后丢失柱位，也不得用关系数量直接换算力量。</x:v>
      </x:c>
      <x:c r="X48" s="82" t="str">
        <x:v>P0_硬约束</x:v>
      </x:c>
      <x:c r="Y48" s="82" t="str">
        <x:v>硬约束</x:v>
      </x:c>
      <x:c r="Z48" s="84" t="str">
        <x:v>争合实例计数</x:v>
      </x:c>
      <x:c r="AA48" s="84" t="str">
        <x:v>对重复天干逐柱生成关系边，并以同一争合组关联；数量只表示结构复杂度，不表示胜负。</x:v>
      </x:c>
      <x:c r="AB48" s="82" t="str">
        <x:v>确定</x:v>
      </x:c>
      <x:c r="AC48" s="82" t="str">
        <x:v>跨流派共识</x:v>
      </x:c>
      <x:c r="AD48" s="68" t="str">
        <x:v>知识库需要保留关系图的节点与边，才能让M06逐对象判断实际效应。</x:v>
      </x:c>
      <x:c r="AE48" s="68" t="str">
        <x:v>年干甲、月干己、时干甲，应登记年甲—月己与时甲—月己两条关系。</x:v>
      </x:c>
      <x:c r="AF48" s="90" t="str">
        <x:v>只写“甲己争合”而不保存哪一柱与哪一柱相合，无法支持后续效应判断。</x:v>
      </x:c>
      <x:c r="AG48" s="68" t="str">
        <x:v>内部结构化规则：识别层与效应层分离；https://zh.wikisource.org/wiki/淵海子平；https://zh.wikisource.org/zh-hans/三命通會_(四庫全書本)</x:v>
      </x:c>
      <x:c r="AH48" s="82" t="str">
        <x:v>采用</x:v>
      </x:c>
      <x:c r="AI48" s="82" t="str">
        <x:v>初审</x:v>
      </x:c>
      <x:c r="AJ48" s="87" t="n">
        <x:v>46255</x:v>
      </x:c>
    </x:row>
    <x:row r="49">
      <x:c r="A49" s="72" t="str">
        <x:f>IF(OR(C49="",D49=""),"",B49&amp;"-"&amp;UPPER(C49)&amp;"-"&amp;TEXT(D49,"0000")&amp;"-"&amp;E49)</x:f>
        <x:v>M04-DUHE-0043-V1.0</x:v>
      </x:c>
      <x:c r="B49" s="74" t="str">
        <x:v>M04</x:v>
      </x:c>
      <x:c r="C49" s="74" t="str">
        <x:v>DUHE</x:v>
      </x:c>
      <x:c r="D49" s="79" t="n">
        <x:v>43</x:v>
      </x:c>
      <x:c r="E49" s="74" t="str">
        <x:v>V1.0</x:v>
      </x:c>
      <x:c r="F49" s="68" t="str">
        <x:v>妒合标签的流派边界</x:v>
      </x:c>
      <x:c r="G49" s="82" t="str">
        <x:v>识别层</x:v>
      </x:c>
      <x:c r="H49" s="82" t="str">
        <x:v>妒合</x:v>
      </x:c>
      <x:c r="I49" s="68" t="str">
        <x:v>一干被同类配对干竞争</x:v>
      </x:c>
      <x:c r="J49" s="82" t="str">
        <x:v>其他</x:v>
      </x:c>
      <x:c r="K49" s="82" t="str">
        <x:v>待定</x:v>
      </x:c>
      <x:c r="L49" s="68" t="str">
        <x:v>妒合术语的使用不以月令为条件。</x:v>
      </x:c>
      <x:c r="M49" s="68" t="str">
        <x:v>先按明现天干建立可计数的五合与争合关系。</x:v>
      </x:c>
      <x:c r="N49" s="82"/>
      <x:c r="O49" s="68" t="str">
        <x:v>与争合标签并列记录时，必须注明采用流派及术语定义。</x:v>
      </x:c>
      <x:c r="P49" s="68" t="str">
        <x:v>四柱天干已按年、月、日、时标准化并保留柱位。</x:v>
      </x:c>
      <x:c r="Q49" s="68" t="str">
        <x:v>所采用的流派明确把多干竞争同一合干称为妒合，且基础五合关系真实存在。</x:v>
      </x:c>
      <x:c r="R49" s="68" t="str">
        <x:v>结构为两同类干夹合一干时，部分流派更常使用妒合称谓。</x:v>
      </x:c>
      <x:c r="S49" s="68" t="str">
        <x:v>不同流派对争合、妒合的界线不一致。</x:v>
      </x:c>
      <x:c r="T49" s="90" t="str">
        <x:v>基础五合不存在，或仅凭主观心理象义使用妒合标签。</x:v>
      </x:c>
      <x:c r="U49" s="68" t="str">
        <x:v>本库核心计算统一依赖关系实例与争合组，不依赖妒合名称。</x:v>
      </x:c>
      <x:c r="V49" s="68" t="str">
        <x:v>可附加妒合流派标签，但不得替代基础五合和争合实例。</x:v>
      </x:c>
      <x:c r="W49" s="68" t="str">
        <x:v>不得因“妒”字直接推断人物心理、婚外情、竞争结果或吉凶。</x:v>
      </x:c>
      <x:c r="X49" s="82" t="str">
        <x:v>P2_中</x:v>
      </x:c>
      <x:c r="Y49" s="82" t="str">
        <x:v>辅助证据</x:v>
      </x:c>
      <x:c r="Z49" s="84" t="str">
        <x:v>妒合术语边界</x:v>
      </x:c>
      <x:c r="AA49" s="84" t="str">
        <x:v>该结构在部分流派可称妒合；本库仍以具体五合实例和争合组作为计算依据。</x:v>
      </x:c>
      <x:c r="AB49" s="82" t="str">
        <x:v>中等</x:v>
      </x:c>
      <x:c r="AC49" s="82" t="str">
        <x:v>待定</x:v>
      </x:c>
      <x:c r="AD49" s="68" t="str">
        <x:v>争合、妒合常被混用；为避免术语差异污染结构判断，名称与可计算关系分离。</x:v>
      </x:c>
      <x:c r="AE49" s="68" t="str">
        <x:v>两甲夹一己，可在保留两条甲己合实例后附加妒合标签。</x:v>
      </x:c>
      <x:c r="AF49" s="90" t="str">
        <x:v>只有一甲一己时，不应仅因关系重要就称妒合。</x:v>
      </x:c>
      <x:c r="AG49" s="68" t="str">
        <x:v>内部结构化规则：识别层与效应层分离；https://zh.wikisource.org/wiki/淵海子平；https://zh.wikisource.org/zh-hans/三命通會_(四庫全書本)</x:v>
      </x:c>
      <x:c r="AH49" s="82" t="str">
        <x:v>待验证</x:v>
      </x:c>
      <x:c r="AI49" s="82" t="str">
        <x:v>初审</x:v>
      </x:c>
      <x:c r="AJ49" s="87" t="n">
        <x:v>46255</x:v>
      </x:c>
    </x:row>
    <x:row r="50">
      <x:c r="A50" s="72" t="str">
        <x:f>IF(OR(C50="",D50=""),"",B50&amp;"-"&amp;UPPER(C50)&amp;"-"&amp;TEXT(D50,"0000")&amp;"-"&amp;E50)</x:f>
        <x:v>M04-GEHE-0044-V1.0</x:v>
      </x:c>
      <x:c r="B50" s="74" t="str">
        <x:v>M04</x:v>
      </x:c>
      <x:c r="C50" s="74" t="str">
        <x:v>GEHE</x:v>
      </x:c>
      <x:c r="D50" s="79" t="n">
        <x:v>44</x:v>
      </x:c>
      <x:c r="E50" s="74" t="str">
        <x:v>V1.0</x:v>
      </x:c>
      <x:c r="F50" s="68" t="str">
        <x:v>隔合关系识别</x:v>
      </x:c>
      <x:c r="G50" s="82" t="str">
        <x:v>识别层</x:v>
      </x:c>
      <x:c r="H50" s="82" t="str">
        <x:v>隔合</x:v>
      </x:c>
      <x:c r="I50" s="68" t="str">
        <x:v>任一天干五合配对</x:v>
      </x:c>
      <x:c r="J50" s="82" t="str">
        <x:v>隔位</x:v>
      </x:c>
      <x:c r="K50" s="82" t="str">
        <x:v>完整</x:v>
      </x:c>
      <x:c r="L50" s="68" t="str">
        <x:v>关系存在不以月令为必要条件；月令只供后续判断实际效应或合化。</x:v>
      </x:c>
      <x:c r="M50" s="68" t="str">
        <x:v>参与干须在四柱天干明现；根气与透干强弱不作为关系存在的必要条件。</x:v>
      </x:c>
      <x:c r="N50" s="82"/>
      <x:c r="O50" s="68" t="str">
        <x:v>检查是否另有五合、相克、重复干或多重关系。</x:v>
      </x:c>
      <x:c r="P50" s="68" t="str">
        <x:v>四柱天干已按年、月、日、时标准化并保留柱位。</x:v>
      </x:c>
      <x:c r="Q50" s="68" t="str">
        <x:v>五合配对分别位于年日或月时，两干之间隔一柱。</x:v>
      </x:c>
      <x:c r="R50" s="68" t="str">
        <x:v>基础五合配对清楚且无同类重复时，隔合实例容易唯一定位。</x:v>
      </x:c>
      <x:c r="S50" s="68" t="str">
        <x:v>出现争合或同类干重复时，须按柱位拆分多个实例。</x:v>
      </x:c>
      <x:c r="T50" s="90" t="str">
        <x:v>两干不属于五合配对，或实际位置并非隔位。</x:v>
      </x:c>
      <x:c r="U50" s="68" t="str">
        <x:v>隔位只描述位置；是否仍有实际合绊、合动或合化转M06。</x:v>
      </x:c>
      <x:c r="V50" s="68" t="str">
        <x:v>该五合实例标记为隔合。</x:v>
      </x:c>
      <x:c r="W50" s="68" t="str">
        <x:v>不得因隔位直接判为完全不合，也不得直接判合力固定减半。</x:v>
      </x:c>
      <x:c r="X50" s="82" t="str">
        <x:v>P1_高</x:v>
      </x:c>
      <x:c r="Y50" s="82" t="str">
        <x:v>辅助证据</x:v>
      </x:c>
      <x:c r="Z50" s="84" t="str">
        <x:v>隔合识别</x:v>
      </x:c>
      <x:c r="AA50" s="84" t="str">
        <x:v>该五合发生于年日或月时，标记为隔合；位置会影响后续作用评估，但不否定关系存在。</x:v>
      </x:c>
      <x:c r="AB50" s="82" t="str">
        <x:v>较高</x:v>
      </x:c>
      <x:c r="AC50" s="82" t="str">
        <x:v>现代综合</x:v>
      </x:c>
      <x:c r="AD50" s="68" t="str">
        <x:v>隔合是对五合柱位距离的描述，不是独立的化学式或固定力量系数。</x:v>
      </x:c>
      <x:c r="AE50" s="68" t="str">
        <x:v>年干甲、日干己，识别甲己合并附加隔合标签。</x:v>
      </x:c>
      <x:c r="AF50" s="90" t="str">
        <x:v>年干甲、月干己为相邻，不标隔合。</x:v>
      </x:c>
      <x:c r="AG50" s="68" t="str">
        <x:v>内部结构化规则：识别层与效应层分离；https://zh.wikisource.org/wiki/淵海子平；https://zh.wikisource.org/zh-hans/三命通會_(四庫全書本)</x:v>
      </x:c>
      <x:c r="AH50" s="82" t="str">
        <x:v>采用</x:v>
      </x:c>
      <x:c r="AI50" s="82" t="str">
        <x:v>初审</x:v>
      </x:c>
      <x:c r="AJ50" s="87" t="n">
        <x:v>46255</x:v>
      </x:c>
    </x:row>
    <x:row r="51">
      <x:c r="A51" s="72" t="str">
        <x:f>IF(OR(C51="",D51=""),"",B51&amp;"-"&amp;UPPER(C51)&amp;"-"&amp;TEXT(D51,"0000")&amp;"-"&amp;E51)</x:f>
        <x:v>M04-YAOHE-0045-V1.0</x:v>
      </x:c>
      <x:c r="B51" s="74" t="str">
        <x:v>M04</x:v>
      </x:c>
      <x:c r="C51" s="74" t="str">
        <x:v>YAOHE</x:v>
      </x:c>
      <x:c r="D51" s="79" t="n">
        <x:v>45</x:v>
      </x:c>
      <x:c r="E51" s="74" t="str">
        <x:v>V1.0</x:v>
      </x:c>
      <x:c r="F51" s="68" t="str">
        <x:v>遥合关系识别</x:v>
      </x:c>
      <x:c r="G51" s="82" t="str">
        <x:v>识别层</x:v>
      </x:c>
      <x:c r="H51" s="82" t="str">
        <x:v>遥合</x:v>
      </x:c>
      <x:c r="I51" s="68" t="str">
        <x:v>任一天干五合配对</x:v>
      </x:c>
      <x:c r="J51" s="82" t="str">
        <x:v>遥隔</x:v>
      </x:c>
      <x:c r="K51" s="82" t="str">
        <x:v>完整</x:v>
      </x:c>
      <x:c r="L51" s="68" t="str">
        <x:v>关系存在不以月令为必要条件；月令只供后续判断实际效应或合化。</x:v>
      </x:c>
      <x:c r="M51" s="68" t="str">
        <x:v>参与干须在四柱天干明现；根气与透干强弱不作为关系存在的必要条件。</x:v>
      </x:c>
      <x:c r="N51" s="82"/>
      <x:c r="O51" s="68" t="str">
        <x:v>检查是否另有五合、相克、重复干或多重关系。</x:v>
      </x:c>
      <x:c r="P51" s="68" t="str">
        <x:v>四柱天干已按年、月、日、时标准化并保留柱位。</x:v>
      </x:c>
      <x:c r="Q51" s="68" t="str">
        <x:v>五合配对分别位于年柱与时柱，跨越月、日两柱。</x:v>
      </x:c>
      <x:c r="R51" s="68" t="str">
        <x:v>基础五合配对唯一且无重复干时，遥合实例可明确定位。</x:v>
      </x:c>
      <x:c r="S51" s="68" t="str">
        <x:v>中间天干另有合克或两端重复时，后续效应更不确定。</x:v>
      </x:c>
      <x:c r="T51" s="90" t="str">
        <x:v>两干不属于五合配对，或实际位置不是年时。</x:v>
      </x:c>
      <x:c r="U51" s="68" t="str">
        <x:v>遥隔只表示距离最远；仍须保留关系候选并转M06判断是否有实际作用。</x:v>
      </x:c>
      <x:c r="V51" s="68" t="str">
        <x:v>该五合实例标记为遥合。</x:v>
      </x:c>
      <x:c r="W51" s="68" t="str">
        <x:v>不得因遥隔直接删除合关系，也不得认定必然无效。</x:v>
      </x:c>
      <x:c r="X51" s="82" t="str">
        <x:v>P1_高</x:v>
      </x:c>
      <x:c r="Y51" s="82" t="str">
        <x:v>辅助证据</x:v>
      </x:c>
      <x:c r="Z51" s="84" t="str">
        <x:v>遥合识别</x:v>
      </x:c>
      <x:c r="AA51" s="84" t="str">
        <x:v>该五合发生于年时两端，标记为遥合；关系存在，实际牵制与合化条件待M06核验。</x:v>
      </x:c>
      <x:c r="AB51" s="82" t="str">
        <x:v>较高</x:v>
      </x:c>
      <x:c r="AC51" s="82" t="str">
        <x:v>现代综合</x:v>
      </x:c>
      <x:c r="AD51" s="68" t="str">
        <x:v>年时为四柱天干距离最远的组合，遥合用于保存这一位置特征。</x:v>
      </x:c>
      <x:c r="AE51" s="68" t="str">
        <x:v>年干丁、时干壬，登记丁壬合并标记遥合。</x:v>
      </x:c>
      <x:c r="AF51" s="90" t="str">
        <x:v>月干丁、时干壬为隔位，不标遥合。</x:v>
      </x:c>
      <x:c r="AG51" s="68" t="str">
        <x:v>内部结构化规则：识别层与效应层分离；https://zh.wikisource.org/wiki/淵海子平；https://zh.wikisource.org/zh-hans/三命通會_(四庫全書本)</x:v>
      </x:c>
      <x:c r="AH51" s="82" t="str">
        <x:v>采用</x:v>
      </x:c>
      <x:c r="AI51" s="82" t="str">
        <x:v>初审</x:v>
      </x:c>
      <x:c r="AJ51" s="87" t="n">
        <x:v>46255</x:v>
      </x:c>
    </x:row>
    <x:row r="52">
      <x:c r="A52" s="72" t="str">
        <x:f>IF(OR(C52="",D52=""),"",B52&amp;"-"&amp;UPPER(C52)&amp;"-"&amp;TEXT(D52,"0000")&amp;"-"&amp;E52)</x:f>
        <x:v>M04-OVER-0046-V1.0</x:v>
      </x:c>
      <x:c r="B52" s="74" t="str">
        <x:v>M04</x:v>
      </x:c>
      <x:c r="C52" s="74" t="str">
        <x:v>OVER</x:v>
      </x:c>
      <x:c r="D52" s="79" t="n">
        <x:v>46</x:v>
      </x:c>
      <x:c r="E52" s="74" t="str">
        <x:v>V1.0</x:v>
      </x:c>
      <x:c r="F52" s="68" t="str">
        <x:v>天干合与克同时关系独立列出</x:v>
      </x:c>
      <x:c r="G52" s="82" t="str">
        <x:v>识别层</x:v>
      </x:c>
      <x:c r="H52" s="82" t="str">
        <x:v>其他</x:v>
      </x:c>
      <x:c r="I52" s="68" t="str">
        <x:v>任意三个及以上天干</x:v>
      </x:c>
      <x:c r="J52" s="82" t="str">
        <x:v>其他</x:v>
      </x:c>
      <x:c r="K52" s="82" t="str">
        <x:v>完整</x:v>
      </x:c>
      <x:c r="L52" s="68" t="str">
        <x:v>关系存在不以月令为必要条件；月令只供后续判断实际效应或合化。</x:v>
      </x:c>
      <x:c r="M52" s="68" t="str">
        <x:v>参与干须在四柱天干明现；根气与透干强弱不作为关系存在的必要条件。</x:v>
      </x:c>
      <x:c r="N52" s="82"/>
      <x:c r="O52" s="68" t="str">
        <x:v>检查是否另有五合、相克、重复干或多重关系。</x:v>
      </x:c>
      <x:c r="P52" s="68" t="str">
        <x:v>四柱天干已按年、月、日、时标准化并保留柱位。</x:v>
      </x:c>
      <x:c r="Q52" s="68" t="str">
        <x:v>同一天干同时参与至少一条五合关系和一条相克关系，或多个天干间并存合克。</x:v>
      </x:c>
      <x:c r="R52" s="68" t="str">
        <x:v>各参与干柱位明确，关系图可逐边标注。</x:v>
      </x:c>
      <x:c r="S52" s="68" t="str">
        <x:v>重复干较多时需防止把不同柱位误合并。</x:v>
      </x:c>
      <x:c r="T52" s="90" t="str">
        <x:v>只存在单一关系，或基础配对不成立。</x:v>
      </x:c>
      <x:c r="U52" s="68" t="str">
        <x:v>哪个关系优先、是否因合忘克或贪合忘生属于效应层与组合层问题。</x:v>
      </x:c>
      <x:c r="V52" s="68" t="str">
        <x:v>所有五合与相克关系均独立登记，并保存共享参与干。</x:v>
      </x:c>
      <x:c r="W52" s="68" t="str">
        <x:v>不得在识别层先删除其中一条关系，也不得先判“合优先于克”或“克优先于合”。</x:v>
      </x:c>
      <x:c r="X52" s="82" t="str">
        <x:v>P0_硬约束</x:v>
      </x:c>
      <x:c r="Y52" s="82" t="str">
        <x:v>硬约束</x:v>
      </x:c>
      <x:c r="Z52" s="84" t="str">
        <x:v>合克并存</x:v>
      </x:c>
      <x:c r="AA52" s="84" t="str">
        <x:v>原局天干合克并见；已分别建立关系实例，优先级与实际作用转M06、M11判断。</x:v>
      </x:c>
      <x:c r="AB52" s="82" t="str">
        <x:v>确定</x:v>
      </x:c>
      <x:c r="AC52" s="82" t="str">
        <x:v>跨流派共识</x:v>
      </x:c>
      <x:c r="AD52" s="68" t="str">
        <x:v>关系图可同时包含多条边；识别层负责完整保留，不负责裁决。</x:v>
      </x:c>
      <x:c r="AE52" s="68" t="str">
        <x:v>甲己合同时庚克甲，应同时登记甲己合与庚克甲。</x:v>
      </x:c>
      <x:c r="AF52" s="90" t="str">
        <x:v>因见甲己合就不再记录庚克甲，会丢失客观关系。</x:v>
      </x:c>
      <x:c r="AG52" s="68" t="str">
        <x:v>内部结构化规则：识别层与效应层分离；https://zh.wikisource.org/wiki/淵海子平；https://zh.wikisource.org/zh-hans/三命通會_(四庫全書本)</x:v>
      </x:c>
      <x:c r="AH52" s="82" t="str">
        <x:v>采用</x:v>
      </x:c>
      <x:c r="AI52" s="82" t="str">
        <x:v>初审</x:v>
      </x:c>
      <x:c r="AJ52" s="87" t="n">
        <x:v>46255</x:v>
      </x:c>
    </x:row>
    <x:row r="53">
      <x:c r="A53" s="72" t="str">
        <x:f>IF(OR(C53="",D53=""),"",B53&amp;"-"&amp;UPPER(C53)&amp;"-"&amp;TEXT(D53,"0000")&amp;"-"&amp;E53)</x:f>
        <x:v>M04-BOUND-0047-V1.0</x:v>
      </x:c>
      <x:c r="B53" s="74" t="str">
        <x:v>M04</x:v>
      </x:c>
      <x:c r="C53" s="74" t="str">
        <x:v>BOUND</x:v>
      </x:c>
      <x:c r="D53" s="79" t="n">
        <x:v>47</x:v>
      </x:c>
      <x:c r="E53" s="74" t="str">
        <x:v>V1.0</x:v>
      </x:c>
      <x:c r="F53" s="68" t="str">
        <x:v>藏干不得替代明干建立天干关系</x:v>
      </x:c>
      <x:c r="G53" s="82" t="str">
        <x:v>识别层</x:v>
      </x:c>
      <x:c r="H53" s="82" t="str">
        <x:v>其他</x:v>
      </x:c>
      <x:c r="I53" s="68" t="str">
        <x:v>天干与地支藏干</x:v>
      </x:c>
      <x:c r="J53" s="82" t="str">
        <x:v>其他</x:v>
      </x:c>
      <x:c r="K53" s="82" t="str">
        <x:v>缺失</x:v>
      </x:c>
      <x:c r="L53" s="68" t="str">
        <x:v>不适用。</x:v>
      </x:c>
      <x:c r="M53" s="68" t="str">
        <x:v>藏干是否透出必须明确区分；未透即不属于四柱天干明现。</x:v>
      </x:c>
      <x:c r="N53" s="82"/>
      <x:c r="O53" s="68" t="str">
        <x:v>藏干可在M02、M03、M10中记录存在与根气，但不在本条建立天干合克。</x:v>
      </x:c>
      <x:c r="P53" s="68" t="str">
        <x:v>四柱天干已按年、月、日、时标准化并保留柱位。</x:v>
      </x:c>
      <x:c r="Q53" s="68" t="str">
        <x:v>拟参与关系的一方或双方只存在于地支藏干，未在四柱天干出现。</x:v>
      </x:c>
      <x:c r="R53" s="68"/>
      <x:c r="S53" s="68"/>
      <x:c r="T53" s="90" t="str">
        <x:v>若藏干已经透出为某柱天干，则按实际明干重新识别。</x:v>
      </x:c>
      <x:c r="U53" s="68" t="str">
        <x:v>岁运透出属于D0动态调用，不改写原局明干事实。</x:v>
      </x:c>
      <x:c r="V53" s="68" t="str">
        <x:v>不登记该项天干五合或天干相克实例。</x:v>
      </x:c>
      <x:c r="W53" s="68" t="str">
        <x:v>不得把“藏有某干”写成“天干见某干”，也不得据此判天干合化。</x:v>
      </x:c>
      <x:c r="X53" s="82" t="str">
        <x:v>P0_硬约束</x:v>
      </x:c>
      <x:c r="Y53" s="82" t="str">
        <x:v>否决规则</x:v>
      </x:c>
      <x:c r="Z53" s="84" t="str">
        <x:v>藏干非明干</x:v>
      </x:c>
      <x:c r="AA53" s="84" t="str">
        <x:v>拟参与关系的干只藏于地支、未透天干，因此不构成原局天干合克实例。</x:v>
      </x:c>
      <x:c r="AB53" s="82" t="str">
        <x:v>确定</x:v>
      </x:c>
      <x:c r="AC53" s="82" t="str">
        <x:v>跨流派共识</x:v>
      </x:c>
      <x:c r="AD53" s="68" t="str">
        <x:v>天干关系的参与对象是四柱明干；藏干存在性和透出性必须分层。</x:v>
      </x:c>
      <x:c r="AE53" s="68" t="str">
        <x:v>地支寅藏甲而天干不见甲，不能与天干己直接登记甲己天干合。</x:v>
      </x:c>
      <x:c r="AF53" s="90" t="str">
        <x:v>月干明确为甲且时干为己，应按明干登记甲己合。</x:v>
      </x:c>
      <x:c r="AG53" s="68" t="str">
        <x:v>内部结构化规则：识别层与效应层分离；https://zh.wikisource.org/wiki/淵海子平；https://zh.wikisource.org/zh-hans/三命通會_(四庫全書本)</x:v>
      </x:c>
      <x:c r="AH53" s="82" t="str">
        <x:v>采用</x:v>
      </x:c>
      <x:c r="AI53" s="82" t="str">
        <x:v>初审</x:v>
      </x:c>
      <x:c r="AJ53" s="87" t="n">
        <x:v>46255</x:v>
      </x:c>
    </x:row>
    <x:row r="54">
      <x:c r="A54" s="72" t="str">
        <x:f>IF(OR(C54="",D54=""),"",B54&amp;"-"&amp;UPPER(C54)&amp;"-"&amp;TEXT(D54,"0000")&amp;"-"&amp;E54)</x:f>
        <x:v>M04-BOUND-0048-V1.0</x:v>
      </x:c>
      <x:c r="B54" s="74" t="str">
        <x:v>M04</x:v>
      </x:c>
      <x:c r="C54" s="74" t="str">
        <x:v>BOUND</x:v>
      </x:c>
      <x:c r="D54" s="79" t="n">
        <x:v>48</x:v>
      </x:c>
      <x:c r="E54" s="74" t="str">
        <x:v>V1.0</x:v>
      </x:c>
      <x:c r="F54" s="68" t="str">
        <x:v>相生或同类关系不得误标为五合相克</x:v>
      </x:c>
      <x:c r="G54" s="82" t="str">
        <x:v>识别层</x:v>
      </x:c>
      <x:c r="H54" s="82" t="str">
        <x:v>其他</x:v>
      </x:c>
      <x:c r="I54" s="68" t="str">
        <x:v>任意两天干</x:v>
      </x:c>
      <x:c r="J54" s="82" t="str">
        <x:v>其他</x:v>
      </x:c>
      <x:c r="K54" s="82" t="str">
        <x:v>缺失</x:v>
      </x:c>
      <x:c r="L54" s="68" t="str">
        <x:v>不适用。</x:v>
      </x:c>
      <x:c r="M54" s="68" t="str">
        <x:v>不适用。</x:v>
      </x:c>
      <x:c r="N54" s="82"/>
      <x:c r="O54" s="68" t="str">
        <x:v>相生、同类帮扶可由M07、M10另行记录。</x:v>
      </x:c>
      <x:c r="P54" s="68" t="str">
        <x:v>四柱天干已按年、月、日、时标准化并保留柱位。</x:v>
      </x:c>
      <x:c r="Q54" s="68" t="str">
        <x:v>两干之间仅构成五行相生、同类或无直接五合相克配对。</x:v>
      </x:c>
      <x:c r="R54" s="68"/>
      <x:c r="S54" s="68"/>
      <x:c r="T54" s="90" t="str">
        <x:v>若两干同时满足固定五合或相克配对，则应按对应规则登记。</x:v>
      </x:c>
      <x:c r="U54" s="68" t="str">
        <x:v>本条只是M04的分类边界，不否认相生和同类关系在旺衰中的作用。</x:v>
      </x:c>
      <x:c r="V54" s="68" t="str">
        <x:v>不生成M04天干五合或天干相克条目。</x:v>
      </x:c>
      <x:c r="W54" s="68" t="str">
        <x:v>不得因为两干关系密切就泛称相合，也不得把生扶误写成克制。</x:v>
      </x:c>
      <x:c r="X54" s="82" t="str">
        <x:v>P0_硬约束</x:v>
      </x:c>
      <x:c r="Y54" s="82" t="str">
        <x:v>否决规则</x:v>
      </x:c>
      <x:c r="Z54" s="84" t="str">
        <x:v>关系分类边界</x:v>
      </x:c>
      <x:c r="AA54" s="84" t="str">
        <x:v>该两干不属于天干五合或相克配对；其相生或同类作用转旺衰、十神模块处理。</x:v>
      </x:c>
      <x:c r="AB54" s="82" t="str">
        <x:v>确定</x:v>
      </x:c>
      <x:c r="AC54" s="82" t="str">
        <x:v>跨流派共识</x:v>
      </x:c>
      <x:c r="AD54" s="68" t="str">
        <x:v>五合与相克均有固定配对或方向，不能用泛化“有关系”替代精确分类。</x:v>
      </x:c>
      <x:c r="AE54" s="68" t="str">
        <x:v>甲与丙为木生火，不登记天干五合或相克。</x:v>
      </x:c>
      <x:c r="AF54" s="90" t="str">
        <x:v>庚与甲为金克木，应登记庚克甲，不能仅写“有关系”。</x:v>
      </x:c>
      <x:c r="AG54" s="68" t="str">
        <x:v>内部结构化规则：识别层与效应层分离；https://zh.wikisource.org/wiki/淵海子平；https://zh.wikisource.org/zh-hans/三命通會_(四庫全書本)</x:v>
      </x:c>
      <x:c r="AH54" s="82" t="str">
        <x:v>采用</x:v>
      </x:c>
      <x:c r="AI54" s="82" t="str">
        <x:v>初审</x:v>
      </x:c>
      <x:c r="AJ54" s="87" t="n">
        <x:v>46255</x:v>
      </x:c>
    </x:row>
    <x:row r="55">
      <x:c r="A55" s="72" t="str">
        <x:f>IF(OR(C55="",D55=""),"",B55&amp;"-"&amp;UPPER(C55)&amp;"-"&amp;TEXT(D55,"0000")&amp;"-"&amp;E55)</x:f>
        <x:v>M04-BOUND-0049-V1.0</x:v>
      </x:c>
      <x:c r="B55" s="74" t="str">
        <x:v>M04</x:v>
      </x:c>
      <x:c r="C55" s="74" t="str">
        <x:v>BOUND</x:v>
      </x:c>
      <x:c r="D55" s="79" t="n">
        <x:v>49</x:v>
      </x:c>
      <x:c r="E55" s="74" t="str">
        <x:v>V1.0</x:v>
      </x:c>
      <x:c r="F55" s="68" t="str">
        <x:v>同类天干重复时按柱位保留独立节点</x:v>
      </x:c>
      <x:c r="G55" s="82" t="str">
        <x:v>识别层</x:v>
      </x:c>
      <x:c r="H55" s="82" t="str">
        <x:v>其他</x:v>
      </x:c>
      <x:c r="I55" s="68" t="str">
        <x:v>任一重复天干</x:v>
      </x:c>
      <x:c r="J55" s="82" t="str">
        <x:v>其他</x:v>
      </x:c>
      <x:c r="K55" s="82" t="str">
        <x:v>完整</x:v>
      </x:c>
      <x:c r="L55" s="68" t="str">
        <x:v>不适用。</x:v>
      </x:c>
      <x:c r="M55" s="68" t="str">
        <x:v>同名天干可能根气不同，必须保留各自柱位。</x:v>
      </x:c>
      <x:c r="N55" s="82"/>
      <x:c r="O55" s="68" t="str">
        <x:v>对每个独立节点分别生成与其他天干的五合、相克关系。</x:v>
      </x:c>
      <x:c r="P55" s="68" t="str">
        <x:v>四柱天干已按年、月、日、时标准化并保留柱位。</x:v>
      </x:c>
      <x:c r="Q55" s="68" t="str">
        <x:v>同一天干在年、月、日、时中出现两次或以上。</x:v>
      </x:c>
      <x:c r="R55" s="68" t="str">
        <x:v>柱位清楚且各节点关系可唯一配对。</x:v>
      </x:c>
      <x:c r="S55" s="68" t="str">
        <x:v>不得因名称相同而合并为一个抽象节点。</x:v>
      </x:c>
      <x:c r="T55" s="90" t="str">
        <x:v>该天干只出现一次。</x:v>
      </x:c>
      <x:c r="U55" s="68" t="str">
        <x:v>汇总统计时可以计数，但底层关系图仍保留逐柱节点。</x:v>
      </x:c>
      <x:c r="V55" s="68" t="str">
        <x:v>重复天干按不同柱位分别编号，不合并。</x:v>
      </x:c>
      <x:c r="W55" s="68" t="str">
        <x:v>不得把一个天干节点的合克作用复制给全部同名天干，也不得丢失位置差异。</x:v>
      </x:c>
      <x:c r="X55" s="82" t="str">
        <x:v>P0_硬约束</x:v>
      </x:c>
      <x:c r="Y55" s="82" t="str">
        <x:v>硬约束</x:v>
      </x:c>
      <x:c r="Z55" s="84" t="str">
        <x:v>重复干节点</x:v>
      </x:c>
      <x:c r="AA55" s="84" t="str">
        <x:v>原局存在同名天干重复；已按柱位拆分独立节点，再分别建立关系。</x:v>
      </x:c>
      <x:c r="AB55" s="82" t="str">
        <x:v>确定</x:v>
      </x:c>
      <x:c r="AC55" s="82" t="str">
        <x:v>现代综合</x:v>
      </x:c>
      <x:c r="AD55" s="68" t="str">
        <x:v>结构化关系判断必须区分年甲、月甲、日甲、时甲，避免错误共享关系。</x:v>
      </x:c>
      <x:c r="AE55" s="68" t="str">
        <x:v>年甲与时甲分别作为两个节点，与月己形成两条甲己合实例。</x:v>
      </x:c>
      <x:c r="AF55" s="90" t="str">
        <x:v>把年甲和时甲合并为一个“甲”，会遗漏争合和位置差异。</x:v>
      </x:c>
      <x:c r="AG55" s="68" t="str">
        <x:v>内部结构化规则：识别层与效应层分离；https://zh.wikisource.org/wiki/淵海子平；https://zh.wikisource.org/zh-hans/三命通會_(四庫全書本)</x:v>
      </x:c>
      <x:c r="AH55" s="82" t="str">
        <x:v>采用</x:v>
      </x:c>
      <x:c r="AI55" s="82" t="str">
        <x:v>初审</x:v>
      </x:c>
      <x:c r="AJ55" s="87" t="n">
        <x:v>46255</x:v>
      </x:c>
    </x:row>
    <x:row r="56">
      <x:c r="A56" s="72" t="str">
        <x:f>IF(OR(C56="",D56=""),"",B56&amp;"-"&amp;UPPER(C56)&amp;"-"&amp;TEXT(D56,"0000")&amp;"-"&amp;E56)</x:f>
        <x:v>M04-BOUND-0050-V1.0</x:v>
      </x:c>
      <x:c r="B56" s="74" t="str">
        <x:v>M04</x:v>
      </x:c>
      <x:c r="C56" s="74" t="str">
        <x:v>BOUND</x:v>
      </x:c>
      <x:c r="D56" s="79" t="n">
        <x:v>50</x:v>
      </x:c>
      <x:c r="E56" s="74" t="str">
        <x:v>V1.0</x:v>
      </x:c>
      <x:c r="F56" s="68" t="str">
        <x:v>天干识别层不得替代实际效应判断</x:v>
      </x:c>
      <x:c r="G56" s="82" t="str">
        <x:v>识别层</x:v>
      </x:c>
      <x:c r="H56" s="82" t="str">
        <x:v>其他</x:v>
      </x:c>
      <x:c r="I56" s="68" t="str">
        <x:v>全部天干关系</x:v>
      </x:c>
      <x:c r="J56" s="82" t="str">
        <x:v>其他</x:v>
      </x:c>
      <x:c r="K56" s="82" t="str">
        <x:v>待定</x:v>
      </x:c>
      <x:c r="L56" s="68" t="str">
        <x:v>月令、根气、旺衰用于效应层，不改变已识别的基础配对事实。</x:v>
      </x:c>
      <x:c r="M56" s="68" t="str">
        <x:v>根气与透干强弱只作为后续效应条件。</x:v>
      </x:c>
      <x:c r="N56" s="82"/>
      <x:c r="O56" s="68" t="str">
        <x:v>所有合、克、争合、隔合、遥合关系完整传递至M06。</x:v>
      </x:c>
      <x:c r="P56" s="68" t="str">
        <x:v>四柱天干已按年、月、日、时标准化并保留柱位。</x:v>
      </x:c>
      <x:c r="Q56" s="68" t="str">
        <x:v>M04已经识别出至少一条天干关系。</x:v>
      </x:c>
      <x:c r="R56" s="68"/>
      <x:c r="S56" s="68"/>
      <x:c r="T56" s="90" t="str">
        <x:v>无关系实例时不生成效应任务。</x:v>
      </x:c>
      <x:c r="U56" s="68" t="str">
        <x:v>否决条件只可否决错误配对，不能用效应未成立反向删除客观配对。</x:v>
      </x:c>
      <x:c r="V56" s="68" t="str">
        <x:v>输出关系清单、柱位、完整度与候选；效应状态统一标记为待M06。</x:v>
      </x:c>
      <x:c r="W56" s="68" t="str">
        <x:v>不得在M04直接输出合化成立、合绊、合住、贪合忘生、某干减力或喜忌用神。</x:v>
      </x:c>
      <x:c r="X56" s="82" t="str">
        <x:v>P0_硬约束</x:v>
      </x:c>
      <x:c r="Y56" s="82" t="str">
        <x:v>硬约束</x:v>
      </x:c>
      <x:c r="Z56" s="84" t="str">
        <x:v>识别效应分层</x:v>
      </x:c>
      <x:c r="AA56" s="84" t="str">
        <x:v>天干关系已经客观识别；所有力量变化、制化优先级和合化成败转M06及后续模块判断。</x:v>
      </x:c>
      <x:c r="AB56" s="82" t="str">
        <x:v>确定</x:v>
      </x:c>
      <x:c r="AC56" s="82" t="str">
        <x:v>现代综合</x:v>
      </x:c>
      <x:c r="AD56" s="68" t="str">
        <x:v>识别层与效应层分离是本知识库的核心治理原则。</x:v>
      </x:c>
      <x:c r="AE56" s="68" t="str">
        <x:v>见甲己只输出甲己合候选，不直接写甲木被合弱或已化土。</x:v>
      </x:c>
      <x:c r="AF56" s="90" t="str">
        <x:v>一识别甲己合就删除甲木力量，属于越层推断。</x:v>
      </x:c>
      <x:c r="AG56" s="68" t="str">
        <x:v>内部结构化规则：识别层与效应层分离；https://zh.wikisource.org/wiki/淵海子平；https://zh.wikisource.org/zh-hans/三命通會_(四庫全書本)</x:v>
      </x:c>
      <x:c r="AH56" s="82" t="str">
        <x:v>采用</x:v>
      </x:c>
      <x:c r="AI56" s="82" t="str">
        <x:v>初审</x:v>
      </x:c>
      <x:c r="AJ56" s="87" t="n">
        <x:v>46255</x:v>
      </x:c>
    </x:row>
    <x:row r="57">
      <x:c r="A57" s="72" t="str">
        <x:f>IF(OR(C57="",D57=""),"",B57&amp;"-"&amp;UPPER(C57)&amp;"-"&amp;TEXT(D57,"0000")&amp;"-"&amp;E57)</x:f>
      </x:c>
      <x:c r="B57" s="74" t="str">
        <x:v>M04</x:v>
      </x:c>
      <x:c r="C57" s="74"/>
      <x:c r="D57" s="79"/>
      <x:c r="E57" s="74" t="str">
        <x:v>V1.0</x:v>
      </x:c>
      <x:c r="F57" s="68"/>
      <x:c r="G57" s="82"/>
      <x:c r="H57" s="82"/>
      <x:c r="I57" s="68"/>
      <x:c r="J57" s="82"/>
      <x:c r="K57" s="82"/>
      <x:c r="L57" s="68"/>
      <x:c r="M57" s="68"/>
      <x:c r="N57" s="82"/>
      <x:c r="O57" s="68"/>
      <x:c r="P57" s="68"/>
      <x:c r="Q57" s="68"/>
      <x:c r="R57" s="68"/>
      <x:c r="S57" s="68"/>
      <x:c r="T57" s="90"/>
      <x:c r="U57" s="68"/>
      <x:c r="V57" s="68"/>
      <x:c r="W57" s="68"/>
      <x:c r="X57" s="82"/>
      <x:c r="Y57" s="82"/>
      <x:c r="Z57" s="84"/>
      <x:c r="AA57" s="84"/>
      <x:c r="AB57" s="82"/>
      <x:c r="AC57" s="82"/>
      <x:c r="AD57" s="68"/>
      <x:c r="AE57" s="68"/>
      <x:c r="AF57" s="90"/>
      <x:c r="AG57" s="68"/>
      <x:c r="AH57" s="82"/>
      <x:c r="AI57" s="82"/>
      <x:c r="AJ57" s="87"/>
    </x:row>
    <x:row r="58">
      <x:c r="A58" s="72" t="str">
        <x:f>IF(OR(C58="",D58=""),"",B58&amp;"-"&amp;UPPER(C58)&amp;"-"&amp;TEXT(D58,"0000")&amp;"-"&amp;E58)</x:f>
      </x:c>
      <x:c r="B58" s="74" t="str">
        <x:v>M04</x:v>
      </x:c>
      <x:c r="C58" s="74"/>
      <x:c r="D58" s="79"/>
      <x:c r="E58" s="74" t="str">
        <x:v>V1.0</x:v>
      </x:c>
      <x:c r="F58" s="68"/>
      <x:c r="G58" s="82"/>
      <x:c r="H58" s="82"/>
      <x:c r="I58" s="68"/>
      <x:c r="J58" s="82"/>
      <x:c r="K58" s="82"/>
      <x:c r="L58" s="68"/>
      <x:c r="M58" s="68"/>
      <x:c r="N58" s="82"/>
      <x:c r="O58" s="68"/>
      <x:c r="P58" s="68"/>
      <x:c r="Q58" s="68"/>
      <x:c r="R58" s="68"/>
      <x:c r="S58" s="68"/>
      <x:c r="T58" s="90"/>
      <x:c r="U58" s="68"/>
      <x:c r="V58" s="68"/>
      <x:c r="W58" s="68"/>
      <x:c r="X58" s="82"/>
      <x:c r="Y58" s="82"/>
      <x:c r="Z58" s="84"/>
      <x:c r="AA58" s="84"/>
      <x:c r="AB58" s="82"/>
      <x:c r="AC58" s="82"/>
      <x:c r="AD58" s="68"/>
      <x:c r="AE58" s="68"/>
      <x:c r="AF58" s="90"/>
      <x:c r="AG58" s="68"/>
      <x:c r="AH58" s="82"/>
      <x:c r="AI58" s="82"/>
      <x:c r="AJ58" s="87"/>
    </x:row>
    <x:row r="59">
      <x:c r="A59" s="72" t="str">
        <x:f>IF(OR(C59="",D59=""),"",B59&amp;"-"&amp;UPPER(C59)&amp;"-"&amp;TEXT(D59,"0000")&amp;"-"&amp;E59)</x:f>
      </x:c>
      <x:c r="B59" s="74" t="str">
        <x:v>M04</x:v>
      </x:c>
      <x:c r="C59" s="74"/>
      <x:c r="D59" s="79"/>
      <x:c r="E59" s="74" t="str">
        <x:v>V1.0</x:v>
      </x:c>
      <x:c r="F59" s="68"/>
      <x:c r="G59" s="82"/>
      <x:c r="H59" s="82"/>
      <x:c r="I59" s="68"/>
      <x:c r="J59" s="82"/>
      <x:c r="K59" s="82"/>
      <x:c r="L59" s="68"/>
      <x:c r="M59" s="68"/>
      <x:c r="N59" s="82"/>
      <x:c r="O59" s="68"/>
      <x:c r="P59" s="68"/>
      <x:c r="Q59" s="68"/>
      <x:c r="R59" s="68"/>
      <x:c r="S59" s="68"/>
      <x:c r="T59" s="90"/>
      <x:c r="U59" s="68"/>
      <x:c r="V59" s="68"/>
      <x:c r="W59" s="68"/>
      <x:c r="X59" s="82"/>
      <x:c r="Y59" s="82"/>
      <x:c r="Z59" s="84"/>
      <x:c r="AA59" s="84"/>
      <x:c r="AB59" s="82"/>
      <x:c r="AC59" s="82"/>
      <x:c r="AD59" s="68"/>
      <x:c r="AE59" s="68"/>
      <x:c r="AF59" s="90"/>
      <x:c r="AG59" s="68"/>
      <x:c r="AH59" s="82"/>
      <x:c r="AI59" s="82"/>
      <x:c r="AJ59" s="87"/>
    </x:row>
    <x:row r="60">
      <x:c r="A60" s="72" t="str">
        <x:f>IF(OR(C60="",D60=""),"",B60&amp;"-"&amp;UPPER(C60)&amp;"-"&amp;TEXT(D60,"0000")&amp;"-"&amp;E60)</x:f>
      </x:c>
      <x:c r="B60" s="74" t="str">
        <x:v>M04</x:v>
      </x:c>
      <x:c r="C60" s="74"/>
      <x:c r="D60" s="79"/>
      <x:c r="E60" s="74" t="str">
        <x:v>V1.0</x:v>
      </x:c>
      <x:c r="F60" s="68"/>
      <x:c r="G60" s="82"/>
      <x:c r="H60" s="82"/>
      <x:c r="I60" s="68"/>
      <x:c r="J60" s="82"/>
      <x:c r="K60" s="82"/>
      <x:c r="L60" s="68"/>
      <x:c r="M60" s="68"/>
      <x:c r="N60" s="82"/>
      <x:c r="O60" s="68"/>
      <x:c r="P60" s="68"/>
      <x:c r="Q60" s="68"/>
      <x:c r="R60" s="68"/>
      <x:c r="S60" s="68"/>
      <x:c r="T60" s="90"/>
      <x:c r="U60" s="68"/>
      <x:c r="V60" s="68"/>
      <x:c r="W60" s="68"/>
      <x:c r="X60" s="82"/>
      <x:c r="Y60" s="82"/>
      <x:c r="Z60" s="84"/>
      <x:c r="AA60" s="84"/>
      <x:c r="AB60" s="82"/>
      <x:c r="AC60" s="82"/>
      <x:c r="AD60" s="68"/>
      <x:c r="AE60" s="68"/>
      <x:c r="AF60" s="90"/>
      <x:c r="AG60" s="68"/>
      <x:c r="AH60" s="82"/>
      <x:c r="AI60" s="82"/>
      <x:c r="AJ60" s="87"/>
    </x:row>
    <x:row r="61">
      <x:c r="A61" s="72" t="str">
        <x:f>IF(OR(C61="",D61=""),"",B61&amp;"-"&amp;UPPER(C61)&amp;"-"&amp;TEXT(D61,"0000")&amp;"-"&amp;E61)</x:f>
      </x:c>
      <x:c r="B61" s="74" t="str">
        <x:v>M04</x:v>
      </x:c>
      <x:c r="C61" s="74"/>
      <x:c r="D61" s="79"/>
      <x:c r="E61" s="74" t="str">
        <x:v>V1.0</x:v>
      </x:c>
      <x:c r="F61" s="68"/>
      <x:c r="G61" s="82"/>
      <x:c r="H61" s="82"/>
      <x:c r="I61" s="68"/>
      <x:c r="J61" s="82"/>
      <x:c r="K61" s="82"/>
      <x:c r="L61" s="68"/>
      <x:c r="M61" s="68"/>
      <x:c r="N61" s="82"/>
      <x:c r="O61" s="68"/>
      <x:c r="P61" s="68"/>
      <x:c r="Q61" s="68"/>
      <x:c r="R61" s="68"/>
      <x:c r="S61" s="68"/>
      <x:c r="T61" s="90"/>
      <x:c r="U61" s="68"/>
      <x:c r="V61" s="68"/>
      <x:c r="W61" s="68"/>
      <x:c r="X61" s="82"/>
      <x:c r="Y61" s="82"/>
      <x:c r="Z61" s="84"/>
      <x:c r="AA61" s="84"/>
      <x:c r="AB61" s="82"/>
      <x:c r="AC61" s="82"/>
      <x:c r="AD61" s="68"/>
      <x:c r="AE61" s="68"/>
      <x:c r="AF61" s="90"/>
      <x:c r="AG61" s="68"/>
      <x:c r="AH61" s="82"/>
      <x:c r="AI61" s="82"/>
      <x:c r="AJ61" s="87"/>
    </x:row>
    <x:row r="62">
      <x:c r="A62" s="72" t="str">
        <x:f>IF(OR(C62="",D62=""),"",B62&amp;"-"&amp;UPPER(C62)&amp;"-"&amp;TEXT(D62,"0000")&amp;"-"&amp;E62)</x:f>
      </x:c>
      <x:c r="B62" s="74" t="str">
        <x:v>M04</x:v>
      </x:c>
      <x:c r="C62" s="74"/>
      <x:c r="D62" s="79"/>
      <x:c r="E62" s="74" t="str">
        <x:v>V1.0</x:v>
      </x:c>
      <x:c r="F62" s="68"/>
      <x:c r="G62" s="82"/>
      <x:c r="H62" s="82"/>
      <x:c r="I62" s="68"/>
      <x:c r="J62" s="82"/>
      <x:c r="K62" s="82"/>
      <x:c r="L62" s="68"/>
      <x:c r="M62" s="68"/>
      <x:c r="N62" s="82"/>
      <x:c r="O62" s="68"/>
      <x:c r="P62" s="68"/>
      <x:c r="Q62" s="68"/>
      <x:c r="R62" s="68"/>
      <x:c r="S62" s="68"/>
      <x:c r="T62" s="90"/>
      <x:c r="U62" s="68"/>
      <x:c r="V62" s="68"/>
      <x:c r="W62" s="68"/>
      <x:c r="X62" s="82"/>
      <x:c r="Y62" s="82"/>
      <x:c r="Z62" s="84"/>
      <x:c r="AA62" s="84"/>
      <x:c r="AB62" s="82"/>
      <x:c r="AC62" s="82"/>
      <x:c r="AD62" s="68"/>
      <x:c r="AE62" s="68"/>
      <x:c r="AF62" s="90"/>
      <x:c r="AG62" s="68"/>
      <x:c r="AH62" s="82"/>
      <x:c r="AI62" s="82"/>
      <x:c r="AJ62" s="87"/>
    </x:row>
    <x:row r="63">
      <x:c r="A63" s="72" t="str">
        <x:f>IF(OR(C63="",D63=""),"",B63&amp;"-"&amp;UPPER(C63)&amp;"-"&amp;TEXT(D63,"0000")&amp;"-"&amp;E63)</x:f>
      </x:c>
      <x:c r="B63" s="74" t="str">
        <x:v>M04</x:v>
      </x:c>
      <x:c r="C63" s="74"/>
      <x:c r="D63" s="79"/>
      <x:c r="E63" s="74" t="str">
        <x:v>V1.0</x:v>
      </x:c>
      <x:c r="F63" s="68"/>
      <x:c r="G63" s="82"/>
      <x:c r="H63" s="82"/>
      <x:c r="I63" s="68"/>
      <x:c r="J63" s="82"/>
      <x:c r="K63" s="82"/>
      <x:c r="L63" s="68"/>
      <x:c r="M63" s="68"/>
      <x:c r="N63" s="82"/>
      <x:c r="O63" s="68"/>
      <x:c r="P63" s="68"/>
      <x:c r="Q63" s="68"/>
      <x:c r="R63" s="68"/>
      <x:c r="S63" s="68"/>
      <x:c r="T63" s="90"/>
      <x:c r="U63" s="68"/>
      <x:c r="V63" s="68"/>
      <x:c r="W63" s="68"/>
      <x:c r="X63" s="82"/>
      <x:c r="Y63" s="82"/>
      <x:c r="Z63" s="84"/>
      <x:c r="AA63" s="84"/>
      <x:c r="AB63" s="82"/>
      <x:c r="AC63" s="82"/>
      <x:c r="AD63" s="68"/>
      <x:c r="AE63" s="68"/>
      <x:c r="AF63" s="90"/>
      <x:c r="AG63" s="68"/>
      <x:c r="AH63" s="82"/>
      <x:c r="AI63" s="82"/>
      <x:c r="AJ63" s="87"/>
    </x:row>
    <x:row r="64">
      <x:c r="A64" s="72" t="str">
        <x:f>IF(OR(C64="",D64=""),"",B64&amp;"-"&amp;UPPER(C64)&amp;"-"&amp;TEXT(D64,"0000")&amp;"-"&amp;E64)</x:f>
      </x:c>
      <x:c r="B64" s="74" t="str">
        <x:v>M04</x:v>
      </x:c>
      <x:c r="C64" s="74"/>
      <x:c r="D64" s="79"/>
      <x:c r="E64" s="74" t="str">
        <x:v>V1.0</x:v>
      </x:c>
      <x:c r="F64" s="68"/>
      <x:c r="G64" s="82"/>
      <x:c r="H64" s="82"/>
      <x:c r="I64" s="68"/>
      <x:c r="J64" s="82"/>
      <x:c r="K64" s="82"/>
      <x:c r="L64" s="68"/>
      <x:c r="M64" s="68"/>
      <x:c r="N64" s="82"/>
      <x:c r="O64" s="68"/>
      <x:c r="P64" s="68"/>
      <x:c r="Q64" s="68"/>
      <x:c r="R64" s="68"/>
      <x:c r="S64" s="68"/>
      <x:c r="T64" s="90"/>
      <x:c r="U64" s="68"/>
      <x:c r="V64" s="68"/>
      <x:c r="W64" s="68"/>
      <x:c r="X64" s="82"/>
      <x:c r="Y64" s="82"/>
      <x:c r="Z64" s="84"/>
      <x:c r="AA64" s="84"/>
      <x:c r="AB64" s="82"/>
      <x:c r="AC64" s="82"/>
      <x:c r="AD64" s="68"/>
      <x:c r="AE64" s="68"/>
      <x:c r="AF64" s="90"/>
      <x:c r="AG64" s="68"/>
      <x:c r="AH64" s="82"/>
      <x:c r="AI64" s="82"/>
      <x:c r="AJ64" s="87"/>
    </x:row>
    <x:row r="65">
      <x:c r="A65" s="72" t="str">
        <x:f>IF(OR(C65="",D65=""),"",B65&amp;"-"&amp;UPPER(C65)&amp;"-"&amp;TEXT(D65,"0000")&amp;"-"&amp;E65)</x:f>
      </x:c>
      <x:c r="B65" s="74" t="str">
        <x:v>M04</x:v>
      </x:c>
      <x:c r="C65" s="74"/>
      <x:c r="D65" s="79"/>
      <x:c r="E65" s="74" t="str">
        <x:v>V1.0</x:v>
      </x:c>
      <x:c r="F65" s="68"/>
      <x:c r="G65" s="82"/>
      <x:c r="H65" s="82"/>
      <x:c r="I65" s="68"/>
      <x:c r="J65" s="82"/>
      <x:c r="K65" s="82"/>
      <x:c r="L65" s="68"/>
      <x:c r="M65" s="68"/>
      <x:c r="N65" s="82"/>
      <x:c r="O65" s="68"/>
      <x:c r="P65" s="68"/>
      <x:c r="Q65" s="68"/>
      <x:c r="R65" s="68"/>
      <x:c r="S65" s="68"/>
      <x:c r="T65" s="90"/>
      <x:c r="U65" s="68"/>
      <x:c r="V65" s="68"/>
      <x:c r="W65" s="68"/>
      <x:c r="X65" s="82"/>
      <x:c r="Y65" s="82"/>
      <x:c r="Z65" s="84"/>
      <x:c r="AA65" s="84"/>
      <x:c r="AB65" s="82"/>
      <x:c r="AC65" s="82"/>
      <x:c r="AD65" s="68"/>
      <x:c r="AE65" s="68"/>
      <x:c r="AF65" s="90"/>
      <x:c r="AG65" s="68"/>
      <x:c r="AH65" s="82"/>
      <x:c r="AI65" s="82"/>
      <x:c r="AJ65" s="87"/>
    </x:row>
    <x:row r="66">
      <x:c r="A66" s="72" t="str">
        <x:f>IF(OR(C66="",D66=""),"",B66&amp;"-"&amp;UPPER(C66)&amp;"-"&amp;TEXT(D66,"0000")&amp;"-"&amp;E66)</x:f>
      </x:c>
      <x:c r="B66" s="74" t="str">
        <x:v>M04</x:v>
      </x:c>
      <x:c r="C66" s="74"/>
      <x:c r="D66" s="79"/>
      <x:c r="E66" s="74" t="str">
        <x:v>V1.0</x:v>
      </x:c>
      <x:c r="F66" s="68"/>
      <x:c r="G66" s="82"/>
      <x:c r="H66" s="82"/>
      <x:c r="I66" s="68"/>
      <x:c r="J66" s="82"/>
      <x:c r="K66" s="82"/>
      <x:c r="L66" s="68"/>
      <x:c r="M66" s="68"/>
      <x:c r="N66" s="82"/>
      <x:c r="O66" s="68"/>
      <x:c r="P66" s="68"/>
      <x:c r="Q66" s="68"/>
      <x:c r="R66" s="68"/>
      <x:c r="S66" s="68"/>
      <x:c r="T66" s="90"/>
      <x:c r="U66" s="68"/>
      <x:c r="V66" s="68"/>
      <x:c r="W66" s="68"/>
      <x:c r="X66" s="82"/>
      <x:c r="Y66" s="82"/>
      <x:c r="Z66" s="84"/>
      <x:c r="AA66" s="84"/>
      <x:c r="AB66" s="82"/>
      <x:c r="AC66" s="82"/>
      <x:c r="AD66" s="68"/>
      <x:c r="AE66" s="68"/>
      <x:c r="AF66" s="90"/>
      <x:c r="AG66" s="68"/>
      <x:c r="AH66" s="82"/>
      <x:c r="AI66" s="82"/>
      <x:c r="AJ66" s="87"/>
    </x:row>
    <x:row r="67">
      <x:c r="A67" s="72" t="str">
        <x:f>IF(OR(C67="",D67=""),"",B67&amp;"-"&amp;UPPER(C67)&amp;"-"&amp;TEXT(D67,"0000")&amp;"-"&amp;E67)</x:f>
      </x:c>
      <x:c r="B67" s="74" t="str">
        <x:v>M04</x:v>
      </x:c>
      <x:c r="C67" s="74"/>
      <x:c r="D67" s="79"/>
      <x:c r="E67" s="74" t="str">
        <x:v>V1.0</x:v>
      </x:c>
      <x:c r="F67" s="68"/>
      <x:c r="G67" s="82"/>
      <x:c r="H67" s="82"/>
      <x:c r="I67" s="68"/>
      <x:c r="J67" s="82"/>
      <x:c r="K67" s="82"/>
      <x:c r="L67" s="68"/>
      <x:c r="M67" s="68"/>
      <x:c r="N67" s="82"/>
      <x:c r="O67" s="68"/>
      <x:c r="P67" s="68"/>
      <x:c r="Q67" s="68"/>
      <x:c r="R67" s="68"/>
      <x:c r="S67" s="68"/>
      <x:c r="T67" s="90"/>
      <x:c r="U67" s="68"/>
      <x:c r="V67" s="68"/>
      <x:c r="W67" s="68"/>
      <x:c r="X67" s="82"/>
      <x:c r="Y67" s="82"/>
      <x:c r="Z67" s="84"/>
      <x:c r="AA67" s="84"/>
      <x:c r="AB67" s="82"/>
      <x:c r="AC67" s="82"/>
      <x:c r="AD67" s="68"/>
      <x:c r="AE67" s="68"/>
      <x:c r="AF67" s="90"/>
      <x:c r="AG67" s="68"/>
      <x:c r="AH67" s="82"/>
      <x:c r="AI67" s="82"/>
      <x:c r="AJ67" s="87"/>
    </x:row>
    <x:row r="68">
      <x:c r="A68" s="72" t="str">
        <x:f>IF(OR(C68="",D68=""),"",B68&amp;"-"&amp;UPPER(C68)&amp;"-"&amp;TEXT(D68,"0000")&amp;"-"&amp;E68)</x:f>
      </x:c>
      <x:c r="B68" s="74" t="str">
        <x:v>M04</x:v>
      </x:c>
      <x:c r="C68" s="74"/>
      <x:c r="D68" s="79"/>
      <x:c r="E68" s="74" t="str">
        <x:v>V1.0</x:v>
      </x:c>
      <x:c r="F68" s="68"/>
      <x:c r="G68" s="82"/>
      <x:c r="H68" s="82"/>
      <x:c r="I68" s="68"/>
      <x:c r="J68" s="82"/>
      <x:c r="K68" s="82"/>
      <x:c r="L68" s="68"/>
      <x:c r="M68" s="68"/>
      <x:c r="N68" s="82"/>
      <x:c r="O68" s="68"/>
      <x:c r="P68" s="68"/>
      <x:c r="Q68" s="68"/>
      <x:c r="R68" s="68"/>
      <x:c r="S68" s="68"/>
      <x:c r="T68" s="90"/>
      <x:c r="U68" s="68"/>
      <x:c r="V68" s="68"/>
      <x:c r="W68" s="68"/>
      <x:c r="X68" s="82"/>
      <x:c r="Y68" s="82"/>
      <x:c r="Z68" s="84"/>
      <x:c r="AA68" s="84"/>
      <x:c r="AB68" s="82"/>
      <x:c r="AC68" s="82"/>
      <x:c r="AD68" s="68"/>
      <x:c r="AE68" s="68"/>
      <x:c r="AF68" s="90"/>
      <x:c r="AG68" s="68"/>
      <x:c r="AH68" s="82"/>
      <x:c r="AI68" s="82"/>
      <x:c r="AJ68" s="87"/>
    </x:row>
    <x:row r="69">
      <x:c r="A69" s="72" t="str">
        <x:f>IF(OR(C69="",D69=""),"",B69&amp;"-"&amp;UPPER(C69)&amp;"-"&amp;TEXT(D69,"0000")&amp;"-"&amp;E69)</x:f>
      </x:c>
      <x:c r="B69" s="74" t="str">
        <x:v>M04</x:v>
      </x:c>
      <x:c r="C69" s="74"/>
      <x:c r="D69" s="79"/>
      <x:c r="E69" s="74" t="str">
        <x:v>V1.0</x:v>
      </x:c>
      <x:c r="F69" s="68"/>
      <x:c r="G69" s="82"/>
      <x:c r="H69" s="82"/>
      <x:c r="I69" s="68"/>
      <x:c r="J69" s="82"/>
      <x:c r="K69" s="82"/>
      <x:c r="L69" s="68"/>
      <x:c r="M69" s="68"/>
      <x:c r="N69" s="82"/>
      <x:c r="O69" s="68"/>
      <x:c r="P69" s="68"/>
      <x:c r="Q69" s="68"/>
      <x:c r="R69" s="68"/>
      <x:c r="S69" s="68"/>
      <x:c r="T69" s="90"/>
      <x:c r="U69" s="68"/>
      <x:c r="V69" s="68"/>
      <x:c r="W69" s="68"/>
      <x:c r="X69" s="82"/>
      <x:c r="Y69" s="82"/>
      <x:c r="Z69" s="84"/>
      <x:c r="AA69" s="84"/>
      <x:c r="AB69" s="82"/>
      <x:c r="AC69" s="82"/>
      <x:c r="AD69" s="68"/>
      <x:c r="AE69" s="68"/>
      <x:c r="AF69" s="90"/>
      <x:c r="AG69" s="68"/>
      <x:c r="AH69" s="82"/>
      <x:c r="AI69" s="82"/>
      <x:c r="AJ69" s="87"/>
    </x:row>
    <x:row r="70">
      <x:c r="A70" s="72" t="str">
        <x:f>IF(OR(C70="",D70=""),"",B70&amp;"-"&amp;UPPER(C70)&amp;"-"&amp;TEXT(D70,"0000")&amp;"-"&amp;E70)</x:f>
      </x:c>
      <x:c r="B70" s="74" t="str">
        <x:v>M04</x:v>
      </x:c>
      <x:c r="C70" s="74"/>
      <x:c r="D70" s="79"/>
      <x:c r="E70" s="74" t="str">
        <x:v>V1.0</x:v>
      </x:c>
      <x:c r="F70" s="68"/>
      <x:c r="G70" s="82"/>
      <x:c r="H70" s="82"/>
      <x:c r="I70" s="68"/>
      <x:c r="J70" s="82"/>
      <x:c r="K70" s="82"/>
      <x:c r="L70" s="68"/>
      <x:c r="M70" s="68"/>
      <x:c r="N70" s="82"/>
      <x:c r="O70" s="68"/>
      <x:c r="P70" s="68"/>
      <x:c r="Q70" s="68"/>
      <x:c r="R70" s="68"/>
      <x:c r="S70" s="68"/>
      <x:c r="T70" s="90"/>
      <x:c r="U70" s="68"/>
      <x:c r="V70" s="68"/>
      <x:c r="W70" s="68"/>
      <x:c r="X70" s="82"/>
      <x:c r="Y70" s="82"/>
      <x:c r="Z70" s="84"/>
      <x:c r="AA70" s="84"/>
      <x:c r="AB70" s="82"/>
      <x:c r="AC70" s="82"/>
      <x:c r="AD70" s="68"/>
      <x:c r="AE70" s="68"/>
      <x:c r="AF70" s="90"/>
      <x:c r="AG70" s="68"/>
      <x:c r="AH70" s="82"/>
      <x:c r="AI70" s="82"/>
      <x:c r="AJ70" s="87"/>
    </x:row>
    <x:row r="71">
      <x:c r="A71" s="72" t="str">
        <x:f>IF(OR(C71="",D71=""),"",B71&amp;"-"&amp;UPPER(C71)&amp;"-"&amp;TEXT(D71,"0000")&amp;"-"&amp;E71)</x:f>
      </x:c>
      <x:c r="B71" s="74" t="str">
        <x:v>M04</x:v>
      </x:c>
      <x:c r="C71" s="74"/>
      <x:c r="D71" s="79"/>
      <x:c r="E71" s="74" t="str">
        <x:v>V1.0</x:v>
      </x:c>
      <x:c r="F71" s="68"/>
      <x:c r="G71" s="82"/>
      <x:c r="H71" s="82"/>
      <x:c r="I71" s="68"/>
      <x:c r="J71" s="82"/>
      <x:c r="K71" s="82"/>
      <x:c r="L71" s="68"/>
      <x:c r="M71" s="68"/>
      <x:c r="N71" s="82"/>
      <x:c r="O71" s="68"/>
      <x:c r="P71" s="68"/>
      <x:c r="Q71" s="68"/>
      <x:c r="R71" s="68"/>
      <x:c r="S71" s="68"/>
      <x:c r="T71" s="90"/>
      <x:c r="U71" s="68"/>
      <x:c r="V71" s="68"/>
      <x:c r="W71" s="68"/>
      <x:c r="X71" s="82"/>
      <x:c r="Y71" s="82"/>
      <x:c r="Z71" s="84"/>
      <x:c r="AA71" s="84"/>
      <x:c r="AB71" s="82"/>
      <x:c r="AC71" s="82"/>
      <x:c r="AD71" s="68"/>
      <x:c r="AE71" s="68"/>
      <x:c r="AF71" s="90"/>
      <x:c r="AG71" s="68"/>
      <x:c r="AH71" s="82"/>
      <x:c r="AI71" s="82"/>
      <x:c r="AJ71" s="87"/>
    </x:row>
    <x:row r="72">
      <x:c r="A72" s="72" t="str">
        <x:f>IF(OR(C72="",D72=""),"",B72&amp;"-"&amp;UPPER(C72)&amp;"-"&amp;TEXT(D72,"0000")&amp;"-"&amp;E72)</x:f>
      </x:c>
      <x:c r="B72" s="74" t="str">
        <x:v>M04</x:v>
      </x:c>
      <x:c r="C72" s="74"/>
      <x:c r="D72" s="79"/>
      <x:c r="E72" s="74" t="str">
        <x:v>V1.0</x:v>
      </x:c>
      <x:c r="F72" s="68"/>
      <x:c r="G72" s="82"/>
      <x:c r="H72" s="82"/>
      <x:c r="I72" s="68"/>
      <x:c r="J72" s="82"/>
      <x:c r="K72" s="82"/>
      <x:c r="L72" s="68"/>
      <x:c r="M72" s="68"/>
      <x:c r="N72" s="82"/>
      <x:c r="O72" s="68"/>
      <x:c r="P72" s="68"/>
      <x:c r="Q72" s="68"/>
      <x:c r="R72" s="68"/>
      <x:c r="S72" s="68"/>
      <x:c r="T72" s="90"/>
      <x:c r="U72" s="68"/>
      <x:c r="V72" s="68"/>
      <x:c r="W72" s="68"/>
      <x:c r="X72" s="82"/>
      <x:c r="Y72" s="82"/>
      <x:c r="Z72" s="84"/>
      <x:c r="AA72" s="84"/>
      <x:c r="AB72" s="82"/>
      <x:c r="AC72" s="82"/>
      <x:c r="AD72" s="68"/>
      <x:c r="AE72" s="68"/>
      <x:c r="AF72" s="90"/>
      <x:c r="AG72" s="68"/>
      <x:c r="AH72" s="82"/>
      <x:c r="AI72" s="82"/>
      <x:c r="AJ72" s="87"/>
    </x:row>
    <x:row r="73">
      <x:c r="A73" s="72" t="str">
        <x:f>IF(OR(C73="",D73=""),"",B73&amp;"-"&amp;UPPER(C73)&amp;"-"&amp;TEXT(D73,"0000")&amp;"-"&amp;E73)</x:f>
      </x:c>
      <x:c r="B73" s="74" t="str">
        <x:v>M04</x:v>
      </x:c>
      <x:c r="C73" s="74"/>
      <x:c r="D73" s="79"/>
      <x:c r="E73" s="74" t="str">
        <x:v>V1.0</x:v>
      </x:c>
      <x:c r="F73" s="68"/>
      <x:c r="G73" s="82"/>
      <x:c r="H73" s="82"/>
      <x:c r="I73" s="68"/>
      <x:c r="J73" s="82"/>
      <x:c r="K73" s="82"/>
      <x:c r="L73" s="68"/>
      <x:c r="M73" s="68"/>
      <x:c r="N73" s="82"/>
      <x:c r="O73" s="68"/>
      <x:c r="P73" s="68"/>
      <x:c r="Q73" s="68"/>
      <x:c r="R73" s="68"/>
      <x:c r="S73" s="68"/>
      <x:c r="T73" s="90"/>
      <x:c r="U73" s="68"/>
      <x:c r="V73" s="68"/>
      <x:c r="W73" s="68"/>
      <x:c r="X73" s="82"/>
      <x:c r="Y73" s="82"/>
      <x:c r="Z73" s="84"/>
      <x:c r="AA73" s="84"/>
      <x:c r="AB73" s="82"/>
      <x:c r="AC73" s="82"/>
      <x:c r="AD73" s="68"/>
      <x:c r="AE73" s="68"/>
      <x:c r="AF73" s="90"/>
      <x:c r="AG73" s="68"/>
      <x:c r="AH73" s="82"/>
      <x:c r="AI73" s="82"/>
      <x:c r="AJ73" s="87"/>
    </x:row>
    <x:row r="74">
      <x:c r="A74" s="72" t="str">
        <x:f>IF(OR(C74="",D74=""),"",B74&amp;"-"&amp;UPPER(C74)&amp;"-"&amp;TEXT(D74,"0000")&amp;"-"&amp;E74)</x:f>
      </x:c>
      <x:c r="B74" s="74" t="str">
        <x:v>M04</x:v>
      </x:c>
      <x:c r="C74" s="74"/>
      <x:c r="D74" s="79"/>
      <x:c r="E74" s="74" t="str">
        <x:v>V1.0</x:v>
      </x:c>
      <x:c r="F74" s="68"/>
      <x:c r="G74" s="82"/>
      <x:c r="H74" s="82"/>
      <x:c r="I74" s="68"/>
      <x:c r="J74" s="82"/>
      <x:c r="K74" s="82"/>
      <x:c r="L74" s="68"/>
      <x:c r="M74" s="68"/>
      <x:c r="N74" s="82"/>
      <x:c r="O74" s="68"/>
      <x:c r="P74" s="68"/>
      <x:c r="Q74" s="68"/>
      <x:c r="R74" s="68"/>
      <x:c r="S74" s="68"/>
      <x:c r="T74" s="90"/>
      <x:c r="U74" s="68"/>
      <x:c r="V74" s="68"/>
      <x:c r="W74" s="68"/>
      <x:c r="X74" s="82"/>
      <x:c r="Y74" s="82"/>
      <x:c r="Z74" s="84"/>
      <x:c r="AA74" s="84"/>
      <x:c r="AB74" s="82"/>
      <x:c r="AC74" s="82"/>
      <x:c r="AD74" s="68"/>
      <x:c r="AE74" s="68"/>
      <x:c r="AF74" s="90"/>
      <x:c r="AG74" s="68"/>
      <x:c r="AH74" s="82"/>
      <x:c r="AI74" s="82"/>
      <x:c r="AJ74" s="87"/>
    </x:row>
    <x:row r="75">
      <x:c r="A75" s="72" t="str">
        <x:f>IF(OR(C75="",D75=""),"",B75&amp;"-"&amp;UPPER(C75)&amp;"-"&amp;TEXT(D75,"0000")&amp;"-"&amp;E75)</x:f>
      </x:c>
      <x:c r="B75" s="74" t="str">
        <x:v>M04</x:v>
      </x:c>
      <x:c r="C75" s="74"/>
      <x:c r="D75" s="79"/>
      <x:c r="E75" s="74" t="str">
        <x:v>V1.0</x:v>
      </x:c>
      <x:c r="F75" s="68"/>
      <x:c r="G75" s="82"/>
      <x:c r="H75" s="82"/>
      <x:c r="I75" s="68"/>
      <x:c r="J75" s="82"/>
      <x:c r="K75" s="82"/>
      <x:c r="L75" s="68"/>
      <x:c r="M75" s="68"/>
      <x:c r="N75" s="82"/>
      <x:c r="O75" s="68"/>
      <x:c r="P75" s="68"/>
      <x:c r="Q75" s="68"/>
      <x:c r="R75" s="68"/>
      <x:c r="S75" s="68"/>
      <x:c r="T75" s="90"/>
      <x:c r="U75" s="68"/>
      <x:c r="V75" s="68"/>
      <x:c r="W75" s="68"/>
      <x:c r="X75" s="82"/>
      <x:c r="Y75" s="82"/>
      <x:c r="Z75" s="84"/>
      <x:c r="AA75" s="84"/>
      <x:c r="AB75" s="82"/>
      <x:c r="AC75" s="82"/>
      <x:c r="AD75" s="68"/>
      <x:c r="AE75" s="68"/>
      <x:c r="AF75" s="90"/>
      <x:c r="AG75" s="68"/>
      <x:c r="AH75" s="82"/>
      <x:c r="AI75" s="82"/>
      <x:c r="AJ75" s="87"/>
    </x:row>
    <x:row r="76">
      <x:c r="A76" s="72" t="str">
        <x:f>IF(OR(C76="",D76=""),"",B76&amp;"-"&amp;UPPER(C76)&amp;"-"&amp;TEXT(D76,"0000")&amp;"-"&amp;E76)</x:f>
      </x:c>
      <x:c r="B76" s="74" t="str">
        <x:v>M04</x:v>
      </x:c>
      <x:c r="C76" s="74"/>
      <x:c r="D76" s="79"/>
      <x:c r="E76" s="74" t="str">
        <x:v>V1.0</x:v>
      </x:c>
      <x:c r="F76" s="68"/>
      <x:c r="G76" s="82"/>
      <x:c r="H76" s="82"/>
      <x:c r="I76" s="68"/>
      <x:c r="J76" s="82"/>
      <x:c r="K76" s="82"/>
      <x:c r="L76" s="68"/>
      <x:c r="M76" s="68"/>
      <x:c r="N76" s="82"/>
      <x:c r="O76" s="68"/>
      <x:c r="P76" s="68"/>
      <x:c r="Q76" s="68"/>
      <x:c r="R76" s="68"/>
      <x:c r="S76" s="68"/>
      <x:c r="T76" s="90"/>
      <x:c r="U76" s="68"/>
      <x:c r="V76" s="68"/>
      <x:c r="W76" s="68"/>
      <x:c r="X76" s="82"/>
      <x:c r="Y76" s="82"/>
      <x:c r="Z76" s="84"/>
      <x:c r="AA76" s="84"/>
      <x:c r="AB76" s="82"/>
      <x:c r="AC76" s="82"/>
      <x:c r="AD76" s="68"/>
      <x:c r="AE76" s="68"/>
      <x:c r="AF76" s="90"/>
      <x:c r="AG76" s="68"/>
      <x:c r="AH76" s="82"/>
      <x:c r="AI76" s="82"/>
      <x:c r="AJ76" s="87"/>
    </x:row>
    <x:row r="77">
      <x:c r="A77" s="72" t="str">
        <x:f>IF(OR(C77="",D77=""),"",B77&amp;"-"&amp;UPPER(C77)&amp;"-"&amp;TEXT(D77,"0000")&amp;"-"&amp;E77)</x:f>
      </x:c>
      <x:c r="B77" s="74" t="str">
        <x:v>M04</x:v>
      </x:c>
      <x:c r="C77" s="74"/>
      <x:c r="D77" s="79"/>
      <x:c r="E77" s="74" t="str">
        <x:v>V1.0</x:v>
      </x:c>
      <x:c r="F77" s="68"/>
      <x:c r="G77" s="82"/>
      <x:c r="H77" s="82"/>
      <x:c r="I77" s="68"/>
      <x:c r="J77" s="82"/>
      <x:c r="K77" s="82"/>
      <x:c r="L77" s="68"/>
      <x:c r="M77" s="68"/>
      <x:c r="N77" s="82"/>
      <x:c r="O77" s="68"/>
      <x:c r="P77" s="68"/>
      <x:c r="Q77" s="68"/>
      <x:c r="R77" s="68"/>
      <x:c r="S77" s="68"/>
      <x:c r="T77" s="90"/>
      <x:c r="U77" s="68"/>
      <x:c r="V77" s="68"/>
      <x:c r="W77" s="68"/>
      <x:c r="X77" s="82"/>
      <x:c r="Y77" s="82"/>
      <x:c r="Z77" s="84"/>
      <x:c r="AA77" s="84"/>
      <x:c r="AB77" s="82"/>
      <x:c r="AC77" s="82"/>
      <x:c r="AD77" s="68"/>
      <x:c r="AE77" s="68"/>
      <x:c r="AF77" s="90"/>
      <x:c r="AG77" s="68"/>
      <x:c r="AH77" s="82"/>
      <x:c r="AI77" s="82"/>
      <x:c r="AJ77" s="87"/>
    </x:row>
    <x:row r="78">
      <x:c r="A78" s="72" t="str">
        <x:f>IF(OR(C78="",D78=""),"",B78&amp;"-"&amp;UPPER(C78)&amp;"-"&amp;TEXT(D78,"0000")&amp;"-"&amp;E78)</x:f>
      </x:c>
      <x:c r="B78" s="74" t="str">
        <x:v>M04</x:v>
      </x:c>
      <x:c r="C78" s="74"/>
      <x:c r="D78" s="79"/>
      <x:c r="E78" s="74" t="str">
        <x:v>V1.0</x:v>
      </x:c>
      <x:c r="F78" s="68"/>
      <x:c r="G78" s="82"/>
      <x:c r="H78" s="82"/>
      <x:c r="I78" s="68"/>
      <x:c r="J78" s="82"/>
      <x:c r="K78" s="82"/>
      <x:c r="L78" s="68"/>
      <x:c r="M78" s="68"/>
      <x:c r="N78" s="82"/>
      <x:c r="O78" s="68"/>
      <x:c r="P78" s="68"/>
      <x:c r="Q78" s="68"/>
      <x:c r="R78" s="68"/>
      <x:c r="S78" s="68"/>
      <x:c r="T78" s="90"/>
      <x:c r="U78" s="68"/>
      <x:c r="V78" s="68"/>
      <x:c r="W78" s="68"/>
      <x:c r="X78" s="82"/>
      <x:c r="Y78" s="82"/>
      <x:c r="Z78" s="84"/>
      <x:c r="AA78" s="84"/>
      <x:c r="AB78" s="82"/>
      <x:c r="AC78" s="82"/>
      <x:c r="AD78" s="68"/>
      <x:c r="AE78" s="68"/>
      <x:c r="AF78" s="90"/>
      <x:c r="AG78" s="68"/>
      <x:c r="AH78" s="82"/>
      <x:c r="AI78" s="82"/>
      <x:c r="AJ78" s="87"/>
    </x:row>
    <x:row r="79">
      <x:c r="A79" s="72" t="str">
        <x:f>IF(OR(C79="",D79=""),"",B79&amp;"-"&amp;UPPER(C79)&amp;"-"&amp;TEXT(D79,"0000")&amp;"-"&amp;E79)</x:f>
      </x:c>
      <x:c r="B79" s="74" t="str">
        <x:v>M04</x:v>
      </x:c>
      <x:c r="C79" s="74"/>
      <x:c r="D79" s="79"/>
      <x:c r="E79" s="74" t="str">
        <x:v>V1.0</x:v>
      </x:c>
      <x:c r="F79" s="68"/>
      <x:c r="G79" s="82"/>
      <x:c r="H79" s="82"/>
      <x:c r="I79" s="68"/>
      <x:c r="J79" s="82"/>
      <x:c r="K79" s="82"/>
      <x:c r="L79" s="68"/>
      <x:c r="M79" s="68"/>
      <x:c r="N79" s="82"/>
      <x:c r="O79" s="68"/>
      <x:c r="P79" s="68"/>
      <x:c r="Q79" s="68"/>
      <x:c r="R79" s="68"/>
      <x:c r="S79" s="68"/>
      <x:c r="T79" s="90"/>
      <x:c r="U79" s="68"/>
      <x:c r="V79" s="68"/>
      <x:c r="W79" s="68"/>
      <x:c r="X79" s="82"/>
      <x:c r="Y79" s="82"/>
      <x:c r="Z79" s="84"/>
      <x:c r="AA79" s="84"/>
      <x:c r="AB79" s="82"/>
      <x:c r="AC79" s="82"/>
      <x:c r="AD79" s="68"/>
      <x:c r="AE79" s="68"/>
      <x:c r="AF79" s="90"/>
      <x:c r="AG79" s="68"/>
      <x:c r="AH79" s="82"/>
      <x:c r="AI79" s="82"/>
      <x:c r="AJ79" s="87"/>
    </x:row>
    <x:row r="80">
      <x:c r="A80" s="72" t="str">
        <x:f>IF(OR(C80="",D80=""),"",B80&amp;"-"&amp;UPPER(C80)&amp;"-"&amp;TEXT(D80,"0000")&amp;"-"&amp;E80)</x:f>
      </x:c>
      <x:c r="B80" s="74" t="str">
        <x:v>M04</x:v>
      </x:c>
      <x:c r="C80" s="74"/>
      <x:c r="D80" s="79"/>
      <x:c r="E80" s="74" t="str">
        <x:v>V1.0</x:v>
      </x:c>
      <x:c r="F80" s="68"/>
      <x:c r="G80" s="82"/>
      <x:c r="H80" s="82"/>
      <x:c r="I80" s="68"/>
      <x:c r="J80" s="82"/>
      <x:c r="K80" s="82"/>
      <x:c r="L80" s="68"/>
      <x:c r="M80" s="68"/>
      <x:c r="N80" s="82"/>
      <x:c r="O80" s="68"/>
      <x:c r="P80" s="68"/>
      <x:c r="Q80" s="68"/>
      <x:c r="R80" s="68"/>
      <x:c r="S80" s="68"/>
      <x:c r="T80" s="90"/>
      <x:c r="U80" s="68"/>
      <x:c r="V80" s="68"/>
      <x:c r="W80" s="68"/>
      <x:c r="X80" s="82"/>
      <x:c r="Y80" s="82"/>
      <x:c r="Z80" s="84"/>
      <x:c r="AA80" s="84"/>
      <x:c r="AB80" s="82"/>
      <x:c r="AC80" s="82"/>
      <x:c r="AD80" s="68"/>
      <x:c r="AE80" s="68"/>
      <x:c r="AF80" s="90"/>
      <x:c r="AG80" s="68"/>
      <x:c r="AH80" s="82"/>
      <x:c r="AI80" s="82"/>
      <x:c r="AJ80" s="87"/>
    </x:row>
    <x:row r="81">
      <x:c r="A81" s="72" t="str">
        <x:f>IF(OR(C81="",D81=""),"",B81&amp;"-"&amp;UPPER(C81)&amp;"-"&amp;TEXT(D81,"0000")&amp;"-"&amp;E81)</x:f>
      </x:c>
      <x:c r="B81" s="74" t="str">
        <x:v>M04</x:v>
      </x:c>
      <x:c r="C81" s="74"/>
      <x:c r="D81" s="79"/>
      <x:c r="E81" s="74" t="str">
        <x:v>V1.0</x:v>
      </x:c>
      <x:c r="F81" s="68"/>
      <x:c r="G81" s="82"/>
      <x:c r="H81" s="82"/>
      <x:c r="I81" s="68"/>
      <x:c r="J81" s="82"/>
      <x:c r="K81" s="82"/>
      <x:c r="L81" s="68"/>
      <x:c r="M81" s="68"/>
      <x:c r="N81" s="82"/>
      <x:c r="O81" s="68"/>
      <x:c r="P81" s="68"/>
      <x:c r="Q81" s="68"/>
      <x:c r="R81" s="68"/>
      <x:c r="S81" s="68"/>
      <x:c r="T81" s="90"/>
      <x:c r="U81" s="68"/>
      <x:c r="V81" s="68"/>
      <x:c r="W81" s="68"/>
      <x:c r="X81" s="82"/>
      <x:c r="Y81" s="82"/>
      <x:c r="Z81" s="84"/>
      <x:c r="AA81" s="84"/>
      <x:c r="AB81" s="82"/>
      <x:c r="AC81" s="82"/>
      <x:c r="AD81" s="68"/>
      <x:c r="AE81" s="68"/>
      <x:c r="AF81" s="90"/>
      <x:c r="AG81" s="68"/>
      <x:c r="AH81" s="82"/>
      <x:c r="AI81" s="82"/>
      <x:c r="AJ81" s="87"/>
    </x:row>
    <x:row r="82">
      <x:c r="A82" s="72" t="str">
        <x:f>IF(OR(C82="",D82=""),"",B82&amp;"-"&amp;UPPER(C82)&amp;"-"&amp;TEXT(D82,"0000")&amp;"-"&amp;E82)</x:f>
      </x:c>
      <x:c r="B82" s="74" t="str">
        <x:v>M04</x:v>
      </x:c>
      <x:c r="C82" s="74"/>
      <x:c r="D82" s="79"/>
      <x:c r="E82" s="74" t="str">
        <x:v>V1.0</x:v>
      </x:c>
      <x:c r="F82" s="68"/>
      <x:c r="G82" s="82"/>
      <x:c r="H82" s="82"/>
      <x:c r="I82" s="68"/>
      <x:c r="J82" s="82"/>
      <x:c r="K82" s="82"/>
      <x:c r="L82" s="68"/>
      <x:c r="M82" s="68"/>
      <x:c r="N82" s="82"/>
      <x:c r="O82" s="68"/>
      <x:c r="P82" s="68"/>
      <x:c r="Q82" s="68"/>
      <x:c r="R82" s="68"/>
      <x:c r="S82" s="68"/>
      <x:c r="T82" s="90"/>
      <x:c r="U82" s="68"/>
      <x:c r="V82" s="68"/>
      <x:c r="W82" s="68"/>
      <x:c r="X82" s="82"/>
      <x:c r="Y82" s="82"/>
      <x:c r="Z82" s="84"/>
      <x:c r="AA82" s="84"/>
      <x:c r="AB82" s="82"/>
      <x:c r="AC82" s="82"/>
      <x:c r="AD82" s="68"/>
      <x:c r="AE82" s="68"/>
      <x:c r="AF82" s="90"/>
      <x:c r="AG82" s="68"/>
      <x:c r="AH82" s="82"/>
      <x:c r="AI82" s="82"/>
      <x:c r="AJ82" s="87"/>
    </x:row>
    <x:row r="83">
      <x:c r="A83" s="72" t="str">
        <x:f>IF(OR(C83="",D83=""),"",B83&amp;"-"&amp;UPPER(C83)&amp;"-"&amp;TEXT(D83,"0000")&amp;"-"&amp;E83)</x:f>
      </x:c>
      <x:c r="B83" s="74" t="str">
        <x:v>M04</x:v>
      </x:c>
      <x:c r="C83" s="74"/>
      <x:c r="D83" s="79"/>
      <x:c r="E83" s="74" t="str">
        <x:v>V1.0</x:v>
      </x:c>
      <x:c r="F83" s="68"/>
      <x:c r="G83" s="82"/>
      <x:c r="H83" s="82"/>
      <x:c r="I83" s="68"/>
      <x:c r="J83" s="82"/>
      <x:c r="K83" s="82"/>
      <x:c r="L83" s="68"/>
      <x:c r="M83" s="68"/>
      <x:c r="N83" s="82"/>
      <x:c r="O83" s="68"/>
      <x:c r="P83" s="68"/>
      <x:c r="Q83" s="68"/>
      <x:c r="R83" s="68"/>
      <x:c r="S83" s="68"/>
      <x:c r="T83" s="90"/>
      <x:c r="U83" s="68"/>
      <x:c r="V83" s="68"/>
      <x:c r="W83" s="68"/>
      <x:c r="X83" s="82"/>
      <x:c r="Y83" s="82"/>
      <x:c r="Z83" s="84"/>
      <x:c r="AA83" s="84"/>
      <x:c r="AB83" s="82"/>
      <x:c r="AC83" s="82"/>
      <x:c r="AD83" s="68"/>
      <x:c r="AE83" s="68"/>
      <x:c r="AF83" s="90"/>
      <x:c r="AG83" s="68"/>
      <x:c r="AH83" s="82"/>
      <x:c r="AI83" s="82"/>
      <x:c r="AJ83" s="87"/>
    </x:row>
    <x:row r="84">
      <x:c r="A84" s="72" t="str">
        <x:f>IF(OR(C84="",D84=""),"",B84&amp;"-"&amp;UPPER(C84)&amp;"-"&amp;TEXT(D84,"0000")&amp;"-"&amp;E84)</x:f>
      </x:c>
      <x:c r="B84" s="74" t="str">
        <x:v>M04</x:v>
      </x:c>
      <x:c r="C84" s="74"/>
      <x:c r="D84" s="79"/>
      <x:c r="E84" s="74" t="str">
        <x:v>V1.0</x:v>
      </x:c>
      <x:c r="F84" s="68"/>
      <x:c r="G84" s="82"/>
      <x:c r="H84" s="82"/>
      <x:c r="I84" s="68"/>
      <x:c r="J84" s="82"/>
      <x:c r="K84" s="82"/>
      <x:c r="L84" s="68"/>
      <x:c r="M84" s="68"/>
      <x:c r="N84" s="82"/>
      <x:c r="O84" s="68"/>
      <x:c r="P84" s="68"/>
      <x:c r="Q84" s="68"/>
      <x:c r="R84" s="68"/>
      <x:c r="S84" s="68"/>
      <x:c r="T84" s="90"/>
      <x:c r="U84" s="68"/>
      <x:c r="V84" s="68"/>
      <x:c r="W84" s="68"/>
      <x:c r="X84" s="82"/>
      <x:c r="Y84" s="82"/>
      <x:c r="Z84" s="84"/>
      <x:c r="AA84" s="84"/>
      <x:c r="AB84" s="82"/>
      <x:c r="AC84" s="82"/>
      <x:c r="AD84" s="68"/>
      <x:c r="AE84" s="68"/>
      <x:c r="AF84" s="90"/>
      <x:c r="AG84" s="68"/>
      <x:c r="AH84" s="82"/>
      <x:c r="AI84" s="82"/>
      <x:c r="AJ84" s="87"/>
    </x:row>
    <x:row r="85">
      <x:c r="A85" s="72" t="str">
        <x:f>IF(OR(C85="",D85=""),"",B85&amp;"-"&amp;UPPER(C85)&amp;"-"&amp;TEXT(D85,"0000")&amp;"-"&amp;E85)</x:f>
      </x:c>
      <x:c r="B85" s="74" t="str">
        <x:v>M04</x:v>
      </x:c>
      <x:c r="C85" s="74"/>
      <x:c r="D85" s="79"/>
      <x:c r="E85" s="74" t="str">
        <x:v>V1.0</x:v>
      </x:c>
      <x:c r="F85" s="68"/>
      <x:c r="G85" s="82"/>
      <x:c r="H85" s="82"/>
      <x:c r="I85" s="68"/>
      <x:c r="J85" s="82"/>
      <x:c r="K85" s="82"/>
      <x:c r="L85" s="68"/>
      <x:c r="M85" s="68"/>
      <x:c r="N85" s="82"/>
      <x:c r="O85" s="68"/>
      <x:c r="P85" s="68"/>
      <x:c r="Q85" s="68"/>
      <x:c r="R85" s="68"/>
      <x:c r="S85" s="68"/>
      <x:c r="T85" s="90"/>
      <x:c r="U85" s="68"/>
      <x:c r="V85" s="68"/>
      <x:c r="W85" s="68"/>
      <x:c r="X85" s="82"/>
      <x:c r="Y85" s="82"/>
      <x:c r="Z85" s="84"/>
      <x:c r="AA85" s="84"/>
      <x:c r="AB85" s="82"/>
      <x:c r="AC85" s="82"/>
      <x:c r="AD85" s="68"/>
      <x:c r="AE85" s="68"/>
      <x:c r="AF85" s="90"/>
      <x:c r="AG85" s="68"/>
      <x:c r="AH85" s="82"/>
      <x:c r="AI85" s="82"/>
      <x:c r="AJ85" s="87"/>
    </x:row>
    <x:row r="86">
      <x:c r="A86" s="72" t="str">
        <x:f>IF(OR(C86="",D86=""),"",B86&amp;"-"&amp;UPPER(C86)&amp;"-"&amp;TEXT(D86,"0000")&amp;"-"&amp;E86)</x:f>
      </x:c>
      <x:c r="B86" s="74" t="str">
        <x:v>M04</x:v>
      </x:c>
      <x:c r="C86" s="74"/>
      <x:c r="D86" s="79"/>
      <x:c r="E86" s="74" t="str">
        <x:v>V1.0</x:v>
      </x:c>
      <x:c r="F86" s="68"/>
      <x:c r="G86" s="82"/>
      <x:c r="H86" s="82"/>
      <x:c r="I86" s="68"/>
      <x:c r="J86" s="82"/>
      <x:c r="K86" s="82"/>
      <x:c r="L86" s="68"/>
      <x:c r="M86" s="68"/>
      <x:c r="N86" s="82"/>
      <x:c r="O86" s="68"/>
      <x:c r="P86" s="68"/>
      <x:c r="Q86" s="68"/>
      <x:c r="R86" s="68"/>
      <x:c r="S86" s="68"/>
      <x:c r="T86" s="90"/>
      <x:c r="U86" s="68"/>
      <x:c r="V86" s="68"/>
      <x:c r="W86" s="68"/>
      <x:c r="X86" s="82"/>
      <x:c r="Y86" s="82"/>
      <x:c r="Z86" s="84"/>
      <x:c r="AA86" s="84"/>
      <x:c r="AB86" s="82"/>
      <x:c r="AC86" s="82"/>
      <x:c r="AD86" s="68"/>
      <x:c r="AE86" s="68"/>
      <x:c r="AF86" s="90"/>
      <x:c r="AG86" s="68"/>
      <x:c r="AH86" s="82"/>
      <x:c r="AI86" s="82"/>
      <x:c r="AJ86" s="87"/>
    </x:row>
    <x:row r="87">
      <x:c r="A87" s="72" t="str">
        <x:f>IF(OR(C87="",D87=""),"",B87&amp;"-"&amp;UPPER(C87)&amp;"-"&amp;TEXT(D87,"0000")&amp;"-"&amp;E87)</x:f>
      </x:c>
      <x:c r="B87" s="74" t="str">
        <x:v>M04</x:v>
      </x:c>
      <x:c r="C87" s="74"/>
      <x:c r="D87" s="79"/>
      <x:c r="E87" s="74" t="str">
        <x:v>V1.0</x:v>
      </x:c>
      <x:c r="F87" s="68"/>
      <x:c r="G87" s="82"/>
      <x:c r="H87" s="82"/>
      <x:c r="I87" s="68"/>
      <x:c r="J87" s="82"/>
      <x:c r="K87" s="82"/>
      <x:c r="L87" s="68"/>
      <x:c r="M87" s="68"/>
      <x:c r="N87" s="82"/>
      <x:c r="O87" s="68"/>
      <x:c r="P87" s="68"/>
      <x:c r="Q87" s="68"/>
      <x:c r="R87" s="68"/>
      <x:c r="S87" s="68"/>
      <x:c r="T87" s="90"/>
      <x:c r="U87" s="68"/>
      <x:c r="V87" s="68"/>
      <x:c r="W87" s="68"/>
      <x:c r="X87" s="82"/>
      <x:c r="Y87" s="82"/>
      <x:c r="Z87" s="84"/>
      <x:c r="AA87" s="84"/>
      <x:c r="AB87" s="82"/>
      <x:c r="AC87" s="82"/>
      <x:c r="AD87" s="68"/>
      <x:c r="AE87" s="68"/>
      <x:c r="AF87" s="90"/>
      <x:c r="AG87" s="68"/>
      <x:c r="AH87" s="82"/>
      <x:c r="AI87" s="82"/>
      <x:c r="AJ87" s="87"/>
    </x:row>
    <x:row r="88">
      <x:c r="A88" s="72" t="str">
        <x:f>IF(OR(C88="",D88=""),"",B88&amp;"-"&amp;UPPER(C88)&amp;"-"&amp;TEXT(D88,"0000")&amp;"-"&amp;E88)</x:f>
      </x:c>
      <x:c r="B88" s="74" t="str">
        <x:v>M04</x:v>
      </x:c>
      <x:c r="C88" s="74"/>
      <x:c r="D88" s="79"/>
      <x:c r="E88" s="74" t="str">
        <x:v>V1.0</x:v>
      </x:c>
      <x:c r="F88" s="68"/>
      <x:c r="G88" s="82"/>
      <x:c r="H88" s="82"/>
      <x:c r="I88" s="68"/>
      <x:c r="J88" s="82"/>
      <x:c r="K88" s="82"/>
      <x:c r="L88" s="68"/>
      <x:c r="M88" s="68"/>
      <x:c r="N88" s="82"/>
      <x:c r="O88" s="68"/>
      <x:c r="P88" s="68"/>
      <x:c r="Q88" s="68"/>
      <x:c r="R88" s="68"/>
      <x:c r="S88" s="68"/>
      <x:c r="T88" s="90"/>
      <x:c r="U88" s="68"/>
      <x:c r="V88" s="68"/>
      <x:c r="W88" s="68"/>
      <x:c r="X88" s="82"/>
      <x:c r="Y88" s="82"/>
      <x:c r="Z88" s="84"/>
      <x:c r="AA88" s="84"/>
      <x:c r="AB88" s="82"/>
      <x:c r="AC88" s="82"/>
      <x:c r="AD88" s="68"/>
      <x:c r="AE88" s="68"/>
      <x:c r="AF88" s="90"/>
      <x:c r="AG88" s="68"/>
      <x:c r="AH88" s="82"/>
      <x:c r="AI88" s="82"/>
      <x:c r="AJ88" s="87"/>
    </x:row>
    <x:row r="89">
      <x:c r="A89" s="72" t="str">
        <x:f>IF(OR(C89="",D89=""),"",B89&amp;"-"&amp;UPPER(C89)&amp;"-"&amp;TEXT(D89,"0000")&amp;"-"&amp;E89)</x:f>
      </x:c>
      <x:c r="B89" s="74" t="str">
        <x:v>M04</x:v>
      </x:c>
      <x:c r="C89" s="74"/>
      <x:c r="D89" s="79"/>
      <x:c r="E89" s="74" t="str">
        <x:v>V1.0</x:v>
      </x:c>
      <x:c r="F89" s="68"/>
      <x:c r="G89" s="82"/>
      <x:c r="H89" s="82"/>
      <x:c r="I89" s="68"/>
      <x:c r="J89" s="82"/>
      <x:c r="K89" s="82"/>
      <x:c r="L89" s="68"/>
      <x:c r="M89" s="68"/>
      <x:c r="N89" s="82"/>
      <x:c r="O89" s="68"/>
      <x:c r="P89" s="68"/>
      <x:c r="Q89" s="68"/>
      <x:c r="R89" s="68"/>
      <x:c r="S89" s="68"/>
      <x:c r="T89" s="90"/>
      <x:c r="U89" s="68"/>
      <x:c r="V89" s="68"/>
      <x:c r="W89" s="68"/>
      <x:c r="X89" s="82"/>
      <x:c r="Y89" s="82"/>
      <x:c r="Z89" s="84"/>
      <x:c r="AA89" s="84"/>
      <x:c r="AB89" s="82"/>
      <x:c r="AC89" s="82"/>
      <x:c r="AD89" s="68"/>
      <x:c r="AE89" s="68"/>
      <x:c r="AF89" s="90"/>
      <x:c r="AG89" s="68"/>
      <x:c r="AH89" s="82"/>
      <x:c r="AI89" s="82"/>
      <x:c r="AJ89" s="87"/>
    </x:row>
    <x:row r="90">
      <x:c r="A90" s="72" t="str">
        <x:f>IF(OR(C90="",D90=""),"",B90&amp;"-"&amp;UPPER(C90)&amp;"-"&amp;TEXT(D90,"0000")&amp;"-"&amp;E90)</x:f>
      </x:c>
      <x:c r="B90" s="74" t="str">
        <x:v>M04</x:v>
      </x:c>
      <x:c r="C90" s="74"/>
      <x:c r="D90" s="79"/>
      <x:c r="E90" s="74" t="str">
        <x:v>V1.0</x:v>
      </x:c>
      <x:c r="F90" s="68"/>
      <x:c r="G90" s="82"/>
      <x:c r="H90" s="82"/>
      <x:c r="I90" s="68"/>
      <x:c r="J90" s="82"/>
      <x:c r="K90" s="82"/>
      <x:c r="L90" s="68"/>
      <x:c r="M90" s="68"/>
      <x:c r="N90" s="82"/>
      <x:c r="O90" s="68"/>
      <x:c r="P90" s="68"/>
      <x:c r="Q90" s="68"/>
      <x:c r="R90" s="68"/>
      <x:c r="S90" s="68"/>
      <x:c r="T90" s="90"/>
      <x:c r="U90" s="68"/>
      <x:c r="V90" s="68"/>
      <x:c r="W90" s="68"/>
      <x:c r="X90" s="82"/>
      <x:c r="Y90" s="82"/>
      <x:c r="Z90" s="84"/>
      <x:c r="AA90" s="84"/>
      <x:c r="AB90" s="82"/>
      <x:c r="AC90" s="82"/>
      <x:c r="AD90" s="68"/>
      <x:c r="AE90" s="68"/>
      <x:c r="AF90" s="90"/>
      <x:c r="AG90" s="68"/>
      <x:c r="AH90" s="82"/>
      <x:c r="AI90" s="82"/>
      <x:c r="AJ90" s="87"/>
    </x:row>
    <x:row r="91">
      <x:c r="A91" s="72" t="str">
        <x:f>IF(OR(C91="",D91=""),"",B91&amp;"-"&amp;UPPER(C91)&amp;"-"&amp;TEXT(D91,"0000")&amp;"-"&amp;E91)</x:f>
      </x:c>
      <x:c r="B91" s="74" t="str">
        <x:v>M04</x:v>
      </x:c>
      <x:c r="C91" s="74"/>
      <x:c r="D91" s="79"/>
      <x:c r="E91" s="74" t="str">
        <x:v>V1.0</x:v>
      </x:c>
      <x:c r="F91" s="68"/>
      <x:c r="G91" s="82"/>
      <x:c r="H91" s="82"/>
      <x:c r="I91" s="68"/>
      <x:c r="J91" s="82"/>
      <x:c r="K91" s="82"/>
      <x:c r="L91" s="68"/>
      <x:c r="M91" s="68"/>
      <x:c r="N91" s="82"/>
      <x:c r="O91" s="68"/>
      <x:c r="P91" s="68"/>
      <x:c r="Q91" s="68"/>
      <x:c r="R91" s="68"/>
      <x:c r="S91" s="68"/>
      <x:c r="T91" s="90"/>
      <x:c r="U91" s="68"/>
      <x:c r="V91" s="68"/>
      <x:c r="W91" s="68"/>
      <x:c r="X91" s="82"/>
      <x:c r="Y91" s="82"/>
      <x:c r="Z91" s="84"/>
      <x:c r="AA91" s="84"/>
      <x:c r="AB91" s="82"/>
      <x:c r="AC91" s="82"/>
      <x:c r="AD91" s="68"/>
      <x:c r="AE91" s="68"/>
      <x:c r="AF91" s="90"/>
      <x:c r="AG91" s="68"/>
      <x:c r="AH91" s="82"/>
      <x:c r="AI91" s="82"/>
      <x:c r="AJ91" s="87"/>
    </x:row>
    <x:row r="92">
      <x:c r="A92" s="72" t="str">
        <x:f>IF(OR(C92="",D92=""),"",B92&amp;"-"&amp;UPPER(C92)&amp;"-"&amp;TEXT(D92,"0000")&amp;"-"&amp;E92)</x:f>
      </x:c>
      <x:c r="B92" s="74" t="str">
        <x:v>M04</x:v>
      </x:c>
      <x:c r="C92" s="74"/>
      <x:c r="D92" s="79"/>
      <x:c r="E92" s="74" t="str">
        <x:v>V1.0</x:v>
      </x:c>
      <x:c r="F92" s="68"/>
      <x:c r="G92" s="82"/>
      <x:c r="H92" s="82"/>
      <x:c r="I92" s="68"/>
      <x:c r="J92" s="82"/>
      <x:c r="K92" s="82"/>
      <x:c r="L92" s="68"/>
      <x:c r="M92" s="68"/>
      <x:c r="N92" s="82"/>
      <x:c r="O92" s="68"/>
      <x:c r="P92" s="68"/>
      <x:c r="Q92" s="68"/>
      <x:c r="R92" s="68"/>
      <x:c r="S92" s="68"/>
      <x:c r="T92" s="90"/>
      <x:c r="U92" s="68"/>
      <x:c r="V92" s="68"/>
      <x:c r="W92" s="68"/>
      <x:c r="X92" s="82"/>
      <x:c r="Y92" s="82"/>
      <x:c r="Z92" s="84"/>
      <x:c r="AA92" s="84"/>
      <x:c r="AB92" s="82"/>
      <x:c r="AC92" s="82"/>
      <x:c r="AD92" s="68"/>
      <x:c r="AE92" s="68"/>
      <x:c r="AF92" s="90"/>
      <x:c r="AG92" s="68"/>
      <x:c r="AH92" s="82"/>
      <x:c r="AI92" s="82"/>
      <x:c r="AJ92" s="87"/>
    </x:row>
    <x:row r="93">
      <x:c r="A93" s="72" t="str">
        <x:f>IF(OR(C93="",D93=""),"",B93&amp;"-"&amp;UPPER(C93)&amp;"-"&amp;TEXT(D93,"0000")&amp;"-"&amp;E93)</x:f>
      </x:c>
      <x:c r="B93" s="74" t="str">
        <x:v>M04</x:v>
      </x:c>
      <x:c r="C93" s="74"/>
      <x:c r="D93" s="79"/>
      <x:c r="E93" s="74" t="str">
        <x:v>V1.0</x:v>
      </x:c>
      <x:c r="F93" s="68"/>
      <x:c r="G93" s="82"/>
      <x:c r="H93" s="82"/>
      <x:c r="I93" s="68"/>
      <x:c r="J93" s="82"/>
      <x:c r="K93" s="82"/>
      <x:c r="L93" s="68"/>
      <x:c r="M93" s="68"/>
      <x:c r="N93" s="82"/>
      <x:c r="O93" s="68"/>
      <x:c r="P93" s="68"/>
      <x:c r="Q93" s="68"/>
      <x:c r="R93" s="68"/>
      <x:c r="S93" s="68"/>
      <x:c r="T93" s="90"/>
      <x:c r="U93" s="68"/>
      <x:c r="V93" s="68"/>
      <x:c r="W93" s="68"/>
      <x:c r="X93" s="82"/>
      <x:c r="Y93" s="82"/>
      <x:c r="Z93" s="84"/>
      <x:c r="AA93" s="84"/>
      <x:c r="AB93" s="82"/>
      <x:c r="AC93" s="82"/>
      <x:c r="AD93" s="68"/>
      <x:c r="AE93" s="68"/>
      <x:c r="AF93" s="90"/>
      <x:c r="AG93" s="68"/>
      <x:c r="AH93" s="82"/>
      <x:c r="AI93" s="82"/>
      <x:c r="AJ93" s="87"/>
    </x:row>
    <x:row r="94">
      <x:c r="A94" s="72" t="str">
        <x:f>IF(OR(C94="",D94=""),"",B94&amp;"-"&amp;UPPER(C94)&amp;"-"&amp;TEXT(D94,"0000")&amp;"-"&amp;E94)</x:f>
      </x:c>
      <x:c r="B94" s="74" t="str">
        <x:v>M04</x:v>
      </x:c>
      <x:c r="C94" s="74"/>
      <x:c r="D94" s="79"/>
      <x:c r="E94" s="74" t="str">
        <x:v>V1.0</x:v>
      </x:c>
      <x:c r="F94" s="68"/>
      <x:c r="G94" s="82"/>
      <x:c r="H94" s="82"/>
      <x:c r="I94" s="68"/>
      <x:c r="J94" s="82"/>
      <x:c r="K94" s="82"/>
      <x:c r="L94" s="68"/>
      <x:c r="M94" s="68"/>
      <x:c r="N94" s="82"/>
      <x:c r="O94" s="68"/>
      <x:c r="P94" s="68"/>
      <x:c r="Q94" s="68"/>
      <x:c r="R94" s="68"/>
      <x:c r="S94" s="68"/>
      <x:c r="T94" s="90"/>
      <x:c r="U94" s="68"/>
      <x:c r="V94" s="68"/>
      <x:c r="W94" s="68"/>
      <x:c r="X94" s="82"/>
      <x:c r="Y94" s="82"/>
      <x:c r="Z94" s="84"/>
      <x:c r="AA94" s="84"/>
      <x:c r="AB94" s="82"/>
      <x:c r="AC94" s="82"/>
      <x:c r="AD94" s="68"/>
      <x:c r="AE94" s="68"/>
      <x:c r="AF94" s="90"/>
      <x:c r="AG94" s="68"/>
      <x:c r="AH94" s="82"/>
      <x:c r="AI94" s="82"/>
      <x:c r="AJ94" s="87"/>
    </x:row>
    <x:row r="95">
      <x:c r="A95" s="72" t="str">
        <x:f>IF(OR(C95="",D95=""),"",B95&amp;"-"&amp;UPPER(C95)&amp;"-"&amp;TEXT(D95,"0000")&amp;"-"&amp;E95)</x:f>
      </x:c>
      <x:c r="B95" s="74" t="str">
        <x:v>M04</x:v>
      </x:c>
      <x:c r="C95" s="74"/>
      <x:c r="D95" s="79"/>
      <x:c r="E95" s="74" t="str">
        <x:v>V1.0</x:v>
      </x:c>
      <x:c r="F95" s="68"/>
      <x:c r="G95" s="82"/>
      <x:c r="H95" s="82"/>
      <x:c r="I95" s="68"/>
      <x:c r="J95" s="82"/>
      <x:c r="K95" s="82"/>
      <x:c r="L95" s="68"/>
      <x:c r="M95" s="68"/>
      <x:c r="N95" s="82"/>
      <x:c r="O95" s="68"/>
      <x:c r="P95" s="68"/>
      <x:c r="Q95" s="68"/>
      <x:c r="R95" s="68"/>
      <x:c r="S95" s="68"/>
      <x:c r="T95" s="90"/>
      <x:c r="U95" s="68"/>
      <x:c r="V95" s="68"/>
      <x:c r="W95" s="68"/>
      <x:c r="X95" s="82"/>
      <x:c r="Y95" s="82"/>
      <x:c r="Z95" s="84"/>
      <x:c r="AA95" s="84"/>
      <x:c r="AB95" s="82"/>
      <x:c r="AC95" s="82"/>
      <x:c r="AD95" s="68"/>
      <x:c r="AE95" s="68"/>
      <x:c r="AF95" s="90"/>
      <x:c r="AG95" s="68"/>
      <x:c r="AH95" s="82"/>
      <x:c r="AI95" s="82"/>
      <x:c r="AJ95" s="87"/>
    </x:row>
    <x:row r="96">
      <x:c r="A96" s="72" t="str">
        <x:f>IF(OR(C96="",D96=""),"",B96&amp;"-"&amp;UPPER(C96)&amp;"-"&amp;TEXT(D96,"0000")&amp;"-"&amp;E96)</x:f>
      </x:c>
      <x:c r="B96" s="74" t="str">
        <x:v>M04</x:v>
      </x:c>
      <x:c r="C96" s="74"/>
      <x:c r="D96" s="79"/>
      <x:c r="E96" s="74" t="str">
        <x:v>V1.0</x:v>
      </x:c>
      <x:c r="F96" s="68"/>
      <x:c r="G96" s="82"/>
      <x:c r="H96" s="82"/>
      <x:c r="I96" s="68"/>
      <x:c r="J96" s="82"/>
      <x:c r="K96" s="82"/>
      <x:c r="L96" s="68"/>
      <x:c r="M96" s="68"/>
      <x:c r="N96" s="82"/>
      <x:c r="O96" s="68"/>
      <x:c r="P96" s="68"/>
      <x:c r="Q96" s="68"/>
      <x:c r="R96" s="68"/>
      <x:c r="S96" s="68"/>
      <x:c r="T96" s="90"/>
      <x:c r="U96" s="68"/>
      <x:c r="V96" s="68"/>
      <x:c r="W96" s="68"/>
      <x:c r="X96" s="82"/>
      <x:c r="Y96" s="82"/>
      <x:c r="Z96" s="84"/>
      <x:c r="AA96" s="84"/>
      <x:c r="AB96" s="82"/>
      <x:c r="AC96" s="82"/>
      <x:c r="AD96" s="68"/>
      <x:c r="AE96" s="68"/>
      <x:c r="AF96" s="90"/>
      <x:c r="AG96" s="68"/>
      <x:c r="AH96" s="82"/>
      <x:c r="AI96" s="82"/>
      <x:c r="AJ96" s="87"/>
    </x:row>
    <x:row r="97">
      <x:c r="A97" s="72" t="str">
        <x:f>IF(OR(C97="",D97=""),"",B97&amp;"-"&amp;UPPER(C97)&amp;"-"&amp;TEXT(D97,"0000")&amp;"-"&amp;E97)</x:f>
      </x:c>
      <x:c r="B97" s="74" t="str">
        <x:v>M04</x:v>
      </x:c>
      <x:c r="C97" s="74"/>
      <x:c r="D97" s="79"/>
      <x:c r="E97" s="74" t="str">
        <x:v>V1.0</x:v>
      </x:c>
      <x:c r="F97" s="68"/>
      <x:c r="G97" s="82"/>
      <x:c r="H97" s="82"/>
      <x:c r="I97" s="68"/>
      <x:c r="J97" s="82"/>
      <x:c r="K97" s="82"/>
      <x:c r="L97" s="68"/>
      <x:c r="M97" s="68"/>
      <x:c r="N97" s="82"/>
      <x:c r="O97" s="68"/>
      <x:c r="P97" s="68"/>
      <x:c r="Q97" s="68"/>
      <x:c r="R97" s="68"/>
      <x:c r="S97" s="68"/>
      <x:c r="T97" s="90"/>
      <x:c r="U97" s="68"/>
      <x:c r="V97" s="68"/>
      <x:c r="W97" s="68"/>
      <x:c r="X97" s="82"/>
      <x:c r="Y97" s="82"/>
      <x:c r="Z97" s="84"/>
      <x:c r="AA97" s="84"/>
      <x:c r="AB97" s="82"/>
      <x:c r="AC97" s="82"/>
      <x:c r="AD97" s="68"/>
      <x:c r="AE97" s="68"/>
      <x:c r="AF97" s="90"/>
      <x:c r="AG97" s="68"/>
      <x:c r="AH97" s="82"/>
      <x:c r="AI97" s="82"/>
      <x:c r="AJ97" s="87"/>
    </x:row>
    <x:row r="98">
      <x:c r="A98" s="72" t="str">
        <x:f>IF(OR(C98="",D98=""),"",B98&amp;"-"&amp;UPPER(C98)&amp;"-"&amp;TEXT(D98,"0000")&amp;"-"&amp;E98)</x:f>
      </x:c>
      <x:c r="B98" s="74" t="str">
        <x:v>M04</x:v>
      </x:c>
      <x:c r="C98" s="74"/>
      <x:c r="D98" s="79"/>
      <x:c r="E98" s="74" t="str">
        <x:v>V1.0</x:v>
      </x:c>
      <x:c r="F98" s="68"/>
      <x:c r="G98" s="82"/>
      <x:c r="H98" s="82"/>
      <x:c r="I98" s="68"/>
      <x:c r="J98" s="82"/>
      <x:c r="K98" s="82"/>
      <x:c r="L98" s="68"/>
      <x:c r="M98" s="68"/>
      <x:c r="N98" s="82"/>
      <x:c r="O98" s="68"/>
      <x:c r="P98" s="68"/>
      <x:c r="Q98" s="68"/>
      <x:c r="R98" s="68"/>
      <x:c r="S98" s="68"/>
      <x:c r="T98" s="90"/>
      <x:c r="U98" s="68"/>
      <x:c r="V98" s="68"/>
      <x:c r="W98" s="68"/>
      <x:c r="X98" s="82"/>
      <x:c r="Y98" s="82"/>
      <x:c r="Z98" s="84"/>
      <x:c r="AA98" s="84"/>
      <x:c r="AB98" s="82"/>
      <x:c r="AC98" s="82"/>
      <x:c r="AD98" s="68"/>
      <x:c r="AE98" s="68"/>
      <x:c r="AF98" s="90"/>
      <x:c r="AG98" s="68"/>
      <x:c r="AH98" s="82"/>
      <x:c r="AI98" s="82"/>
      <x:c r="AJ98" s="87"/>
    </x:row>
    <x:row r="99">
      <x:c r="A99" s="72" t="str">
        <x:f>IF(OR(C99="",D99=""),"",B99&amp;"-"&amp;UPPER(C99)&amp;"-"&amp;TEXT(D99,"0000")&amp;"-"&amp;E99)</x:f>
      </x:c>
      <x:c r="B99" s="74" t="str">
        <x:v>M04</x:v>
      </x:c>
      <x:c r="C99" s="74"/>
      <x:c r="D99" s="79"/>
      <x:c r="E99" s="74" t="str">
        <x:v>V1.0</x:v>
      </x:c>
      <x:c r="F99" s="68"/>
      <x:c r="G99" s="82"/>
      <x:c r="H99" s="82"/>
      <x:c r="I99" s="68"/>
      <x:c r="J99" s="82"/>
      <x:c r="K99" s="82"/>
      <x:c r="L99" s="68"/>
      <x:c r="M99" s="68"/>
      <x:c r="N99" s="82"/>
      <x:c r="O99" s="68"/>
      <x:c r="P99" s="68"/>
      <x:c r="Q99" s="68"/>
      <x:c r="R99" s="68"/>
      <x:c r="S99" s="68"/>
      <x:c r="T99" s="90"/>
      <x:c r="U99" s="68"/>
      <x:c r="V99" s="68"/>
      <x:c r="W99" s="68"/>
      <x:c r="X99" s="82"/>
      <x:c r="Y99" s="82"/>
      <x:c r="Z99" s="84"/>
      <x:c r="AA99" s="84"/>
      <x:c r="AB99" s="82"/>
      <x:c r="AC99" s="82"/>
      <x:c r="AD99" s="68"/>
      <x:c r="AE99" s="68"/>
      <x:c r="AF99" s="90"/>
      <x:c r="AG99" s="68"/>
      <x:c r="AH99" s="82"/>
      <x:c r="AI99" s="82"/>
      <x:c r="AJ99" s="87"/>
    </x:row>
    <x:row r="100">
      <x:c r="A100" s="72" t="str">
        <x:f>IF(OR(C100="",D100=""),"",B100&amp;"-"&amp;UPPER(C100)&amp;"-"&amp;TEXT(D100,"0000")&amp;"-"&amp;E100)</x:f>
      </x:c>
      <x:c r="B100" s="74" t="str">
        <x:v>M04</x:v>
      </x:c>
      <x:c r="C100" s="74"/>
      <x:c r="D100" s="79"/>
      <x:c r="E100" s="74" t="str">
        <x:v>V1.0</x:v>
      </x:c>
      <x:c r="F100" s="68"/>
      <x:c r="G100" s="82"/>
      <x:c r="H100" s="82"/>
      <x:c r="I100" s="68"/>
      <x:c r="J100" s="82"/>
      <x:c r="K100" s="82"/>
      <x:c r="L100" s="68"/>
      <x:c r="M100" s="68"/>
      <x:c r="N100" s="82"/>
      <x:c r="O100" s="68"/>
      <x:c r="P100" s="68"/>
      <x:c r="Q100" s="68"/>
      <x:c r="R100" s="68"/>
      <x:c r="S100" s="68"/>
      <x:c r="T100" s="90"/>
      <x:c r="U100" s="68"/>
      <x:c r="V100" s="68"/>
      <x:c r="W100" s="68"/>
      <x:c r="X100" s="82"/>
      <x:c r="Y100" s="82"/>
      <x:c r="Z100" s="84"/>
      <x:c r="AA100" s="84"/>
      <x:c r="AB100" s="82"/>
      <x:c r="AC100" s="82"/>
      <x:c r="AD100" s="68"/>
      <x:c r="AE100" s="68"/>
      <x:c r="AF100" s="90"/>
      <x:c r="AG100" s="68"/>
      <x:c r="AH100" s="82"/>
      <x:c r="AI100" s="82"/>
      <x:c r="AJ100" s="87"/>
    </x:row>
    <x:row r="101">
      <x:c r="A101" s="72" t="str">
        <x:f>IF(OR(C101="",D101=""),"",B101&amp;"-"&amp;UPPER(C101)&amp;"-"&amp;TEXT(D101,"0000")&amp;"-"&amp;E101)</x:f>
      </x:c>
      <x:c r="B101" s="74" t="str">
        <x:v>M04</x:v>
      </x:c>
      <x:c r="C101" s="74"/>
      <x:c r="D101" s="79"/>
      <x:c r="E101" s="74" t="str">
        <x:v>V1.0</x:v>
      </x:c>
      <x:c r="F101" s="68"/>
      <x:c r="G101" s="82"/>
      <x:c r="H101" s="82"/>
      <x:c r="I101" s="68"/>
      <x:c r="J101" s="82"/>
      <x:c r="K101" s="82"/>
      <x:c r="L101" s="68"/>
      <x:c r="M101" s="68"/>
      <x:c r="N101" s="82"/>
      <x:c r="O101" s="68"/>
      <x:c r="P101" s="68"/>
      <x:c r="Q101" s="68"/>
      <x:c r="R101" s="68"/>
      <x:c r="S101" s="68"/>
      <x:c r="T101" s="90"/>
      <x:c r="U101" s="68"/>
      <x:c r="V101" s="68"/>
      <x:c r="W101" s="68"/>
      <x:c r="X101" s="82"/>
      <x:c r="Y101" s="82"/>
      <x:c r="Z101" s="84"/>
      <x:c r="AA101" s="84"/>
      <x:c r="AB101" s="82"/>
      <x:c r="AC101" s="82"/>
      <x:c r="AD101" s="68"/>
      <x:c r="AE101" s="68"/>
      <x:c r="AF101" s="90"/>
      <x:c r="AG101" s="68"/>
      <x:c r="AH101" s="82"/>
      <x:c r="AI101" s="82"/>
      <x:c r="AJ101" s="87"/>
    </x:row>
    <x:row r="102">
      <x:c r="A102" s="72" t="str">
        <x:f>IF(OR(C102="",D102=""),"",B102&amp;"-"&amp;UPPER(C102)&amp;"-"&amp;TEXT(D102,"0000")&amp;"-"&amp;E102)</x:f>
      </x:c>
      <x:c r="B102" s="74" t="str">
        <x:v>M04</x:v>
      </x:c>
      <x:c r="C102" s="74"/>
      <x:c r="D102" s="79"/>
      <x:c r="E102" s="74" t="str">
        <x:v>V1.0</x:v>
      </x:c>
      <x:c r="F102" s="68"/>
      <x:c r="G102" s="82"/>
      <x:c r="H102" s="82"/>
      <x:c r="I102" s="68"/>
      <x:c r="J102" s="82"/>
      <x:c r="K102" s="82"/>
      <x:c r="L102" s="68"/>
      <x:c r="M102" s="68"/>
      <x:c r="N102" s="82"/>
      <x:c r="O102" s="68"/>
      <x:c r="P102" s="68"/>
      <x:c r="Q102" s="68"/>
      <x:c r="R102" s="68"/>
      <x:c r="S102" s="68"/>
      <x:c r="T102" s="90"/>
      <x:c r="U102" s="68"/>
      <x:c r="V102" s="68"/>
      <x:c r="W102" s="68"/>
      <x:c r="X102" s="82"/>
      <x:c r="Y102" s="82"/>
      <x:c r="Z102" s="84"/>
      <x:c r="AA102" s="84"/>
      <x:c r="AB102" s="82"/>
      <x:c r="AC102" s="82"/>
      <x:c r="AD102" s="68"/>
      <x:c r="AE102" s="68"/>
      <x:c r="AF102" s="90"/>
      <x:c r="AG102" s="68"/>
      <x:c r="AH102" s="82"/>
      <x:c r="AI102" s="82"/>
      <x:c r="AJ102" s="87"/>
    </x:row>
    <x:row r="103">
      <x:c r="A103" s="72" t="str">
        <x:f>IF(OR(C103="",D103=""),"",B103&amp;"-"&amp;UPPER(C103)&amp;"-"&amp;TEXT(D103,"0000")&amp;"-"&amp;E103)</x:f>
      </x:c>
      <x:c r="B103" s="74" t="str">
        <x:v>M04</x:v>
      </x:c>
      <x:c r="C103" s="74"/>
      <x:c r="D103" s="79"/>
      <x:c r="E103" s="74" t="str">
        <x:v>V1.0</x:v>
      </x:c>
      <x:c r="F103" s="68"/>
      <x:c r="G103" s="82"/>
      <x:c r="H103" s="82"/>
      <x:c r="I103" s="68"/>
      <x:c r="J103" s="82"/>
      <x:c r="K103" s="82"/>
      <x:c r="L103" s="68"/>
      <x:c r="M103" s="68"/>
      <x:c r="N103" s="82"/>
      <x:c r="O103" s="68"/>
      <x:c r="P103" s="68"/>
      <x:c r="Q103" s="68"/>
      <x:c r="R103" s="68"/>
      <x:c r="S103" s="68"/>
      <x:c r="T103" s="90"/>
      <x:c r="U103" s="68"/>
      <x:c r="V103" s="68"/>
      <x:c r="W103" s="68"/>
      <x:c r="X103" s="82"/>
      <x:c r="Y103" s="82"/>
      <x:c r="Z103" s="84"/>
      <x:c r="AA103" s="84"/>
      <x:c r="AB103" s="82"/>
      <x:c r="AC103" s="82"/>
      <x:c r="AD103" s="68"/>
      <x:c r="AE103" s="68"/>
      <x:c r="AF103" s="90"/>
      <x:c r="AG103" s="68"/>
      <x:c r="AH103" s="82"/>
      <x:c r="AI103" s="82"/>
      <x:c r="AJ103" s="87"/>
    </x:row>
    <x:row r="104">
      <x:c r="A104" s="72" t="str">
        <x:f>IF(OR(C104="",D104=""),"",B104&amp;"-"&amp;UPPER(C104)&amp;"-"&amp;TEXT(D104,"0000")&amp;"-"&amp;E104)</x:f>
      </x:c>
      <x:c r="B104" s="74" t="str">
        <x:v>M04</x:v>
      </x:c>
      <x:c r="C104" s="74"/>
      <x:c r="D104" s="79"/>
      <x:c r="E104" s="74" t="str">
        <x:v>V1.0</x:v>
      </x:c>
      <x:c r="F104" s="68"/>
      <x:c r="G104" s="82"/>
      <x:c r="H104" s="82"/>
      <x:c r="I104" s="68"/>
      <x:c r="J104" s="82"/>
      <x:c r="K104" s="82"/>
      <x:c r="L104" s="68"/>
      <x:c r="M104" s="68"/>
      <x:c r="N104" s="82"/>
      <x:c r="O104" s="68"/>
      <x:c r="P104" s="68"/>
      <x:c r="Q104" s="68"/>
      <x:c r="R104" s="68"/>
      <x:c r="S104" s="68"/>
      <x:c r="T104" s="90"/>
      <x:c r="U104" s="68"/>
      <x:c r="V104" s="68"/>
      <x:c r="W104" s="68"/>
      <x:c r="X104" s="82"/>
      <x:c r="Y104" s="82"/>
      <x:c r="Z104" s="84"/>
      <x:c r="AA104" s="84"/>
      <x:c r="AB104" s="82"/>
      <x:c r="AC104" s="82"/>
      <x:c r="AD104" s="68"/>
      <x:c r="AE104" s="68"/>
      <x:c r="AF104" s="90"/>
      <x:c r="AG104" s="68"/>
      <x:c r="AH104" s="82"/>
      <x:c r="AI104" s="82"/>
      <x:c r="AJ104" s="87"/>
    </x:row>
    <x:row r="105">
      <x:c r="A105" s="72" t="str">
        <x:f>IF(OR(C105="",D105=""),"",B105&amp;"-"&amp;UPPER(C105)&amp;"-"&amp;TEXT(D105,"0000")&amp;"-"&amp;E105)</x:f>
      </x:c>
      <x:c r="B105" s="74" t="str">
        <x:v>M04</x:v>
      </x:c>
      <x:c r="C105" s="74"/>
      <x:c r="D105" s="79"/>
      <x:c r="E105" s="74" t="str">
        <x:v>V1.0</x:v>
      </x:c>
      <x:c r="F105" s="68"/>
      <x:c r="G105" s="82"/>
      <x:c r="H105" s="82"/>
      <x:c r="I105" s="68"/>
      <x:c r="J105" s="82"/>
      <x:c r="K105" s="82"/>
      <x:c r="L105" s="68"/>
      <x:c r="M105" s="68"/>
      <x:c r="N105" s="82"/>
      <x:c r="O105" s="68"/>
      <x:c r="P105" s="68"/>
      <x:c r="Q105" s="68"/>
      <x:c r="R105" s="68"/>
      <x:c r="S105" s="68"/>
      <x:c r="T105" s="90"/>
      <x:c r="U105" s="68"/>
      <x:c r="V105" s="68"/>
      <x:c r="W105" s="68"/>
      <x:c r="X105" s="82"/>
      <x:c r="Y105" s="82"/>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2"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N6:N105">
      <x:formula1>'99_下拉选项'!$D$4:$D$8</x:formula1>
    </x:dataValidation>
    <x:dataValidation type="list" sqref="X6:X105">
      <x:formula1>'99_下拉选项'!$O$4:$O$7</x:formula1>
    </x:dataValidation>
    <x:dataValidation type="list" sqref="Y6:Y105">
      <x:formula1>'99_下拉选项'!$P$4:$P$8</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'99_下拉选项'!$BG$4:$BG$16</x:formula1>
    </x:dataValidation>
  </x:dataValidations>
  <x:pageMargins left="0.7" right="0.7" top="0.75" bottom="0.75" header="0.3" footer="0.3"/>
  <x:tableParts count="1">
    <x:tablePart xmlns:r="http://schemas.openxmlformats.org/officeDocument/2006/relationships" r:id="R5a40d5bd4ca549b4"/>
  </x:tableParts>
</x:worksheet>
</file>

<file path=xl/worksheets/sheet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M05｜地支刑冲合会害破识别规则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已录入90条正式规则：六合、三合、半合、拱合、三会、六冲、三刑、自刑、六害、六破，以及柱位、岁运补齐、重叠关系与识别边界。此表不直接裁定成局、冲散、刑伤或力量增减。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主要输出：地支关系清单、完整度与叠加关系　｜　直接下游：M06/M08/M10/M11/M12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参与地支</x:v>
      </x:c>
      <x:c r="J5" s="61" t="str">
        <x:v>位置关系</x:v>
      </x:c>
      <x:c r="K5" s="61" t="str">
        <x:v>完整度</x:v>
      </x:c>
      <x:c r="L5" s="61" t="str">
        <x:v>月令归属</x:v>
      </x:c>
      <x:c r="M5" s="61" t="str">
        <x:v>透干情况</x:v>
      </x:c>
      <x:c r="N5" s="61" t="str">
        <x:v>同时关系</x:v>
      </x:c>
      <x:c r="O5" s="61" t="str">
        <x:v>前置条件</x:v>
      </x:c>
      <x:c r="P5" s="61" t="str">
        <x:v>必要条件</x:v>
      </x:c>
      <x:c r="Q5" s="61" t="str">
        <x:v>增强条件</x:v>
      </x:c>
      <x:c r="R5" s="61" t="str">
        <x:v>削弱条件</x:v>
      </x:c>
      <x:c r="S5" s="61" t="str">
        <x:v>否决条件</x:v>
      </x:c>
      <x:c r="T5" s="61" t="str">
        <x:v>例外条件</x:v>
      </x:c>
      <x:c r="U5" s="61" t="str">
        <x:v>识别结论</x:v>
      </x:c>
      <x:c r="V5" s="61" t="str">
        <x:v>不得直接推出</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M05-DEMO-9999-V0.1</x:v>
      </x:c>
      <x:c r="B6" s="76" t="str">
        <x:v>M05</x:v>
      </x:c>
      <x:c r="C6" s="76" t="str">
        <x:v>DEMO</x:v>
      </x:c>
      <x:c r="D6" s="78" t="n">
        <x:v>9999</x:v>
      </x:c>
      <x:c r="E6" s="76" t="str">
        <x:v>V0.1</x:v>
      </x:c>
      <x:c r="F6" s="76" t="str">
        <x:v>寅巳申齐全可识别为三刑结构完整</x:v>
      </x:c>
      <x:c r="G6" s="76" t="str">
        <x:v>识别层</x:v>
      </x:c>
      <x:c r="H6" s="76" t="str">
        <x:v>三刑</x:v>
      </x:c>
      <x:c r="I6" s="76" t="str">
        <x:v>寅、巳、申</x:v>
      </x:c>
      <x:c r="J6" s="76" t="str">
        <x:v>其他</x:v>
      </x:c>
      <x:c r="K6" s="76" t="str">
        <x:v>完整</x:v>
      </x:c>
      <x:c r="L6" s="76" t="str">
        <x:v>分别记录三支中谁得令</x:v>
      </x:c>
      <x:c r="M6" s="76" t="str">
        <x:v>分别记录三支藏干是否透出</x:v>
      </x:c>
      <x:c r="N6" s="76" t="str">
        <x:v>检查寅申冲、巳申合及其他会合</x:v>
      </x:c>
      <x:c r="O6" s="76" t="str">
        <x:v>四柱地支已标准化</x:v>
      </x:c>
      <x:c r="P6" s="76" t="str">
        <x:v>寅、巳、申三支均出现</x:v>
      </x:c>
      <x:c r="Q6" s="76" t="str">
        <x:v>岁运再次引动、相关藏干透出</x:v>
      </x:c>
      <x:c r="R6" s="76" t="str">
        <x:v>部分地支被强合化或结构仅两支</x:v>
      </x:c>
      <x:c r="S6" s="76" t="str">
        <x:v>三支不齐则不能标记为原局完整三刑</x:v>
      </x:c>
      <x:c r="T6" s="76" t="str">
        <x:v>两支相刑及岁运补齐另建规则</x:v>
      </x:c>
      <x:c r="U6" s="76" t="str">
        <x:v>寅巳申三刑结构完整</x:v>
      </x:c>
      <x:c r="V6" s="76" t="str">
        <x:v>不得直接推出巳火必然减力、任何一支必然受伤或日主旺衰改变</x:v>
      </x:c>
      <x:c r="W6" s="76" t="str">
        <x:v>P1_高</x:v>
      </x:c>
      <x:c r="X6" s="76" t="str">
        <x:v>硬约束</x:v>
      </x:c>
      <x:c r="Y6" s="76" t="str">
        <x:v>三刑识别</x:v>
      </x:c>
      <x:c r="Z6" s="76" t="str">
        <x:v>原局寅、巳、申齐全，三刑结构完整；各支实际受力需进入效应层逐支判断。</x:v>
      </x:c>
      <x:c r="AA6" s="76" t="str">
        <x:v>确定</x:v>
      </x:c>
      <x:c r="AB6" s="76" t="str">
        <x:v>现代综合</x:v>
      </x:c>
      <x:c r="AC6" s="76" t="str">
        <x:v>完整性是客观识别；实际效应依赖旺衰、月令、透干和叠加关系。</x:v>
      </x:c>
      <x:c r="AD6" s="76" t="str">
        <x:v>四支中同时具寅、巳、申。</x:v>
      </x:c>
      <x:c r="AE6" s="76" t="str">
        <x:v>仅见寅、巳时不能写成原局三刑完整。</x:v>
      </x:c>
      <x:c r="AF6" s="76" t="str">
        <x:v>示例，仅演示字段用法</x:v>
      </x:c>
      <x:c r="AG6" s="76" t="str">
        <x:v>示例</x:v>
      </x:c>
      <x:c r="AH6" s="76" t="str">
        <x:v>未审核</x:v>
      </x:c>
      <x:c r="AI6" s="86" t="n">
        <x:v>46254</x:v>
      </x:c>
    </x:row>
    <x:row r="7">
      <x:c r="A7" s="72" t="str">
        <x:f>IF(OR(C7="",D7=""),"",B7&amp;"-"&amp;UPPER(C7)&amp;"-"&amp;TEXT(D7,"0000")&amp;"-"&amp;E7)</x:f>
        <x:v>M05-LIUHE-0001-V1.0</x:v>
      </x:c>
      <x:c r="B7" s="74" t="str">
        <x:v>M05</x:v>
      </x:c>
      <x:c r="C7" s="74" t="str">
        <x:v>LIUHE</x:v>
      </x:c>
      <x:c r="D7" s="79" t="n">
        <x:v>1</x:v>
      </x:c>
      <x:c r="E7" s="74" t="str">
        <x:v>V1.0</x:v>
      </x:c>
      <x:c r="F7" s="68" t="str">
        <x:v>子丑六合识别</x:v>
      </x:c>
      <x:c r="G7" s="82" t="str">
        <x:v>识别层</x:v>
      </x:c>
      <x:c r="H7" s="82" t="str">
        <x:v>六合</x:v>
      </x:c>
      <x:c r="I7" s="68" t="str">
        <x:v>子、丑</x:v>
      </x:c>
      <x:c r="J7" s="82" t="str">
        <x:v>其他</x:v>
      </x:c>
      <x:c r="K7" s="82" t="str">
        <x:v>完整</x:v>
      </x:c>
      <x:c r="L7" s="68" t="str">
        <x:v>关系存在不以月支得令为必要条件；须另记录参与支中谁为月支。</x:v>
      </x:c>
      <x:c r="M7" s="68" t="str">
        <x:v>相关藏干是否透出不影响关系识别；透干信息只供后续效应与旺衰判断。</x:v>
      </x:c>
      <x:c r="N7" s="68" t="str">
        <x:v>检查两支是否还参与其他三合、三会、冲、刑、害、破关系。</x:v>
      </x:c>
      <x:c r="O7" s="68" t="str">
        <x:v>四柱地支已按年、月、日、时标准化并保留柱位。</x:v>
      </x:c>
      <x:c r="P7" s="68" t="str">
        <x:v>四柱地支中同时出现子与丑，不要求先满足相邻、得令或透干。</x:v>
      </x:c>
      <x:c r="Q7" s="68" t="str">
        <x:v>位置相邻、结构单一时，关系实例更清楚；仅作为后续效应判断信息。</x:v>
      </x:c>
      <x:c r="R7" s="68" t="str">
        <x:v>隔位、遥隔或多重关系叠加时，结构更复杂，但不自动否定关系存在。</x:v>
      </x:c>
      <x:c r="S7" s="90" t="str">
        <x:v>地支缺少子或丑；藏干出现相应天干不能替代地支子或丑。</x:v>
      </x:c>
      <x:c r="T7" s="68" t="str">
        <x:v>实际合绊、成局、冲散、刑伤、害破及力量变化统一转M06判断。</x:v>
      </x:c>
      <x:c r="U7" s="68" t="str">
        <x:v>原局存在子丑六合关系。</x:v>
      </x:c>
      <x:c r="V7" s="68" t="str">
        <x:v>不得直接推出子丑已经合化、被合住、任一支减力或关系必然有效。</x:v>
      </x:c>
      <x:c r="W7" s="82" t="str">
        <x:v>P0_硬约束</x:v>
      </x:c>
      <x:c r="X7" s="82" t="str">
        <x:v>硬约束</x:v>
      </x:c>
      <x:c r="Y7" s="84" t="str">
        <x:v>子丑六合</x:v>
      </x:c>
      <x:c r="Z7" s="84" t="str">
        <x:v>地支见子、丑，识别为子丑六合；实际是合绊、合动、合住还是合化，转M06判断。</x:v>
      </x:c>
      <x:c r="AA7" s="82" t="str">
        <x:v>确定</x:v>
      </x:c>
      <x:c r="AB7" s="82" t="str">
        <x:v>跨流派共识</x:v>
      </x:c>
      <x:c r="AC7" s="68" t="str">
        <x:v>六合有固定六组配对；识别层只确认配对、柱位及叠加关系。</x:v>
      </x:c>
      <x:c r="AD7" s="68" t="str">
        <x:v>年支为子、日支为丑，登记一组子丑六合。</x:v>
      </x:c>
      <x:c r="AE7" s="90" t="str">
        <x:v>只见子而不见丑，不能登记子丑六合。</x:v>
      </x:c>
      <x:c r="AF7" s="68" t="str">
        <x:v>https://zh.wikisource.org/wiki/淵海子平；https://zh.wikisource.org/zh-hans/三命通會_(四庫全書本)</x:v>
      </x:c>
      <x:c r="AG7" s="82" t="str">
        <x:v>采用</x:v>
      </x:c>
      <x:c r="AH7" s="82" t="str">
        <x:v>初审</x:v>
      </x:c>
      <x:c r="AI7" s="87" t="n">
        <x:v>46255</x:v>
      </x:c>
    </x:row>
    <x:row r="8">
      <x:c r="A8" s="72" t="str">
        <x:f>IF(OR(C8="",D8=""),"",B8&amp;"-"&amp;UPPER(C8)&amp;"-"&amp;TEXT(D8,"0000")&amp;"-"&amp;E8)</x:f>
        <x:v>M05-LIUHE-0002-V1.0</x:v>
      </x:c>
      <x:c r="B8" s="74" t="str">
        <x:v>M05</x:v>
      </x:c>
      <x:c r="C8" s="74" t="str">
        <x:v>LIUHE</x:v>
      </x:c>
      <x:c r="D8" s="79" t="n">
        <x:v>2</x:v>
      </x:c>
      <x:c r="E8" s="74" t="str">
        <x:v>V1.0</x:v>
      </x:c>
      <x:c r="F8" s="68" t="str">
        <x:v>寅亥六合识别</x:v>
      </x:c>
      <x:c r="G8" s="82" t="str">
        <x:v>识别层</x:v>
      </x:c>
      <x:c r="H8" s="82" t="str">
        <x:v>六合</x:v>
      </x:c>
      <x:c r="I8" s="68" t="str">
        <x:v>寅、亥</x:v>
      </x:c>
      <x:c r="J8" s="82" t="str">
        <x:v>其他</x:v>
      </x:c>
      <x:c r="K8" s="82" t="str">
        <x:v>完整</x:v>
      </x:c>
      <x:c r="L8" s="68" t="str">
        <x:v>关系存在不以月支得令为必要条件；须另记录参与支中谁为月支。</x:v>
      </x:c>
      <x:c r="M8" s="68" t="str">
        <x:v>相关藏干是否透出不影响关系识别；透干信息只供后续效应与旺衰判断。</x:v>
      </x:c>
      <x:c r="N8" s="68" t="str">
        <x:v>同时独立检查寅亥破；六合与破可并存。</x:v>
      </x:c>
      <x:c r="O8" s="68" t="str">
        <x:v>四柱地支已按年、月、日、时标准化并保留柱位。</x:v>
      </x:c>
      <x:c r="P8" s="68" t="str">
        <x:v>四柱地支中同时出现寅与亥，不要求先满足相邻、得令或透干。</x:v>
      </x:c>
      <x:c r="Q8" s="68" t="str">
        <x:v>位置相邻、结构单一时，关系实例更清楚；仅作为后续效应判断信息。</x:v>
      </x:c>
      <x:c r="R8" s="68" t="str">
        <x:v>隔位、遥隔或多重关系叠加时，结构更复杂，但不自动否定关系存在。</x:v>
      </x:c>
      <x:c r="S8" s="90" t="str">
        <x:v>地支缺少寅或亥；藏干出现相应天干不能替代地支寅或亥。</x:v>
      </x:c>
      <x:c r="T8" s="68" t="str">
        <x:v>实际合绊、成局、冲散、刑伤、害破及力量变化统一转M06判断。</x:v>
      </x:c>
      <x:c r="U8" s="68" t="str">
        <x:v>原局存在寅亥六合关系。</x:v>
      </x:c>
      <x:c r="V8" s="68" t="str">
        <x:v>不得直接推出寅亥已经合化、被合住、任一支减力或关系必然有效。</x:v>
      </x:c>
      <x:c r="W8" s="82" t="str">
        <x:v>P0_硬约束</x:v>
      </x:c>
      <x:c r="X8" s="82" t="str">
        <x:v>硬约束</x:v>
      </x:c>
      <x:c r="Y8" s="84" t="str">
        <x:v>寅亥六合</x:v>
      </x:c>
      <x:c r="Z8" s="84" t="str">
        <x:v>地支见寅、亥，识别为寅亥六合；实际是合绊、合动、合住还是合化，转M06判断。</x:v>
      </x:c>
      <x:c r="AA8" s="82" t="str">
        <x:v>确定</x:v>
      </x:c>
      <x:c r="AB8" s="82" t="str">
        <x:v>跨流派共识</x:v>
      </x:c>
      <x:c r="AC8" s="68" t="str">
        <x:v>六合有固定六组配对；识别层只确认配对、柱位及叠加关系。</x:v>
      </x:c>
      <x:c r="AD8" s="68" t="str">
        <x:v>年支为寅、日支为亥，登记一组寅亥六合。</x:v>
      </x:c>
      <x:c r="AE8" s="90" t="str">
        <x:v>只见寅而不见亥，不能登记寅亥六合。</x:v>
      </x:c>
      <x:c r="AF8" s="68" t="str">
        <x:v>https://zh.wikisource.org/wiki/淵海子平；https://zh.wikisource.org/zh-hans/三命通會_(四庫全書本)</x:v>
      </x:c>
      <x:c r="AG8" s="82" t="str">
        <x:v>采用</x:v>
      </x:c>
      <x:c r="AH8" s="82" t="str">
        <x:v>初审</x:v>
      </x:c>
      <x:c r="AI8" s="87" t="n">
        <x:v>46255</x:v>
      </x:c>
    </x:row>
    <x:row r="9">
      <x:c r="A9" s="72" t="str">
        <x:f>IF(OR(C9="",D9=""),"",B9&amp;"-"&amp;UPPER(C9)&amp;"-"&amp;TEXT(D9,"0000")&amp;"-"&amp;E9)</x:f>
        <x:v>M05-LIUHE-0003-V1.0</x:v>
      </x:c>
      <x:c r="B9" s="74" t="str">
        <x:v>M05</x:v>
      </x:c>
      <x:c r="C9" s="74" t="str">
        <x:v>LIUHE</x:v>
      </x:c>
      <x:c r="D9" s="79" t="n">
        <x:v>3</x:v>
      </x:c>
      <x:c r="E9" s="74" t="str">
        <x:v>V1.0</x:v>
      </x:c>
      <x:c r="F9" s="68" t="str">
        <x:v>卯戌六合识别</x:v>
      </x:c>
      <x:c r="G9" s="82" t="str">
        <x:v>识别层</x:v>
      </x:c>
      <x:c r="H9" s="82" t="str">
        <x:v>六合</x:v>
      </x:c>
      <x:c r="I9" s="68" t="str">
        <x:v>卯、戌</x:v>
      </x:c>
      <x:c r="J9" s="82" t="str">
        <x:v>其他</x:v>
      </x:c>
      <x:c r="K9" s="82" t="str">
        <x:v>完整</x:v>
      </x:c>
      <x:c r="L9" s="68" t="str">
        <x:v>关系存在不以月支得令为必要条件；须另记录参与支中谁为月支。</x:v>
      </x:c>
      <x:c r="M9" s="68" t="str">
        <x:v>相关藏干是否透出不影响关系识别；透干信息只供后续效应与旺衰判断。</x:v>
      </x:c>
      <x:c r="N9" s="68" t="str">
        <x:v>检查两支是否还参与其他三合、三会、冲、刑、害、破关系。</x:v>
      </x:c>
      <x:c r="O9" s="68" t="str">
        <x:v>四柱地支已按年、月、日、时标准化并保留柱位。</x:v>
      </x:c>
      <x:c r="P9" s="68" t="str">
        <x:v>四柱地支中同时出现卯与戌，不要求先满足相邻、得令或透干。</x:v>
      </x:c>
      <x:c r="Q9" s="68" t="str">
        <x:v>位置相邻、结构单一时，关系实例更清楚；仅作为后续效应判断信息。</x:v>
      </x:c>
      <x:c r="R9" s="68" t="str">
        <x:v>隔位、遥隔或多重关系叠加时，结构更复杂，但不自动否定关系存在。</x:v>
      </x:c>
      <x:c r="S9" s="90" t="str">
        <x:v>地支缺少卯或戌；藏干出现相应天干不能替代地支卯或戌。</x:v>
      </x:c>
      <x:c r="T9" s="68" t="str">
        <x:v>实际合绊、成局、冲散、刑伤、害破及力量变化统一转M06判断。</x:v>
      </x:c>
      <x:c r="U9" s="68" t="str">
        <x:v>原局存在卯戌六合关系。</x:v>
      </x:c>
      <x:c r="V9" s="68" t="str">
        <x:v>不得直接推出卯戌已经合化、被合住、任一支减力或关系必然有效。</x:v>
      </x:c>
      <x:c r="W9" s="82" t="str">
        <x:v>P0_硬约束</x:v>
      </x:c>
      <x:c r="X9" s="82" t="str">
        <x:v>硬约束</x:v>
      </x:c>
      <x:c r="Y9" s="84" t="str">
        <x:v>卯戌六合</x:v>
      </x:c>
      <x:c r="Z9" s="84" t="str">
        <x:v>地支见卯、戌，识别为卯戌六合；实际是合绊、合动、合住还是合化，转M06判断。</x:v>
      </x:c>
      <x:c r="AA9" s="82" t="str">
        <x:v>确定</x:v>
      </x:c>
      <x:c r="AB9" s="82" t="str">
        <x:v>跨流派共识</x:v>
      </x:c>
      <x:c r="AC9" s="68" t="str">
        <x:v>六合有固定六组配对；识别层只确认配对、柱位及叠加关系。</x:v>
      </x:c>
      <x:c r="AD9" s="68" t="str">
        <x:v>年支为卯、日支为戌，登记一组卯戌六合。</x:v>
      </x:c>
      <x:c r="AE9" s="90" t="str">
        <x:v>只见卯而不见戌，不能登记卯戌六合。</x:v>
      </x:c>
      <x:c r="AF9" s="68" t="str">
        <x:v>https://zh.wikisource.org/wiki/淵海子平；https://zh.wikisource.org/zh-hans/三命通會_(四庫全書本)</x:v>
      </x:c>
      <x:c r="AG9" s="82" t="str">
        <x:v>采用</x:v>
      </x:c>
      <x:c r="AH9" s="82" t="str">
        <x:v>初审</x:v>
      </x:c>
      <x:c r="AI9" s="87" t="n">
        <x:v>46255</x:v>
      </x:c>
    </x:row>
    <x:row r="10">
      <x:c r="A10" s="72" t="str">
        <x:f>IF(OR(C10="",D10=""),"",B10&amp;"-"&amp;UPPER(C10)&amp;"-"&amp;TEXT(D10,"0000")&amp;"-"&amp;E10)</x:f>
        <x:v>M05-LIUHE-0004-V1.0</x:v>
      </x:c>
      <x:c r="B10" s="74" t="str">
        <x:v>M05</x:v>
      </x:c>
      <x:c r="C10" s="74" t="str">
        <x:v>LIUHE</x:v>
      </x:c>
      <x:c r="D10" s="79" t="n">
        <x:v>4</x:v>
      </x:c>
      <x:c r="E10" s="74" t="str">
        <x:v>V1.0</x:v>
      </x:c>
      <x:c r="F10" s="68" t="str">
        <x:v>辰酉六合识别</x:v>
      </x:c>
      <x:c r="G10" s="82" t="str">
        <x:v>识别层</x:v>
      </x:c>
      <x:c r="H10" s="82" t="str">
        <x:v>六合</x:v>
      </x:c>
      <x:c r="I10" s="68" t="str">
        <x:v>辰、酉</x:v>
      </x:c>
      <x:c r="J10" s="82" t="str">
        <x:v>其他</x:v>
      </x:c>
      <x:c r="K10" s="82" t="str">
        <x:v>完整</x:v>
      </x:c>
      <x:c r="L10" s="68" t="str">
        <x:v>关系存在不以月支得令为必要条件；须另记录参与支中谁为月支。</x:v>
      </x:c>
      <x:c r="M10" s="68" t="str">
        <x:v>相关藏干是否透出不影响关系识别；透干信息只供后续效应与旺衰判断。</x:v>
      </x:c>
      <x:c r="N10" s="68" t="str">
        <x:v>检查两支是否还参与其他三合、三会、冲、刑、害、破关系。</x:v>
      </x:c>
      <x:c r="O10" s="68" t="str">
        <x:v>四柱地支已按年、月、日、时标准化并保留柱位。</x:v>
      </x:c>
      <x:c r="P10" s="68" t="str">
        <x:v>四柱地支中同时出现辰与酉，不要求先满足相邻、得令或透干。</x:v>
      </x:c>
      <x:c r="Q10" s="68" t="str">
        <x:v>位置相邻、结构单一时，关系实例更清楚；仅作为后续效应判断信息。</x:v>
      </x:c>
      <x:c r="R10" s="68" t="str">
        <x:v>隔位、遥隔或多重关系叠加时，结构更复杂，但不自动否定关系存在。</x:v>
      </x:c>
      <x:c r="S10" s="90" t="str">
        <x:v>地支缺少辰或酉；藏干出现相应天干不能替代地支辰或酉。</x:v>
      </x:c>
      <x:c r="T10" s="68" t="str">
        <x:v>实际合绊、成局、冲散、刑伤、害破及力量变化统一转M06判断。</x:v>
      </x:c>
      <x:c r="U10" s="68" t="str">
        <x:v>原局存在辰酉六合关系。</x:v>
      </x:c>
      <x:c r="V10" s="68" t="str">
        <x:v>不得直接推出辰酉已经合化、被合住、任一支减力或关系必然有效。</x:v>
      </x:c>
      <x:c r="W10" s="82" t="str">
        <x:v>P0_硬约束</x:v>
      </x:c>
      <x:c r="X10" s="82" t="str">
        <x:v>硬约束</x:v>
      </x:c>
      <x:c r="Y10" s="84" t="str">
        <x:v>辰酉六合</x:v>
      </x:c>
      <x:c r="Z10" s="84" t="str">
        <x:v>地支见辰、酉，识别为辰酉六合；实际是合绊、合动、合住还是合化，转M06判断。</x:v>
      </x:c>
      <x:c r="AA10" s="82" t="str">
        <x:v>确定</x:v>
      </x:c>
      <x:c r="AB10" s="82" t="str">
        <x:v>跨流派共识</x:v>
      </x:c>
      <x:c r="AC10" s="68" t="str">
        <x:v>六合有固定六组配对；识别层只确认配对、柱位及叠加关系。</x:v>
      </x:c>
      <x:c r="AD10" s="68" t="str">
        <x:v>年支为辰、日支为酉，登记一组辰酉六合。</x:v>
      </x:c>
      <x:c r="AE10" s="90" t="str">
        <x:v>只见辰而不见酉，不能登记辰酉六合。</x:v>
      </x:c>
      <x:c r="AF10" s="68" t="str">
        <x:v>https://zh.wikisource.org/wiki/淵海子平；https://zh.wikisource.org/zh-hans/三命通會_(四庫全書本)</x:v>
      </x:c>
      <x:c r="AG10" s="82" t="str">
        <x:v>采用</x:v>
      </x:c>
      <x:c r="AH10" s="82" t="str">
        <x:v>初审</x:v>
      </x:c>
      <x:c r="AI10" s="87" t="n">
        <x:v>46255</x:v>
      </x:c>
    </x:row>
    <x:row r="11">
      <x:c r="A11" s="72" t="str">
        <x:f>IF(OR(C11="",D11=""),"",B11&amp;"-"&amp;UPPER(C11)&amp;"-"&amp;TEXT(D11,"0000")&amp;"-"&amp;E11)</x:f>
        <x:v>M05-LIUHE-0005-V1.0</x:v>
      </x:c>
      <x:c r="B11" s="74" t="str">
        <x:v>M05</x:v>
      </x:c>
      <x:c r="C11" s="74" t="str">
        <x:v>LIUHE</x:v>
      </x:c>
      <x:c r="D11" s="79" t="n">
        <x:v>5</x:v>
      </x:c>
      <x:c r="E11" s="74" t="str">
        <x:v>V1.0</x:v>
      </x:c>
      <x:c r="F11" s="68" t="str">
        <x:v>巳申六合识别</x:v>
      </x:c>
      <x:c r="G11" s="82" t="str">
        <x:v>识别层</x:v>
      </x:c>
      <x:c r="H11" s="82" t="str">
        <x:v>六合</x:v>
      </x:c>
      <x:c r="I11" s="68" t="str">
        <x:v>巳、申</x:v>
      </x:c>
      <x:c r="J11" s="82" t="str">
        <x:v>其他</x:v>
      </x:c>
      <x:c r="K11" s="82" t="str">
        <x:v>完整</x:v>
      </x:c>
      <x:c r="L11" s="68" t="str">
        <x:v>关系存在不以月支得令为必要条件；须另记录参与支中谁为月支。</x:v>
      </x:c>
      <x:c r="M11" s="68" t="str">
        <x:v>相关藏干是否透出不影响关系识别；透干信息只供后续效应与旺衰判断。</x:v>
      </x:c>
      <x:c r="N11" s="68" t="str">
        <x:v>同时独立检查巳申刑与巳申破；三种关系可并存。</x:v>
      </x:c>
      <x:c r="O11" s="68" t="str">
        <x:v>四柱地支已按年、月、日、时标准化并保留柱位。</x:v>
      </x:c>
      <x:c r="P11" s="68" t="str">
        <x:v>四柱地支中同时出现巳与申，不要求先满足相邻、得令或透干。</x:v>
      </x:c>
      <x:c r="Q11" s="68" t="str">
        <x:v>位置相邻、结构单一时，关系实例更清楚；仅作为后续效应判断信息。</x:v>
      </x:c>
      <x:c r="R11" s="68" t="str">
        <x:v>隔位、遥隔或多重关系叠加时，结构更复杂，但不自动否定关系存在。</x:v>
      </x:c>
      <x:c r="S11" s="90" t="str">
        <x:v>地支缺少巳或申；藏干出现相应天干不能替代地支巳或申。</x:v>
      </x:c>
      <x:c r="T11" s="68" t="str">
        <x:v>实际合绊、成局、冲散、刑伤、害破及力量变化统一转M06判断。</x:v>
      </x:c>
      <x:c r="U11" s="68" t="str">
        <x:v>原局存在巳申六合关系。</x:v>
      </x:c>
      <x:c r="V11" s="68" t="str">
        <x:v>不得直接推出巳申已经合化、被合住、任一支减力或关系必然有效。</x:v>
      </x:c>
      <x:c r="W11" s="82" t="str">
        <x:v>P0_硬约束</x:v>
      </x:c>
      <x:c r="X11" s="82" t="str">
        <x:v>硬约束</x:v>
      </x:c>
      <x:c r="Y11" s="84" t="str">
        <x:v>巳申六合</x:v>
      </x:c>
      <x:c r="Z11" s="84" t="str">
        <x:v>地支见巳、申，识别为巳申六合；实际是合绊、合动、合住还是合化，转M06判断。</x:v>
      </x:c>
      <x:c r="AA11" s="82" t="str">
        <x:v>确定</x:v>
      </x:c>
      <x:c r="AB11" s="82" t="str">
        <x:v>跨流派共识</x:v>
      </x:c>
      <x:c r="AC11" s="68" t="str">
        <x:v>六合有固定六组配对；识别层只确认配对、柱位及叠加关系。</x:v>
      </x:c>
      <x:c r="AD11" s="68" t="str">
        <x:v>年支为巳、日支为申，登记一组巳申六合。</x:v>
      </x:c>
      <x:c r="AE11" s="90" t="str">
        <x:v>只见巳而不见申，不能登记巳申六合。</x:v>
      </x:c>
      <x:c r="AF11" s="68" t="str">
        <x:v>https://zh.wikisource.org/wiki/淵海子平；https://zh.wikisource.org/zh-hans/三命通會_(四庫全書本)</x:v>
      </x:c>
      <x:c r="AG11" s="82" t="str">
        <x:v>采用</x:v>
      </x:c>
      <x:c r="AH11" s="82" t="str">
        <x:v>初审</x:v>
      </x:c>
      <x:c r="AI11" s="87" t="n">
        <x:v>46255</x:v>
      </x:c>
    </x:row>
    <x:row r="12">
      <x:c r="A12" s="72" t="str">
        <x:f>IF(OR(C12="",D12=""),"",B12&amp;"-"&amp;UPPER(C12)&amp;"-"&amp;TEXT(D12,"0000")&amp;"-"&amp;E12)</x:f>
        <x:v>M05-LIUHE-0006-V1.0</x:v>
      </x:c>
      <x:c r="B12" s="74" t="str">
        <x:v>M05</x:v>
      </x:c>
      <x:c r="C12" s="74" t="str">
        <x:v>LIUHE</x:v>
      </x:c>
      <x:c r="D12" s="79" t="n">
        <x:v>6</x:v>
      </x:c>
      <x:c r="E12" s="74" t="str">
        <x:v>V1.0</x:v>
      </x:c>
      <x:c r="F12" s="68" t="str">
        <x:v>午未六合识别</x:v>
      </x:c>
      <x:c r="G12" s="82" t="str">
        <x:v>识别层</x:v>
      </x:c>
      <x:c r="H12" s="82" t="str">
        <x:v>六合</x:v>
      </x:c>
      <x:c r="I12" s="68" t="str">
        <x:v>午、未</x:v>
      </x:c>
      <x:c r="J12" s="82" t="str">
        <x:v>其他</x:v>
      </x:c>
      <x:c r="K12" s="82" t="str">
        <x:v>完整</x:v>
      </x:c>
      <x:c r="L12" s="68" t="str">
        <x:v>关系存在不以月支得令为必要条件；须另记录参与支中谁为月支。</x:v>
      </x:c>
      <x:c r="M12" s="68" t="str">
        <x:v>相关藏干是否透出不影响关系识别；透干信息只供后续效应与旺衰判断。</x:v>
      </x:c>
      <x:c r="N12" s="68" t="str">
        <x:v>检查两支是否还参与其他三合、三会、冲、刑、害、破关系。</x:v>
      </x:c>
      <x:c r="O12" s="68" t="str">
        <x:v>四柱地支已按年、月、日、时标准化并保留柱位。</x:v>
      </x:c>
      <x:c r="P12" s="68" t="str">
        <x:v>四柱地支中同时出现午与未，不要求先满足相邻、得令或透干。</x:v>
      </x:c>
      <x:c r="Q12" s="68" t="str">
        <x:v>位置相邻、结构单一时，关系实例更清楚；仅作为后续效应判断信息。</x:v>
      </x:c>
      <x:c r="R12" s="68" t="str">
        <x:v>隔位、遥隔或多重关系叠加时，结构更复杂，但不自动否定关系存在。</x:v>
      </x:c>
      <x:c r="S12" s="90" t="str">
        <x:v>地支缺少午或未；藏干出现相应天干不能替代地支午或未。</x:v>
      </x:c>
      <x:c r="T12" s="68" t="str">
        <x:v>实际合绊、成局、冲散、刑伤、害破及力量变化统一转M06判断。</x:v>
      </x:c>
      <x:c r="U12" s="68" t="str">
        <x:v>原局存在午未六合关系。</x:v>
      </x:c>
      <x:c r="V12" s="68" t="str">
        <x:v>不得直接推出午未已经合化、被合住、任一支减力或关系必然有效。</x:v>
      </x:c>
      <x:c r="W12" s="82" t="str">
        <x:v>P0_硬约束</x:v>
      </x:c>
      <x:c r="X12" s="82" t="str">
        <x:v>硬约束</x:v>
      </x:c>
      <x:c r="Y12" s="84" t="str">
        <x:v>午未六合</x:v>
      </x:c>
      <x:c r="Z12" s="84" t="str">
        <x:v>地支见午、未，识别为午未六合；实际是合绊、合动、合住还是合化，转M06判断。</x:v>
      </x:c>
      <x:c r="AA12" s="82" t="str">
        <x:v>确定</x:v>
      </x:c>
      <x:c r="AB12" s="82" t="str">
        <x:v>跨流派共识</x:v>
      </x:c>
      <x:c r="AC12" s="68" t="str">
        <x:v>六合有固定六组配对；识别层只确认配对、柱位及叠加关系。</x:v>
      </x:c>
      <x:c r="AD12" s="68" t="str">
        <x:v>年支为午、日支为未，登记一组午未六合。</x:v>
      </x:c>
      <x:c r="AE12" s="90" t="str">
        <x:v>只见午而不见未，不能登记午未六合。</x:v>
      </x:c>
      <x:c r="AF12" s="68" t="str">
        <x:v>https://zh.wikisource.org/wiki/淵海子平；https://zh.wikisource.org/zh-hans/三命通會_(四庫全書本)</x:v>
      </x:c>
      <x:c r="AG12" s="82" t="str">
        <x:v>采用</x:v>
      </x:c>
      <x:c r="AH12" s="82" t="str">
        <x:v>初审</x:v>
      </x:c>
      <x:c r="AI12" s="87" t="n">
        <x:v>46255</x:v>
      </x:c>
    </x:row>
    <x:row r="13">
      <x:c r="A13" s="72" t="str">
        <x:f>IF(OR(C13="",D13=""),"",B13&amp;"-"&amp;UPPER(C13)&amp;"-"&amp;TEXT(D13,"0000")&amp;"-"&amp;E13)</x:f>
        <x:v>M05-SANHE-0007-V1.0</x:v>
      </x:c>
      <x:c r="B13" s="74" t="str">
        <x:v>M05</x:v>
      </x:c>
      <x:c r="C13" s="74" t="str">
        <x:v>SANHE</x:v>
      </x:c>
      <x:c r="D13" s="79" t="n">
        <x:v>7</x:v>
      </x:c>
      <x:c r="E13" s="74" t="str">
        <x:v>V1.0</x:v>
      </x:c>
      <x:c r="F13" s="68" t="str">
        <x:v>申子辰三合结构完整识别</x:v>
      </x:c>
      <x:c r="G13" s="82" t="str">
        <x:v>识别层</x:v>
      </x:c>
      <x:c r="H13" s="82" t="str">
        <x:v>三合</x:v>
      </x:c>
      <x:c r="I13" s="68" t="str">
        <x:v>申、子、辰</x:v>
      </x:c>
      <x:c r="J13" s="82" t="str">
        <x:v>其他</x:v>
      </x:c>
      <x:c r="K13" s="82" t="str">
        <x:v>完整</x:v>
      </x:c>
      <x:c r="L13" s="68" t="str">
        <x:v>记录三支中哪一支为月支及中神是否得令；月令不决定三支是否齐全。</x:v>
      </x:c>
      <x:c r="M13" s="68" t="str">
        <x:v>相关藏干是否透出不影响关系识别；透干信息只供后续效应与旺衰判断。</x:v>
      </x:c>
      <x:c r="N13" s="68" t="str">
        <x:v>同时检查三支内部的半合、拱合、冲刑害破及与第四支的其他关系；完整结构优先保留为三合候选。</x:v>
      </x:c>
      <x:c r="O13" s="68" t="str">
        <x:v>四柱地支已按年、月、日、时标准化并保留柱位。</x:v>
      </x:c>
      <x:c r="P13" s="68" t="str">
        <x:v>四柱地支中申、子、辰三支均至少出现一次，顺序与是否相邻不影响“齐全”判断。</x:v>
      </x:c>
      <x:c r="Q13" s="68" t="str">
        <x:v>中神临月令、相关五行透出或三支相邻时，只增强后续成局候选，不改变完整度事实。</x:v>
      </x:c>
      <x:c r="R13" s="68" t="str">
        <x:v>三支隔散、受冲刑或另成会合时，仅使后续成局效应复杂，不把完整结构改写为缺失。</x:v>
      </x:c>
      <x:c r="S13" s="90" t="str">
        <x:v>缺少申、子、辰中的任一支；同一支重复不能替代缺支。</x:v>
      </x:c>
      <x:c r="T13" s="68" t="str">
        <x:v>三支齐全只表示三合结构完整；是否成局、化为目标五行及优先级转M06。</x:v>
      </x:c>
      <x:c r="U13" s="68" t="str">
        <x:v>原局申子辰三合结构完整，生成合水局候选。</x:v>
      </x:c>
      <x:c r="V13" s="68" t="str">
        <x:v>不得直接输出已成水局、三支原五行消失或任一支必然增减力。</x:v>
      </x:c>
      <x:c r="W13" s="82" t="str">
        <x:v>P0_硬约束</x:v>
      </x:c>
      <x:c r="X13" s="82" t="str">
        <x:v>硬约束</x:v>
      </x:c>
      <x:c r="Y13" s="84" t="str">
        <x:v>申子辰三合完整</x:v>
      </x:c>
      <x:c r="Z13" s="84" t="str">
        <x:v>原局见申、子、辰，申子辰三合结构完整；合水局仅为候选，成局条件与实际效应转M06。</x:v>
      </x:c>
      <x:c r="AA13" s="82" t="str">
        <x:v>确定</x:v>
      </x:c>
      <x:c r="AB13" s="82" t="str">
        <x:v>跨流派共识</x:v>
      </x:c>
      <x:c r="AC13" s="68" t="str">
        <x:v>三合局以生、旺、墓三支齐全为完整结构；完整性与成局效应分开。</x:v>
      </x:c>
      <x:c r="AD13" s="68" t="str">
        <x:v>四支中同时见申、子、辰，不论排列顺序，均登记申子辰三合完整。</x:v>
      </x:c>
      <x:c r="AE13" s="90" t="str">
        <x:v>只见申、子而缺辰，不得标记申子辰三合完整。</x:v>
      </x:c>
      <x:c r="AF13" s="68" t="str">
        <x:v>https://zh.wikisource.org/wiki/淵海子平；https://zh.wikisource.org/zh-hans/三命通會_(四庫全書本)</x:v>
      </x:c>
      <x:c r="AG13" s="82" t="str">
        <x:v>采用</x:v>
      </x:c>
      <x:c r="AH13" s="82" t="str">
        <x:v>初审</x:v>
      </x:c>
      <x:c r="AI13" s="87" t="n">
        <x:v>46255</x:v>
      </x:c>
    </x:row>
    <x:row r="14">
      <x:c r="A14" s="72" t="str">
        <x:f>IF(OR(C14="",D14=""),"",B14&amp;"-"&amp;UPPER(C14)&amp;"-"&amp;TEXT(D14,"0000")&amp;"-"&amp;E14)</x:f>
        <x:v>M05-SANHE-0008-V1.0</x:v>
      </x:c>
      <x:c r="B14" s="74" t="str">
        <x:v>M05</x:v>
      </x:c>
      <x:c r="C14" s="74" t="str">
        <x:v>SANHE</x:v>
      </x:c>
      <x:c r="D14" s="79" t="n">
        <x:v>8</x:v>
      </x:c>
      <x:c r="E14" s="74" t="str">
        <x:v>V1.0</x:v>
      </x:c>
      <x:c r="F14" s="68" t="str">
        <x:v>亥卯未三合结构完整识别</x:v>
      </x:c>
      <x:c r="G14" s="82" t="str">
        <x:v>识别层</x:v>
      </x:c>
      <x:c r="H14" s="82" t="str">
        <x:v>三合</x:v>
      </x:c>
      <x:c r="I14" s="68" t="str">
        <x:v>亥、卯、未</x:v>
      </x:c>
      <x:c r="J14" s="82" t="str">
        <x:v>其他</x:v>
      </x:c>
      <x:c r="K14" s="82" t="str">
        <x:v>完整</x:v>
      </x:c>
      <x:c r="L14" s="68" t="str">
        <x:v>记录三支中哪一支为月支及中神是否得令；月令不决定三支是否齐全。</x:v>
      </x:c>
      <x:c r="M14" s="68" t="str">
        <x:v>相关藏干是否透出不影响关系识别；透干信息只供后续效应与旺衰判断。</x:v>
      </x:c>
      <x:c r="N14" s="68" t="str">
        <x:v>同时检查三支内部的半合、拱合、冲刑害破及与第四支的其他关系；完整结构优先保留为三合候选。</x:v>
      </x:c>
      <x:c r="O14" s="68" t="str">
        <x:v>四柱地支已按年、月、日、时标准化并保留柱位。</x:v>
      </x:c>
      <x:c r="P14" s="68" t="str">
        <x:v>四柱地支中亥、卯、未三支均至少出现一次，顺序与是否相邻不影响“齐全”判断。</x:v>
      </x:c>
      <x:c r="Q14" s="68" t="str">
        <x:v>中神临月令、相关五行透出或三支相邻时，只增强后续成局候选，不改变完整度事实。</x:v>
      </x:c>
      <x:c r="R14" s="68" t="str">
        <x:v>三支隔散、受冲刑或另成会合时，仅使后续成局效应复杂，不把完整结构改写为缺失。</x:v>
      </x:c>
      <x:c r="S14" s="90" t="str">
        <x:v>缺少亥、卯、未中的任一支；同一支重复不能替代缺支。</x:v>
      </x:c>
      <x:c r="T14" s="68" t="str">
        <x:v>三支齐全只表示三合结构完整；是否成局、化为目标五行及优先级转M06。</x:v>
      </x:c>
      <x:c r="U14" s="68" t="str">
        <x:v>原局亥卯未三合结构完整，生成合木局候选。</x:v>
      </x:c>
      <x:c r="V14" s="68" t="str">
        <x:v>不得直接输出已成木局、三支原五行消失或任一支必然增减力。</x:v>
      </x:c>
      <x:c r="W14" s="82" t="str">
        <x:v>P0_硬约束</x:v>
      </x:c>
      <x:c r="X14" s="82" t="str">
        <x:v>硬约束</x:v>
      </x:c>
      <x:c r="Y14" s="84" t="str">
        <x:v>亥卯未三合完整</x:v>
      </x:c>
      <x:c r="Z14" s="84" t="str">
        <x:v>原局见亥、卯、未，亥卯未三合结构完整；合木局仅为候选，成局条件与实际效应转M06。</x:v>
      </x:c>
      <x:c r="AA14" s="82" t="str">
        <x:v>确定</x:v>
      </x:c>
      <x:c r="AB14" s="82" t="str">
        <x:v>跨流派共识</x:v>
      </x:c>
      <x:c r="AC14" s="68" t="str">
        <x:v>三合局以生、旺、墓三支齐全为完整结构；完整性与成局效应分开。</x:v>
      </x:c>
      <x:c r="AD14" s="68" t="str">
        <x:v>四支中同时见亥、卯、未，不论排列顺序，均登记亥卯未三合完整。</x:v>
      </x:c>
      <x:c r="AE14" s="90" t="str">
        <x:v>只见亥、卯而缺未，不得标记亥卯未三合完整。</x:v>
      </x:c>
      <x:c r="AF14" s="68" t="str">
        <x:v>https://zh.wikisource.org/wiki/淵海子平；https://zh.wikisource.org/zh-hans/三命通會_(四庫全書本)</x:v>
      </x:c>
      <x:c r="AG14" s="82" t="str">
        <x:v>采用</x:v>
      </x:c>
      <x:c r="AH14" s="82" t="str">
        <x:v>初审</x:v>
      </x:c>
      <x:c r="AI14" s="87" t="n">
        <x:v>46255</x:v>
      </x:c>
    </x:row>
    <x:row r="15">
      <x:c r="A15" s="72" t="str">
        <x:f>IF(OR(C15="",D15=""),"",B15&amp;"-"&amp;UPPER(C15)&amp;"-"&amp;TEXT(D15,"0000")&amp;"-"&amp;E15)</x:f>
        <x:v>M05-SANHE-0009-V1.0</x:v>
      </x:c>
      <x:c r="B15" s="74" t="str">
        <x:v>M05</x:v>
      </x:c>
      <x:c r="C15" s="74" t="str">
        <x:v>SANHE</x:v>
      </x:c>
      <x:c r="D15" s="79" t="n">
        <x:v>9</x:v>
      </x:c>
      <x:c r="E15" s="74" t="str">
        <x:v>V1.0</x:v>
      </x:c>
      <x:c r="F15" s="68" t="str">
        <x:v>寅午戌三合结构完整识别</x:v>
      </x:c>
      <x:c r="G15" s="82" t="str">
        <x:v>识别层</x:v>
      </x:c>
      <x:c r="H15" s="82" t="str">
        <x:v>三合</x:v>
      </x:c>
      <x:c r="I15" s="68" t="str">
        <x:v>寅、午、戌</x:v>
      </x:c>
      <x:c r="J15" s="82" t="str">
        <x:v>其他</x:v>
      </x:c>
      <x:c r="K15" s="82" t="str">
        <x:v>完整</x:v>
      </x:c>
      <x:c r="L15" s="68" t="str">
        <x:v>记录三支中哪一支为月支及中神是否得令；月令不决定三支是否齐全。</x:v>
      </x:c>
      <x:c r="M15" s="68" t="str">
        <x:v>相关藏干是否透出不影响关系识别；透干信息只供后续效应与旺衰判断。</x:v>
      </x:c>
      <x:c r="N15" s="68" t="str">
        <x:v>同时检查三支内部的半合、拱合、冲刑害破及与第四支的其他关系；完整结构优先保留为三合候选。</x:v>
      </x:c>
      <x:c r="O15" s="68" t="str">
        <x:v>四柱地支已按年、月、日、时标准化并保留柱位。</x:v>
      </x:c>
      <x:c r="P15" s="68" t="str">
        <x:v>四柱地支中寅、午、戌三支均至少出现一次，顺序与是否相邻不影响“齐全”判断。</x:v>
      </x:c>
      <x:c r="Q15" s="68" t="str">
        <x:v>中神临月令、相关五行透出或三支相邻时，只增强后续成局候选，不改变完整度事实。</x:v>
      </x:c>
      <x:c r="R15" s="68" t="str">
        <x:v>三支隔散、受冲刑或另成会合时，仅使后续成局效应复杂，不把完整结构改写为缺失。</x:v>
      </x:c>
      <x:c r="S15" s="90" t="str">
        <x:v>缺少寅、午、戌中的任一支；同一支重复不能替代缺支。</x:v>
      </x:c>
      <x:c r="T15" s="68" t="str">
        <x:v>三支齐全只表示三合结构完整；是否成局、化为目标五行及优先级转M06。</x:v>
      </x:c>
      <x:c r="U15" s="68" t="str">
        <x:v>原局寅午戌三合结构完整，生成合火局候选。</x:v>
      </x:c>
      <x:c r="V15" s="68" t="str">
        <x:v>不得直接输出已成火局、三支原五行消失或任一支必然增减力。</x:v>
      </x:c>
      <x:c r="W15" s="82" t="str">
        <x:v>P0_硬约束</x:v>
      </x:c>
      <x:c r="X15" s="82" t="str">
        <x:v>硬约束</x:v>
      </x:c>
      <x:c r="Y15" s="84" t="str">
        <x:v>寅午戌三合完整</x:v>
      </x:c>
      <x:c r="Z15" s="84" t="str">
        <x:v>原局见寅、午、戌，寅午戌三合结构完整；合火局仅为候选，成局条件与实际效应转M06。</x:v>
      </x:c>
      <x:c r="AA15" s="82" t="str">
        <x:v>确定</x:v>
      </x:c>
      <x:c r="AB15" s="82" t="str">
        <x:v>跨流派共识</x:v>
      </x:c>
      <x:c r="AC15" s="68" t="str">
        <x:v>三合局以生、旺、墓三支齐全为完整结构；完整性与成局效应分开。</x:v>
      </x:c>
      <x:c r="AD15" s="68" t="str">
        <x:v>四支中同时见寅、午、戌，不论排列顺序，均登记寅午戌三合完整。</x:v>
      </x:c>
      <x:c r="AE15" s="90" t="str">
        <x:v>只见寅、午而缺戌，不得标记寅午戌三合完整。</x:v>
      </x:c>
      <x:c r="AF15" s="68" t="str">
        <x:v>https://zh.wikisource.org/wiki/淵海子平；https://zh.wikisource.org/zh-hans/三命通會_(四庫全書本)</x:v>
      </x:c>
      <x:c r="AG15" s="82" t="str">
        <x:v>采用</x:v>
      </x:c>
      <x:c r="AH15" s="82" t="str">
        <x:v>初审</x:v>
      </x:c>
      <x:c r="AI15" s="87" t="n">
        <x:v>46255</x:v>
      </x:c>
    </x:row>
    <x:row r="16">
      <x:c r="A16" s="72" t="str">
        <x:f>IF(OR(C16="",D16=""),"",B16&amp;"-"&amp;UPPER(C16)&amp;"-"&amp;TEXT(D16,"0000")&amp;"-"&amp;E16)</x:f>
        <x:v>M05-SANHE-0010-V1.0</x:v>
      </x:c>
      <x:c r="B16" s="74" t="str">
        <x:v>M05</x:v>
      </x:c>
      <x:c r="C16" s="74" t="str">
        <x:v>SANHE</x:v>
      </x:c>
      <x:c r="D16" s="79" t="n">
        <x:v>10</x:v>
      </x:c>
      <x:c r="E16" s="74" t="str">
        <x:v>V1.0</x:v>
      </x:c>
      <x:c r="F16" s="68" t="str">
        <x:v>巳酉丑三合结构完整识别</x:v>
      </x:c>
      <x:c r="G16" s="82" t="str">
        <x:v>识别层</x:v>
      </x:c>
      <x:c r="H16" s="82" t="str">
        <x:v>三合</x:v>
      </x:c>
      <x:c r="I16" s="68" t="str">
        <x:v>巳、酉、丑</x:v>
      </x:c>
      <x:c r="J16" s="82" t="str">
        <x:v>其他</x:v>
      </x:c>
      <x:c r="K16" s="82" t="str">
        <x:v>完整</x:v>
      </x:c>
      <x:c r="L16" s="68" t="str">
        <x:v>记录三支中哪一支为月支及中神是否得令；月令不决定三支是否齐全。</x:v>
      </x:c>
      <x:c r="M16" s="68" t="str">
        <x:v>相关藏干是否透出不影响关系识别；透干信息只供后续效应与旺衰判断。</x:v>
      </x:c>
      <x:c r="N16" s="68" t="str">
        <x:v>同时检查三支内部的半合、拱合、冲刑害破及与第四支的其他关系；完整结构优先保留为三合候选。</x:v>
      </x:c>
      <x:c r="O16" s="68" t="str">
        <x:v>四柱地支已按年、月、日、时标准化并保留柱位。</x:v>
      </x:c>
      <x:c r="P16" s="68" t="str">
        <x:v>四柱地支中巳、酉、丑三支均至少出现一次，顺序与是否相邻不影响“齐全”判断。</x:v>
      </x:c>
      <x:c r="Q16" s="68" t="str">
        <x:v>中神临月令、相关五行透出或三支相邻时，只增强后续成局候选，不改变完整度事实。</x:v>
      </x:c>
      <x:c r="R16" s="68" t="str">
        <x:v>三支隔散、受冲刑或另成会合时，仅使后续成局效应复杂，不把完整结构改写为缺失。</x:v>
      </x:c>
      <x:c r="S16" s="90" t="str">
        <x:v>缺少巳、酉、丑中的任一支；同一支重复不能替代缺支。</x:v>
      </x:c>
      <x:c r="T16" s="68" t="str">
        <x:v>三支齐全只表示三合结构完整；是否成局、化为目标五行及优先级转M06。</x:v>
      </x:c>
      <x:c r="U16" s="68" t="str">
        <x:v>原局巳酉丑三合结构完整，生成合金局候选。</x:v>
      </x:c>
      <x:c r="V16" s="68" t="str">
        <x:v>不得直接输出已成金局、三支原五行消失或任一支必然增减力。</x:v>
      </x:c>
      <x:c r="W16" s="82" t="str">
        <x:v>P0_硬约束</x:v>
      </x:c>
      <x:c r="X16" s="82" t="str">
        <x:v>硬约束</x:v>
      </x:c>
      <x:c r="Y16" s="84" t="str">
        <x:v>巳酉丑三合完整</x:v>
      </x:c>
      <x:c r="Z16" s="84" t="str">
        <x:v>原局见巳、酉、丑，巳酉丑三合结构完整；合金局仅为候选，成局条件与实际效应转M06。</x:v>
      </x:c>
      <x:c r="AA16" s="82" t="str">
        <x:v>确定</x:v>
      </x:c>
      <x:c r="AB16" s="82" t="str">
        <x:v>跨流派共识</x:v>
      </x:c>
      <x:c r="AC16" s="68" t="str">
        <x:v>三合局以生、旺、墓三支齐全为完整结构；完整性与成局效应分开。</x:v>
      </x:c>
      <x:c r="AD16" s="68" t="str">
        <x:v>四支中同时见巳、酉、丑，不论排列顺序，均登记巳酉丑三合完整。</x:v>
      </x:c>
      <x:c r="AE16" s="90" t="str">
        <x:v>只见巳、酉而缺丑，不得标记巳酉丑三合完整。</x:v>
      </x:c>
      <x:c r="AF16" s="68" t="str">
        <x:v>https://zh.wikisource.org/wiki/淵海子平；https://zh.wikisource.org/zh-hans/三命通會_(四庫全書本)</x:v>
      </x:c>
      <x:c r="AG16" s="82" t="str">
        <x:v>采用</x:v>
      </x:c>
      <x:c r="AH16" s="82" t="str">
        <x:v>初审</x:v>
      </x:c>
      <x:c r="AI16" s="87" t="n">
        <x:v>46255</x:v>
      </x:c>
    </x:row>
    <x:row r="17">
      <x:c r="A17" s="72" t="str">
        <x:f>IF(OR(C17="",D17=""),"",B17&amp;"-"&amp;UPPER(C17)&amp;"-"&amp;TEXT(D17,"0000")&amp;"-"&amp;E17)</x:f>
        <x:v>M05-BANHE-0011-V1.0</x:v>
      </x:c>
      <x:c r="B17" s="74" t="str">
        <x:v>M05</x:v>
      </x:c>
      <x:c r="C17" s="74" t="str">
        <x:v>BANHE</x:v>
      </x:c>
      <x:c r="D17" s="79" t="n">
        <x:v>11</x:v>
      </x:c>
      <x:c r="E17" s="74" t="str">
        <x:v>V1.0</x:v>
      </x:c>
      <x:c r="F17" s="68" t="str">
        <x:v>申子半合识别</x:v>
      </x:c>
      <x:c r="G17" s="82" t="str">
        <x:v>识别层</x:v>
      </x:c>
      <x:c r="H17" s="82" t="str">
        <x:v>半合</x:v>
      </x:c>
      <x:c r="I17" s="68" t="str">
        <x:v>申、子</x:v>
      </x:c>
      <x:c r="J17" s="82" t="str">
        <x:v>其他</x:v>
      </x:c>
      <x:c r="K17" s="82" t="str">
        <x:v>部分</x:v>
      </x:c>
      <x:c r="L17" s="68" t="str">
        <x:v>记录申、子中谁为月支，尤其记录中神是否得令；月令不改变两支同时出现的事实。</x:v>
      </x:c>
      <x:c r="M17" s="68" t="str">
        <x:v>相关藏干是否透出不影响关系识别；透干信息只供后续效应与旺衰判断。</x:v>
      </x:c>
      <x:c r="N17" s="68" t="str">
        <x:v>检查缺失支辰是否实际已出现；若出现，应另列完整三合结构，不再只以半合概括。</x:v>
      </x:c>
      <x:c r="O17" s="68" t="str">
        <x:v>四柱地支已按年、月、日、时标准化并保留柱位。</x:v>
      </x:c>
      <x:c r="P17" s="68" t="str">
        <x:v>四柱地支中同时出现申与子，且对应三合组的第三支辰未出现。</x:v>
      </x:c>
      <x:c r="Q17" s="68" t="str">
        <x:v>中神得令、两支相邻或目标五行透出时，仅提高后续成局可能。</x:v>
      </x:c>
      <x:c r="R17" s="68" t="str">
        <x:v>两支隔位、受其他合冲刑害牵连时，后续作用更不确定。</x:v>
      </x:c>
      <x:c r="S17" s="90" t="str">
        <x:v>缺少申或子；若辰同时出现，则应升级登记完整三合而非仅记半合。</x:v>
      </x:c>
      <x:c r="T17" s="68" t="str">
        <x:v>半合只表示三合结构部分成立；具体是否形成有效合势转M06。</x:v>
      </x:c>
      <x:c r="U17" s="68" t="str">
        <x:v>原局存在申子半合，为合水局的部分候选。</x:v>
      </x:c>
      <x:c r="V17" s="68" t="str">
        <x:v>不得直接输出已成水局、两支合化或原有支性消失。</x:v>
      </x:c>
      <x:c r="W17" s="82" t="str">
        <x:v>P1_高</x:v>
      </x:c>
      <x:c r="X17" s="82" t="str">
        <x:v>硬约束</x:v>
      </x:c>
      <x:c r="Y17" s="84" t="str">
        <x:v>申子半合</x:v>
      </x:c>
      <x:c r="Z17" s="84" t="str">
        <x:v>原局见申、子而缺辰，识别为申子半合；仅属三合结构部分，效应转M06。</x:v>
      </x:c>
      <x:c r="AA17" s="82" t="str">
        <x:v>较高</x:v>
      </x:c>
      <x:c r="AB17" s="82" t="str">
        <x:v>现代综合</x:v>
      </x:c>
      <x:c r="AC17" s="68" t="str">
        <x:v>半合通常指三合组中包含中神的两支组合；本库以第三支未见作为分类边界。</x:v>
      </x:c>
      <x:c r="AD17" s="68" t="str">
        <x:v>见申、子而不见辰，登记申子半合。</x:v>
      </x:c>
      <x:c r="AE17" s="90" t="str">
        <x:v>若申、子、辰齐全，应登记完整三合，不应只写半合。</x:v>
      </x:c>
      <x:c r="AF17" s="68" t="str">
        <x:v>内部结构化规则：识别层与效应层分离；https://zh.wikisource.org/wiki/淵海子平；https://zh.wikisource.org/zh-hans/三命通會_(四庫全書本)</x:v>
      </x:c>
      <x:c r="AG17" s="82" t="str">
        <x:v>采用</x:v>
      </x:c>
      <x:c r="AH17" s="82" t="str">
        <x:v>初审</x:v>
      </x:c>
      <x:c r="AI17" s="87" t="n">
        <x:v>46255</x:v>
      </x:c>
    </x:row>
    <x:row r="18">
      <x:c r="A18" s="72" t="str">
        <x:f>IF(OR(C18="",D18=""),"",B18&amp;"-"&amp;UPPER(C18)&amp;"-"&amp;TEXT(D18,"0000")&amp;"-"&amp;E18)</x:f>
        <x:v>M05-BANHE-0012-V1.0</x:v>
      </x:c>
      <x:c r="B18" s="74" t="str">
        <x:v>M05</x:v>
      </x:c>
      <x:c r="C18" s="74" t="str">
        <x:v>BANHE</x:v>
      </x:c>
      <x:c r="D18" s="79" t="n">
        <x:v>12</x:v>
      </x:c>
      <x:c r="E18" s="74" t="str">
        <x:v>V1.0</x:v>
      </x:c>
      <x:c r="F18" s="68" t="str">
        <x:v>子辰半合识别</x:v>
      </x:c>
      <x:c r="G18" s="82" t="str">
        <x:v>识别层</x:v>
      </x:c>
      <x:c r="H18" s="82" t="str">
        <x:v>半合</x:v>
      </x:c>
      <x:c r="I18" s="68" t="str">
        <x:v>子、辰</x:v>
      </x:c>
      <x:c r="J18" s="82" t="str">
        <x:v>其他</x:v>
      </x:c>
      <x:c r="K18" s="82" t="str">
        <x:v>部分</x:v>
      </x:c>
      <x:c r="L18" s="68" t="str">
        <x:v>记录子、辰中谁为月支，尤其记录中神是否得令；月令不改变两支同时出现的事实。</x:v>
      </x:c>
      <x:c r="M18" s="68" t="str">
        <x:v>相关藏干是否透出不影响关系识别；透干信息只供后续效应与旺衰判断。</x:v>
      </x:c>
      <x:c r="N18" s="68" t="str">
        <x:v>检查缺失支申是否实际已出现；若出现，应另列完整三合结构，不再只以半合概括。</x:v>
      </x:c>
      <x:c r="O18" s="68" t="str">
        <x:v>四柱地支已按年、月、日、时标准化并保留柱位。</x:v>
      </x:c>
      <x:c r="P18" s="68" t="str">
        <x:v>四柱地支中同时出现子与辰，且对应三合组的第三支申未出现。</x:v>
      </x:c>
      <x:c r="Q18" s="68" t="str">
        <x:v>中神得令、两支相邻或目标五行透出时，仅提高后续成局可能。</x:v>
      </x:c>
      <x:c r="R18" s="68" t="str">
        <x:v>两支隔位、受其他合冲刑害牵连时，后续作用更不确定。</x:v>
      </x:c>
      <x:c r="S18" s="90" t="str">
        <x:v>缺少子或辰；若申同时出现，则应升级登记完整三合而非仅记半合。</x:v>
      </x:c>
      <x:c r="T18" s="68" t="str">
        <x:v>半合只表示三合结构部分成立；具体是否形成有效合势转M06。</x:v>
      </x:c>
      <x:c r="U18" s="68" t="str">
        <x:v>原局存在子辰半合，为合水局的部分候选。</x:v>
      </x:c>
      <x:c r="V18" s="68" t="str">
        <x:v>不得直接输出已成水局、两支合化或原有支性消失。</x:v>
      </x:c>
      <x:c r="W18" s="82" t="str">
        <x:v>P1_高</x:v>
      </x:c>
      <x:c r="X18" s="82" t="str">
        <x:v>硬约束</x:v>
      </x:c>
      <x:c r="Y18" s="84" t="str">
        <x:v>子辰半合</x:v>
      </x:c>
      <x:c r="Z18" s="84" t="str">
        <x:v>原局见子、辰而缺申，识别为子辰半合；仅属三合结构部分，效应转M06。</x:v>
      </x:c>
      <x:c r="AA18" s="82" t="str">
        <x:v>较高</x:v>
      </x:c>
      <x:c r="AB18" s="82" t="str">
        <x:v>现代综合</x:v>
      </x:c>
      <x:c r="AC18" s="68" t="str">
        <x:v>半合通常指三合组中包含中神的两支组合；本库以第三支未见作为分类边界。</x:v>
      </x:c>
      <x:c r="AD18" s="68" t="str">
        <x:v>见子、辰而不见申，登记子辰半合。</x:v>
      </x:c>
      <x:c r="AE18" s="90" t="str">
        <x:v>若子、辰、申齐全，应登记完整三合，不应只写半合。</x:v>
      </x:c>
      <x:c r="AF18" s="68" t="str">
        <x:v>内部结构化规则：识别层与效应层分离；https://zh.wikisource.org/wiki/淵海子平；https://zh.wikisource.org/zh-hans/三命通會_(四庫全書本)</x:v>
      </x:c>
      <x:c r="AG18" s="82" t="str">
        <x:v>采用</x:v>
      </x:c>
      <x:c r="AH18" s="82" t="str">
        <x:v>初审</x:v>
      </x:c>
      <x:c r="AI18" s="87" t="n">
        <x:v>46255</x:v>
      </x:c>
    </x:row>
    <x:row r="19">
      <x:c r="A19" s="72" t="str">
        <x:f>IF(OR(C19="",D19=""),"",B19&amp;"-"&amp;UPPER(C19)&amp;"-"&amp;TEXT(D19,"0000")&amp;"-"&amp;E19)</x:f>
        <x:v>M05-BANHE-0013-V1.0</x:v>
      </x:c>
      <x:c r="B19" s="74" t="str">
        <x:v>M05</x:v>
      </x:c>
      <x:c r="C19" s="74" t="str">
        <x:v>BANHE</x:v>
      </x:c>
      <x:c r="D19" s="79" t="n">
        <x:v>13</x:v>
      </x:c>
      <x:c r="E19" s="74" t="str">
        <x:v>V1.0</x:v>
      </x:c>
      <x:c r="F19" s="68" t="str">
        <x:v>亥卯半合识别</x:v>
      </x:c>
      <x:c r="G19" s="82" t="str">
        <x:v>识别层</x:v>
      </x:c>
      <x:c r="H19" s="82" t="str">
        <x:v>半合</x:v>
      </x:c>
      <x:c r="I19" s="68" t="str">
        <x:v>亥、卯</x:v>
      </x:c>
      <x:c r="J19" s="82" t="str">
        <x:v>其他</x:v>
      </x:c>
      <x:c r="K19" s="82" t="str">
        <x:v>部分</x:v>
      </x:c>
      <x:c r="L19" s="68" t="str">
        <x:v>记录亥、卯中谁为月支，尤其记录中神是否得令；月令不改变两支同时出现的事实。</x:v>
      </x:c>
      <x:c r="M19" s="68" t="str">
        <x:v>相关藏干是否透出不影响关系识别；透干信息只供后续效应与旺衰判断。</x:v>
      </x:c>
      <x:c r="N19" s="68" t="str">
        <x:v>检查缺失支未是否实际已出现；若出现，应另列完整三合结构，不再只以半合概括。</x:v>
      </x:c>
      <x:c r="O19" s="68" t="str">
        <x:v>四柱地支已按年、月、日、时标准化并保留柱位。</x:v>
      </x:c>
      <x:c r="P19" s="68" t="str">
        <x:v>四柱地支中同时出现亥与卯，且对应三合组的第三支未未出现。</x:v>
      </x:c>
      <x:c r="Q19" s="68" t="str">
        <x:v>中神得令、两支相邻或目标五行透出时，仅提高后续成局可能。</x:v>
      </x:c>
      <x:c r="R19" s="68" t="str">
        <x:v>两支隔位、受其他合冲刑害牵连时，后续作用更不确定。</x:v>
      </x:c>
      <x:c r="S19" s="90" t="str">
        <x:v>缺少亥或卯；若未同时出现，则应升级登记完整三合而非仅记半合。</x:v>
      </x:c>
      <x:c r="T19" s="68" t="str">
        <x:v>半合只表示三合结构部分成立；具体是否形成有效合势转M06。</x:v>
      </x:c>
      <x:c r="U19" s="68" t="str">
        <x:v>原局存在亥卯半合，为合木局的部分候选。</x:v>
      </x:c>
      <x:c r="V19" s="68" t="str">
        <x:v>不得直接输出已成木局、两支合化或原有支性消失。</x:v>
      </x:c>
      <x:c r="W19" s="82" t="str">
        <x:v>P1_高</x:v>
      </x:c>
      <x:c r="X19" s="82" t="str">
        <x:v>硬约束</x:v>
      </x:c>
      <x:c r="Y19" s="84" t="str">
        <x:v>亥卯半合</x:v>
      </x:c>
      <x:c r="Z19" s="84" t="str">
        <x:v>原局见亥、卯而缺未，识别为亥卯半合；仅属三合结构部分，效应转M06。</x:v>
      </x:c>
      <x:c r="AA19" s="82" t="str">
        <x:v>较高</x:v>
      </x:c>
      <x:c r="AB19" s="82" t="str">
        <x:v>现代综合</x:v>
      </x:c>
      <x:c r="AC19" s="68" t="str">
        <x:v>半合通常指三合组中包含中神的两支组合；本库以第三支未见作为分类边界。</x:v>
      </x:c>
      <x:c r="AD19" s="68" t="str">
        <x:v>见亥、卯而不见未，登记亥卯半合。</x:v>
      </x:c>
      <x:c r="AE19" s="90" t="str">
        <x:v>若亥、卯、未齐全，应登记完整三合，不应只写半合。</x:v>
      </x:c>
      <x:c r="AF19" s="68" t="str">
        <x:v>内部结构化规则：识别层与效应层分离；https://zh.wikisource.org/wiki/淵海子平；https://zh.wikisource.org/zh-hans/三命通會_(四庫全書本)</x:v>
      </x:c>
      <x:c r="AG19" s="82" t="str">
        <x:v>采用</x:v>
      </x:c>
      <x:c r="AH19" s="82" t="str">
        <x:v>初审</x:v>
      </x:c>
      <x:c r="AI19" s="87" t="n">
        <x:v>46255</x:v>
      </x:c>
    </x:row>
    <x:row r="20">
      <x:c r="A20" s="72" t="str">
        <x:f>IF(OR(C20="",D20=""),"",B20&amp;"-"&amp;UPPER(C20)&amp;"-"&amp;TEXT(D20,"0000")&amp;"-"&amp;E20)</x:f>
        <x:v>M05-BANHE-0014-V1.0</x:v>
      </x:c>
      <x:c r="B20" s="74" t="str">
        <x:v>M05</x:v>
      </x:c>
      <x:c r="C20" s="74" t="str">
        <x:v>BANHE</x:v>
      </x:c>
      <x:c r="D20" s="79" t="n">
        <x:v>14</x:v>
      </x:c>
      <x:c r="E20" s="74" t="str">
        <x:v>V1.0</x:v>
      </x:c>
      <x:c r="F20" s="68" t="str">
        <x:v>卯未半合识别</x:v>
      </x:c>
      <x:c r="G20" s="82" t="str">
        <x:v>识别层</x:v>
      </x:c>
      <x:c r="H20" s="82" t="str">
        <x:v>半合</x:v>
      </x:c>
      <x:c r="I20" s="68" t="str">
        <x:v>卯、未</x:v>
      </x:c>
      <x:c r="J20" s="82" t="str">
        <x:v>其他</x:v>
      </x:c>
      <x:c r="K20" s="82" t="str">
        <x:v>部分</x:v>
      </x:c>
      <x:c r="L20" s="68" t="str">
        <x:v>记录卯、未中谁为月支，尤其记录中神是否得令；月令不改变两支同时出现的事实。</x:v>
      </x:c>
      <x:c r="M20" s="68" t="str">
        <x:v>相关藏干是否透出不影响关系识别；透干信息只供后续效应与旺衰判断。</x:v>
      </x:c>
      <x:c r="N20" s="68" t="str">
        <x:v>检查缺失支亥是否实际已出现；若出现，应另列完整三合结构，不再只以半合概括。</x:v>
      </x:c>
      <x:c r="O20" s="68" t="str">
        <x:v>四柱地支已按年、月、日、时标准化并保留柱位。</x:v>
      </x:c>
      <x:c r="P20" s="68" t="str">
        <x:v>四柱地支中同时出现卯与未，且对应三合组的第三支亥未出现。</x:v>
      </x:c>
      <x:c r="Q20" s="68" t="str">
        <x:v>中神得令、两支相邻或目标五行透出时，仅提高后续成局可能。</x:v>
      </x:c>
      <x:c r="R20" s="68" t="str">
        <x:v>两支隔位、受其他合冲刑害牵连时，后续作用更不确定。</x:v>
      </x:c>
      <x:c r="S20" s="90" t="str">
        <x:v>缺少卯或未；若亥同时出现，则应升级登记完整三合而非仅记半合。</x:v>
      </x:c>
      <x:c r="T20" s="68" t="str">
        <x:v>半合只表示三合结构部分成立；具体是否形成有效合势转M06。</x:v>
      </x:c>
      <x:c r="U20" s="68" t="str">
        <x:v>原局存在卯未半合，为合木局的部分候选。</x:v>
      </x:c>
      <x:c r="V20" s="68" t="str">
        <x:v>不得直接输出已成木局、两支合化或原有支性消失。</x:v>
      </x:c>
      <x:c r="W20" s="82" t="str">
        <x:v>P1_高</x:v>
      </x:c>
      <x:c r="X20" s="82" t="str">
        <x:v>硬约束</x:v>
      </x:c>
      <x:c r="Y20" s="84" t="str">
        <x:v>卯未半合</x:v>
      </x:c>
      <x:c r="Z20" s="84" t="str">
        <x:v>原局见卯、未而缺亥，识别为卯未半合；仅属三合结构部分，效应转M06。</x:v>
      </x:c>
      <x:c r="AA20" s="82" t="str">
        <x:v>较高</x:v>
      </x:c>
      <x:c r="AB20" s="82" t="str">
        <x:v>现代综合</x:v>
      </x:c>
      <x:c r="AC20" s="68" t="str">
        <x:v>半合通常指三合组中包含中神的两支组合；本库以第三支未见作为分类边界。</x:v>
      </x:c>
      <x:c r="AD20" s="68" t="str">
        <x:v>见卯、未而不见亥，登记卯未半合。</x:v>
      </x:c>
      <x:c r="AE20" s="90" t="str">
        <x:v>若卯、未、亥齐全，应登记完整三合，不应只写半合。</x:v>
      </x:c>
      <x:c r="AF20" s="68" t="str">
        <x:v>内部结构化规则：识别层与效应层分离；https://zh.wikisource.org/wiki/淵海子平；https://zh.wikisource.org/zh-hans/三命通會_(四庫全書本)</x:v>
      </x:c>
      <x:c r="AG20" s="82" t="str">
        <x:v>采用</x:v>
      </x:c>
      <x:c r="AH20" s="82" t="str">
        <x:v>初审</x:v>
      </x:c>
      <x:c r="AI20" s="87" t="n">
        <x:v>46255</x:v>
      </x:c>
    </x:row>
    <x:row r="21">
      <x:c r="A21" s="72" t="str">
        <x:f>IF(OR(C21="",D21=""),"",B21&amp;"-"&amp;UPPER(C21)&amp;"-"&amp;TEXT(D21,"0000")&amp;"-"&amp;E21)</x:f>
        <x:v>M05-BANHE-0015-V1.0</x:v>
      </x:c>
      <x:c r="B21" s="74" t="str">
        <x:v>M05</x:v>
      </x:c>
      <x:c r="C21" s="74" t="str">
        <x:v>BANHE</x:v>
      </x:c>
      <x:c r="D21" s="79" t="n">
        <x:v>15</x:v>
      </x:c>
      <x:c r="E21" s="74" t="str">
        <x:v>V1.0</x:v>
      </x:c>
      <x:c r="F21" s="68" t="str">
        <x:v>寅午半合识别</x:v>
      </x:c>
      <x:c r="G21" s="82" t="str">
        <x:v>识别层</x:v>
      </x:c>
      <x:c r="H21" s="82" t="str">
        <x:v>半合</x:v>
      </x:c>
      <x:c r="I21" s="68" t="str">
        <x:v>寅、午</x:v>
      </x:c>
      <x:c r="J21" s="82" t="str">
        <x:v>其他</x:v>
      </x:c>
      <x:c r="K21" s="82" t="str">
        <x:v>部分</x:v>
      </x:c>
      <x:c r="L21" s="68" t="str">
        <x:v>记录寅、午中谁为月支，尤其记录中神是否得令；月令不改变两支同时出现的事实。</x:v>
      </x:c>
      <x:c r="M21" s="68" t="str">
        <x:v>相关藏干是否透出不影响关系识别；透干信息只供后续效应与旺衰判断。</x:v>
      </x:c>
      <x:c r="N21" s="68" t="str">
        <x:v>检查缺失支戌是否实际已出现；若出现，应另列完整三合结构，不再只以半合概括。</x:v>
      </x:c>
      <x:c r="O21" s="68" t="str">
        <x:v>四柱地支已按年、月、日、时标准化并保留柱位。</x:v>
      </x:c>
      <x:c r="P21" s="68" t="str">
        <x:v>四柱地支中同时出现寅与午，且对应三合组的第三支戌未出现。</x:v>
      </x:c>
      <x:c r="Q21" s="68" t="str">
        <x:v>中神得令、两支相邻或目标五行透出时，仅提高后续成局可能。</x:v>
      </x:c>
      <x:c r="R21" s="68" t="str">
        <x:v>两支隔位、受其他合冲刑害牵连时，后续作用更不确定。</x:v>
      </x:c>
      <x:c r="S21" s="90" t="str">
        <x:v>缺少寅或午；若戌同时出现，则应升级登记完整三合而非仅记半合。</x:v>
      </x:c>
      <x:c r="T21" s="68" t="str">
        <x:v>半合只表示三合结构部分成立；具体是否形成有效合势转M06。</x:v>
      </x:c>
      <x:c r="U21" s="68" t="str">
        <x:v>原局存在寅午半合，为合火局的部分候选。</x:v>
      </x:c>
      <x:c r="V21" s="68" t="str">
        <x:v>不得直接输出已成火局、两支合化或原有支性消失。</x:v>
      </x:c>
      <x:c r="W21" s="82" t="str">
        <x:v>P1_高</x:v>
      </x:c>
      <x:c r="X21" s="82" t="str">
        <x:v>硬约束</x:v>
      </x:c>
      <x:c r="Y21" s="84" t="str">
        <x:v>寅午半合</x:v>
      </x:c>
      <x:c r="Z21" s="84" t="str">
        <x:v>原局见寅、午而缺戌，识别为寅午半合；仅属三合结构部分，效应转M06。</x:v>
      </x:c>
      <x:c r="AA21" s="82" t="str">
        <x:v>较高</x:v>
      </x:c>
      <x:c r="AB21" s="82" t="str">
        <x:v>现代综合</x:v>
      </x:c>
      <x:c r="AC21" s="68" t="str">
        <x:v>半合通常指三合组中包含中神的两支组合；本库以第三支未见作为分类边界。</x:v>
      </x:c>
      <x:c r="AD21" s="68" t="str">
        <x:v>见寅、午而不见戌，登记寅午半合。</x:v>
      </x:c>
      <x:c r="AE21" s="90" t="str">
        <x:v>若寅、午、戌齐全，应登记完整三合，不应只写半合。</x:v>
      </x:c>
      <x:c r="AF21" s="68" t="str">
        <x:v>内部结构化规则：识别层与效应层分离；https://zh.wikisource.org/wiki/淵海子平；https://zh.wikisource.org/zh-hans/三命通會_(四庫全書本)</x:v>
      </x:c>
      <x:c r="AG21" s="82" t="str">
        <x:v>采用</x:v>
      </x:c>
      <x:c r="AH21" s="82" t="str">
        <x:v>初审</x:v>
      </x:c>
      <x:c r="AI21" s="87" t="n">
        <x:v>46255</x:v>
      </x:c>
    </x:row>
    <x:row r="22">
      <x:c r="A22" s="72" t="str">
        <x:f>IF(OR(C22="",D22=""),"",B22&amp;"-"&amp;UPPER(C22)&amp;"-"&amp;TEXT(D22,"0000")&amp;"-"&amp;E22)</x:f>
        <x:v>M05-BANHE-0016-V1.0</x:v>
      </x:c>
      <x:c r="B22" s="74" t="str">
        <x:v>M05</x:v>
      </x:c>
      <x:c r="C22" s="74" t="str">
        <x:v>BANHE</x:v>
      </x:c>
      <x:c r="D22" s="79" t="n">
        <x:v>16</x:v>
      </x:c>
      <x:c r="E22" s="74" t="str">
        <x:v>V1.0</x:v>
      </x:c>
      <x:c r="F22" s="68" t="str">
        <x:v>午戌半合识别</x:v>
      </x:c>
      <x:c r="G22" s="82" t="str">
        <x:v>识别层</x:v>
      </x:c>
      <x:c r="H22" s="82" t="str">
        <x:v>半合</x:v>
      </x:c>
      <x:c r="I22" s="68" t="str">
        <x:v>午、戌</x:v>
      </x:c>
      <x:c r="J22" s="82" t="str">
        <x:v>其他</x:v>
      </x:c>
      <x:c r="K22" s="82" t="str">
        <x:v>部分</x:v>
      </x:c>
      <x:c r="L22" s="68" t="str">
        <x:v>记录午、戌中谁为月支，尤其记录中神是否得令；月令不改变两支同时出现的事实。</x:v>
      </x:c>
      <x:c r="M22" s="68" t="str">
        <x:v>相关藏干是否透出不影响关系识别；透干信息只供后续效应与旺衰判断。</x:v>
      </x:c>
      <x:c r="N22" s="68" t="str">
        <x:v>检查缺失支寅是否实际已出现；若出现，应另列完整三合结构，不再只以半合概括。</x:v>
      </x:c>
      <x:c r="O22" s="68" t="str">
        <x:v>四柱地支已按年、月、日、时标准化并保留柱位。</x:v>
      </x:c>
      <x:c r="P22" s="68" t="str">
        <x:v>四柱地支中同时出现午与戌，且对应三合组的第三支寅未出现。</x:v>
      </x:c>
      <x:c r="Q22" s="68" t="str">
        <x:v>中神得令、两支相邻或目标五行透出时，仅提高后续成局可能。</x:v>
      </x:c>
      <x:c r="R22" s="68" t="str">
        <x:v>两支隔位、受其他合冲刑害牵连时，后续作用更不确定。</x:v>
      </x:c>
      <x:c r="S22" s="90" t="str">
        <x:v>缺少午或戌；若寅同时出现，则应升级登记完整三合而非仅记半合。</x:v>
      </x:c>
      <x:c r="T22" s="68" t="str">
        <x:v>半合只表示三合结构部分成立；具体是否形成有效合势转M06。</x:v>
      </x:c>
      <x:c r="U22" s="68" t="str">
        <x:v>原局存在午戌半合，为合火局的部分候选。</x:v>
      </x:c>
      <x:c r="V22" s="68" t="str">
        <x:v>不得直接输出已成火局、两支合化或原有支性消失。</x:v>
      </x:c>
      <x:c r="W22" s="82" t="str">
        <x:v>P1_高</x:v>
      </x:c>
      <x:c r="X22" s="82" t="str">
        <x:v>硬约束</x:v>
      </x:c>
      <x:c r="Y22" s="84" t="str">
        <x:v>午戌半合</x:v>
      </x:c>
      <x:c r="Z22" s="84" t="str">
        <x:v>原局见午、戌而缺寅，识别为午戌半合；仅属三合结构部分，效应转M06。</x:v>
      </x:c>
      <x:c r="AA22" s="82" t="str">
        <x:v>较高</x:v>
      </x:c>
      <x:c r="AB22" s="82" t="str">
        <x:v>现代综合</x:v>
      </x:c>
      <x:c r="AC22" s="68" t="str">
        <x:v>半合通常指三合组中包含中神的两支组合；本库以第三支未见作为分类边界。</x:v>
      </x:c>
      <x:c r="AD22" s="68" t="str">
        <x:v>见午、戌而不见寅，登记午戌半合。</x:v>
      </x:c>
      <x:c r="AE22" s="90" t="str">
        <x:v>若午、戌、寅齐全，应登记完整三合，不应只写半合。</x:v>
      </x:c>
      <x:c r="AF22" s="68" t="str">
        <x:v>内部结构化规则：识别层与效应层分离；https://zh.wikisource.org/wiki/淵海子平；https://zh.wikisource.org/zh-hans/三命通會_(四庫全書本)</x:v>
      </x:c>
      <x:c r="AG22" s="82" t="str">
        <x:v>采用</x:v>
      </x:c>
      <x:c r="AH22" s="82" t="str">
        <x:v>初审</x:v>
      </x:c>
      <x:c r="AI22" s="87" t="n">
        <x:v>46255</x:v>
      </x:c>
    </x:row>
    <x:row r="23">
      <x:c r="A23" s="72" t="str">
        <x:f>IF(OR(C23="",D23=""),"",B23&amp;"-"&amp;UPPER(C23)&amp;"-"&amp;TEXT(D23,"0000")&amp;"-"&amp;E23)</x:f>
        <x:v>M05-BANHE-0017-V1.0</x:v>
      </x:c>
      <x:c r="B23" s="74" t="str">
        <x:v>M05</x:v>
      </x:c>
      <x:c r="C23" s="74" t="str">
        <x:v>BANHE</x:v>
      </x:c>
      <x:c r="D23" s="79" t="n">
        <x:v>17</x:v>
      </x:c>
      <x:c r="E23" s="74" t="str">
        <x:v>V1.0</x:v>
      </x:c>
      <x:c r="F23" s="68" t="str">
        <x:v>巳酉半合识别</x:v>
      </x:c>
      <x:c r="G23" s="82" t="str">
        <x:v>识别层</x:v>
      </x:c>
      <x:c r="H23" s="82" t="str">
        <x:v>半合</x:v>
      </x:c>
      <x:c r="I23" s="68" t="str">
        <x:v>巳、酉</x:v>
      </x:c>
      <x:c r="J23" s="82" t="str">
        <x:v>其他</x:v>
      </x:c>
      <x:c r="K23" s="82" t="str">
        <x:v>部分</x:v>
      </x:c>
      <x:c r="L23" s="68" t="str">
        <x:v>记录巳、酉中谁为月支，尤其记录中神是否得令；月令不改变两支同时出现的事实。</x:v>
      </x:c>
      <x:c r="M23" s="68" t="str">
        <x:v>相关藏干是否透出不影响关系识别；透干信息只供后续效应与旺衰判断。</x:v>
      </x:c>
      <x:c r="N23" s="68" t="str">
        <x:v>检查缺失支丑是否实际已出现；若出现，应另列完整三合结构，不再只以半合概括。</x:v>
      </x:c>
      <x:c r="O23" s="68" t="str">
        <x:v>四柱地支已按年、月、日、时标准化并保留柱位。</x:v>
      </x:c>
      <x:c r="P23" s="68" t="str">
        <x:v>四柱地支中同时出现巳与酉，且对应三合组的第三支丑未出现。</x:v>
      </x:c>
      <x:c r="Q23" s="68" t="str">
        <x:v>中神得令、两支相邻或目标五行透出时，仅提高后续成局可能。</x:v>
      </x:c>
      <x:c r="R23" s="68" t="str">
        <x:v>两支隔位、受其他合冲刑害牵连时，后续作用更不确定。</x:v>
      </x:c>
      <x:c r="S23" s="90" t="str">
        <x:v>缺少巳或酉；若丑同时出现，则应升级登记完整三合而非仅记半合。</x:v>
      </x:c>
      <x:c r="T23" s="68" t="str">
        <x:v>半合只表示三合结构部分成立；具体是否形成有效合势转M06。</x:v>
      </x:c>
      <x:c r="U23" s="68" t="str">
        <x:v>原局存在巳酉半合，为合金局的部分候选。</x:v>
      </x:c>
      <x:c r="V23" s="68" t="str">
        <x:v>不得直接输出已成金局、两支合化或原有支性消失。</x:v>
      </x:c>
      <x:c r="W23" s="82" t="str">
        <x:v>P1_高</x:v>
      </x:c>
      <x:c r="X23" s="82" t="str">
        <x:v>硬约束</x:v>
      </x:c>
      <x:c r="Y23" s="84" t="str">
        <x:v>巳酉半合</x:v>
      </x:c>
      <x:c r="Z23" s="84" t="str">
        <x:v>原局见巳、酉而缺丑，识别为巳酉半合；仅属三合结构部分，效应转M06。</x:v>
      </x:c>
      <x:c r="AA23" s="82" t="str">
        <x:v>较高</x:v>
      </x:c>
      <x:c r="AB23" s="82" t="str">
        <x:v>现代综合</x:v>
      </x:c>
      <x:c r="AC23" s="68" t="str">
        <x:v>半合通常指三合组中包含中神的两支组合；本库以第三支未见作为分类边界。</x:v>
      </x:c>
      <x:c r="AD23" s="68" t="str">
        <x:v>见巳、酉而不见丑，登记巳酉半合。</x:v>
      </x:c>
      <x:c r="AE23" s="90" t="str">
        <x:v>若巳、酉、丑齐全，应登记完整三合，不应只写半合。</x:v>
      </x:c>
      <x:c r="AF23" s="68" t="str">
        <x:v>内部结构化规则：识别层与效应层分离；https://zh.wikisource.org/wiki/淵海子平；https://zh.wikisource.org/zh-hans/三命通會_(四庫全書本)</x:v>
      </x:c>
      <x:c r="AG23" s="82" t="str">
        <x:v>采用</x:v>
      </x:c>
      <x:c r="AH23" s="82" t="str">
        <x:v>初审</x:v>
      </x:c>
      <x:c r="AI23" s="87" t="n">
        <x:v>46255</x:v>
      </x:c>
    </x:row>
    <x:row r="24">
      <x:c r="A24" s="72" t="str">
        <x:f>IF(OR(C24="",D24=""),"",B24&amp;"-"&amp;UPPER(C24)&amp;"-"&amp;TEXT(D24,"0000")&amp;"-"&amp;E24)</x:f>
        <x:v>M05-BANHE-0018-V1.0</x:v>
      </x:c>
      <x:c r="B24" s="74" t="str">
        <x:v>M05</x:v>
      </x:c>
      <x:c r="C24" s="74" t="str">
        <x:v>BANHE</x:v>
      </x:c>
      <x:c r="D24" s="79" t="n">
        <x:v>18</x:v>
      </x:c>
      <x:c r="E24" s="74" t="str">
        <x:v>V1.0</x:v>
      </x:c>
      <x:c r="F24" s="68" t="str">
        <x:v>酉丑半合识别</x:v>
      </x:c>
      <x:c r="G24" s="82" t="str">
        <x:v>识别层</x:v>
      </x:c>
      <x:c r="H24" s="82" t="str">
        <x:v>半合</x:v>
      </x:c>
      <x:c r="I24" s="68" t="str">
        <x:v>酉、丑</x:v>
      </x:c>
      <x:c r="J24" s="82" t="str">
        <x:v>其他</x:v>
      </x:c>
      <x:c r="K24" s="82" t="str">
        <x:v>部分</x:v>
      </x:c>
      <x:c r="L24" s="68" t="str">
        <x:v>记录酉、丑中谁为月支，尤其记录中神是否得令；月令不改变两支同时出现的事实。</x:v>
      </x:c>
      <x:c r="M24" s="68" t="str">
        <x:v>相关藏干是否透出不影响关系识别；透干信息只供后续效应与旺衰判断。</x:v>
      </x:c>
      <x:c r="N24" s="68" t="str">
        <x:v>检查缺失支巳是否实际已出现；若出现，应另列完整三合结构，不再只以半合概括。</x:v>
      </x:c>
      <x:c r="O24" s="68" t="str">
        <x:v>四柱地支已按年、月、日、时标准化并保留柱位。</x:v>
      </x:c>
      <x:c r="P24" s="68" t="str">
        <x:v>四柱地支中同时出现酉与丑，且对应三合组的第三支巳未出现。</x:v>
      </x:c>
      <x:c r="Q24" s="68" t="str">
        <x:v>中神得令、两支相邻或目标五行透出时，仅提高后续成局可能。</x:v>
      </x:c>
      <x:c r="R24" s="68" t="str">
        <x:v>两支隔位、受其他合冲刑害牵连时，后续作用更不确定。</x:v>
      </x:c>
      <x:c r="S24" s="90" t="str">
        <x:v>缺少酉或丑；若巳同时出现，则应升级登记完整三合而非仅记半合。</x:v>
      </x:c>
      <x:c r="T24" s="68" t="str">
        <x:v>半合只表示三合结构部分成立；具体是否形成有效合势转M06。</x:v>
      </x:c>
      <x:c r="U24" s="68" t="str">
        <x:v>原局存在酉丑半合，为合金局的部分候选。</x:v>
      </x:c>
      <x:c r="V24" s="68" t="str">
        <x:v>不得直接输出已成金局、两支合化或原有支性消失。</x:v>
      </x:c>
      <x:c r="W24" s="82" t="str">
        <x:v>P1_高</x:v>
      </x:c>
      <x:c r="X24" s="82" t="str">
        <x:v>硬约束</x:v>
      </x:c>
      <x:c r="Y24" s="84" t="str">
        <x:v>酉丑半合</x:v>
      </x:c>
      <x:c r="Z24" s="84" t="str">
        <x:v>原局见酉、丑而缺巳，识别为酉丑半合；仅属三合结构部分，效应转M06。</x:v>
      </x:c>
      <x:c r="AA24" s="82" t="str">
        <x:v>较高</x:v>
      </x:c>
      <x:c r="AB24" s="82" t="str">
        <x:v>现代综合</x:v>
      </x:c>
      <x:c r="AC24" s="68" t="str">
        <x:v>半合通常指三合组中包含中神的两支组合；本库以第三支未见作为分类边界。</x:v>
      </x:c>
      <x:c r="AD24" s="68" t="str">
        <x:v>见酉、丑而不见巳，登记酉丑半合。</x:v>
      </x:c>
      <x:c r="AE24" s="90" t="str">
        <x:v>若酉、丑、巳齐全，应登记完整三合，不应只写半合。</x:v>
      </x:c>
      <x:c r="AF24" s="68" t="str">
        <x:v>内部结构化规则：识别层与效应层分离；https://zh.wikisource.org/wiki/淵海子平；https://zh.wikisource.org/zh-hans/三命通會_(四庫全書本)</x:v>
      </x:c>
      <x:c r="AG24" s="82" t="str">
        <x:v>采用</x:v>
      </x:c>
      <x:c r="AH24" s="82" t="str">
        <x:v>初审</x:v>
      </x:c>
      <x:c r="AI24" s="87" t="n">
        <x:v>46255</x:v>
      </x:c>
    </x:row>
    <x:row r="25">
      <x:c r="A25" s="72" t="str">
        <x:f>IF(OR(C25="",D25=""),"",B25&amp;"-"&amp;UPPER(C25)&amp;"-"&amp;TEXT(D25,"0000")&amp;"-"&amp;E25)</x:f>
        <x:v>M05-GONGHE-0019-V1.0</x:v>
      </x:c>
      <x:c r="B25" s="74" t="str">
        <x:v>M05</x:v>
      </x:c>
      <x:c r="C25" s="74" t="str">
        <x:v>GONGHE</x:v>
      </x:c>
      <x:c r="D25" s="79" t="n">
        <x:v>19</x:v>
      </x:c>
      <x:c r="E25" s="74" t="str">
        <x:v>V1.0</x:v>
      </x:c>
      <x:c r="F25" s="68" t="str">
        <x:v>申辰拱合识别</x:v>
      </x:c>
      <x:c r="G25" s="82" t="str">
        <x:v>识别层</x:v>
      </x:c>
      <x:c r="H25" s="82" t="str">
        <x:v>拱合</x:v>
      </x:c>
      <x:c r="I25" s="68" t="str">
        <x:v>申、辰</x:v>
      </x:c>
      <x:c r="J25" s="82" t="str">
        <x:v>其他</x:v>
      </x:c>
      <x:c r="K25" s="82" t="str">
        <x:v>部分</x:v>
      </x:c>
      <x:c r="L25" s="68" t="str">
        <x:v>记录两端支中谁为月支；中神子缺失是本条分类条件。</x:v>
      </x:c>
      <x:c r="M25" s="68" t="str">
        <x:v>相关藏干是否透出不影响关系识别；透干信息只供后续效应与旺衰判断。</x:v>
      </x:c>
      <x:c r="N25" s="68" t="str">
        <x:v>检查中神子是否出现；若出现，改列完整三合结构。</x:v>
      </x:c>
      <x:c r="O25" s="68" t="str">
        <x:v>四柱地支已按年、月、日、时标准化并保留柱位。</x:v>
      </x:c>
      <x:c r="P25" s="68" t="str">
        <x:v>四柱地支中同时出现申与辰，对应三合中神子未出现。</x:v>
      </x:c>
      <x:c r="Q25" s="68" t="str">
        <x:v>两端相邻、目标五行透出或中神于岁运出现时，只增强后续候选。</x:v>
      </x:c>
      <x:c r="R25" s="68" t="str">
        <x:v>两端隔散或受强关系牵连时，后续拱势更不确定。</x:v>
      </x:c>
      <x:c r="S25" s="90" t="str">
        <x:v>缺少申或辰；若中神子已在原局出现，则不以“仅拱合”分类。</x:v>
      </x:c>
      <x:c r="T25" s="68" t="str">
        <x:v>拱合是结构候选；是否能拱出中神或形成实际合势转M06/D0。</x:v>
      </x:c>
      <x:c r="U25" s="68" t="str">
        <x:v>原局存在申辰拱合，为合水局的两端候选。</x:v>
      </x:c>
      <x:c r="V25" s="68" t="str">
        <x:v>不得直接视为中神子已经出现，也不得直接输出成水局。</x:v>
      </x:c>
      <x:c r="W25" s="82" t="str">
        <x:v>P1_高</x:v>
      </x:c>
      <x:c r="X25" s="82" t="str">
        <x:v>辅助证据</x:v>
      </x:c>
      <x:c r="Y25" s="84" t="str">
        <x:v>申辰拱合</x:v>
      </x:c>
      <x:c r="Z25" s="84" t="str">
        <x:v>原局见申、辰而缺中神子，识别为申辰拱合；不得把子当作实有地支。</x:v>
      </x:c>
      <x:c r="AA25" s="82" t="str">
        <x:v>较高</x:v>
      </x:c>
      <x:c r="AB25" s="82" t="str">
        <x:v>现代综合</x:v>
      </x:c>
      <x:c r="AC25" s="68" t="str">
        <x:v>拱合用于描述三合生墓两端齐而中神缺失的结构；中神仍是缺失状态。</x:v>
      </x:c>
      <x:c r="AD25" s="68" t="str">
        <x:v>见申、辰而不见子，登记申辰拱合。</x:v>
      </x:c>
      <x:c r="AE25" s="90" t="str">
        <x:v>原局已见子时，应登记完整三合，不应继续把中神视为缺失。</x:v>
      </x:c>
      <x:c r="AF25" s="68" t="str">
        <x:v>内部结构化规则：识别层与效应层分离；https://zh.wikisource.org/wiki/淵海子平；https://zh.wikisource.org/zh-hans/三命通會_(四庫全書本)</x:v>
      </x:c>
      <x:c r="AG25" s="82" t="str">
        <x:v>采用</x:v>
      </x:c>
      <x:c r="AH25" s="82" t="str">
        <x:v>初审</x:v>
      </x:c>
      <x:c r="AI25" s="87" t="n">
        <x:v>46255</x:v>
      </x:c>
    </x:row>
    <x:row r="26">
      <x:c r="A26" s="72" t="str">
        <x:f>IF(OR(C26="",D26=""),"",B26&amp;"-"&amp;UPPER(C26)&amp;"-"&amp;TEXT(D26,"0000")&amp;"-"&amp;E26)</x:f>
        <x:v>M05-GONGHE-0020-V1.0</x:v>
      </x:c>
      <x:c r="B26" s="74" t="str">
        <x:v>M05</x:v>
      </x:c>
      <x:c r="C26" s="74" t="str">
        <x:v>GONGHE</x:v>
      </x:c>
      <x:c r="D26" s="79" t="n">
        <x:v>20</x:v>
      </x:c>
      <x:c r="E26" s="74" t="str">
        <x:v>V1.0</x:v>
      </x:c>
      <x:c r="F26" s="68" t="str">
        <x:v>亥未拱合识别</x:v>
      </x:c>
      <x:c r="G26" s="82" t="str">
        <x:v>识别层</x:v>
      </x:c>
      <x:c r="H26" s="82" t="str">
        <x:v>拱合</x:v>
      </x:c>
      <x:c r="I26" s="68" t="str">
        <x:v>亥、未</x:v>
      </x:c>
      <x:c r="J26" s="82" t="str">
        <x:v>其他</x:v>
      </x:c>
      <x:c r="K26" s="82" t="str">
        <x:v>部分</x:v>
      </x:c>
      <x:c r="L26" s="68" t="str">
        <x:v>记录两端支中谁为月支；中神卯缺失是本条分类条件。</x:v>
      </x:c>
      <x:c r="M26" s="68" t="str">
        <x:v>相关藏干是否透出不影响关系识别；透干信息只供后续效应与旺衰判断。</x:v>
      </x:c>
      <x:c r="N26" s="68" t="str">
        <x:v>检查中神卯是否出现；若出现，改列完整三合结构。</x:v>
      </x:c>
      <x:c r="O26" s="68" t="str">
        <x:v>四柱地支已按年、月、日、时标准化并保留柱位。</x:v>
      </x:c>
      <x:c r="P26" s="68" t="str">
        <x:v>四柱地支中同时出现亥与未，对应三合中神卯未出现。</x:v>
      </x:c>
      <x:c r="Q26" s="68" t="str">
        <x:v>两端相邻、目标五行透出或中神于岁运出现时，只增强后续候选。</x:v>
      </x:c>
      <x:c r="R26" s="68" t="str">
        <x:v>两端隔散或受强关系牵连时，后续拱势更不确定。</x:v>
      </x:c>
      <x:c r="S26" s="90" t="str">
        <x:v>缺少亥或未；若中神卯已在原局出现，则不以“仅拱合”分类。</x:v>
      </x:c>
      <x:c r="T26" s="68" t="str">
        <x:v>拱合是结构候选；是否能拱出中神或形成实际合势转M06/D0。</x:v>
      </x:c>
      <x:c r="U26" s="68" t="str">
        <x:v>原局存在亥未拱合，为合木局的两端候选。</x:v>
      </x:c>
      <x:c r="V26" s="68" t="str">
        <x:v>不得直接视为中神卯已经出现，也不得直接输出成木局。</x:v>
      </x:c>
      <x:c r="W26" s="82" t="str">
        <x:v>P1_高</x:v>
      </x:c>
      <x:c r="X26" s="82" t="str">
        <x:v>辅助证据</x:v>
      </x:c>
      <x:c r="Y26" s="84" t="str">
        <x:v>亥未拱合</x:v>
      </x:c>
      <x:c r="Z26" s="84" t="str">
        <x:v>原局见亥、未而缺中神卯，识别为亥未拱合；不得把卯当作实有地支。</x:v>
      </x:c>
      <x:c r="AA26" s="82" t="str">
        <x:v>较高</x:v>
      </x:c>
      <x:c r="AB26" s="82" t="str">
        <x:v>现代综合</x:v>
      </x:c>
      <x:c r="AC26" s="68" t="str">
        <x:v>拱合用于描述三合生墓两端齐而中神缺失的结构；中神仍是缺失状态。</x:v>
      </x:c>
      <x:c r="AD26" s="68" t="str">
        <x:v>见亥、未而不见卯，登记亥未拱合。</x:v>
      </x:c>
      <x:c r="AE26" s="90" t="str">
        <x:v>原局已见卯时，应登记完整三合，不应继续把中神视为缺失。</x:v>
      </x:c>
      <x:c r="AF26" s="68" t="str">
        <x:v>内部结构化规则：识别层与效应层分离；https://zh.wikisource.org/wiki/淵海子平；https://zh.wikisource.org/zh-hans/三命通會_(四庫全書本)</x:v>
      </x:c>
      <x:c r="AG26" s="82" t="str">
        <x:v>采用</x:v>
      </x:c>
      <x:c r="AH26" s="82" t="str">
        <x:v>初审</x:v>
      </x:c>
      <x:c r="AI26" s="87" t="n">
        <x:v>46255</x:v>
      </x:c>
    </x:row>
    <x:row r="27">
      <x:c r="A27" s="72" t="str">
        <x:f>IF(OR(C27="",D27=""),"",B27&amp;"-"&amp;UPPER(C27)&amp;"-"&amp;TEXT(D27,"0000")&amp;"-"&amp;E27)</x:f>
        <x:v>M05-GONGHE-0021-V1.0</x:v>
      </x:c>
      <x:c r="B27" s="74" t="str">
        <x:v>M05</x:v>
      </x:c>
      <x:c r="C27" s="74" t="str">
        <x:v>GONGHE</x:v>
      </x:c>
      <x:c r="D27" s="79" t="n">
        <x:v>21</x:v>
      </x:c>
      <x:c r="E27" s="74" t="str">
        <x:v>V1.0</x:v>
      </x:c>
      <x:c r="F27" s="68" t="str">
        <x:v>寅戌拱合识别</x:v>
      </x:c>
      <x:c r="G27" s="82" t="str">
        <x:v>识别层</x:v>
      </x:c>
      <x:c r="H27" s="82" t="str">
        <x:v>拱合</x:v>
      </x:c>
      <x:c r="I27" s="68" t="str">
        <x:v>寅、戌</x:v>
      </x:c>
      <x:c r="J27" s="82" t="str">
        <x:v>其他</x:v>
      </x:c>
      <x:c r="K27" s="82" t="str">
        <x:v>部分</x:v>
      </x:c>
      <x:c r="L27" s="68" t="str">
        <x:v>记录两端支中谁为月支；中神午缺失是本条分类条件。</x:v>
      </x:c>
      <x:c r="M27" s="68" t="str">
        <x:v>相关藏干是否透出不影响关系识别；透干信息只供后续效应与旺衰判断。</x:v>
      </x:c>
      <x:c r="N27" s="68" t="str">
        <x:v>检查中神午是否出现；若出现，改列完整三合结构。</x:v>
      </x:c>
      <x:c r="O27" s="68" t="str">
        <x:v>四柱地支已按年、月、日、时标准化并保留柱位。</x:v>
      </x:c>
      <x:c r="P27" s="68" t="str">
        <x:v>四柱地支中同时出现寅与戌，对应三合中神午未出现。</x:v>
      </x:c>
      <x:c r="Q27" s="68" t="str">
        <x:v>两端相邻、目标五行透出或中神于岁运出现时，只增强后续候选。</x:v>
      </x:c>
      <x:c r="R27" s="68" t="str">
        <x:v>两端隔散或受强关系牵连时，后续拱势更不确定。</x:v>
      </x:c>
      <x:c r="S27" s="90" t="str">
        <x:v>缺少寅或戌；若中神午已在原局出现，则不以“仅拱合”分类。</x:v>
      </x:c>
      <x:c r="T27" s="68" t="str">
        <x:v>拱合是结构候选；是否能拱出中神或形成实际合势转M06/D0。</x:v>
      </x:c>
      <x:c r="U27" s="68" t="str">
        <x:v>原局存在寅戌拱合，为合火局的两端候选。</x:v>
      </x:c>
      <x:c r="V27" s="68" t="str">
        <x:v>不得直接视为中神午已经出现，也不得直接输出成火局。</x:v>
      </x:c>
      <x:c r="W27" s="82" t="str">
        <x:v>P1_高</x:v>
      </x:c>
      <x:c r="X27" s="82" t="str">
        <x:v>辅助证据</x:v>
      </x:c>
      <x:c r="Y27" s="84" t="str">
        <x:v>寅戌拱合</x:v>
      </x:c>
      <x:c r="Z27" s="84" t="str">
        <x:v>原局见寅、戌而缺中神午，识别为寅戌拱合；不得把午当作实有地支。</x:v>
      </x:c>
      <x:c r="AA27" s="82" t="str">
        <x:v>较高</x:v>
      </x:c>
      <x:c r="AB27" s="82" t="str">
        <x:v>现代综合</x:v>
      </x:c>
      <x:c r="AC27" s="68" t="str">
        <x:v>拱合用于描述三合生墓两端齐而中神缺失的结构；中神仍是缺失状态。</x:v>
      </x:c>
      <x:c r="AD27" s="68" t="str">
        <x:v>见寅、戌而不见午，登记寅戌拱合。</x:v>
      </x:c>
      <x:c r="AE27" s="90" t="str">
        <x:v>原局已见午时，应登记完整三合，不应继续把中神视为缺失。</x:v>
      </x:c>
      <x:c r="AF27" s="68" t="str">
        <x:v>内部结构化规则：识别层与效应层分离；https://zh.wikisource.org/wiki/淵海子平；https://zh.wikisource.org/zh-hans/三命通會_(四庫全書本)</x:v>
      </x:c>
      <x:c r="AG27" s="82" t="str">
        <x:v>采用</x:v>
      </x:c>
      <x:c r="AH27" s="82" t="str">
        <x:v>初审</x:v>
      </x:c>
      <x:c r="AI27" s="87" t="n">
        <x:v>46255</x:v>
      </x:c>
    </x:row>
    <x:row r="28">
      <x:c r="A28" s="72" t="str">
        <x:f>IF(OR(C28="",D28=""),"",B28&amp;"-"&amp;UPPER(C28)&amp;"-"&amp;TEXT(D28,"0000")&amp;"-"&amp;E28)</x:f>
        <x:v>M05-GONGHE-0022-V1.0</x:v>
      </x:c>
      <x:c r="B28" s="74" t="str">
        <x:v>M05</x:v>
      </x:c>
      <x:c r="C28" s="74" t="str">
        <x:v>GONGHE</x:v>
      </x:c>
      <x:c r="D28" s="79" t="n">
        <x:v>22</x:v>
      </x:c>
      <x:c r="E28" s="74" t="str">
        <x:v>V1.0</x:v>
      </x:c>
      <x:c r="F28" s="68" t="str">
        <x:v>巳丑拱合识别</x:v>
      </x:c>
      <x:c r="G28" s="82" t="str">
        <x:v>识别层</x:v>
      </x:c>
      <x:c r="H28" s="82" t="str">
        <x:v>拱合</x:v>
      </x:c>
      <x:c r="I28" s="68" t="str">
        <x:v>巳、丑</x:v>
      </x:c>
      <x:c r="J28" s="82" t="str">
        <x:v>其他</x:v>
      </x:c>
      <x:c r="K28" s="82" t="str">
        <x:v>部分</x:v>
      </x:c>
      <x:c r="L28" s="68" t="str">
        <x:v>记录两端支中谁为月支；中神酉缺失是本条分类条件。</x:v>
      </x:c>
      <x:c r="M28" s="68" t="str">
        <x:v>相关藏干是否透出不影响关系识别；透干信息只供后续效应与旺衰判断。</x:v>
      </x:c>
      <x:c r="N28" s="68" t="str">
        <x:v>检查中神酉是否出现；若出现，改列完整三合结构。</x:v>
      </x:c>
      <x:c r="O28" s="68" t="str">
        <x:v>四柱地支已按年、月、日、时标准化并保留柱位。</x:v>
      </x:c>
      <x:c r="P28" s="68" t="str">
        <x:v>四柱地支中同时出现巳与丑，对应三合中神酉未出现。</x:v>
      </x:c>
      <x:c r="Q28" s="68" t="str">
        <x:v>两端相邻、目标五行透出或中神于岁运出现时，只增强后续候选。</x:v>
      </x:c>
      <x:c r="R28" s="68" t="str">
        <x:v>两端隔散或受强关系牵连时，后续拱势更不确定。</x:v>
      </x:c>
      <x:c r="S28" s="90" t="str">
        <x:v>缺少巳或丑；若中神酉已在原局出现，则不以“仅拱合”分类。</x:v>
      </x:c>
      <x:c r="T28" s="68" t="str">
        <x:v>拱合是结构候选；是否能拱出中神或形成实际合势转M06/D0。</x:v>
      </x:c>
      <x:c r="U28" s="68" t="str">
        <x:v>原局存在巳丑拱合，为合金局的两端候选。</x:v>
      </x:c>
      <x:c r="V28" s="68" t="str">
        <x:v>不得直接视为中神酉已经出现，也不得直接输出成金局。</x:v>
      </x:c>
      <x:c r="W28" s="82" t="str">
        <x:v>P1_高</x:v>
      </x:c>
      <x:c r="X28" s="82" t="str">
        <x:v>辅助证据</x:v>
      </x:c>
      <x:c r="Y28" s="84" t="str">
        <x:v>巳丑拱合</x:v>
      </x:c>
      <x:c r="Z28" s="84" t="str">
        <x:v>原局见巳、丑而缺中神酉，识别为巳丑拱合；不得把酉当作实有地支。</x:v>
      </x:c>
      <x:c r="AA28" s="82" t="str">
        <x:v>较高</x:v>
      </x:c>
      <x:c r="AB28" s="82" t="str">
        <x:v>现代综合</x:v>
      </x:c>
      <x:c r="AC28" s="68" t="str">
        <x:v>拱合用于描述三合生墓两端齐而中神缺失的结构；中神仍是缺失状态。</x:v>
      </x:c>
      <x:c r="AD28" s="68" t="str">
        <x:v>见巳、丑而不见酉，登记巳丑拱合。</x:v>
      </x:c>
      <x:c r="AE28" s="90" t="str">
        <x:v>原局已见酉时，应登记完整三合，不应继续把中神视为缺失。</x:v>
      </x:c>
      <x:c r="AF28" s="68" t="str">
        <x:v>内部结构化规则：识别层与效应层分离；https://zh.wikisource.org/wiki/淵海子平；https://zh.wikisource.org/zh-hans/三命通會_(四庫全書本)</x:v>
      </x:c>
      <x:c r="AG28" s="82" t="str">
        <x:v>采用</x:v>
      </x:c>
      <x:c r="AH28" s="82" t="str">
        <x:v>初审</x:v>
      </x:c>
      <x:c r="AI28" s="87" t="n">
        <x:v>46255</x:v>
      </x:c>
    </x:row>
    <x:row r="29">
      <x:c r="A29" s="72" t="str">
        <x:f>IF(OR(C29="",D29=""),"",B29&amp;"-"&amp;UPPER(C29)&amp;"-"&amp;TEXT(D29,"0000")&amp;"-"&amp;E29)</x:f>
        <x:v>M05-SANHUI-0023-V1.0</x:v>
      </x:c>
      <x:c r="B29" s="74" t="str">
        <x:v>M05</x:v>
      </x:c>
      <x:c r="C29" s="74" t="str">
        <x:v>SANHUI</x:v>
      </x:c>
      <x:c r="D29" s="79" t="n">
        <x:v>23</x:v>
      </x:c>
      <x:c r="E29" s="74" t="str">
        <x:v>V1.0</x:v>
      </x:c>
      <x:c r="F29" s="68" t="str">
        <x:v>亥子丑三会结构完整识别</x:v>
      </x:c>
      <x:c r="G29" s="82" t="str">
        <x:v>识别层</x:v>
      </x:c>
      <x:c r="H29" s="82" t="str">
        <x:v>三会</x:v>
      </x:c>
      <x:c r="I29" s="68" t="str">
        <x:v>亥、子、丑</x:v>
      </x:c>
      <x:c r="J29" s="82" t="str">
        <x:v>其他</x:v>
      </x:c>
      <x:c r="K29" s="82" t="str">
        <x:v>完整</x:v>
      </x:c>
      <x:c r="L29" s="68" t="str">
        <x:v>记录三支中谁为月支；月令只影响后续会局强弱，不影响三支齐全判断。</x:v>
      </x:c>
      <x:c r="M29" s="68" t="str">
        <x:v>相关藏干是否透出不影响关系识别；透干信息只供后续效应与旺衰判断。</x:v>
      </x:c>
      <x:c r="N29" s="68" t="str">
        <x:v>同时检查三支是否另构成六合、冲刑害破或与第四支形成三合。</x:v>
      </x:c>
      <x:c r="O29" s="68" t="str">
        <x:v>四柱地支已按年、月、日、时标准化并保留柱位。</x:v>
      </x:c>
      <x:c r="P29" s="68" t="str">
        <x:v>四柱地支中亥、子、丑三支均至少出现一次，顺序与相邻性不作为齐全的必要条件。</x:v>
      </x:c>
      <x:c r="Q29" s="68" t="str">
        <x:v>三支连续相邻、得季令或目标五行透出时，只增强后续会势候选。</x:v>
      </x:c>
      <x:c r="R29" s="68" t="str">
        <x:v>三支隔散或参与其他强关系时，只使效应复杂，不否定完整结构。</x:v>
      </x:c>
      <x:c r="S29" s="90" t="str">
        <x:v>缺少亥、子、丑中的任一支；重复支不能补齐缺支。</x:v>
      </x:c>
      <x:c r="T29" s="68" t="str">
        <x:v>三支齐全仅表示三会结构完整；是否成会局及与三合谁优先转M06。</x:v>
      </x:c>
      <x:c r="U29" s="68" t="str">
        <x:v>原局亥子丑三会结构完整，生成会水局候选。</x:v>
      </x:c>
      <x:c r="V29" s="68" t="str">
        <x:v>不得直接输出已成水局、三支原性消失或力量固定增强。</x:v>
      </x:c>
      <x:c r="W29" s="82" t="str">
        <x:v>P0_硬约束</x:v>
      </x:c>
      <x:c r="X29" s="82" t="str">
        <x:v>硬约束</x:v>
      </x:c>
      <x:c r="Y29" s="84" t="str">
        <x:v>亥子丑三会完整</x:v>
      </x:c>
      <x:c r="Z29" s="84" t="str">
        <x:v>原局见亥、子、丑，亥子丑三会结构完整；会水局仅为候选，实际效应转M06。</x:v>
      </x:c>
      <x:c r="AA29" s="82" t="str">
        <x:v>确定</x:v>
      </x:c>
      <x:c r="AB29" s="82" t="str">
        <x:v>跨流派共识</x:v>
      </x:c>
      <x:c r="AC29" s="68" t="str">
        <x:v>三会以同一季节三支齐全为完整结构；完整性与成局成势分开。</x:v>
      </x:c>
      <x:c r="AD29" s="68" t="str">
        <x:v>四支中同时见亥、子、丑，登记亥子丑三会完整。</x:v>
      </x:c>
      <x:c r="AE29" s="90" t="str">
        <x:v>只见亥、子而缺丑，不得标记完整三会。</x:v>
      </x:c>
      <x:c r="AF29" s="68" t="str">
        <x:v>https://zh.wikisource.org/wiki/淵海子平；https://zh.wikisource.org/zh-hans/三命通會_(四庫全書本)</x:v>
      </x:c>
      <x:c r="AG29" s="82" t="str">
        <x:v>采用</x:v>
      </x:c>
      <x:c r="AH29" s="82" t="str">
        <x:v>初审</x:v>
      </x:c>
      <x:c r="AI29" s="87" t="n">
        <x:v>46255</x:v>
      </x:c>
    </x:row>
    <x:row r="30">
      <x:c r="A30" s="72" t="str">
        <x:f>IF(OR(C30="",D30=""),"",B30&amp;"-"&amp;UPPER(C30)&amp;"-"&amp;TEXT(D30,"0000")&amp;"-"&amp;E30)</x:f>
        <x:v>M05-SANHUI-0024-V1.0</x:v>
      </x:c>
      <x:c r="B30" s="74" t="str">
        <x:v>M05</x:v>
      </x:c>
      <x:c r="C30" s="74" t="str">
        <x:v>SANHUI</x:v>
      </x:c>
      <x:c r="D30" s="79" t="n">
        <x:v>24</x:v>
      </x:c>
      <x:c r="E30" s="74" t="str">
        <x:v>V1.0</x:v>
      </x:c>
      <x:c r="F30" s="68" t="str">
        <x:v>寅卯辰三会结构完整识别</x:v>
      </x:c>
      <x:c r="G30" s="82" t="str">
        <x:v>识别层</x:v>
      </x:c>
      <x:c r="H30" s="82" t="str">
        <x:v>三会</x:v>
      </x:c>
      <x:c r="I30" s="68" t="str">
        <x:v>寅、卯、辰</x:v>
      </x:c>
      <x:c r="J30" s="82" t="str">
        <x:v>其他</x:v>
      </x:c>
      <x:c r="K30" s="82" t="str">
        <x:v>完整</x:v>
      </x:c>
      <x:c r="L30" s="68" t="str">
        <x:v>记录三支中谁为月支；月令只影响后续会局强弱，不影响三支齐全判断。</x:v>
      </x:c>
      <x:c r="M30" s="68" t="str">
        <x:v>相关藏干是否透出不影响关系识别；透干信息只供后续效应与旺衰判断。</x:v>
      </x:c>
      <x:c r="N30" s="68" t="str">
        <x:v>同时检查三支是否另构成六合、冲刑害破或与第四支形成三合。</x:v>
      </x:c>
      <x:c r="O30" s="68" t="str">
        <x:v>四柱地支已按年、月、日、时标准化并保留柱位。</x:v>
      </x:c>
      <x:c r="P30" s="68" t="str">
        <x:v>四柱地支中寅、卯、辰三支均至少出现一次，顺序与相邻性不作为齐全的必要条件。</x:v>
      </x:c>
      <x:c r="Q30" s="68" t="str">
        <x:v>三支连续相邻、得季令或目标五行透出时，只增强后续会势候选。</x:v>
      </x:c>
      <x:c r="R30" s="68" t="str">
        <x:v>三支隔散或参与其他强关系时，只使效应复杂，不否定完整结构。</x:v>
      </x:c>
      <x:c r="S30" s="90" t="str">
        <x:v>缺少寅、卯、辰中的任一支；重复支不能补齐缺支。</x:v>
      </x:c>
      <x:c r="T30" s="68" t="str">
        <x:v>三支齐全仅表示三会结构完整；是否成会局及与三合谁优先转M06。</x:v>
      </x:c>
      <x:c r="U30" s="68" t="str">
        <x:v>原局寅卯辰三会结构完整，生成会木局候选。</x:v>
      </x:c>
      <x:c r="V30" s="68" t="str">
        <x:v>不得直接输出已成木局、三支原性消失或力量固定增强。</x:v>
      </x:c>
      <x:c r="W30" s="82" t="str">
        <x:v>P0_硬约束</x:v>
      </x:c>
      <x:c r="X30" s="82" t="str">
        <x:v>硬约束</x:v>
      </x:c>
      <x:c r="Y30" s="84" t="str">
        <x:v>寅卯辰三会完整</x:v>
      </x:c>
      <x:c r="Z30" s="84" t="str">
        <x:v>原局见寅、卯、辰，寅卯辰三会结构完整；会木局仅为候选，实际效应转M06。</x:v>
      </x:c>
      <x:c r="AA30" s="82" t="str">
        <x:v>确定</x:v>
      </x:c>
      <x:c r="AB30" s="82" t="str">
        <x:v>跨流派共识</x:v>
      </x:c>
      <x:c r="AC30" s="68" t="str">
        <x:v>三会以同一季节三支齐全为完整结构；完整性与成局成势分开。</x:v>
      </x:c>
      <x:c r="AD30" s="68" t="str">
        <x:v>四支中同时见寅、卯、辰，登记寅卯辰三会完整。</x:v>
      </x:c>
      <x:c r="AE30" s="90" t="str">
        <x:v>只见寅、卯而缺辰，不得标记完整三会。</x:v>
      </x:c>
      <x:c r="AF30" s="68" t="str">
        <x:v>https://zh.wikisource.org/wiki/淵海子平；https://zh.wikisource.org/zh-hans/三命通會_(四庫全書本)</x:v>
      </x:c>
      <x:c r="AG30" s="82" t="str">
        <x:v>采用</x:v>
      </x:c>
      <x:c r="AH30" s="82" t="str">
        <x:v>初审</x:v>
      </x:c>
      <x:c r="AI30" s="87" t="n">
        <x:v>46255</x:v>
      </x:c>
    </x:row>
    <x:row r="31">
      <x:c r="A31" s="72" t="str">
        <x:f>IF(OR(C31="",D31=""),"",B31&amp;"-"&amp;UPPER(C31)&amp;"-"&amp;TEXT(D31,"0000")&amp;"-"&amp;E31)</x:f>
        <x:v>M05-SANHUI-0025-V1.0</x:v>
      </x:c>
      <x:c r="B31" s="74" t="str">
        <x:v>M05</x:v>
      </x:c>
      <x:c r="C31" s="74" t="str">
        <x:v>SANHUI</x:v>
      </x:c>
      <x:c r="D31" s="79" t="n">
        <x:v>25</x:v>
      </x:c>
      <x:c r="E31" s="74" t="str">
        <x:v>V1.0</x:v>
      </x:c>
      <x:c r="F31" s="68" t="str">
        <x:v>巳午未三会结构完整识别</x:v>
      </x:c>
      <x:c r="G31" s="82" t="str">
        <x:v>识别层</x:v>
      </x:c>
      <x:c r="H31" s="82" t="str">
        <x:v>三会</x:v>
      </x:c>
      <x:c r="I31" s="68" t="str">
        <x:v>巳、午、未</x:v>
      </x:c>
      <x:c r="J31" s="82" t="str">
        <x:v>其他</x:v>
      </x:c>
      <x:c r="K31" s="82" t="str">
        <x:v>完整</x:v>
      </x:c>
      <x:c r="L31" s="68" t="str">
        <x:v>记录三支中谁为月支；月令只影响后续会局强弱，不影响三支齐全判断。</x:v>
      </x:c>
      <x:c r="M31" s="68" t="str">
        <x:v>相关藏干是否透出不影响关系识别；透干信息只供后续效应与旺衰判断。</x:v>
      </x:c>
      <x:c r="N31" s="68" t="str">
        <x:v>同时检查三支是否另构成六合、冲刑害破或与第四支形成三合。</x:v>
      </x:c>
      <x:c r="O31" s="68" t="str">
        <x:v>四柱地支已按年、月、日、时标准化并保留柱位。</x:v>
      </x:c>
      <x:c r="P31" s="68" t="str">
        <x:v>四柱地支中巳、午、未三支均至少出现一次，顺序与相邻性不作为齐全的必要条件。</x:v>
      </x:c>
      <x:c r="Q31" s="68" t="str">
        <x:v>三支连续相邻、得季令或目标五行透出时，只增强后续会势候选。</x:v>
      </x:c>
      <x:c r="R31" s="68" t="str">
        <x:v>三支隔散或参与其他强关系时，只使效应复杂，不否定完整结构。</x:v>
      </x:c>
      <x:c r="S31" s="90" t="str">
        <x:v>缺少巳、午、未中的任一支；重复支不能补齐缺支。</x:v>
      </x:c>
      <x:c r="T31" s="68" t="str">
        <x:v>三支齐全仅表示三会结构完整；是否成会局及与三合谁优先转M06。</x:v>
      </x:c>
      <x:c r="U31" s="68" t="str">
        <x:v>原局巳午未三会结构完整，生成会火局候选。</x:v>
      </x:c>
      <x:c r="V31" s="68" t="str">
        <x:v>不得直接输出已成火局、三支原性消失或力量固定增强。</x:v>
      </x:c>
      <x:c r="W31" s="82" t="str">
        <x:v>P0_硬约束</x:v>
      </x:c>
      <x:c r="X31" s="82" t="str">
        <x:v>硬约束</x:v>
      </x:c>
      <x:c r="Y31" s="84" t="str">
        <x:v>巳午未三会完整</x:v>
      </x:c>
      <x:c r="Z31" s="84" t="str">
        <x:v>原局见巳、午、未，巳午未三会结构完整；会火局仅为候选，实际效应转M06。</x:v>
      </x:c>
      <x:c r="AA31" s="82" t="str">
        <x:v>确定</x:v>
      </x:c>
      <x:c r="AB31" s="82" t="str">
        <x:v>跨流派共识</x:v>
      </x:c>
      <x:c r="AC31" s="68" t="str">
        <x:v>三会以同一季节三支齐全为完整结构；完整性与成局成势分开。</x:v>
      </x:c>
      <x:c r="AD31" s="68" t="str">
        <x:v>四支中同时见巳、午、未，登记巳午未三会完整。</x:v>
      </x:c>
      <x:c r="AE31" s="90" t="str">
        <x:v>只见巳、午而缺未，不得标记完整三会。</x:v>
      </x:c>
      <x:c r="AF31" s="68" t="str">
        <x:v>https://zh.wikisource.org/wiki/淵海子平；https://zh.wikisource.org/zh-hans/三命通會_(四庫全書本)</x:v>
      </x:c>
      <x:c r="AG31" s="82" t="str">
        <x:v>采用</x:v>
      </x:c>
      <x:c r="AH31" s="82" t="str">
        <x:v>初审</x:v>
      </x:c>
      <x:c r="AI31" s="87" t="n">
        <x:v>46255</x:v>
      </x:c>
    </x:row>
    <x:row r="32">
      <x:c r="A32" s="72" t="str">
        <x:f>IF(OR(C32="",D32=""),"",B32&amp;"-"&amp;UPPER(C32)&amp;"-"&amp;TEXT(D32,"0000")&amp;"-"&amp;E32)</x:f>
        <x:v>M05-SANHUI-0026-V1.0</x:v>
      </x:c>
      <x:c r="B32" s="74" t="str">
        <x:v>M05</x:v>
      </x:c>
      <x:c r="C32" s="74" t="str">
        <x:v>SANHUI</x:v>
      </x:c>
      <x:c r="D32" s="79" t="n">
        <x:v>26</x:v>
      </x:c>
      <x:c r="E32" s="74" t="str">
        <x:v>V1.0</x:v>
      </x:c>
      <x:c r="F32" s="68" t="str">
        <x:v>申酉戌三会结构完整识别</x:v>
      </x:c>
      <x:c r="G32" s="82" t="str">
        <x:v>识别层</x:v>
      </x:c>
      <x:c r="H32" s="82" t="str">
        <x:v>三会</x:v>
      </x:c>
      <x:c r="I32" s="68" t="str">
        <x:v>申、酉、戌</x:v>
      </x:c>
      <x:c r="J32" s="82" t="str">
        <x:v>其他</x:v>
      </x:c>
      <x:c r="K32" s="82" t="str">
        <x:v>完整</x:v>
      </x:c>
      <x:c r="L32" s="68" t="str">
        <x:v>记录三支中谁为月支；月令只影响后续会局强弱，不影响三支齐全判断。</x:v>
      </x:c>
      <x:c r="M32" s="68" t="str">
        <x:v>相关藏干是否透出不影响关系识别；透干信息只供后续效应与旺衰判断。</x:v>
      </x:c>
      <x:c r="N32" s="68" t="str">
        <x:v>同时检查三支是否另构成六合、冲刑害破或与第四支形成三合。</x:v>
      </x:c>
      <x:c r="O32" s="68" t="str">
        <x:v>四柱地支已按年、月、日、时标准化并保留柱位。</x:v>
      </x:c>
      <x:c r="P32" s="68" t="str">
        <x:v>四柱地支中申、酉、戌三支均至少出现一次，顺序与相邻性不作为齐全的必要条件。</x:v>
      </x:c>
      <x:c r="Q32" s="68" t="str">
        <x:v>三支连续相邻、得季令或目标五行透出时，只增强后续会势候选。</x:v>
      </x:c>
      <x:c r="R32" s="68" t="str">
        <x:v>三支隔散或参与其他强关系时，只使效应复杂，不否定完整结构。</x:v>
      </x:c>
      <x:c r="S32" s="90" t="str">
        <x:v>缺少申、酉、戌中的任一支；重复支不能补齐缺支。</x:v>
      </x:c>
      <x:c r="T32" s="68" t="str">
        <x:v>三支齐全仅表示三会结构完整；是否成会局及与三合谁优先转M06。</x:v>
      </x:c>
      <x:c r="U32" s="68" t="str">
        <x:v>原局申酉戌三会结构完整，生成会金局候选。</x:v>
      </x:c>
      <x:c r="V32" s="68" t="str">
        <x:v>不得直接输出已成金局、三支原性消失或力量固定增强。</x:v>
      </x:c>
      <x:c r="W32" s="82" t="str">
        <x:v>P0_硬约束</x:v>
      </x:c>
      <x:c r="X32" s="82" t="str">
        <x:v>硬约束</x:v>
      </x:c>
      <x:c r="Y32" s="84" t="str">
        <x:v>申酉戌三会完整</x:v>
      </x:c>
      <x:c r="Z32" s="84" t="str">
        <x:v>原局见申、酉、戌，申酉戌三会结构完整；会金局仅为候选，实际效应转M06。</x:v>
      </x:c>
      <x:c r="AA32" s="82" t="str">
        <x:v>确定</x:v>
      </x:c>
      <x:c r="AB32" s="82" t="str">
        <x:v>跨流派共识</x:v>
      </x:c>
      <x:c r="AC32" s="68" t="str">
        <x:v>三会以同一季节三支齐全为完整结构；完整性与成局成势分开。</x:v>
      </x:c>
      <x:c r="AD32" s="68" t="str">
        <x:v>四支中同时见申、酉、戌，登记申酉戌三会完整。</x:v>
      </x:c>
      <x:c r="AE32" s="90" t="str">
        <x:v>只见申、酉而缺戌，不得标记完整三会。</x:v>
      </x:c>
      <x:c r="AF32" s="68" t="str">
        <x:v>https://zh.wikisource.org/wiki/淵海子平；https://zh.wikisource.org/zh-hans/三命通會_(四庫全書本)</x:v>
      </x:c>
      <x:c r="AG32" s="82" t="str">
        <x:v>采用</x:v>
      </x:c>
      <x:c r="AH32" s="82" t="str">
        <x:v>初审</x:v>
      </x:c>
      <x:c r="AI32" s="87" t="n">
        <x:v>46255</x:v>
      </x:c>
    </x:row>
    <x:row r="33">
      <x:c r="A33" s="72" t="str">
        <x:f>IF(OR(C33="",D33=""),"",B33&amp;"-"&amp;UPPER(C33)&amp;"-"&amp;TEXT(D33,"0000")&amp;"-"&amp;E33)</x:f>
        <x:v>M05-CHONG-0027-V1.0</x:v>
      </x:c>
      <x:c r="B33" s="74" t="str">
        <x:v>M05</x:v>
      </x:c>
      <x:c r="C33" s="74" t="str">
        <x:v>CHONG</x:v>
      </x:c>
      <x:c r="D33" s="79" t="n">
        <x:v>27</x:v>
      </x:c>
      <x:c r="E33" s="74" t="str">
        <x:v>V1.0</x:v>
      </x:c>
      <x:c r="F33" s="68" t="str">
        <x:v>子午六冲识别</x:v>
      </x:c>
      <x:c r="G33" s="82" t="str">
        <x:v>识别层</x:v>
      </x:c>
      <x:c r="H33" s="82" t="str">
        <x:v>六冲</x:v>
      </x:c>
      <x:c r="I33" s="68" t="str">
        <x:v>子、午</x:v>
      </x:c>
      <x:c r="J33" s="82" t="str">
        <x:v>其他</x:v>
      </x:c>
      <x:c r="K33" s="82" t="str">
        <x:v>完整</x:v>
      </x:c>
      <x:c r="L33" s="68" t="str">
        <x:v>关系存在不以月支得令为必要条件；须另记录参与支中谁为月支。</x:v>
      </x:c>
      <x:c r="M33" s="68" t="str">
        <x:v>相关藏干是否透出不影响关系识别；透干信息只供后续效应与旺衰判断。</x:v>
      </x:c>
      <x:c r="N33" s="68" t="str">
        <x:v>检查两支是否还参与三合、三会、刑、害、破等其他关系。</x:v>
      </x:c>
      <x:c r="O33" s="68" t="str">
        <x:v>四柱地支已按年、月、日、时标准化并保留柱位。</x:v>
      </x:c>
      <x:c r="P33" s="68" t="str">
        <x:v>四柱地支中同时出现子与午。</x:v>
      </x:c>
      <x:c r="Q33" s="68" t="str">
        <x:v>两支相邻、其中一支临月令或岁运再引动时，只增强后续冲效应候选。</x:v>
      </x:c>
      <x:c r="R33" s="68" t="str">
        <x:v>两支隔位、其中一支同时被合或参与会局时，效应需综合，不否定冲关系存在。</x:v>
      </x:c>
      <x:c r="S33" s="90" t="str">
        <x:v>缺少子或午。</x:v>
      </x:c>
      <x:c r="T33" s="68" t="str">
        <x:v>冲动、冲散、冲旺、冲弱、冲开或冲去必须在M06逐支判断。</x:v>
      </x:c>
      <x:c r="U33" s="68" t="str">
        <x:v>原局存在子午六冲关系。</x:v>
      </x:c>
      <x:c r="V33" s="68" t="str">
        <x:v>不得直接推出子或午被冲掉、根气必失、双方同时减力或必然发生事件。</x:v>
      </x:c>
      <x:c r="W33" s="82" t="str">
        <x:v>P0_硬约束</x:v>
      </x:c>
      <x:c r="X33" s="82" t="str">
        <x:v>硬约束</x:v>
      </x:c>
      <x:c r="Y33" s="84" t="str">
        <x:v>子午冲</x:v>
      </x:c>
      <x:c r="Z33" s="84" t="str">
        <x:v>地支见子、午，识别为子午冲；实际是冲动、冲散、冲旺、冲弱还是作用有限，转M06判断。</x:v>
      </x:c>
      <x:c r="AA33" s="82" t="str">
        <x:v>确定</x:v>
      </x:c>
      <x:c r="AB33" s="82" t="str">
        <x:v>跨流派共识</x:v>
      </x:c>
      <x:c r="AC33" s="68" t="str">
        <x:v>六冲有固定六组对冲；识别关系与评估结果必须分离。</x:v>
      </x:c>
      <x:c r="AD33" s="68" t="str">
        <x:v>月支为子、日支为午，登记子午冲。</x:v>
      </x:c>
      <x:c r="AE33" s="90" t="str">
        <x:v>只见子而不见午，不能登记子午冲。</x:v>
      </x:c>
      <x:c r="AF33" s="68" t="str">
        <x:v>https://zh.wikisource.org/wiki/淵海子平；https://zh.wikisource.org/zh-hans/三命通會_(四庫全書本)</x:v>
      </x:c>
      <x:c r="AG33" s="82" t="str">
        <x:v>采用</x:v>
      </x:c>
      <x:c r="AH33" s="82" t="str">
        <x:v>初审</x:v>
      </x:c>
      <x:c r="AI33" s="87" t="n">
        <x:v>46255</x:v>
      </x:c>
    </x:row>
    <x:row r="34">
      <x:c r="A34" s="72" t="str">
        <x:f>IF(OR(C34="",D34=""),"",B34&amp;"-"&amp;UPPER(C34)&amp;"-"&amp;TEXT(D34,"0000")&amp;"-"&amp;E34)</x:f>
        <x:v>M05-CHONG-0028-V1.0</x:v>
      </x:c>
      <x:c r="B34" s="74" t="str">
        <x:v>M05</x:v>
      </x:c>
      <x:c r="C34" s="74" t="str">
        <x:v>CHONG</x:v>
      </x:c>
      <x:c r="D34" s="79" t="n">
        <x:v>28</x:v>
      </x:c>
      <x:c r="E34" s="74" t="str">
        <x:v>V1.0</x:v>
      </x:c>
      <x:c r="F34" s="68" t="str">
        <x:v>丑未六冲识别</x:v>
      </x:c>
      <x:c r="G34" s="82" t="str">
        <x:v>识别层</x:v>
      </x:c>
      <x:c r="H34" s="82" t="str">
        <x:v>六冲</x:v>
      </x:c>
      <x:c r="I34" s="68" t="str">
        <x:v>丑、未</x:v>
      </x:c>
      <x:c r="J34" s="82" t="str">
        <x:v>其他</x:v>
      </x:c>
      <x:c r="K34" s="82" t="str">
        <x:v>完整</x:v>
      </x:c>
      <x:c r="L34" s="68" t="str">
        <x:v>关系存在不以月支得令为必要条件；须另记录参与支中谁为月支。</x:v>
      </x:c>
      <x:c r="M34" s="68" t="str">
        <x:v>相关藏干是否透出不影响关系识别；透干信息只供后续效应与旺衰判断。</x:v>
      </x:c>
      <x:c r="N34" s="68" t="str">
        <x:v>同时独立检查丑未冲及丑未戌刑组的局部刑关系。</x:v>
      </x:c>
      <x:c r="O34" s="68" t="str">
        <x:v>四柱地支已按年、月、日、时标准化并保留柱位。</x:v>
      </x:c>
      <x:c r="P34" s="68" t="str">
        <x:v>四柱地支中同时出现丑与未。</x:v>
      </x:c>
      <x:c r="Q34" s="68" t="str">
        <x:v>两支相邻、其中一支临月令或岁运再引动时，只增强后续冲效应候选。</x:v>
      </x:c>
      <x:c r="R34" s="68" t="str">
        <x:v>两支隔位、其中一支同时被合或参与会局时，效应需综合，不否定冲关系存在。</x:v>
      </x:c>
      <x:c r="S34" s="90" t="str">
        <x:v>缺少丑或未。</x:v>
      </x:c>
      <x:c r="T34" s="68" t="str">
        <x:v>冲动、冲散、冲旺、冲弱、冲开或冲去必须在M06逐支判断。</x:v>
      </x:c>
      <x:c r="U34" s="68" t="str">
        <x:v>原局存在丑未六冲关系。</x:v>
      </x:c>
      <x:c r="V34" s="68" t="str">
        <x:v>不得直接推出丑或未被冲掉、根气必失、双方同时减力或必然发生事件。</x:v>
      </x:c>
      <x:c r="W34" s="82" t="str">
        <x:v>P0_硬约束</x:v>
      </x:c>
      <x:c r="X34" s="82" t="str">
        <x:v>硬约束</x:v>
      </x:c>
      <x:c r="Y34" s="84" t="str">
        <x:v>丑未冲</x:v>
      </x:c>
      <x:c r="Z34" s="84" t="str">
        <x:v>地支见丑、未，识别为丑未冲；实际是冲动、冲散、冲旺、冲弱还是作用有限，转M06判断。</x:v>
      </x:c>
      <x:c r="AA34" s="82" t="str">
        <x:v>确定</x:v>
      </x:c>
      <x:c r="AB34" s="82" t="str">
        <x:v>跨流派共识</x:v>
      </x:c>
      <x:c r="AC34" s="68" t="str">
        <x:v>六冲有固定六组对冲；识别关系与评估结果必须分离。</x:v>
      </x:c>
      <x:c r="AD34" s="68" t="str">
        <x:v>月支为丑、日支为未，登记丑未冲。</x:v>
      </x:c>
      <x:c r="AE34" s="90" t="str">
        <x:v>只见丑而不见未，不能登记丑未冲。</x:v>
      </x:c>
      <x:c r="AF34" s="68" t="str">
        <x:v>https://zh.wikisource.org/wiki/淵海子平；https://zh.wikisource.org/zh-hans/三命通會_(四庫全書本)</x:v>
      </x:c>
      <x:c r="AG34" s="82" t="str">
        <x:v>采用</x:v>
      </x:c>
      <x:c r="AH34" s="82" t="str">
        <x:v>初审</x:v>
      </x:c>
      <x:c r="AI34" s="87" t="n">
        <x:v>46255</x:v>
      </x:c>
    </x:row>
    <x:row r="35">
      <x:c r="A35" s="72" t="str">
        <x:f>IF(OR(C35="",D35=""),"",B35&amp;"-"&amp;UPPER(C35)&amp;"-"&amp;TEXT(D35,"0000")&amp;"-"&amp;E35)</x:f>
        <x:v>M05-CHONG-0029-V1.0</x:v>
      </x:c>
      <x:c r="B35" s="74" t="str">
        <x:v>M05</x:v>
      </x:c>
      <x:c r="C35" s="74" t="str">
        <x:v>CHONG</x:v>
      </x:c>
      <x:c r="D35" s="79" t="n">
        <x:v>29</x:v>
      </x:c>
      <x:c r="E35" s="74" t="str">
        <x:v>V1.0</x:v>
      </x:c>
      <x:c r="F35" s="68" t="str">
        <x:v>寅申六冲识别</x:v>
      </x:c>
      <x:c r="G35" s="82" t="str">
        <x:v>识别层</x:v>
      </x:c>
      <x:c r="H35" s="82" t="str">
        <x:v>六冲</x:v>
      </x:c>
      <x:c r="I35" s="68" t="str">
        <x:v>寅、申</x:v>
      </x:c>
      <x:c r="J35" s="82" t="str">
        <x:v>其他</x:v>
      </x:c>
      <x:c r="K35" s="82" t="str">
        <x:v>完整</x:v>
      </x:c>
      <x:c r="L35" s="68" t="str">
        <x:v>关系存在不以月支得令为必要条件；须另记录参与支中谁为月支。</x:v>
      </x:c>
      <x:c r="M35" s="68" t="str">
        <x:v>相关藏干是否透出不影响关系识别；透干信息只供后续效应与旺衰判断。</x:v>
      </x:c>
      <x:c r="N35" s="68" t="str">
        <x:v>同时独立检查寅申冲及寅巳申刑组的局部刑关系。</x:v>
      </x:c>
      <x:c r="O35" s="68" t="str">
        <x:v>四柱地支已按年、月、日、时标准化并保留柱位。</x:v>
      </x:c>
      <x:c r="P35" s="68" t="str">
        <x:v>四柱地支中同时出现寅与申。</x:v>
      </x:c>
      <x:c r="Q35" s="68" t="str">
        <x:v>两支相邻、其中一支临月令或岁运再引动时，只增强后续冲效应候选。</x:v>
      </x:c>
      <x:c r="R35" s="68" t="str">
        <x:v>两支隔位、其中一支同时被合或参与会局时，效应需综合，不否定冲关系存在。</x:v>
      </x:c>
      <x:c r="S35" s="90" t="str">
        <x:v>缺少寅或申。</x:v>
      </x:c>
      <x:c r="T35" s="68" t="str">
        <x:v>冲动、冲散、冲旺、冲弱、冲开或冲去必须在M06逐支判断。</x:v>
      </x:c>
      <x:c r="U35" s="68" t="str">
        <x:v>原局存在寅申六冲关系。</x:v>
      </x:c>
      <x:c r="V35" s="68" t="str">
        <x:v>不得直接推出寅或申被冲掉、根气必失、双方同时减力或必然发生事件。</x:v>
      </x:c>
      <x:c r="W35" s="82" t="str">
        <x:v>P0_硬约束</x:v>
      </x:c>
      <x:c r="X35" s="82" t="str">
        <x:v>硬约束</x:v>
      </x:c>
      <x:c r="Y35" s="84" t="str">
        <x:v>寅申冲</x:v>
      </x:c>
      <x:c r="Z35" s="84" t="str">
        <x:v>地支见寅、申，识别为寅申冲；实际是冲动、冲散、冲旺、冲弱还是作用有限，转M06判断。</x:v>
      </x:c>
      <x:c r="AA35" s="82" t="str">
        <x:v>确定</x:v>
      </x:c>
      <x:c r="AB35" s="82" t="str">
        <x:v>跨流派共识</x:v>
      </x:c>
      <x:c r="AC35" s="68" t="str">
        <x:v>六冲有固定六组对冲；识别关系与评估结果必须分离。</x:v>
      </x:c>
      <x:c r="AD35" s="68" t="str">
        <x:v>月支为寅、日支为申，登记寅申冲。</x:v>
      </x:c>
      <x:c r="AE35" s="90" t="str">
        <x:v>只见寅而不见申，不能登记寅申冲。</x:v>
      </x:c>
      <x:c r="AF35" s="68" t="str">
        <x:v>https://zh.wikisource.org/wiki/淵海子平；https://zh.wikisource.org/zh-hans/三命通會_(四庫全書本)</x:v>
      </x:c>
      <x:c r="AG35" s="82" t="str">
        <x:v>采用</x:v>
      </x:c>
      <x:c r="AH35" s="82" t="str">
        <x:v>初审</x:v>
      </x:c>
      <x:c r="AI35" s="87" t="n">
        <x:v>46255</x:v>
      </x:c>
    </x:row>
    <x:row r="36">
      <x:c r="A36" s="72" t="str">
        <x:f>IF(OR(C36="",D36=""),"",B36&amp;"-"&amp;UPPER(C36)&amp;"-"&amp;TEXT(D36,"0000")&amp;"-"&amp;E36)</x:f>
        <x:v>M05-CHONG-0030-V1.0</x:v>
      </x:c>
      <x:c r="B36" s="74" t="str">
        <x:v>M05</x:v>
      </x:c>
      <x:c r="C36" s="74" t="str">
        <x:v>CHONG</x:v>
      </x:c>
      <x:c r="D36" s="79" t="n">
        <x:v>30</x:v>
      </x:c>
      <x:c r="E36" s="74" t="str">
        <x:v>V1.0</x:v>
      </x:c>
      <x:c r="F36" s="68" t="str">
        <x:v>卯酉六冲识别</x:v>
      </x:c>
      <x:c r="G36" s="82" t="str">
        <x:v>识别层</x:v>
      </x:c>
      <x:c r="H36" s="82" t="str">
        <x:v>六冲</x:v>
      </x:c>
      <x:c r="I36" s="68" t="str">
        <x:v>卯、酉</x:v>
      </x:c>
      <x:c r="J36" s="82" t="str">
        <x:v>其他</x:v>
      </x:c>
      <x:c r="K36" s="82" t="str">
        <x:v>完整</x:v>
      </x:c>
      <x:c r="L36" s="68" t="str">
        <x:v>关系存在不以月支得令为必要条件；须另记录参与支中谁为月支。</x:v>
      </x:c>
      <x:c r="M36" s="68" t="str">
        <x:v>相关藏干是否透出不影响关系识别；透干信息只供后续效应与旺衰判断。</x:v>
      </x:c>
      <x:c r="N36" s="68" t="str">
        <x:v>检查两支是否还参与三合、三会、刑、害、破等其他关系。</x:v>
      </x:c>
      <x:c r="O36" s="68" t="str">
        <x:v>四柱地支已按年、月、日、时标准化并保留柱位。</x:v>
      </x:c>
      <x:c r="P36" s="68" t="str">
        <x:v>四柱地支中同时出现卯与酉。</x:v>
      </x:c>
      <x:c r="Q36" s="68" t="str">
        <x:v>两支相邻、其中一支临月令或岁运再引动时，只增强后续冲效应候选。</x:v>
      </x:c>
      <x:c r="R36" s="68" t="str">
        <x:v>两支隔位、其中一支同时被合或参与会局时，效应需综合，不否定冲关系存在。</x:v>
      </x:c>
      <x:c r="S36" s="90" t="str">
        <x:v>缺少卯或酉。</x:v>
      </x:c>
      <x:c r="T36" s="68" t="str">
        <x:v>冲动、冲散、冲旺、冲弱、冲开或冲去必须在M06逐支判断。</x:v>
      </x:c>
      <x:c r="U36" s="68" t="str">
        <x:v>原局存在卯酉六冲关系。</x:v>
      </x:c>
      <x:c r="V36" s="68" t="str">
        <x:v>不得直接推出卯或酉被冲掉、根气必失、双方同时减力或必然发生事件。</x:v>
      </x:c>
      <x:c r="W36" s="82" t="str">
        <x:v>P0_硬约束</x:v>
      </x:c>
      <x:c r="X36" s="82" t="str">
        <x:v>硬约束</x:v>
      </x:c>
      <x:c r="Y36" s="84" t="str">
        <x:v>卯酉冲</x:v>
      </x:c>
      <x:c r="Z36" s="84" t="str">
        <x:v>地支见卯、酉，识别为卯酉冲；实际是冲动、冲散、冲旺、冲弱还是作用有限，转M06判断。</x:v>
      </x:c>
      <x:c r="AA36" s="82" t="str">
        <x:v>确定</x:v>
      </x:c>
      <x:c r="AB36" s="82" t="str">
        <x:v>跨流派共识</x:v>
      </x:c>
      <x:c r="AC36" s="68" t="str">
        <x:v>六冲有固定六组对冲；识别关系与评估结果必须分离。</x:v>
      </x:c>
      <x:c r="AD36" s="68" t="str">
        <x:v>月支为卯、日支为酉，登记卯酉冲。</x:v>
      </x:c>
      <x:c r="AE36" s="90" t="str">
        <x:v>只见卯而不见酉，不能登记卯酉冲。</x:v>
      </x:c>
      <x:c r="AF36" s="68" t="str">
        <x:v>https://zh.wikisource.org/wiki/淵海子平；https://zh.wikisource.org/zh-hans/三命通會_(四庫全書本)</x:v>
      </x:c>
      <x:c r="AG36" s="82" t="str">
        <x:v>采用</x:v>
      </x:c>
      <x:c r="AH36" s="82" t="str">
        <x:v>初审</x:v>
      </x:c>
      <x:c r="AI36" s="87" t="n">
        <x:v>46255</x:v>
      </x:c>
    </x:row>
    <x:row r="37">
      <x:c r="A37" s="72" t="str">
        <x:f>IF(OR(C37="",D37=""),"",B37&amp;"-"&amp;UPPER(C37)&amp;"-"&amp;TEXT(D37,"0000")&amp;"-"&amp;E37)</x:f>
        <x:v>M05-CHONG-0031-V1.0</x:v>
      </x:c>
      <x:c r="B37" s="74" t="str">
        <x:v>M05</x:v>
      </x:c>
      <x:c r="C37" s="74" t="str">
        <x:v>CHONG</x:v>
      </x:c>
      <x:c r="D37" s="79" t="n">
        <x:v>31</x:v>
      </x:c>
      <x:c r="E37" s="74" t="str">
        <x:v>V1.0</x:v>
      </x:c>
      <x:c r="F37" s="68" t="str">
        <x:v>辰戌六冲识别</x:v>
      </x:c>
      <x:c r="G37" s="82" t="str">
        <x:v>识别层</x:v>
      </x:c>
      <x:c r="H37" s="82" t="str">
        <x:v>六冲</x:v>
      </x:c>
      <x:c r="I37" s="68" t="str">
        <x:v>辰、戌</x:v>
      </x:c>
      <x:c r="J37" s="82" t="str">
        <x:v>其他</x:v>
      </x:c>
      <x:c r="K37" s="82" t="str">
        <x:v>完整</x:v>
      </x:c>
      <x:c r="L37" s="68" t="str">
        <x:v>关系存在不以月支得令为必要条件；须另记录参与支中谁为月支。</x:v>
      </x:c>
      <x:c r="M37" s="68" t="str">
        <x:v>相关藏干是否透出不影响关系识别；透干信息只供后续效应与旺衰判断。</x:v>
      </x:c>
      <x:c r="N37" s="68" t="str">
        <x:v>检查两支是否还参与三合、三会、刑、害、破等其他关系。</x:v>
      </x:c>
      <x:c r="O37" s="68" t="str">
        <x:v>四柱地支已按年、月、日、时标准化并保留柱位。</x:v>
      </x:c>
      <x:c r="P37" s="68" t="str">
        <x:v>四柱地支中同时出现辰与戌。</x:v>
      </x:c>
      <x:c r="Q37" s="68" t="str">
        <x:v>两支相邻、其中一支临月令或岁运再引动时，只增强后续冲效应候选。</x:v>
      </x:c>
      <x:c r="R37" s="68" t="str">
        <x:v>两支隔位、其中一支同时被合或参与会局时，效应需综合，不否定冲关系存在。</x:v>
      </x:c>
      <x:c r="S37" s="90" t="str">
        <x:v>缺少辰或戌。</x:v>
      </x:c>
      <x:c r="T37" s="68" t="str">
        <x:v>冲动、冲散、冲旺、冲弱、冲开或冲去必须在M06逐支判断。</x:v>
      </x:c>
      <x:c r="U37" s="68" t="str">
        <x:v>原局存在辰戌六冲关系。</x:v>
      </x:c>
      <x:c r="V37" s="68" t="str">
        <x:v>不得直接推出辰或戌被冲掉、根气必失、双方同时减力或必然发生事件。</x:v>
      </x:c>
      <x:c r="W37" s="82" t="str">
        <x:v>P0_硬约束</x:v>
      </x:c>
      <x:c r="X37" s="82" t="str">
        <x:v>硬约束</x:v>
      </x:c>
      <x:c r="Y37" s="84" t="str">
        <x:v>辰戌冲</x:v>
      </x:c>
      <x:c r="Z37" s="84" t="str">
        <x:v>地支见辰、戌，识别为辰戌冲；实际是冲动、冲散、冲旺、冲弱还是作用有限，转M06判断。</x:v>
      </x:c>
      <x:c r="AA37" s="82" t="str">
        <x:v>确定</x:v>
      </x:c>
      <x:c r="AB37" s="82" t="str">
        <x:v>跨流派共识</x:v>
      </x:c>
      <x:c r="AC37" s="68" t="str">
        <x:v>六冲有固定六组对冲；识别关系与评估结果必须分离。</x:v>
      </x:c>
      <x:c r="AD37" s="68" t="str">
        <x:v>月支为辰、日支为戌，登记辰戌冲。</x:v>
      </x:c>
      <x:c r="AE37" s="90" t="str">
        <x:v>只见辰而不见戌，不能登记辰戌冲。</x:v>
      </x:c>
      <x:c r="AF37" s="68" t="str">
        <x:v>https://zh.wikisource.org/wiki/淵海子平；https://zh.wikisource.org/zh-hans/三命通會_(四庫全書本)</x:v>
      </x:c>
      <x:c r="AG37" s="82" t="str">
        <x:v>采用</x:v>
      </x:c>
      <x:c r="AH37" s="82" t="str">
        <x:v>初审</x:v>
      </x:c>
      <x:c r="AI37" s="87" t="n">
        <x:v>46255</x:v>
      </x:c>
    </x:row>
    <x:row r="38">
      <x:c r="A38" s="72" t="str">
        <x:f>IF(OR(C38="",D38=""),"",B38&amp;"-"&amp;UPPER(C38)&amp;"-"&amp;TEXT(D38,"0000")&amp;"-"&amp;E38)</x:f>
        <x:v>M05-CHONG-0032-V1.0</x:v>
      </x:c>
      <x:c r="B38" s="74" t="str">
        <x:v>M05</x:v>
      </x:c>
      <x:c r="C38" s="74" t="str">
        <x:v>CHONG</x:v>
      </x:c>
      <x:c r="D38" s="79" t="n">
        <x:v>32</x:v>
      </x:c>
      <x:c r="E38" s="74" t="str">
        <x:v>V1.0</x:v>
      </x:c>
      <x:c r="F38" s="68" t="str">
        <x:v>巳亥六冲识别</x:v>
      </x:c>
      <x:c r="G38" s="82" t="str">
        <x:v>识别层</x:v>
      </x:c>
      <x:c r="H38" s="82" t="str">
        <x:v>六冲</x:v>
      </x:c>
      <x:c r="I38" s="68" t="str">
        <x:v>巳、亥</x:v>
      </x:c>
      <x:c r="J38" s="82" t="str">
        <x:v>其他</x:v>
      </x:c>
      <x:c r="K38" s="82" t="str">
        <x:v>完整</x:v>
      </x:c>
      <x:c r="L38" s="68" t="str">
        <x:v>关系存在不以月支得令为必要条件；须另记录参与支中谁为月支。</x:v>
      </x:c>
      <x:c r="M38" s="68" t="str">
        <x:v>相关藏干是否透出不影响关系识别；透干信息只供后续效应与旺衰判断。</x:v>
      </x:c>
      <x:c r="N38" s="68" t="str">
        <x:v>检查两支是否还参与三合、三会、刑、害、破等其他关系。</x:v>
      </x:c>
      <x:c r="O38" s="68" t="str">
        <x:v>四柱地支已按年、月、日、时标准化并保留柱位。</x:v>
      </x:c>
      <x:c r="P38" s="68" t="str">
        <x:v>四柱地支中同时出现巳与亥。</x:v>
      </x:c>
      <x:c r="Q38" s="68" t="str">
        <x:v>两支相邻、其中一支临月令或岁运再引动时，只增强后续冲效应候选。</x:v>
      </x:c>
      <x:c r="R38" s="68" t="str">
        <x:v>两支隔位、其中一支同时被合或参与会局时，效应需综合，不否定冲关系存在。</x:v>
      </x:c>
      <x:c r="S38" s="90" t="str">
        <x:v>缺少巳或亥。</x:v>
      </x:c>
      <x:c r="T38" s="68" t="str">
        <x:v>冲动、冲散、冲旺、冲弱、冲开或冲去必须在M06逐支判断。</x:v>
      </x:c>
      <x:c r="U38" s="68" t="str">
        <x:v>原局存在巳亥六冲关系。</x:v>
      </x:c>
      <x:c r="V38" s="68" t="str">
        <x:v>不得直接推出巳或亥被冲掉、根气必失、双方同时减力或必然发生事件。</x:v>
      </x:c>
      <x:c r="W38" s="82" t="str">
        <x:v>P0_硬约束</x:v>
      </x:c>
      <x:c r="X38" s="82" t="str">
        <x:v>硬约束</x:v>
      </x:c>
      <x:c r="Y38" s="84" t="str">
        <x:v>巳亥冲</x:v>
      </x:c>
      <x:c r="Z38" s="84" t="str">
        <x:v>地支见巳、亥，识别为巳亥冲；实际是冲动、冲散、冲旺、冲弱还是作用有限，转M06判断。</x:v>
      </x:c>
      <x:c r="AA38" s="82" t="str">
        <x:v>确定</x:v>
      </x:c>
      <x:c r="AB38" s="82" t="str">
        <x:v>跨流派共识</x:v>
      </x:c>
      <x:c r="AC38" s="68" t="str">
        <x:v>六冲有固定六组对冲；识别关系与评估结果必须分离。</x:v>
      </x:c>
      <x:c r="AD38" s="68" t="str">
        <x:v>月支为巳、日支为亥，登记巳亥冲。</x:v>
      </x:c>
      <x:c r="AE38" s="90" t="str">
        <x:v>只见巳而不见亥，不能登记巳亥冲。</x:v>
      </x:c>
      <x:c r="AF38" s="68" t="str">
        <x:v>https://zh.wikisource.org/wiki/淵海子平；https://zh.wikisource.org/zh-hans/三命通會_(四庫全書本)</x:v>
      </x:c>
      <x:c r="AG38" s="82" t="str">
        <x:v>采用</x:v>
      </x:c>
      <x:c r="AH38" s="82" t="str">
        <x:v>初审</x:v>
      </x:c>
      <x:c r="AI38" s="87" t="n">
        <x:v>46255</x:v>
      </x:c>
    </x:row>
    <x:row r="39">
      <x:c r="A39" s="72" t="str">
        <x:f>IF(OR(C39="",D39=""),"",B39&amp;"-"&amp;UPPER(C39)&amp;"-"&amp;TEXT(D39,"0000")&amp;"-"&amp;E39)</x:f>
        <x:v>M05-XING-0033-V1.0</x:v>
      </x:c>
      <x:c r="B39" s="74" t="str">
        <x:v>M05</x:v>
      </x:c>
      <x:c r="C39" s="74" t="str">
        <x:v>XING</x:v>
      </x:c>
      <x:c r="D39" s="79" t="n">
        <x:v>33</x:v>
      </x:c>
      <x:c r="E39" s="74" t="str">
        <x:v>V1.0</x:v>
      </x:c>
      <x:c r="F39" s="68" t="str">
        <x:v>寅巳刑支局部关系识别</x:v>
      </x:c>
      <x:c r="G39" s="82" t="str">
        <x:v>识别层</x:v>
      </x:c>
      <x:c r="H39" s="82" t="str">
        <x:v>三刑</x:v>
      </x:c>
      <x:c r="I39" s="68" t="str">
        <x:v>寅、巳</x:v>
      </x:c>
      <x:c r="J39" s="82" t="str">
        <x:v>其他</x:v>
      </x:c>
      <x:c r="K39" s="82" t="str">
        <x:v>部分</x:v>
      </x:c>
      <x:c r="L39" s="68" t="str">
        <x:v>关系存在不以月支得令为必要条件；须另记录参与支中谁为月支。</x:v>
      </x:c>
      <x:c r="M39" s="68" t="str">
        <x:v>相关藏干是否透出不影响关系识别；透干信息只供后续效应与旺衰判断。</x:v>
      </x:c>
      <x:c r="N39" s="68" t="str">
        <x:v>同时独立检查寅巳害及寅巳申刑组的局部刑关系。</x:v>
      </x:c>
      <x:c r="O39" s="68" t="str">
        <x:v>四柱地支已按年、月、日、时标准化并保留柱位。</x:v>
      </x:c>
      <x:c r="P39" s="68" t="str">
        <x:v>四柱地支中同时出现寅与巳；同组第三支未齐时，标记为寅巳申刑组的局部关系。</x:v>
      </x:c>
      <x:c r="Q39" s="68" t="str">
        <x:v>同组第三支出现时，另列完整三刑；相邻或岁运引动只供后续效应判断。</x:v>
      </x:c>
      <x:c r="R39" s="68" t="str">
        <x:v>两支隔位或同时参与合冲破时，局部刑关系仍保留，效应待判。</x:v>
      </x:c>
      <x:c r="S39" s="90" t="str">
        <x:v>缺少寅或巳。</x:v>
      </x:c>
      <x:c r="T39" s="68" t="str">
        <x:v>若寅巳申三支齐全，必须另列完整三刑规则，不能只保留局部标签。</x:v>
      </x:c>
      <x:c r="U39" s="68" t="str">
        <x:v>原局存在寅巳刑支关系，属于寅巳申三刑组的部分结构。</x:v>
      </x:c>
      <x:c r="V39" s="68" t="str">
        <x:v>不得直接推出寅或巳受伤、减力、刑去，亦不得把部分结构写成完整三刑。</x:v>
      </x:c>
      <x:c r="W39" s="82" t="str">
        <x:v>P1_高</x:v>
      </x:c>
      <x:c r="X39" s="82" t="str">
        <x:v>硬约束</x:v>
      </x:c>
      <x:c r="Y39" s="84" t="str">
        <x:v>寅巳刑局部</x:v>
      </x:c>
      <x:c r="Z39" s="84" t="str">
        <x:v>原局见寅、巳，识别为寅巳申三刑组的局部刑关系；三支是否齐全及实际效应分别记录。</x:v>
      </x:c>
      <x:c r="AA39" s="82" t="str">
        <x:v>较高</x:v>
      </x:c>
      <x:c r="AB39" s="82" t="str">
        <x:v>现代综合</x:v>
      </x:c>
      <x:c r="AC39" s="68" t="str">
        <x:v>寅巳申三刑可拆为组内局部关系与三支完整结构；两者不能混写。</x:v>
      </x:c>
      <x:c r="AD39" s="68" t="str">
        <x:v>只见寅、巳时，登记寅巳局部刑关系。</x:v>
      </x:c>
      <x:c r="AE39" s="90" t="str">
        <x:v>只有寅而无巳时，不能登记寅巳刑。</x:v>
      </x:c>
      <x:c r="AF39" s="68" t="str">
        <x:v>内部结构化规则：识别层与效应层分离；https://zh.wikisource.org/wiki/淵海子平；https://zh.wikisource.org/zh-hans/三命通會_(四庫全書本)</x:v>
      </x:c>
      <x:c r="AG39" s="82" t="str">
        <x:v>采用</x:v>
      </x:c>
      <x:c r="AH39" s="82" t="str">
        <x:v>初审</x:v>
      </x:c>
      <x:c r="AI39" s="87" t="n">
        <x:v>46255</x:v>
      </x:c>
    </x:row>
    <x:row r="40">
      <x:c r="A40" s="72" t="str">
        <x:f>IF(OR(C40="",D40=""),"",B40&amp;"-"&amp;UPPER(C40)&amp;"-"&amp;TEXT(D40,"0000")&amp;"-"&amp;E40)</x:f>
        <x:v>M05-XING-0034-V1.0</x:v>
      </x:c>
      <x:c r="B40" s="74" t="str">
        <x:v>M05</x:v>
      </x:c>
      <x:c r="C40" s="74" t="str">
        <x:v>XING</x:v>
      </x:c>
      <x:c r="D40" s="79" t="n">
        <x:v>34</x:v>
      </x:c>
      <x:c r="E40" s="74" t="str">
        <x:v>V1.0</x:v>
      </x:c>
      <x:c r="F40" s="68" t="str">
        <x:v>巳申刑支局部关系识别</x:v>
      </x:c>
      <x:c r="G40" s="82" t="str">
        <x:v>识别层</x:v>
      </x:c>
      <x:c r="H40" s="82" t="str">
        <x:v>三刑</x:v>
      </x:c>
      <x:c r="I40" s="68" t="str">
        <x:v>巳、申</x:v>
      </x:c>
      <x:c r="J40" s="82" t="str">
        <x:v>其他</x:v>
      </x:c>
      <x:c r="K40" s="82" t="str">
        <x:v>部分</x:v>
      </x:c>
      <x:c r="L40" s="68" t="str">
        <x:v>关系存在不以月支得令为必要条件；须另记录参与支中谁为月支。</x:v>
      </x:c>
      <x:c r="M40" s="68" t="str">
        <x:v>相关藏干是否透出不影响关系识别；透干信息只供后续效应与旺衰判断。</x:v>
      </x:c>
      <x:c r="N40" s="68" t="str">
        <x:v>同时独立检查巳申刑与巳申破；三种关系可并存。</x:v>
      </x:c>
      <x:c r="O40" s="68" t="str">
        <x:v>四柱地支已按年、月、日、时标准化并保留柱位。</x:v>
      </x:c>
      <x:c r="P40" s="68" t="str">
        <x:v>四柱地支中同时出现巳与申；同组第三支未齐时，标记为寅巳申刑组的局部关系。</x:v>
      </x:c>
      <x:c r="Q40" s="68" t="str">
        <x:v>同组第三支出现时，另列完整三刑；相邻或岁运引动只供后续效应判断。</x:v>
      </x:c>
      <x:c r="R40" s="68" t="str">
        <x:v>两支隔位或同时参与合冲破时，局部刑关系仍保留，效应待判。</x:v>
      </x:c>
      <x:c r="S40" s="90" t="str">
        <x:v>缺少巳或申。</x:v>
      </x:c>
      <x:c r="T40" s="68" t="str">
        <x:v>若寅巳申三支齐全，必须另列完整三刑规则，不能只保留局部标签。</x:v>
      </x:c>
      <x:c r="U40" s="68" t="str">
        <x:v>原局存在巳申刑支关系，属于寅巳申三刑组的部分结构。</x:v>
      </x:c>
      <x:c r="V40" s="68" t="str">
        <x:v>不得直接推出巳或申受伤、减力、刑去，亦不得把部分结构写成完整三刑。</x:v>
      </x:c>
      <x:c r="W40" s="82" t="str">
        <x:v>P1_高</x:v>
      </x:c>
      <x:c r="X40" s="82" t="str">
        <x:v>硬约束</x:v>
      </x:c>
      <x:c r="Y40" s="84" t="str">
        <x:v>巳申刑局部</x:v>
      </x:c>
      <x:c r="Z40" s="84" t="str">
        <x:v>原局见巳、申，识别为寅巳申三刑组的局部刑关系；三支是否齐全及实际效应分别记录。</x:v>
      </x:c>
      <x:c r="AA40" s="82" t="str">
        <x:v>较高</x:v>
      </x:c>
      <x:c r="AB40" s="82" t="str">
        <x:v>现代综合</x:v>
      </x:c>
      <x:c r="AC40" s="68" t="str">
        <x:v>寅巳申三刑可拆为组内局部关系与三支完整结构；两者不能混写。</x:v>
      </x:c>
      <x:c r="AD40" s="68" t="str">
        <x:v>只见巳、申时，登记巳申局部刑关系。</x:v>
      </x:c>
      <x:c r="AE40" s="90" t="str">
        <x:v>只有巳而无申时，不能登记巳申刑。</x:v>
      </x:c>
      <x:c r="AF40" s="68" t="str">
        <x:v>内部结构化规则：识别层与效应层分离；https://zh.wikisource.org/wiki/淵海子平；https://zh.wikisource.org/zh-hans/三命通會_(四庫全書本)</x:v>
      </x:c>
      <x:c r="AG40" s="82" t="str">
        <x:v>采用</x:v>
      </x:c>
      <x:c r="AH40" s="82" t="str">
        <x:v>初审</x:v>
      </x:c>
      <x:c r="AI40" s="87" t="n">
        <x:v>46255</x:v>
      </x:c>
    </x:row>
    <x:row r="41">
      <x:c r="A41" s="72" t="str">
        <x:f>IF(OR(C41="",D41=""),"",B41&amp;"-"&amp;UPPER(C41)&amp;"-"&amp;TEXT(D41,"0000")&amp;"-"&amp;E41)</x:f>
        <x:v>M05-XING-0035-V1.0</x:v>
      </x:c>
      <x:c r="B41" s="74" t="str">
        <x:v>M05</x:v>
      </x:c>
      <x:c r="C41" s="74" t="str">
        <x:v>XING</x:v>
      </x:c>
      <x:c r="D41" s="79" t="n">
        <x:v>35</x:v>
      </x:c>
      <x:c r="E41" s="74" t="str">
        <x:v>V1.0</x:v>
      </x:c>
      <x:c r="F41" s="68" t="str">
        <x:v>寅申刑支局部关系识别</x:v>
      </x:c>
      <x:c r="G41" s="82" t="str">
        <x:v>识别层</x:v>
      </x:c>
      <x:c r="H41" s="82" t="str">
        <x:v>三刑</x:v>
      </x:c>
      <x:c r="I41" s="68" t="str">
        <x:v>寅、申</x:v>
      </x:c>
      <x:c r="J41" s="82" t="str">
        <x:v>其他</x:v>
      </x:c>
      <x:c r="K41" s="82" t="str">
        <x:v>部分</x:v>
      </x:c>
      <x:c r="L41" s="68" t="str">
        <x:v>关系存在不以月支得令为必要条件；须另记录参与支中谁为月支。</x:v>
      </x:c>
      <x:c r="M41" s="68" t="str">
        <x:v>相关藏干是否透出不影响关系识别；透干信息只供后续效应与旺衰判断。</x:v>
      </x:c>
      <x:c r="N41" s="68" t="str">
        <x:v>同时独立检查寅申冲及寅巳申刑组的局部刑关系。</x:v>
      </x:c>
      <x:c r="O41" s="68" t="str">
        <x:v>四柱地支已按年、月、日、时标准化并保留柱位。</x:v>
      </x:c>
      <x:c r="P41" s="68" t="str">
        <x:v>四柱地支中同时出现寅与申；同组第三支未齐时，标记为寅巳申刑组的局部关系。</x:v>
      </x:c>
      <x:c r="Q41" s="68" t="str">
        <x:v>同组第三支出现时，另列完整三刑；相邻或岁运引动只供后续效应判断。</x:v>
      </x:c>
      <x:c r="R41" s="68" t="str">
        <x:v>两支隔位或同时参与合冲破时，局部刑关系仍保留，效应待判。</x:v>
      </x:c>
      <x:c r="S41" s="90" t="str">
        <x:v>缺少寅或申。</x:v>
      </x:c>
      <x:c r="T41" s="68" t="str">
        <x:v>若寅巳申三支齐全，必须另列完整三刑规则，不能只保留局部标签。</x:v>
      </x:c>
      <x:c r="U41" s="68" t="str">
        <x:v>原局存在寅申刑支关系，属于寅巳申三刑组的部分结构。</x:v>
      </x:c>
      <x:c r="V41" s="68" t="str">
        <x:v>不得直接推出寅或申受伤、减力、刑去，亦不得把部分结构写成完整三刑。</x:v>
      </x:c>
      <x:c r="W41" s="82" t="str">
        <x:v>P1_高</x:v>
      </x:c>
      <x:c r="X41" s="82" t="str">
        <x:v>硬约束</x:v>
      </x:c>
      <x:c r="Y41" s="84" t="str">
        <x:v>寅申刑局部</x:v>
      </x:c>
      <x:c r="Z41" s="84" t="str">
        <x:v>原局见寅、申，识别为寅巳申三刑组的局部刑关系；三支是否齐全及实际效应分别记录。</x:v>
      </x:c>
      <x:c r="AA41" s="82" t="str">
        <x:v>较高</x:v>
      </x:c>
      <x:c r="AB41" s="82" t="str">
        <x:v>现代综合</x:v>
      </x:c>
      <x:c r="AC41" s="68" t="str">
        <x:v>寅巳申三刑可拆为组内局部关系与三支完整结构；两者不能混写。</x:v>
      </x:c>
      <x:c r="AD41" s="68" t="str">
        <x:v>只见寅、申时，登记寅申局部刑关系。</x:v>
      </x:c>
      <x:c r="AE41" s="90" t="str">
        <x:v>只有寅而无申时，不能登记寅申刑。</x:v>
      </x:c>
      <x:c r="AF41" s="68" t="str">
        <x:v>内部结构化规则：识别层与效应层分离；https://zh.wikisource.org/wiki/淵海子平；https://zh.wikisource.org/zh-hans/三命通會_(四庫全書本)</x:v>
      </x:c>
      <x:c r="AG41" s="82" t="str">
        <x:v>采用</x:v>
      </x:c>
      <x:c r="AH41" s="82" t="str">
        <x:v>初审</x:v>
      </x:c>
      <x:c r="AI41" s="87" t="n">
        <x:v>46255</x:v>
      </x:c>
    </x:row>
    <x:row r="42">
      <x:c r="A42" s="72" t="str">
        <x:f>IF(OR(C42="",D42=""),"",B42&amp;"-"&amp;UPPER(C42)&amp;"-"&amp;TEXT(D42,"0000")&amp;"-"&amp;E42)</x:f>
        <x:v>M05-XING-0036-V1.0</x:v>
      </x:c>
      <x:c r="B42" s="74" t="str">
        <x:v>M05</x:v>
      </x:c>
      <x:c r="C42" s="74" t="str">
        <x:v>XING</x:v>
      </x:c>
      <x:c r="D42" s="79" t="n">
        <x:v>36</x:v>
      </x:c>
      <x:c r="E42" s="74" t="str">
        <x:v>V1.0</x:v>
      </x:c>
      <x:c r="F42" s="68" t="str">
        <x:v>寅巳申三刑结构完整识别</x:v>
      </x:c>
      <x:c r="G42" s="82" t="str">
        <x:v>识别层</x:v>
      </x:c>
      <x:c r="H42" s="82" t="str">
        <x:v>三刑</x:v>
      </x:c>
      <x:c r="I42" s="68" t="str">
        <x:v>寅、巳、申</x:v>
      </x:c>
      <x:c r="J42" s="82" t="str">
        <x:v>其他</x:v>
      </x:c>
      <x:c r="K42" s="82" t="str">
        <x:v>完整</x:v>
      </x:c>
      <x:c r="L42" s="68" t="str">
        <x:v>分别记录寅、巳、申中谁为月支；月令不影响三支齐全事实。</x:v>
      </x:c>
      <x:c r="M42" s="68" t="str">
        <x:v>相关藏干是否透出不影响关系识别；透干信息只供后续效应与旺衰判断。</x:v>
      </x:c>
      <x:c r="N42" s="68" t="str">
        <x:v>同时独立记录寅申冲、寅巳害、巳申六合与巳申破等重叠关系。</x:v>
      </x:c>
      <x:c r="O42" s="68" t="str">
        <x:v>四柱地支已按年、月、日、时标准化并保留柱位。</x:v>
      </x:c>
      <x:c r="P42" s="68" t="str">
        <x:v>四柱地支中寅、巳、申三支均至少出现一次。</x:v>
      </x:c>
      <x:c r="Q42" s="68" t="str">
        <x:v>相关藏干透出、三支相邻或岁运再引动时，只增强后续作用候选。</x:v>
      </x:c>
      <x:c r="R42" s="68" t="str">
        <x:v>某支同时被强合、三支隔散或另成会局时，效应更复杂，但完整结构仍需记录。</x:v>
      </x:c>
      <x:c r="S42" s="90" t="str">
        <x:v>缺少寅、巳、申中的任一支；重复某一支不能替代缺失支。</x:v>
      </x:c>
      <x:c r="T42" s="68" t="str">
        <x:v>三刑完整只说明关系结构齐全；逐支受力与是否刑伤转M06。</x:v>
      </x:c>
      <x:c r="U42" s="68" t="str">
        <x:v>原局寅巳申三刑结构完整。</x:v>
      </x:c>
      <x:c r="V42" s="68" t="str">
        <x:v>不得直接推出巳火必然减弱、任一支必伤、三支都减力或日主旺衰改变。</x:v>
      </x:c>
      <x:c r="W42" s="82" t="str">
        <x:v>P0_硬约束</x:v>
      </x:c>
      <x:c r="X42" s="82" t="str">
        <x:v>硬约束</x:v>
      </x:c>
      <x:c r="Y42" s="84" t="str">
        <x:v>寅巳申三刑完整</x:v>
      </x:c>
      <x:c r="Z42" s="84" t="str">
        <x:v>原局寅、巳、申齐全，三刑结构完整；各支实际受力须结合月令、根气、透干及叠加关系进入M06逐支判断。</x:v>
      </x:c>
      <x:c r="AA42" s="82" t="str">
        <x:v>确定</x:v>
      </x:c>
      <x:c r="AB42" s="82" t="str">
        <x:v>跨流派共识</x:v>
      </x:c>
      <x:c r="AC42" s="68" t="str">
        <x:v>完整性是客观识别；三支的力量结果不能从“三刑”名称直接推出。</x:v>
      </x:c>
      <x:c r="AD42" s="68" t="str">
        <x:v>四支中同时见寅、巳、申，登记完整三刑。</x:v>
      </x:c>
      <x:c r="AE42" s="90" t="str">
        <x:v>仅见寅、巳时，只能登记局部刑，不能写原局完整三刑。</x:v>
      </x:c>
      <x:c r="AF42" s="68" t="str">
        <x:v>内部结构化规则：识别层与效应层分离；https://zh.wikisource.org/wiki/淵海子平；https://zh.wikisource.org/zh-hans/三命通會_(四庫全書本)</x:v>
      </x:c>
      <x:c r="AG42" s="82" t="str">
        <x:v>采用</x:v>
      </x:c>
      <x:c r="AH42" s="82" t="str">
        <x:v>初审</x:v>
      </x:c>
      <x:c r="AI42" s="87" t="n">
        <x:v>46255</x:v>
      </x:c>
    </x:row>
    <x:row r="43">
      <x:c r="A43" s="72" t="str">
        <x:f>IF(OR(C43="",D43=""),"",B43&amp;"-"&amp;UPPER(C43)&amp;"-"&amp;TEXT(D43,"0000")&amp;"-"&amp;E43)</x:f>
        <x:v>M05-XING-0037-V1.0</x:v>
      </x:c>
      <x:c r="B43" s="74" t="str">
        <x:v>M05</x:v>
      </x:c>
      <x:c r="C43" s="74" t="str">
        <x:v>XING</x:v>
      </x:c>
      <x:c r="D43" s="79" t="n">
        <x:v>37</x:v>
      </x:c>
      <x:c r="E43" s="74" t="str">
        <x:v>V1.0</x:v>
      </x:c>
      <x:c r="F43" s="68" t="str">
        <x:v>丑戌刑支局部关系识别</x:v>
      </x:c>
      <x:c r="G43" s="82" t="str">
        <x:v>识别层</x:v>
      </x:c>
      <x:c r="H43" s="82" t="str">
        <x:v>三刑</x:v>
      </x:c>
      <x:c r="I43" s="68" t="str">
        <x:v>丑、戌</x:v>
      </x:c>
      <x:c r="J43" s="82" t="str">
        <x:v>其他</x:v>
      </x:c>
      <x:c r="K43" s="82" t="str">
        <x:v>部分</x:v>
      </x:c>
      <x:c r="L43" s="68" t="str">
        <x:v>关系存在不以月支得令为必要条件；须另记录参与支中谁为月支。</x:v>
      </x:c>
      <x:c r="M43" s="68" t="str">
        <x:v>相关藏干是否透出不影响关系识别；透干信息只供后续效应与旺衰判断。</x:v>
      </x:c>
      <x:c r="N43" s="68" t="str">
        <x:v>检查同组第三支及其他冲合害破关系。</x:v>
      </x:c>
      <x:c r="O43" s="68" t="str">
        <x:v>四柱地支已按年、月、日、时标准化并保留柱位。</x:v>
      </x:c>
      <x:c r="P43" s="68" t="str">
        <x:v>四柱地支中同时出现丑与戌；同组第三支未齐时，标记为丑未戌刑组的局部关系。</x:v>
      </x:c>
      <x:c r="Q43" s="68" t="str">
        <x:v>同组第三支出现时，另列完整三刑；相邻或岁运引动只供后续效应判断。</x:v>
      </x:c>
      <x:c r="R43" s="68" t="str">
        <x:v>两支隔位或同时参与合冲破时，局部刑关系仍保留，效应待判。</x:v>
      </x:c>
      <x:c r="S43" s="90" t="str">
        <x:v>缺少丑或戌。</x:v>
      </x:c>
      <x:c r="T43" s="68" t="str">
        <x:v>若丑未戌三支齐全，必须另列完整三刑规则，不能只保留局部标签。</x:v>
      </x:c>
      <x:c r="U43" s="68" t="str">
        <x:v>原局存在丑戌刑支关系，属于丑未戌三刑组的部分结构。</x:v>
      </x:c>
      <x:c r="V43" s="68" t="str">
        <x:v>不得直接推出丑或戌受伤、减力、开库或刑去，亦不得把部分结构写成完整三刑。</x:v>
      </x:c>
      <x:c r="W43" s="82" t="str">
        <x:v>P1_高</x:v>
      </x:c>
      <x:c r="X43" s="82" t="str">
        <x:v>硬约束</x:v>
      </x:c>
      <x:c r="Y43" s="84" t="str">
        <x:v>丑戌刑局部</x:v>
      </x:c>
      <x:c r="Z43" s="84" t="str">
        <x:v>原局见丑、戌，识别为丑未戌三刑组的局部刑关系；三支是否齐全及实际效应分别记录。</x:v>
      </x:c>
      <x:c r="AA43" s="82" t="str">
        <x:v>较高</x:v>
      </x:c>
      <x:c r="AB43" s="82" t="str">
        <x:v>现代综合</x:v>
      </x:c>
      <x:c r="AC43" s="68" t="str">
        <x:v>丑未戌三刑可拆为组内局部关系与三支完整结构；土支效应尤其不能用固定减力替代。</x:v>
      </x:c>
      <x:c r="AD43" s="68" t="str">
        <x:v>只见丑、戌时，登记丑戌局部刑关系。</x:v>
      </x:c>
      <x:c r="AE43" s="90" t="str">
        <x:v>只有丑而无戌时，不能登记丑戌刑。</x:v>
      </x:c>
      <x:c r="AF43" s="68" t="str">
        <x:v>内部结构化规则：识别层与效应层分离；https://zh.wikisource.org/wiki/淵海子平；https://zh.wikisource.org/zh-hans/三命通會_(四庫全書本)</x:v>
      </x:c>
      <x:c r="AG43" s="82" t="str">
        <x:v>采用</x:v>
      </x:c>
      <x:c r="AH43" s="82" t="str">
        <x:v>初审</x:v>
      </x:c>
      <x:c r="AI43" s="87" t="n">
        <x:v>46255</x:v>
      </x:c>
    </x:row>
    <x:row r="44">
      <x:c r="A44" s="72" t="str">
        <x:f>IF(OR(C44="",D44=""),"",B44&amp;"-"&amp;UPPER(C44)&amp;"-"&amp;TEXT(D44,"0000")&amp;"-"&amp;E44)</x:f>
        <x:v>M05-XING-0038-V1.0</x:v>
      </x:c>
      <x:c r="B44" s="74" t="str">
        <x:v>M05</x:v>
      </x:c>
      <x:c r="C44" s="74" t="str">
        <x:v>XING</x:v>
      </x:c>
      <x:c r="D44" s="79" t="n">
        <x:v>38</x:v>
      </x:c>
      <x:c r="E44" s="74" t="str">
        <x:v>V1.0</x:v>
      </x:c>
      <x:c r="F44" s="68" t="str">
        <x:v>未戌刑支局部关系识别</x:v>
      </x:c>
      <x:c r="G44" s="82" t="str">
        <x:v>识别层</x:v>
      </x:c>
      <x:c r="H44" s="82" t="str">
        <x:v>三刑</x:v>
      </x:c>
      <x:c r="I44" s="68" t="str">
        <x:v>戌、未</x:v>
      </x:c>
      <x:c r="J44" s="82" t="str">
        <x:v>其他</x:v>
      </x:c>
      <x:c r="K44" s="82" t="str">
        <x:v>部分</x:v>
      </x:c>
      <x:c r="L44" s="68" t="str">
        <x:v>关系存在不以月支得令为必要条件；须另记录参与支中谁为月支。</x:v>
      </x:c>
      <x:c r="M44" s="68" t="str">
        <x:v>相关藏干是否透出不影响关系识别；透干信息只供后续效应与旺衰判断。</x:v>
      </x:c>
      <x:c r="N44" s="68" t="str">
        <x:v>同时独立检查未戌破及丑未戌刑组的局部刑关系。</x:v>
      </x:c>
      <x:c r="O44" s="68" t="str">
        <x:v>四柱地支已按年、月、日、时标准化并保留柱位。</x:v>
      </x:c>
      <x:c r="P44" s="68" t="str">
        <x:v>四柱地支中同时出现戌与未；同组第三支未齐时，标记为丑未戌刑组的局部关系。</x:v>
      </x:c>
      <x:c r="Q44" s="68" t="str">
        <x:v>同组第三支出现时，另列完整三刑；相邻或岁运引动只供后续效应判断。</x:v>
      </x:c>
      <x:c r="R44" s="68" t="str">
        <x:v>两支隔位或同时参与合冲破时，局部刑关系仍保留，效应待判。</x:v>
      </x:c>
      <x:c r="S44" s="90" t="str">
        <x:v>缺少戌或未。</x:v>
      </x:c>
      <x:c r="T44" s="68" t="str">
        <x:v>若丑未戌三支齐全，必须另列完整三刑规则，不能只保留局部标签。</x:v>
      </x:c>
      <x:c r="U44" s="68" t="str">
        <x:v>原局存在未戌刑支关系，属于丑未戌三刑组的部分结构。</x:v>
      </x:c>
      <x:c r="V44" s="68" t="str">
        <x:v>不得直接推出戌或未受伤、减力、开库或刑去，亦不得把部分结构写成完整三刑。</x:v>
      </x:c>
      <x:c r="W44" s="82" t="str">
        <x:v>P1_高</x:v>
      </x:c>
      <x:c r="X44" s="82" t="str">
        <x:v>硬约束</x:v>
      </x:c>
      <x:c r="Y44" s="84" t="str">
        <x:v>未戌刑局部</x:v>
      </x:c>
      <x:c r="Z44" s="84" t="str">
        <x:v>原局见戌、未，识别为丑未戌三刑组的局部刑关系；三支是否齐全及实际效应分别记录。</x:v>
      </x:c>
      <x:c r="AA44" s="82" t="str">
        <x:v>较高</x:v>
      </x:c>
      <x:c r="AB44" s="82" t="str">
        <x:v>现代综合</x:v>
      </x:c>
      <x:c r="AC44" s="68" t="str">
        <x:v>丑未戌三刑可拆为组内局部关系与三支完整结构；土支效应尤其不能用固定减力替代。</x:v>
      </x:c>
      <x:c r="AD44" s="68" t="str">
        <x:v>只见戌、未时，登记未戌局部刑关系。</x:v>
      </x:c>
      <x:c r="AE44" s="90" t="str">
        <x:v>只有戌而无未时，不能登记未戌刑。</x:v>
      </x:c>
      <x:c r="AF44" s="68" t="str">
        <x:v>内部结构化规则：识别层与效应层分离；https://zh.wikisource.org/wiki/淵海子平；https://zh.wikisource.org/zh-hans/三命通會_(四庫全書本)</x:v>
      </x:c>
      <x:c r="AG44" s="82" t="str">
        <x:v>采用</x:v>
      </x:c>
      <x:c r="AH44" s="82" t="str">
        <x:v>初审</x:v>
      </x:c>
      <x:c r="AI44" s="87" t="n">
        <x:v>46255</x:v>
      </x:c>
    </x:row>
    <x:row r="45">
      <x:c r="A45" s="72" t="str">
        <x:f>IF(OR(C45="",D45=""),"",B45&amp;"-"&amp;UPPER(C45)&amp;"-"&amp;TEXT(D45,"0000")&amp;"-"&amp;E45)</x:f>
        <x:v>M05-XING-0039-V1.0</x:v>
      </x:c>
      <x:c r="B45" s="74" t="str">
        <x:v>M05</x:v>
      </x:c>
      <x:c r="C45" s="74" t="str">
        <x:v>XING</x:v>
      </x:c>
      <x:c r="D45" s="79" t="n">
        <x:v>39</x:v>
      </x:c>
      <x:c r="E45" s="74" t="str">
        <x:v>V1.0</x:v>
      </x:c>
      <x:c r="F45" s="68" t="str">
        <x:v>丑未刑支局部关系识别</x:v>
      </x:c>
      <x:c r="G45" s="82" t="str">
        <x:v>识别层</x:v>
      </x:c>
      <x:c r="H45" s="82" t="str">
        <x:v>三刑</x:v>
      </x:c>
      <x:c r="I45" s="68" t="str">
        <x:v>丑、未</x:v>
      </x:c>
      <x:c r="J45" s="82" t="str">
        <x:v>其他</x:v>
      </x:c>
      <x:c r="K45" s="82" t="str">
        <x:v>部分</x:v>
      </x:c>
      <x:c r="L45" s="68" t="str">
        <x:v>关系存在不以月支得令为必要条件；须另记录参与支中谁为月支。</x:v>
      </x:c>
      <x:c r="M45" s="68" t="str">
        <x:v>相关藏干是否透出不影响关系识别；透干信息只供后续效应与旺衰判断。</x:v>
      </x:c>
      <x:c r="N45" s="68" t="str">
        <x:v>同时独立检查丑未冲及丑未戌刑组的局部刑关系。</x:v>
      </x:c>
      <x:c r="O45" s="68" t="str">
        <x:v>四柱地支已按年、月、日、时标准化并保留柱位。</x:v>
      </x:c>
      <x:c r="P45" s="68" t="str">
        <x:v>四柱地支中同时出现丑与未；同组第三支未齐时，标记为丑未戌刑组的局部关系。</x:v>
      </x:c>
      <x:c r="Q45" s="68" t="str">
        <x:v>同组第三支出现时，另列完整三刑；相邻或岁运引动只供后续效应判断。</x:v>
      </x:c>
      <x:c r="R45" s="68" t="str">
        <x:v>两支隔位或同时参与合冲破时，局部刑关系仍保留，效应待判。</x:v>
      </x:c>
      <x:c r="S45" s="90" t="str">
        <x:v>缺少丑或未。</x:v>
      </x:c>
      <x:c r="T45" s="68" t="str">
        <x:v>若丑未戌三支齐全，必须另列完整三刑规则，不能只保留局部标签。</x:v>
      </x:c>
      <x:c r="U45" s="68" t="str">
        <x:v>原局存在丑未刑支关系，属于丑未戌三刑组的部分结构。</x:v>
      </x:c>
      <x:c r="V45" s="68" t="str">
        <x:v>不得直接推出丑或未受伤、减力、开库或刑去，亦不得把部分结构写成完整三刑。</x:v>
      </x:c>
      <x:c r="W45" s="82" t="str">
        <x:v>P1_高</x:v>
      </x:c>
      <x:c r="X45" s="82" t="str">
        <x:v>硬约束</x:v>
      </x:c>
      <x:c r="Y45" s="84" t="str">
        <x:v>丑未刑局部</x:v>
      </x:c>
      <x:c r="Z45" s="84" t="str">
        <x:v>原局见丑、未，识别为丑未戌三刑组的局部刑关系；三支是否齐全及实际效应分别记录。</x:v>
      </x:c>
      <x:c r="AA45" s="82" t="str">
        <x:v>较高</x:v>
      </x:c>
      <x:c r="AB45" s="82" t="str">
        <x:v>现代综合</x:v>
      </x:c>
      <x:c r="AC45" s="68" t="str">
        <x:v>丑未戌三刑可拆为组内局部关系与三支完整结构；土支效应尤其不能用固定减力替代。</x:v>
      </x:c>
      <x:c r="AD45" s="68" t="str">
        <x:v>只见丑、未时，登记丑未局部刑关系。</x:v>
      </x:c>
      <x:c r="AE45" s="90" t="str">
        <x:v>只有丑而无未时，不能登记丑未刑。</x:v>
      </x:c>
      <x:c r="AF45" s="68" t="str">
        <x:v>内部结构化规则：识别层与效应层分离；https://zh.wikisource.org/wiki/淵海子平；https://zh.wikisource.org/zh-hans/三命通會_(四庫全書本)</x:v>
      </x:c>
      <x:c r="AG45" s="82" t="str">
        <x:v>采用</x:v>
      </x:c>
      <x:c r="AH45" s="82" t="str">
        <x:v>初审</x:v>
      </x:c>
      <x:c r="AI45" s="87" t="n">
        <x:v>46255</x:v>
      </x:c>
    </x:row>
    <x:row r="46">
      <x:c r="A46" s="72" t="str">
        <x:f>IF(OR(C46="",D46=""),"",B46&amp;"-"&amp;UPPER(C46)&amp;"-"&amp;TEXT(D46,"0000")&amp;"-"&amp;E46)</x:f>
        <x:v>M05-XING-0040-V1.0</x:v>
      </x:c>
      <x:c r="B46" s="74" t="str">
        <x:v>M05</x:v>
      </x:c>
      <x:c r="C46" s="74" t="str">
        <x:v>XING</x:v>
      </x:c>
      <x:c r="D46" s="79" t="n">
        <x:v>40</x:v>
      </x:c>
      <x:c r="E46" s="74" t="str">
        <x:v>V1.0</x:v>
      </x:c>
      <x:c r="F46" s="68" t="str">
        <x:v>丑未戌三刑结构完整识别</x:v>
      </x:c>
      <x:c r="G46" s="82" t="str">
        <x:v>识别层</x:v>
      </x:c>
      <x:c r="H46" s="82" t="str">
        <x:v>三刑</x:v>
      </x:c>
      <x:c r="I46" s="68" t="str">
        <x:v>丑、未、戌</x:v>
      </x:c>
      <x:c r="J46" s="82" t="str">
        <x:v>其他</x:v>
      </x:c>
      <x:c r="K46" s="82" t="str">
        <x:v>完整</x:v>
      </x:c>
      <x:c r="L46" s="68" t="str">
        <x:v>分别记录丑、未、戌中谁为月支；月令不影响三支齐全事实。</x:v>
      </x:c>
      <x:c r="M46" s="68" t="str">
        <x:v>相关藏干是否透出不影响关系识别；透干信息只供后续效应与旺衰判断。</x:v>
      </x:c>
      <x:c r="N46" s="68" t="str">
        <x:v>同时独立记录丑未冲、未戌破及三土支与其他支的合冲害破。</x:v>
      </x:c>
      <x:c r="O46" s="68" t="str">
        <x:v>四柱地支已按年、月、日、时标准化并保留柱位。</x:v>
      </x:c>
      <x:c r="P46" s="68" t="str">
        <x:v>四柱地支中丑、未、戌三支均至少出现一次。</x:v>
      </x:c>
      <x:c r="Q46" s="68" t="str">
        <x:v>相关藏干透出、三支相邻或岁运再引动时，只增强后续作用候选。</x:v>
      </x:c>
      <x:c r="R46" s="68" t="str">
        <x:v>某支同时被强合、三支隔散或另成会局时，效应更复杂，但完整结构仍需记录。</x:v>
      </x:c>
      <x:c r="S46" s="90" t="str">
        <x:v>缺少丑、未、戌中的任一支；重复某一支不能替代缺失支。</x:v>
      </x:c>
      <x:c r="T46" s="68" t="str">
        <x:v>三刑完整只说明关系结构齐全；土气增减、开库与逐支受力转M06。</x:v>
      </x:c>
      <x:c r="U46" s="68" t="str">
        <x:v>原局丑未戌三刑结构完整。</x:v>
      </x:c>
      <x:c r="V46" s="68" t="str">
        <x:v>不得直接推出三土皆弱、三土皆旺、必然开库、任一支必伤或日主旺衰改变。</x:v>
      </x:c>
      <x:c r="W46" s="82" t="str">
        <x:v>P0_硬约束</x:v>
      </x:c>
      <x:c r="X46" s="82" t="str">
        <x:v>硬约束</x:v>
      </x:c>
      <x:c r="Y46" s="84" t="str">
        <x:v>丑未戌三刑完整</x:v>
      </x:c>
      <x:c r="Z46" s="84" t="str">
        <x:v>原局丑、未、戌齐全，三刑结构完整；各支实际效应须结合月令、藏干、透干及叠加关系进入M06逐支判断。</x:v>
      </x:c>
      <x:c r="AA46" s="82" t="str">
        <x:v>确定</x:v>
      </x:c>
      <x:c r="AB46" s="82" t="str">
        <x:v>跨流派共识</x:v>
      </x:c>
      <x:c r="AC46" s="68" t="str">
        <x:v>完整性与效应分离；土支刑的增减、开库与湿燥变化均需条件判断。</x:v>
      </x:c>
      <x:c r="AD46" s="68" t="str">
        <x:v>四支中同时见丑、未、戌，登记完整三刑。</x:v>
      </x:c>
      <x:c r="AE46" s="90" t="str">
        <x:v>仅见丑、未时，只能登记局部刑并同时记录丑未冲。</x:v>
      </x:c>
      <x:c r="AF46" s="68" t="str">
        <x:v>内部结构化规则：识别层与效应层分离；https://zh.wikisource.org/wiki/淵海子平；https://zh.wikisource.org/zh-hans/三命通會_(四庫全書本)</x:v>
      </x:c>
      <x:c r="AG46" s="82" t="str">
        <x:v>采用</x:v>
      </x:c>
      <x:c r="AH46" s="82" t="str">
        <x:v>初审</x:v>
      </x:c>
      <x:c r="AI46" s="87" t="n">
        <x:v>46255</x:v>
      </x:c>
    </x:row>
    <x:row r="47">
      <x:c r="A47" s="72" t="str">
        <x:f>IF(OR(C47="",D47=""),"",B47&amp;"-"&amp;UPPER(C47)&amp;"-"&amp;TEXT(D47,"0000")&amp;"-"&amp;E47)</x:f>
        <x:v>M05-XING-0041-V1.0</x:v>
      </x:c>
      <x:c r="B47" s="74" t="str">
        <x:v>M05</x:v>
      </x:c>
      <x:c r="C47" s="74" t="str">
        <x:v>XING</x:v>
      </x:c>
      <x:c r="D47" s="79" t="n">
        <x:v>41</x:v>
      </x:c>
      <x:c r="E47" s="74" t="str">
        <x:v>V1.0</x:v>
      </x:c>
      <x:c r="F47" s="68" t="str">
        <x:v>子卯刑关系识别</x:v>
      </x:c>
      <x:c r="G47" s="82" t="str">
        <x:v>识别层</x:v>
      </x:c>
      <x:c r="H47" s="82" t="str">
        <x:v>三刑</x:v>
      </x:c>
      <x:c r="I47" s="68" t="str">
        <x:v>子、卯</x:v>
      </x:c>
      <x:c r="J47" s="82" t="str">
        <x:v>其他</x:v>
      </x:c>
      <x:c r="K47" s="82" t="str">
        <x:v>完整</x:v>
      </x:c>
      <x:c r="L47" s="68" t="str">
        <x:v>关系存在不以月支得令为必要条件；须另记录参与支中谁为月支。</x:v>
      </x:c>
      <x:c r="M47" s="68" t="str">
        <x:v>相关藏干是否透出不影响关系识别；透干信息只供后续效应与旺衰判断。</x:v>
      </x:c>
      <x:c r="N47" s="68" t="str">
        <x:v>检查子、卯是否分别参与三合、三会、六合、冲害破等其他关系。</x:v>
      </x:c>
      <x:c r="O47" s="68" t="str">
        <x:v>四柱地支已按年、月、日、时标准化并保留柱位。</x:v>
      </x:c>
      <x:c r="P47" s="68" t="str">
        <x:v>四柱地支中同时出现子与卯。</x:v>
      </x:c>
      <x:c r="Q47" s="68" t="str">
        <x:v>两支相邻或岁运再引动时，只增强后续刑效应候选。</x:v>
      </x:c>
      <x:c r="R47" s="68" t="str">
        <x:v>两支隔位或其中一支同时被合时，实际效应更复杂，不否定关系存在。</x:v>
      </x:c>
      <x:c r="S47" s="90" t="str">
        <x:v>缺少子或卯。</x:v>
      </x:c>
      <x:c r="T47" s="68" t="str">
        <x:v>子卯刑为两支即可识别的刑关系；是否刑伤、谁受力更重转M06。</x:v>
      </x:c>
      <x:c r="U47" s="68" t="str">
        <x:v>原局存在子卯刑关系。</x:v>
      </x:c>
      <x:c r="V47" s="68" t="str">
        <x:v>不得直接推出子水或卯木必弱、品行象义、事件结果或吉凶。</x:v>
      </x:c>
      <x:c r="W47" s="82" t="str">
        <x:v>P0_硬约束</x:v>
      </x:c>
      <x:c r="X47" s="82" t="str">
        <x:v>硬约束</x:v>
      </x:c>
      <x:c r="Y47" s="84" t="str">
        <x:v>子卯刑</x:v>
      </x:c>
      <x:c r="Z47" s="84" t="str">
        <x:v>地支见子、卯，识别为子卯刑；实际作用与力量结果转M06判断。</x:v>
      </x:c>
      <x:c r="AA47" s="82" t="str">
        <x:v>较高</x:v>
      </x:c>
      <x:c r="AB47" s="82" t="str">
        <x:v>跨流派共识</x:v>
      </x:c>
      <x:c r="AC47" s="68" t="str">
        <x:v>子卯为传统刑关系之一；关系名称不等同于固定吉凶象义。</x:v>
      </x:c>
      <x:c r="AD47" s="68" t="str">
        <x:v>月支子、日支卯，登记子卯刑。</x:v>
      </x:c>
      <x:c r="AE47" s="90" t="str">
        <x:v>只见子而不见卯，不能登记子卯刑。</x:v>
      </x:c>
      <x:c r="AF47" s="68" t="str">
        <x:v>https://zh.wikisource.org/wiki/淵海子平；https://zh.wikisource.org/zh-hans/三命通會_(四庫全書本)</x:v>
      </x:c>
      <x:c r="AG47" s="82" t="str">
        <x:v>采用</x:v>
      </x:c>
      <x:c r="AH47" s="82" t="str">
        <x:v>初审</x:v>
      </x:c>
      <x:c r="AI47" s="87" t="n">
        <x:v>46255</x:v>
      </x:c>
    </x:row>
    <x:row r="48">
      <x:c r="A48" s="72" t="str">
        <x:f>IF(OR(C48="",D48=""),"",B48&amp;"-"&amp;UPPER(C48)&amp;"-"&amp;TEXT(D48,"0000")&amp;"-"&amp;E48)</x:f>
        <x:v>M05-ZIXING-0042-V1.0</x:v>
      </x:c>
      <x:c r="B48" s="74" t="str">
        <x:v>M05</x:v>
      </x:c>
      <x:c r="C48" s="74" t="str">
        <x:v>ZIXING</x:v>
      </x:c>
      <x:c r="D48" s="79" t="n">
        <x:v>42</x:v>
      </x:c>
      <x:c r="E48" s="74" t="str">
        <x:v>V1.0</x:v>
      </x:c>
      <x:c r="F48" s="68" t="str">
        <x:v>辰辰自刑识别</x:v>
      </x:c>
      <x:c r="G48" s="82" t="str">
        <x:v>识别层</x:v>
      </x:c>
      <x:c r="H48" s="82" t="str">
        <x:v>自刑</x:v>
      </x:c>
      <x:c r="I48" s="68" t="str">
        <x:v>辰、辰</x:v>
      </x:c>
      <x:c r="J48" s="82" t="str">
        <x:v>其他</x:v>
      </x:c>
      <x:c r="K48" s="82" t="str">
        <x:v>完整</x:v>
      </x:c>
      <x:c r="L48" s="68" t="str">
        <x:v>记录重复辰中是否有一支为月支；月令不决定重复关系存在。</x:v>
      </x:c>
      <x:c r="M48" s="68" t="str">
        <x:v>辰中藏干是否透出不影响重复支与自刑候选的识别。</x:v>
      </x:c>
      <x:c r="N48" s="68" t="str">
        <x:v>两个或以上辰还须分别检查与其他支的合冲刑害破关系。</x:v>
      </x:c>
      <x:c r="O48" s="68" t="str">
        <x:v>四柱地支已按年、月、日、时标准化并保留柱位。</x:v>
      </x:c>
      <x:c r="P48" s="68" t="str">
        <x:v>四柱地支中辰至少出现两次，并按不同柱位保留独立节点。</x:v>
      </x:c>
      <x:c r="Q48" s="68" t="str">
        <x:v>重复支相邻或岁运再增一支时，只增强后续自刑效应候选。</x:v>
      </x:c>
      <x:c r="R48" s="68" t="str">
        <x:v>重复支隔位或其中一支参与其他强关系时，效应更不确定。</x:v>
      </x:c>
      <x:c r="S48" s="90" t="str">
        <x:v>原局只有一个辰；单支不能在原局静态层独自构成重复自刑结构。</x:v>
      </x:c>
      <x:c r="T48" s="68" t="str">
        <x:v>部分流派对自刑的启动条件和岁运引动要求不同；本库先以原局至少两支同见作为可计算识别标准。</x:v>
      </x:c>
      <x:c r="U48" s="68" t="str">
        <x:v>原局存在辰辰自刑候选。</x:v>
      </x:c>
      <x:c r="V48" s="68" t="str">
        <x:v>不得直接推出辰必伤、必减力、心理或事件象义；具体效应转M06。</x:v>
      </x:c>
      <x:c r="W48" s="82" t="str">
        <x:v>P1_高</x:v>
      </x:c>
      <x:c r="X48" s="82" t="str">
        <x:v>辅助证据</x:v>
      </x:c>
      <x:c r="Y48" s="84" t="str">
        <x:v>辰辰自刑</x:v>
      </x:c>
      <x:c r="Z48" s="84" t="str">
        <x:v>原局辰支重复至少两次，识别为辰辰自刑候选；效应强弱与流派差异转M06、M21。</x:v>
      </x:c>
      <x:c r="AA48" s="82" t="str">
        <x:v>中等</x:v>
      </x:c>
      <x:c r="AB48" s="82" t="str">
        <x:v>现代综合</x:v>
      </x:c>
      <x:c r="AC48" s="68" t="str">
        <x:v>自刑以同一自刑支重复出现为结构基础；具体启动和作用强度存在流派差异。</x:v>
      </x:c>
      <x:c r="AD48" s="68" t="str">
        <x:v>年支辰、时支辰，识别辰辰自刑候选。</x:v>
      </x:c>
      <x:c r="AE48" s="90" t="str">
        <x:v>原局仅有一个辰，不在M05直接标原局辰辰自刑成立。</x:v>
      </x:c>
      <x:c r="AF48" s="68" t="str">
        <x:v>内部结构化规则：识别层与效应层分离；https://zh.wikisource.org/wiki/淵海子平；https://zh.wikisource.org/zh-hans/三命通會_(四庫全書本)</x:v>
      </x:c>
      <x:c r="AG48" s="82" t="str">
        <x:v>待验证</x:v>
      </x:c>
      <x:c r="AH48" s="82" t="str">
        <x:v>初审</x:v>
      </x:c>
      <x:c r="AI48" s="87" t="n">
        <x:v>46255</x:v>
      </x:c>
    </x:row>
    <x:row r="49">
      <x:c r="A49" s="72" t="str">
        <x:f>IF(OR(C49="",D49=""),"",B49&amp;"-"&amp;UPPER(C49)&amp;"-"&amp;TEXT(D49,"0000")&amp;"-"&amp;E49)</x:f>
        <x:v>M05-ZIXING-0043-V1.0</x:v>
      </x:c>
      <x:c r="B49" s="74" t="str">
        <x:v>M05</x:v>
      </x:c>
      <x:c r="C49" s="74" t="str">
        <x:v>ZIXING</x:v>
      </x:c>
      <x:c r="D49" s="79" t="n">
        <x:v>43</x:v>
      </x:c>
      <x:c r="E49" s="74" t="str">
        <x:v>V1.0</x:v>
      </x:c>
      <x:c r="F49" s="68" t="str">
        <x:v>午午自刑识别</x:v>
      </x:c>
      <x:c r="G49" s="82" t="str">
        <x:v>识别层</x:v>
      </x:c>
      <x:c r="H49" s="82" t="str">
        <x:v>自刑</x:v>
      </x:c>
      <x:c r="I49" s="68" t="str">
        <x:v>午、午</x:v>
      </x:c>
      <x:c r="J49" s="82" t="str">
        <x:v>其他</x:v>
      </x:c>
      <x:c r="K49" s="82" t="str">
        <x:v>完整</x:v>
      </x:c>
      <x:c r="L49" s="68" t="str">
        <x:v>记录重复午中是否有一支为月支；月令不决定重复关系存在。</x:v>
      </x:c>
      <x:c r="M49" s="68" t="str">
        <x:v>午中藏干是否透出不影响重复支与自刑候选的识别。</x:v>
      </x:c>
      <x:c r="N49" s="68" t="str">
        <x:v>两个或以上午还须分别检查与其他支的合冲刑害破关系。</x:v>
      </x:c>
      <x:c r="O49" s="68" t="str">
        <x:v>四柱地支已按年、月、日、时标准化并保留柱位。</x:v>
      </x:c>
      <x:c r="P49" s="68" t="str">
        <x:v>四柱地支中午至少出现两次，并按不同柱位保留独立节点。</x:v>
      </x:c>
      <x:c r="Q49" s="68" t="str">
        <x:v>重复支相邻或岁运再增一支时，只增强后续自刑效应候选。</x:v>
      </x:c>
      <x:c r="R49" s="68" t="str">
        <x:v>重复支隔位或其中一支参与其他强关系时，效应更不确定。</x:v>
      </x:c>
      <x:c r="S49" s="90" t="str">
        <x:v>原局只有一个午；单支不能在原局静态层独自构成重复自刑结构。</x:v>
      </x:c>
      <x:c r="T49" s="68" t="str">
        <x:v>部分流派对自刑的启动条件和岁运引动要求不同；本库先以原局至少两支同见作为可计算识别标准。</x:v>
      </x:c>
      <x:c r="U49" s="68" t="str">
        <x:v>原局存在午午自刑候选。</x:v>
      </x:c>
      <x:c r="V49" s="68" t="str">
        <x:v>不得直接推出午必伤、必减力、心理或事件象义；具体效应转M06。</x:v>
      </x:c>
      <x:c r="W49" s="82" t="str">
        <x:v>P1_高</x:v>
      </x:c>
      <x:c r="X49" s="82" t="str">
        <x:v>辅助证据</x:v>
      </x:c>
      <x:c r="Y49" s="84" t="str">
        <x:v>午午自刑</x:v>
      </x:c>
      <x:c r="Z49" s="84" t="str">
        <x:v>原局午支重复至少两次，识别为午午自刑候选；效应强弱与流派差异转M06、M21。</x:v>
      </x:c>
      <x:c r="AA49" s="82" t="str">
        <x:v>中等</x:v>
      </x:c>
      <x:c r="AB49" s="82" t="str">
        <x:v>现代综合</x:v>
      </x:c>
      <x:c r="AC49" s="68" t="str">
        <x:v>自刑以同一自刑支重复出现为结构基础；具体启动和作用强度存在流派差异。</x:v>
      </x:c>
      <x:c r="AD49" s="68" t="str">
        <x:v>年支午、时支午，识别午午自刑候选。</x:v>
      </x:c>
      <x:c r="AE49" s="90" t="str">
        <x:v>原局仅有一个午，不在M05直接标原局午午自刑成立。</x:v>
      </x:c>
      <x:c r="AF49" s="68" t="str">
        <x:v>内部结构化规则：识别层与效应层分离；https://zh.wikisource.org/wiki/淵海子平；https://zh.wikisource.org/zh-hans/三命通會_(四庫全書本)</x:v>
      </x:c>
      <x:c r="AG49" s="82" t="str">
        <x:v>待验证</x:v>
      </x:c>
      <x:c r="AH49" s="82" t="str">
        <x:v>初审</x:v>
      </x:c>
      <x:c r="AI49" s="87" t="n">
        <x:v>46255</x:v>
      </x:c>
    </x:row>
    <x:row r="50">
      <x:c r="A50" s="72" t="str">
        <x:f>IF(OR(C50="",D50=""),"",B50&amp;"-"&amp;UPPER(C50)&amp;"-"&amp;TEXT(D50,"0000")&amp;"-"&amp;E50)</x:f>
        <x:v>M05-ZIXING-0044-V1.0</x:v>
      </x:c>
      <x:c r="B50" s="74" t="str">
        <x:v>M05</x:v>
      </x:c>
      <x:c r="C50" s="74" t="str">
        <x:v>ZIXING</x:v>
      </x:c>
      <x:c r="D50" s="79" t="n">
        <x:v>44</x:v>
      </x:c>
      <x:c r="E50" s="74" t="str">
        <x:v>V1.0</x:v>
      </x:c>
      <x:c r="F50" s="68" t="str">
        <x:v>酉酉自刑识别</x:v>
      </x:c>
      <x:c r="G50" s="82" t="str">
        <x:v>识别层</x:v>
      </x:c>
      <x:c r="H50" s="82" t="str">
        <x:v>自刑</x:v>
      </x:c>
      <x:c r="I50" s="68" t="str">
        <x:v>酉、酉</x:v>
      </x:c>
      <x:c r="J50" s="82" t="str">
        <x:v>其他</x:v>
      </x:c>
      <x:c r="K50" s="82" t="str">
        <x:v>完整</x:v>
      </x:c>
      <x:c r="L50" s="68" t="str">
        <x:v>记录重复酉中是否有一支为月支；月令不决定重复关系存在。</x:v>
      </x:c>
      <x:c r="M50" s="68" t="str">
        <x:v>酉中藏干是否透出不影响重复支与自刑候选的识别。</x:v>
      </x:c>
      <x:c r="N50" s="68" t="str">
        <x:v>两个或以上酉还须分别检查与其他支的合冲刑害破关系。</x:v>
      </x:c>
      <x:c r="O50" s="68" t="str">
        <x:v>四柱地支已按年、月、日、时标准化并保留柱位。</x:v>
      </x:c>
      <x:c r="P50" s="68" t="str">
        <x:v>四柱地支中酉至少出现两次，并按不同柱位保留独立节点。</x:v>
      </x:c>
      <x:c r="Q50" s="68" t="str">
        <x:v>重复支相邻或岁运再增一支时，只增强后续自刑效应候选。</x:v>
      </x:c>
      <x:c r="R50" s="68" t="str">
        <x:v>重复支隔位或其中一支参与其他强关系时，效应更不确定。</x:v>
      </x:c>
      <x:c r="S50" s="90" t="str">
        <x:v>原局只有一个酉；单支不能在原局静态层独自构成重复自刑结构。</x:v>
      </x:c>
      <x:c r="T50" s="68" t="str">
        <x:v>部分流派对自刑的启动条件和岁运引动要求不同；本库先以原局至少两支同见作为可计算识别标准。</x:v>
      </x:c>
      <x:c r="U50" s="68" t="str">
        <x:v>原局存在酉酉自刑候选。</x:v>
      </x:c>
      <x:c r="V50" s="68" t="str">
        <x:v>不得直接推出酉必伤、必减力、心理或事件象义；具体效应转M06。</x:v>
      </x:c>
      <x:c r="W50" s="82" t="str">
        <x:v>P1_高</x:v>
      </x:c>
      <x:c r="X50" s="82" t="str">
        <x:v>辅助证据</x:v>
      </x:c>
      <x:c r="Y50" s="84" t="str">
        <x:v>酉酉自刑</x:v>
      </x:c>
      <x:c r="Z50" s="84" t="str">
        <x:v>原局酉支重复至少两次，识别为酉酉自刑候选；效应强弱与流派差异转M06、M21。</x:v>
      </x:c>
      <x:c r="AA50" s="82" t="str">
        <x:v>中等</x:v>
      </x:c>
      <x:c r="AB50" s="82" t="str">
        <x:v>现代综合</x:v>
      </x:c>
      <x:c r="AC50" s="68" t="str">
        <x:v>自刑以同一自刑支重复出现为结构基础；具体启动和作用强度存在流派差异。</x:v>
      </x:c>
      <x:c r="AD50" s="68" t="str">
        <x:v>年支酉、时支酉，识别酉酉自刑候选。</x:v>
      </x:c>
      <x:c r="AE50" s="90" t="str">
        <x:v>原局仅有一个酉，不在M05直接标原局酉酉自刑成立。</x:v>
      </x:c>
      <x:c r="AF50" s="68" t="str">
        <x:v>内部结构化规则：识别层与效应层分离；https://zh.wikisource.org/wiki/淵海子平；https://zh.wikisource.org/zh-hans/三命通會_(四庫全書本)</x:v>
      </x:c>
      <x:c r="AG50" s="82" t="str">
        <x:v>待验证</x:v>
      </x:c>
      <x:c r="AH50" s="82" t="str">
        <x:v>初审</x:v>
      </x:c>
      <x:c r="AI50" s="87" t="n">
        <x:v>46255</x:v>
      </x:c>
    </x:row>
    <x:row r="51">
      <x:c r="A51" s="72" t="str">
        <x:f>IF(OR(C51="",D51=""),"",B51&amp;"-"&amp;UPPER(C51)&amp;"-"&amp;TEXT(D51,"0000")&amp;"-"&amp;E51)</x:f>
        <x:v>M05-ZIXING-0045-V1.0</x:v>
      </x:c>
      <x:c r="B51" s="74" t="str">
        <x:v>M05</x:v>
      </x:c>
      <x:c r="C51" s="74" t="str">
        <x:v>ZIXING</x:v>
      </x:c>
      <x:c r="D51" s="79" t="n">
        <x:v>45</x:v>
      </x:c>
      <x:c r="E51" s="74" t="str">
        <x:v>V1.0</x:v>
      </x:c>
      <x:c r="F51" s="68" t="str">
        <x:v>亥亥自刑识别</x:v>
      </x:c>
      <x:c r="G51" s="82" t="str">
        <x:v>识别层</x:v>
      </x:c>
      <x:c r="H51" s="82" t="str">
        <x:v>自刑</x:v>
      </x:c>
      <x:c r="I51" s="68" t="str">
        <x:v>亥、亥</x:v>
      </x:c>
      <x:c r="J51" s="82" t="str">
        <x:v>其他</x:v>
      </x:c>
      <x:c r="K51" s="82" t="str">
        <x:v>完整</x:v>
      </x:c>
      <x:c r="L51" s="68" t="str">
        <x:v>记录重复亥中是否有一支为月支；月令不决定重复关系存在。</x:v>
      </x:c>
      <x:c r="M51" s="68" t="str">
        <x:v>亥中藏干是否透出不影响重复支与自刑候选的识别。</x:v>
      </x:c>
      <x:c r="N51" s="68" t="str">
        <x:v>两个或以上亥还须分别检查与其他支的合冲刑害破关系。</x:v>
      </x:c>
      <x:c r="O51" s="68" t="str">
        <x:v>四柱地支已按年、月、日、时标准化并保留柱位。</x:v>
      </x:c>
      <x:c r="P51" s="68" t="str">
        <x:v>四柱地支中亥至少出现两次，并按不同柱位保留独立节点。</x:v>
      </x:c>
      <x:c r="Q51" s="68" t="str">
        <x:v>重复支相邻或岁运再增一支时，只增强后续自刑效应候选。</x:v>
      </x:c>
      <x:c r="R51" s="68" t="str">
        <x:v>重复支隔位或其中一支参与其他强关系时，效应更不确定。</x:v>
      </x:c>
      <x:c r="S51" s="90" t="str">
        <x:v>原局只有一个亥；单支不能在原局静态层独自构成重复自刑结构。</x:v>
      </x:c>
      <x:c r="T51" s="68" t="str">
        <x:v>部分流派对自刑的启动条件和岁运引动要求不同；本库先以原局至少两支同见作为可计算识别标准。</x:v>
      </x:c>
      <x:c r="U51" s="68" t="str">
        <x:v>原局存在亥亥自刑候选。</x:v>
      </x:c>
      <x:c r="V51" s="68" t="str">
        <x:v>不得直接推出亥必伤、必减力、心理或事件象义；具体效应转M06。</x:v>
      </x:c>
      <x:c r="W51" s="82" t="str">
        <x:v>P1_高</x:v>
      </x:c>
      <x:c r="X51" s="82" t="str">
        <x:v>辅助证据</x:v>
      </x:c>
      <x:c r="Y51" s="84" t="str">
        <x:v>亥亥自刑</x:v>
      </x:c>
      <x:c r="Z51" s="84" t="str">
        <x:v>原局亥支重复至少两次，识别为亥亥自刑候选；效应强弱与流派差异转M06、M21。</x:v>
      </x:c>
      <x:c r="AA51" s="82" t="str">
        <x:v>中等</x:v>
      </x:c>
      <x:c r="AB51" s="82" t="str">
        <x:v>现代综合</x:v>
      </x:c>
      <x:c r="AC51" s="68" t="str">
        <x:v>自刑以同一自刑支重复出现为结构基础；具体启动和作用强度存在流派差异。</x:v>
      </x:c>
      <x:c r="AD51" s="68" t="str">
        <x:v>年支亥、时支亥，识别亥亥自刑候选。</x:v>
      </x:c>
      <x:c r="AE51" s="90" t="str">
        <x:v>原局仅有一个亥，不在M05直接标原局亥亥自刑成立。</x:v>
      </x:c>
      <x:c r="AF51" s="68" t="str">
        <x:v>内部结构化规则：识别层与效应层分离；https://zh.wikisource.org/wiki/淵海子平；https://zh.wikisource.org/zh-hans/三命通會_(四庫全書本)</x:v>
      </x:c>
      <x:c r="AG51" s="82" t="str">
        <x:v>待验证</x:v>
      </x:c>
      <x:c r="AH51" s="82" t="str">
        <x:v>初审</x:v>
      </x:c>
      <x:c r="AI51" s="87" t="n">
        <x:v>46255</x:v>
      </x:c>
    </x:row>
    <x:row r="52">
      <x:c r="A52" s="72" t="str">
        <x:f>IF(OR(C52="",D52=""),"",B52&amp;"-"&amp;UPPER(C52)&amp;"-"&amp;TEXT(D52,"0000")&amp;"-"&amp;E52)</x:f>
        <x:v>M05-HAI-0046-V1.0</x:v>
      </x:c>
      <x:c r="B52" s="74" t="str">
        <x:v>M05</x:v>
      </x:c>
      <x:c r="C52" s="74" t="str">
        <x:v>HAI</x:v>
      </x:c>
      <x:c r="D52" s="79" t="n">
        <x:v>46</x:v>
      </x:c>
      <x:c r="E52" s="74" t="str">
        <x:v>V1.0</x:v>
      </x:c>
      <x:c r="F52" s="68" t="str">
        <x:v>子未六害识别</x:v>
      </x:c>
      <x:c r="G52" s="82" t="str">
        <x:v>识别层</x:v>
      </x:c>
      <x:c r="H52" s="82" t="str">
        <x:v>六害</x:v>
      </x:c>
      <x:c r="I52" s="68" t="str">
        <x:v>子、未</x:v>
      </x:c>
      <x:c r="J52" s="82" t="str">
        <x:v>其他</x:v>
      </x:c>
      <x:c r="K52" s="82" t="str">
        <x:v>完整</x:v>
      </x:c>
      <x:c r="L52" s="68" t="str">
        <x:v>关系存在不以月支得令为必要条件；须另记录参与支中谁为月支。</x:v>
      </x:c>
      <x:c r="M52" s="68" t="str">
        <x:v>相关藏干是否透出不影响关系识别；透干信息只供后续效应与旺衰判断。</x:v>
      </x:c>
      <x:c r="N52" s="68" t="str">
        <x:v>检查两支是否还参与六合、三合、三会、冲刑破等关系。</x:v>
      </x:c>
      <x:c r="O52" s="68" t="str">
        <x:v>四柱地支已按年、月、日、时标准化并保留柱位。</x:v>
      </x:c>
      <x:c r="P52" s="68" t="str">
        <x:v>四柱地支中同时出现子与未。</x:v>
      </x:c>
      <x:c r="Q52" s="68" t="str">
        <x:v>两支相邻或岁运再引动时，只增强后续害效应候选。</x:v>
      </x:c>
      <x:c r="R52" s="68" t="str">
        <x:v>两支隔位或其中一支同时参与合会时，实际效应更不确定。</x:v>
      </x:c>
      <x:c r="S52" s="90" t="str">
        <x:v>缺少子或未。</x:v>
      </x:c>
      <x:c r="T52" s="68" t="str">
        <x:v>害的具体阻碍、暗损或作用有限必须转M06，不在识别层定性。</x:v>
      </x:c>
      <x:c r="U52" s="68" t="str">
        <x:v>原局存在子未六害关系。</x:v>
      </x:c>
      <x:c r="V52" s="68" t="str">
        <x:v>不得直接推出子或未受伤、减力、关系必凶或具体人事事件。</x:v>
      </x:c>
      <x:c r="W52" s="82" t="str">
        <x:v>P1_高</x:v>
      </x:c>
      <x:c r="X52" s="82" t="str">
        <x:v>辅助证据</x:v>
      </x:c>
      <x:c r="Y52" s="84" t="str">
        <x:v>子未害</x:v>
      </x:c>
      <x:c r="Z52" s="84" t="str">
        <x:v>地支见子、未，识别为子未害；实际作用及力量结果转M06判断。</x:v>
      </x:c>
      <x:c r="AA52" s="82" t="str">
        <x:v>较高</x:v>
      </x:c>
      <x:c r="AB52" s="82" t="str">
        <x:v>跨流派共识</x:v>
      </x:c>
      <x:c r="AC52" s="68" t="str">
        <x:v>六害有固定六组配对；不同流派对其作用权重有差异，识别先统一。</x:v>
      </x:c>
      <x:c r="AD52" s="68" t="str">
        <x:v>年支子、月支未，登记子未害。</x:v>
      </x:c>
      <x:c r="AE52" s="90" t="str">
        <x:v>只见子而不见未，不能登记子未害。</x:v>
      </x:c>
      <x:c r="AF52" s="68" t="str">
        <x:v>https://zh.wikisource.org/wiki/淵海子平；https://zh.wikisource.org/zh-hans/三命通會_(四庫全書本)</x:v>
      </x:c>
      <x:c r="AG52" s="82" t="str">
        <x:v>采用</x:v>
      </x:c>
      <x:c r="AH52" s="82" t="str">
        <x:v>初审</x:v>
      </x:c>
      <x:c r="AI52" s="87" t="n">
        <x:v>46255</x:v>
      </x:c>
    </x:row>
    <x:row r="53">
      <x:c r="A53" s="72" t="str">
        <x:f>IF(OR(C53="",D53=""),"",B53&amp;"-"&amp;UPPER(C53)&amp;"-"&amp;TEXT(D53,"0000")&amp;"-"&amp;E53)</x:f>
        <x:v>M05-HAI-0047-V1.0</x:v>
      </x:c>
      <x:c r="B53" s="74" t="str">
        <x:v>M05</x:v>
      </x:c>
      <x:c r="C53" s="74" t="str">
        <x:v>HAI</x:v>
      </x:c>
      <x:c r="D53" s="79" t="n">
        <x:v>47</x:v>
      </x:c>
      <x:c r="E53" s="74" t="str">
        <x:v>V1.0</x:v>
      </x:c>
      <x:c r="F53" s="68" t="str">
        <x:v>丑午六害识别</x:v>
      </x:c>
      <x:c r="G53" s="82" t="str">
        <x:v>识别层</x:v>
      </x:c>
      <x:c r="H53" s="82" t="str">
        <x:v>六害</x:v>
      </x:c>
      <x:c r="I53" s="68" t="str">
        <x:v>丑、午</x:v>
      </x:c>
      <x:c r="J53" s="82" t="str">
        <x:v>其他</x:v>
      </x:c>
      <x:c r="K53" s="82" t="str">
        <x:v>完整</x:v>
      </x:c>
      <x:c r="L53" s="68" t="str">
        <x:v>关系存在不以月支得令为必要条件；须另记录参与支中谁为月支。</x:v>
      </x:c>
      <x:c r="M53" s="68" t="str">
        <x:v>相关藏干是否透出不影响关系识别；透干信息只供后续效应与旺衰判断。</x:v>
      </x:c>
      <x:c r="N53" s="68" t="str">
        <x:v>检查两支是否还参与六合、三合、三会、冲刑破等关系。</x:v>
      </x:c>
      <x:c r="O53" s="68" t="str">
        <x:v>四柱地支已按年、月、日、时标准化并保留柱位。</x:v>
      </x:c>
      <x:c r="P53" s="68" t="str">
        <x:v>四柱地支中同时出现丑与午。</x:v>
      </x:c>
      <x:c r="Q53" s="68" t="str">
        <x:v>两支相邻或岁运再引动时，只增强后续害效应候选。</x:v>
      </x:c>
      <x:c r="R53" s="68" t="str">
        <x:v>两支隔位或其中一支同时参与合会时，实际效应更不确定。</x:v>
      </x:c>
      <x:c r="S53" s="90" t="str">
        <x:v>缺少丑或午。</x:v>
      </x:c>
      <x:c r="T53" s="68" t="str">
        <x:v>害的具体阻碍、暗损或作用有限必须转M06，不在识别层定性。</x:v>
      </x:c>
      <x:c r="U53" s="68" t="str">
        <x:v>原局存在丑午六害关系。</x:v>
      </x:c>
      <x:c r="V53" s="68" t="str">
        <x:v>不得直接推出丑或午受伤、减力、关系必凶或具体人事事件。</x:v>
      </x:c>
      <x:c r="W53" s="82" t="str">
        <x:v>P1_高</x:v>
      </x:c>
      <x:c r="X53" s="82" t="str">
        <x:v>辅助证据</x:v>
      </x:c>
      <x:c r="Y53" s="84" t="str">
        <x:v>丑午害</x:v>
      </x:c>
      <x:c r="Z53" s="84" t="str">
        <x:v>地支见丑、午，识别为丑午害；实际作用及力量结果转M06判断。</x:v>
      </x:c>
      <x:c r="AA53" s="82" t="str">
        <x:v>较高</x:v>
      </x:c>
      <x:c r="AB53" s="82" t="str">
        <x:v>跨流派共识</x:v>
      </x:c>
      <x:c r="AC53" s="68" t="str">
        <x:v>六害有固定六组配对；不同流派对其作用权重有差异，识别先统一。</x:v>
      </x:c>
      <x:c r="AD53" s="68" t="str">
        <x:v>年支丑、月支午，登记丑午害。</x:v>
      </x:c>
      <x:c r="AE53" s="90" t="str">
        <x:v>只见丑而不见午，不能登记丑午害。</x:v>
      </x:c>
      <x:c r="AF53" s="68" t="str">
        <x:v>https://zh.wikisource.org/wiki/淵海子平；https://zh.wikisource.org/zh-hans/三命通會_(四庫全書本)</x:v>
      </x:c>
      <x:c r="AG53" s="82" t="str">
        <x:v>采用</x:v>
      </x:c>
      <x:c r="AH53" s="82" t="str">
        <x:v>初审</x:v>
      </x:c>
      <x:c r="AI53" s="87" t="n">
        <x:v>46255</x:v>
      </x:c>
    </x:row>
    <x:row r="54">
      <x:c r="A54" s="72" t="str">
        <x:f>IF(OR(C54="",D54=""),"",B54&amp;"-"&amp;UPPER(C54)&amp;"-"&amp;TEXT(D54,"0000")&amp;"-"&amp;E54)</x:f>
        <x:v>M05-HAI-0048-V1.0</x:v>
      </x:c>
      <x:c r="B54" s="74" t="str">
        <x:v>M05</x:v>
      </x:c>
      <x:c r="C54" s="74" t="str">
        <x:v>HAI</x:v>
      </x:c>
      <x:c r="D54" s="79" t="n">
        <x:v>48</x:v>
      </x:c>
      <x:c r="E54" s="74" t="str">
        <x:v>V1.0</x:v>
      </x:c>
      <x:c r="F54" s="68" t="str">
        <x:v>寅巳六害识别</x:v>
      </x:c>
      <x:c r="G54" s="82" t="str">
        <x:v>识别层</x:v>
      </x:c>
      <x:c r="H54" s="82" t="str">
        <x:v>六害</x:v>
      </x:c>
      <x:c r="I54" s="68" t="str">
        <x:v>寅、巳</x:v>
      </x:c>
      <x:c r="J54" s="82" t="str">
        <x:v>其他</x:v>
      </x:c>
      <x:c r="K54" s="82" t="str">
        <x:v>完整</x:v>
      </x:c>
      <x:c r="L54" s="68" t="str">
        <x:v>关系存在不以月支得令为必要条件；须另记录参与支中谁为月支。</x:v>
      </x:c>
      <x:c r="M54" s="68" t="str">
        <x:v>相关藏干是否透出不影响关系识别；透干信息只供后续效应与旺衰判断。</x:v>
      </x:c>
      <x:c r="N54" s="68" t="str">
        <x:v>同时独立检查寅巳害及寅巳申刑组的局部刑关系。</x:v>
      </x:c>
      <x:c r="O54" s="68" t="str">
        <x:v>四柱地支已按年、月、日、时标准化并保留柱位。</x:v>
      </x:c>
      <x:c r="P54" s="68" t="str">
        <x:v>四柱地支中同时出现寅与巳。</x:v>
      </x:c>
      <x:c r="Q54" s="68" t="str">
        <x:v>两支相邻或岁运再引动时，只增强后续害效应候选。</x:v>
      </x:c>
      <x:c r="R54" s="68" t="str">
        <x:v>两支隔位或其中一支同时参与合会时，实际效应更不确定。</x:v>
      </x:c>
      <x:c r="S54" s="90" t="str">
        <x:v>缺少寅或巳。</x:v>
      </x:c>
      <x:c r="T54" s="68" t="str">
        <x:v>害的具体阻碍、暗损或作用有限必须转M06，不在识别层定性。</x:v>
      </x:c>
      <x:c r="U54" s="68" t="str">
        <x:v>原局存在寅巳六害关系。</x:v>
      </x:c>
      <x:c r="V54" s="68" t="str">
        <x:v>不得直接推出寅或巳受伤、减力、关系必凶或具体人事事件。</x:v>
      </x:c>
      <x:c r="W54" s="82" t="str">
        <x:v>P1_高</x:v>
      </x:c>
      <x:c r="X54" s="82" t="str">
        <x:v>辅助证据</x:v>
      </x:c>
      <x:c r="Y54" s="84" t="str">
        <x:v>寅巳害</x:v>
      </x:c>
      <x:c r="Z54" s="84" t="str">
        <x:v>地支见寅、巳，识别为寅巳害；实际作用及力量结果转M06判断。</x:v>
      </x:c>
      <x:c r="AA54" s="82" t="str">
        <x:v>较高</x:v>
      </x:c>
      <x:c r="AB54" s="82" t="str">
        <x:v>跨流派共识</x:v>
      </x:c>
      <x:c r="AC54" s="68" t="str">
        <x:v>六害有固定六组配对；不同流派对其作用权重有差异，识别先统一。</x:v>
      </x:c>
      <x:c r="AD54" s="68" t="str">
        <x:v>年支寅、月支巳，登记寅巳害。</x:v>
      </x:c>
      <x:c r="AE54" s="90" t="str">
        <x:v>只见寅而不见巳，不能登记寅巳害。</x:v>
      </x:c>
      <x:c r="AF54" s="68" t="str">
        <x:v>https://zh.wikisource.org/wiki/淵海子平；https://zh.wikisource.org/zh-hans/三命通會_(四庫全書本)</x:v>
      </x:c>
      <x:c r="AG54" s="82" t="str">
        <x:v>采用</x:v>
      </x:c>
      <x:c r="AH54" s="82" t="str">
        <x:v>初审</x:v>
      </x:c>
      <x:c r="AI54" s="87" t="n">
        <x:v>46255</x:v>
      </x:c>
    </x:row>
    <x:row r="55">
      <x:c r="A55" s="72" t="str">
        <x:f>IF(OR(C55="",D55=""),"",B55&amp;"-"&amp;UPPER(C55)&amp;"-"&amp;TEXT(D55,"0000")&amp;"-"&amp;E55)</x:f>
        <x:v>M05-HAI-0049-V1.0</x:v>
      </x:c>
      <x:c r="B55" s="74" t="str">
        <x:v>M05</x:v>
      </x:c>
      <x:c r="C55" s="74" t="str">
        <x:v>HAI</x:v>
      </x:c>
      <x:c r="D55" s="79" t="n">
        <x:v>49</x:v>
      </x:c>
      <x:c r="E55" s="74" t="str">
        <x:v>V1.0</x:v>
      </x:c>
      <x:c r="F55" s="68" t="str">
        <x:v>卯辰六害识别</x:v>
      </x:c>
      <x:c r="G55" s="82" t="str">
        <x:v>识别层</x:v>
      </x:c>
      <x:c r="H55" s="82" t="str">
        <x:v>六害</x:v>
      </x:c>
      <x:c r="I55" s="68" t="str">
        <x:v>卯、辰</x:v>
      </x:c>
      <x:c r="J55" s="82" t="str">
        <x:v>其他</x:v>
      </x:c>
      <x:c r="K55" s="82" t="str">
        <x:v>完整</x:v>
      </x:c>
      <x:c r="L55" s="68" t="str">
        <x:v>关系存在不以月支得令为必要条件；须另记录参与支中谁为月支。</x:v>
      </x:c>
      <x:c r="M55" s="68" t="str">
        <x:v>相关藏干是否透出不影响关系识别；透干信息只供后续效应与旺衰判断。</x:v>
      </x:c>
      <x:c r="N55" s="68" t="str">
        <x:v>检查两支是否还参与六合、三合、三会、冲刑破等关系。</x:v>
      </x:c>
      <x:c r="O55" s="68" t="str">
        <x:v>四柱地支已按年、月、日、时标准化并保留柱位。</x:v>
      </x:c>
      <x:c r="P55" s="68" t="str">
        <x:v>四柱地支中同时出现卯与辰。</x:v>
      </x:c>
      <x:c r="Q55" s="68" t="str">
        <x:v>两支相邻或岁运再引动时，只增强后续害效应候选。</x:v>
      </x:c>
      <x:c r="R55" s="68" t="str">
        <x:v>两支隔位或其中一支同时参与合会时，实际效应更不确定。</x:v>
      </x:c>
      <x:c r="S55" s="90" t="str">
        <x:v>缺少卯或辰。</x:v>
      </x:c>
      <x:c r="T55" s="68" t="str">
        <x:v>害的具体阻碍、暗损或作用有限必须转M06，不在识别层定性。</x:v>
      </x:c>
      <x:c r="U55" s="68" t="str">
        <x:v>原局存在卯辰六害关系。</x:v>
      </x:c>
      <x:c r="V55" s="68" t="str">
        <x:v>不得直接推出卯或辰受伤、减力、关系必凶或具体人事事件。</x:v>
      </x:c>
      <x:c r="W55" s="82" t="str">
        <x:v>P1_高</x:v>
      </x:c>
      <x:c r="X55" s="82" t="str">
        <x:v>辅助证据</x:v>
      </x:c>
      <x:c r="Y55" s="84" t="str">
        <x:v>卯辰害</x:v>
      </x:c>
      <x:c r="Z55" s="84" t="str">
        <x:v>地支见卯、辰，识别为卯辰害；实际作用及力量结果转M06判断。</x:v>
      </x:c>
      <x:c r="AA55" s="82" t="str">
        <x:v>较高</x:v>
      </x:c>
      <x:c r="AB55" s="82" t="str">
        <x:v>跨流派共识</x:v>
      </x:c>
      <x:c r="AC55" s="68" t="str">
        <x:v>六害有固定六组配对；不同流派对其作用权重有差异，识别先统一。</x:v>
      </x:c>
      <x:c r="AD55" s="68" t="str">
        <x:v>年支卯、月支辰，登记卯辰害。</x:v>
      </x:c>
      <x:c r="AE55" s="90" t="str">
        <x:v>只见卯而不见辰，不能登记卯辰害。</x:v>
      </x:c>
      <x:c r="AF55" s="68" t="str">
        <x:v>https://zh.wikisource.org/wiki/淵海子平；https://zh.wikisource.org/zh-hans/三命通會_(四庫全書本)</x:v>
      </x:c>
      <x:c r="AG55" s="82" t="str">
        <x:v>采用</x:v>
      </x:c>
      <x:c r="AH55" s="82" t="str">
        <x:v>初审</x:v>
      </x:c>
      <x:c r="AI55" s="87" t="n">
        <x:v>46255</x:v>
      </x:c>
    </x:row>
    <x:row r="56">
      <x:c r="A56" s="72" t="str">
        <x:f>IF(OR(C56="",D56=""),"",B56&amp;"-"&amp;UPPER(C56)&amp;"-"&amp;TEXT(D56,"0000")&amp;"-"&amp;E56)</x:f>
        <x:v>M05-HAI-0050-V1.0</x:v>
      </x:c>
      <x:c r="B56" s="74" t="str">
        <x:v>M05</x:v>
      </x:c>
      <x:c r="C56" s="74" t="str">
        <x:v>HAI</x:v>
      </x:c>
      <x:c r="D56" s="79" t="n">
        <x:v>50</x:v>
      </x:c>
      <x:c r="E56" s="74" t="str">
        <x:v>V1.0</x:v>
      </x:c>
      <x:c r="F56" s="68" t="str">
        <x:v>申亥六害识别</x:v>
      </x:c>
      <x:c r="G56" s="82" t="str">
        <x:v>识别层</x:v>
      </x:c>
      <x:c r="H56" s="82" t="str">
        <x:v>六害</x:v>
      </x:c>
      <x:c r="I56" s="68" t="str">
        <x:v>申、亥</x:v>
      </x:c>
      <x:c r="J56" s="82" t="str">
        <x:v>其他</x:v>
      </x:c>
      <x:c r="K56" s="82" t="str">
        <x:v>完整</x:v>
      </x:c>
      <x:c r="L56" s="68" t="str">
        <x:v>关系存在不以月支得令为必要条件；须另记录参与支中谁为月支。</x:v>
      </x:c>
      <x:c r="M56" s="68" t="str">
        <x:v>相关藏干是否透出不影响关系识别；透干信息只供后续效应与旺衰判断。</x:v>
      </x:c>
      <x:c r="N56" s="68" t="str">
        <x:v>检查两支是否还参与六合、三合、三会、冲刑破等关系。</x:v>
      </x:c>
      <x:c r="O56" s="68" t="str">
        <x:v>四柱地支已按年、月、日、时标准化并保留柱位。</x:v>
      </x:c>
      <x:c r="P56" s="68" t="str">
        <x:v>四柱地支中同时出现申与亥。</x:v>
      </x:c>
      <x:c r="Q56" s="68" t="str">
        <x:v>两支相邻或岁运再引动时，只增强后续害效应候选。</x:v>
      </x:c>
      <x:c r="R56" s="68" t="str">
        <x:v>两支隔位或其中一支同时参与合会时，实际效应更不确定。</x:v>
      </x:c>
      <x:c r="S56" s="90" t="str">
        <x:v>缺少申或亥。</x:v>
      </x:c>
      <x:c r="T56" s="68" t="str">
        <x:v>害的具体阻碍、暗损或作用有限必须转M06，不在识别层定性。</x:v>
      </x:c>
      <x:c r="U56" s="68" t="str">
        <x:v>原局存在申亥六害关系。</x:v>
      </x:c>
      <x:c r="V56" s="68" t="str">
        <x:v>不得直接推出申或亥受伤、减力、关系必凶或具体人事事件。</x:v>
      </x:c>
      <x:c r="W56" s="82" t="str">
        <x:v>P1_高</x:v>
      </x:c>
      <x:c r="X56" s="82" t="str">
        <x:v>辅助证据</x:v>
      </x:c>
      <x:c r="Y56" s="84" t="str">
        <x:v>申亥害</x:v>
      </x:c>
      <x:c r="Z56" s="84" t="str">
        <x:v>地支见申、亥，识别为申亥害；实际作用及力量结果转M06判断。</x:v>
      </x:c>
      <x:c r="AA56" s="82" t="str">
        <x:v>较高</x:v>
      </x:c>
      <x:c r="AB56" s="82" t="str">
        <x:v>跨流派共识</x:v>
      </x:c>
      <x:c r="AC56" s="68" t="str">
        <x:v>六害有固定六组配对；不同流派对其作用权重有差异，识别先统一。</x:v>
      </x:c>
      <x:c r="AD56" s="68" t="str">
        <x:v>年支申、月支亥，登记申亥害。</x:v>
      </x:c>
      <x:c r="AE56" s="90" t="str">
        <x:v>只见申而不见亥，不能登记申亥害。</x:v>
      </x:c>
      <x:c r="AF56" s="68" t="str">
        <x:v>https://zh.wikisource.org/wiki/淵海子平；https://zh.wikisource.org/zh-hans/三命通會_(四庫全書本)</x:v>
      </x:c>
      <x:c r="AG56" s="82" t="str">
        <x:v>采用</x:v>
      </x:c>
      <x:c r="AH56" s="82" t="str">
        <x:v>初审</x:v>
      </x:c>
      <x:c r="AI56" s="87" t="n">
        <x:v>46255</x:v>
      </x:c>
    </x:row>
    <x:row r="57">
      <x:c r="A57" s="72" t="str">
        <x:f>IF(OR(C57="",D57=""),"",B57&amp;"-"&amp;UPPER(C57)&amp;"-"&amp;TEXT(D57,"0000")&amp;"-"&amp;E57)</x:f>
        <x:v>M05-HAI-0051-V1.0</x:v>
      </x:c>
      <x:c r="B57" s="74" t="str">
        <x:v>M05</x:v>
      </x:c>
      <x:c r="C57" s="74" t="str">
        <x:v>HAI</x:v>
      </x:c>
      <x:c r="D57" s="79" t="n">
        <x:v>51</x:v>
      </x:c>
      <x:c r="E57" s="74" t="str">
        <x:v>V1.0</x:v>
      </x:c>
      <x:c r="F57" s="68" t="str">
        <x:v>酉戌六害识别</x:v>
      </x:c>
      <x:c r="G57" s="82" t="str">
        <x:v>识别层</x:v>
      </x:c>
      <x:c r="H57" s="82" t="str">
        <x:v>六害</x:v>
      </x:c>
      <x:c r="I57" s="68" t="str">
        <x:v>酉、戌</x:v>
      </x:c>
      <x:c r="J57" s="82" t="str">
        <x:v>其他</x:v>
      </x:c>
      <x:c r="K57" s="82" t="str">
        <x:v>完整</x:v>
      </x:c>
      <x:c r="L57" s="68" t="str">
        <x:v>关系存在不以月支得令为必要条件；须另记录参与支中谁为月支。</x:v>
      </x:c>
      <x:c r="M57" s="68" t="str">
        <x:v>相关藏干是否透出不影响关系识别；透干信息只供后续效应与旺衰判断。</x:v>
      </x:c>
      <x:c r="N57" s="68" t="str">
        <x:v>检查两支是否还参与六合、三合、三会、冲刑破等关系。</x:v>
      </x:c>
      <x:c r="O57" s="68" t="str">
        <x:v>四柱地支已按年、月、日、时标准化并保留柱位。</x:v>
      </x:c>
      <x:c r="P57" s="68" t="str">
        <x:v>四柱地支中同时出现酉与戌。</x:v>
      </x:c>
      <x:c r="Q57" s="68" t="str">
        <x:v>两支相邻或岁运再引动时，只增强后续害效应候选。</x:v>
      </x:c>
      <x:c r="R57" s="68" t="str">
        <x:v>两支隔位或其中一支同时参与合会时，实际效应更不确定。</x:v>
      </x:c>
      <x:c r="S57" s="90" t="str">
        <x:v>缺少酉或戌。</x:v>
      </x:c>
      <x:c r="T57" s="68" t="str">
        <x:v>害的具体阻碍、暗损或作用有限必须转M06，不在识别层定性。</x:v>
      </x:c>
      <x:c r="U57" s="68" t="str">
        <x:v>原局存在酉戌六害关系。</x:v>
      </x:c>
      <x:c r="V57" s="68" t="str">
        <x:v>不得直接推出酉或戌受伤、减力、关系必凶或具体人事事件。</x:v>
      </x:c>
      <x:c r="W57" s="82" t="str">
        <x:v>P1_高</x:v>
      </x:c>
      <x:c r="X57" s="82" t="str">
        <x:v>辅助证据</x:v>
      </x:c>
      <x:c r="Y57" s="84" t="str">
        <x:v>酉戌害</x:v>
      </x:c>
      <x:c r="Z57" s="84" t="str">
        <x:v>地支见酉、戌，识别为酉戌害；实际作用及力量结果转M06判断。</x:v>
      </x:c>
      <x:c r="AA57" s="82" t="str">
        <x:v>较高</x:v>
      </x:c>
      <x:c r="AB57" s="82" t="str">
        <x:v>跨流派共识</x:v>
      </x:c>
      <x:c r="AC57" s="68" t="str">
        <x:v>六害有固定六组配对；不同流派对其作用权重有差异，识别先统一。</x:v>
      </x:c>
      <x:c r="AD57" s="68" t="str">
        <x:v>年支酉、月支戌，登记酉戌害。</x:v>
      </x:c>
      <x:c r="AE57" s="90" t="str">
        <x:v>只见酉而不见戌，不能登记酉戌害。</x:v>
      </x:c>
      <x:c r="AF57" s="68" t="str">
        <x:v>https://zh.wikisource.org/wiki/淵海子平；https://zh.wikisource.org/zh-hans/三命通會_(四庫全書本)</x:v>
      </x:c>
      <x:c r="AG57" s="82" t="str">
        <x:v>采用</x:v>
      </x:c>
      <x:c r="AH57" s="82" t="str">
        <x:v>初审</x:v>
      </x:c>
      <x:c r="AI57" s="87" t="n">
        <x:v>46255</x:v>
      </x:c>
    </x:row>
    <x:row r="58">
      <x:c r="A58" s="72" t="str">
        <x:f>IF(OR(C58="",D58=""),"",B58&amp;"-"&amp;UPPER(C58)&amp;"-"&amp;TEXT(D58,"0000")&amp;"-"&amp;E58)</x:f>
        <x:v>M05-PO-0052-V1.0</x:v>
      </x:c>
      <x:c r="B58" s="74" t="str">
        <x:v>M05</x:v>
      </x:c>
      <x:c r="C58" s="74" t="str">
        <x:v>PO</x:v>
      </x:c>
      <x:c r="D58" s="79" t="n">
        <x:v>52</x:v>
      </x:c>
      <x:c r="E58" s="74" t="str">
        <x:v>V1.0</x:v>
      </x:c>
      <x:c r="F58" s="68" t="str">
        <x:v>子酉六破识别</x:v>
      </x:c>
      <x:c r="G58" s="82" t="str">
        <x:v>识别层</x:v>
      </x:c>
      <x:c r="H58" s="82" t="str">
        <x:v>六破</x:v>
      </x:c>
      <x:c r="I58" s="68" t="str">
        <x:v>子、酉</x:v>
      </x:c>
      <x:c r="J58" s="82" t="str">
        <x:v>其他</x:v>
      </x:c>
      <x:c r="K58" s="82" t="str">
        <x:v>完整</x:v>
      </x:c>
      <x:c r="L58" s="68" t="str">
        <x:v>关系存在不以月支得令为必要条件；须另记录参与支中谁为月支。</x:v>
      </x:c>
      <x:c r="M58" s="68" t="str">
        <x:v>相关藏干是否透出不影响关系识别；透干信息只供后续效应与旺衰判断。</x:v>
      </x:c>
      <x:c r="N58" s="68" t="str">
        <x:v>检查两支是否还参与六合、三合、三会、冲刑害等关系。</x:v>
      </x:c>
      <x:c r="O58" s="68" t="str">
        <x:v>四柱地支已按年、月、日、时标准化并保留柱位。</x:v>
      </x:c>
      <x:c r="P58" s="68" t="str">
        <x:v>四柱地支中同时出现子与酉。</x:v>
      </x:c>
      <x:c r="Q58" s="68" t="str">
        <x:v>两支相邻或岁运再引动时，只增强后续破效应候选。</x:v>
      </x:c>
      <x:c r="R58" s="68" t="str">
        <x:v>两支隔位或其中一支参与其他强关系时，实际作用更不确定。</x:v>
      </x:c>
      <x:c r="S58" s="90" t="str">
        <x:v>缺少子或酉。</x:v>
      </x:c>
      <x:c r="T58" s="68" t="str">
        <x:v>六破的作用权重和具体解释存在流派差异；本表只保存固定配对。</x:v>
      </x:c>
      <x:c r="U58" s="68" t="str">
        <x:v>原局存在子酉六破关系。</x:v>
      </x:c>
      <x:c r="V58" s="68" t="str">
        <x:v>不得直接推出子或酉根气被破坏、必然减力、关系破裂或具体事件。</x:v>
      </x:c>
      <x:c r="W58" s="82" t="str">
        <x:v>P2_中</x:v>
      </x:c>
      <x:c r="X58" s="82" t="str">
        <x:v>辅助证据</x:v>
      </x:c>
      <x:c r="Y58" s="84" t="str">
        <x:v>子酉破</x:v>
      </x:c>
      <x:c r="Z58" s="84" t="str">
        <x:v>地支见子、酉，识别为子酉破；实际效应及权重转M06、M21判断。</x:v>
      </x:c>
      <x:c r="AA58" s="82" t="str">
        <x:v>中等</x:v>
      </x:c>
      <x:c r="AB58" s="82" t="str">
        <x:v>现代综合</x:v>
      </x:c>
      <x:c r="AC58" s="68" t="str">
        <x:v>六破配对在现代命理关系表中较常用，但具体效应权重存在较大流派差异。</x:v>
      </x:c>
      <x:c r="AD58" s="68" t="str">
        <x:v>年支子、时支酉，登记子酉破。</x:v>
      </x:c>
      <x:c r="AE58" s="90" t="str">
        <x:v>只见子而不见酉，不能登记子酉破。</x:v>
      </x:c>
      <x:c r="AF58" s="68" t="str">
        <x:v>内部结构化规则：识别层与效应层分离；https://zh.wikisource.org/wiki/淵海子平；https://zh.wikisource.org/zh-hans/三命通會_(四庫全書本)</x:v>
      </x:c>
      <x:c r="AG58" s="82" t="str">
        <x:v>待验证</x:v>
      </x:c>
      <x:c r="AH58" s="82" t="str">
        <x:v>初审</x:v>
      </x:c>
      <x:c r="AI58" s="87" t="n">
        <x:v>46255</x:v>
      </x:c>
    </x:row>
    <x:row r="59">
      <x:c r="A59" s="72" t="str">
        <x:f>IF(OR(C59="",D59=""),"",B59&amp;"-"&amp;UPPER(C59)&amp;"-"&amp;TEXT(D59,"0000")&amp;"-"&amp;E59)</x:f>
        <x:v>M05-PO-0053-V1.0</x:v>
      </x:c>
      <x:c r="B59" s="74" t="str">
        <x:v>M05</x:v>
      </x:c>
      <x:c r="C59" s="74" t="str">
        <x:v>PO</x:v>
      </x:c>
      <x:c r="D59" s="79" t="n">
        <x:v>53</x:v>
      </x:c>
      <x:c r="E59" s="74" t="str">
        <x:v>V1.0</x:v>
      </x:c>
      <x:c r="F59" s="68" t="str">
        <x:v>丑辰六破识别</x:v>
      </x:c>
      <x:c r="G59" s="82" t="str">
        <x:v>识别层</x:v>
      </x:c>
      <x:c r="H59" s="82" t="str">
        <x:v>六破</x:v>
      </x:c>
      <x:c r="I59" s="68" t="str">
        <x:v>丑、辰</x:v>
      </x:c>
      <x:c r="J59" s="82" t="str">
        <x:v>其他</x:v>
      </x:c>
      <x:c r="K59" s="82" t="str">
        <x:v>完整</x:v>
      </x:c>
      <x:c r="L59" s="68" t="str">
        <x:v>关系存在不以月支得令为必要条件；须另记录参与支中谁为月支。</x:v>
      </x:c>
      <x:c r="M59" s="68" t="str">
        <x:v>相关藏干是否透出不影响关系识别；透干信息只供后续效应与旺衰判断。</x:v>
      </x:c>
      <x:c r="N59" s="68" t="str">
        <x:v>检查两支是否还参与六合、三合、三会、冲刑害等关系。</x:v>
      </x:c>
      <x:c r="O59" s="68" t="str">
        <x:v>四柱地支已按年、月、日、时标准化并保留柱位。</x:v>
      </x:c>
      <x:c r="P59" s="68" t="str">
        <x:v>四柱地支中同时出现丑与辰。</x:v>
      </x:c>
      <x:c r="Q59" s="68" t="str">
        <x:v>两支相邻或岁运再引动时，只增强后续破效应候选。</x:v>
      </x:c>
      <x:c r="R59" s="68" t="str">
        <x:v>两支隔位或其中一支参与其他强关系时，实际作用更不确定。</x:v>
      </x:c>
      <x:c r="S59" s="90" t="str">
        <x:v>缺少丑或辰。</x:v>
      </x:c>
      <x:c r="T59" s="68" t="str">
        <x:v>六破的作用权重和具体解释存在流派差异；本表只保存固定配对。</x:v>
      </x:c>
      <x:c r="U59" s="68" t="str">
        <x:v>原局存在丑辰六破关系。</x:v>
      </x:c>
      <x:c r="V59" s="68" t="str">
        <x:v>不得直接推出丑或辰根气被破坏、必然减力、关系破裂或具体事件。</x:v>
      </x:c>
      <x:c r="W59" s="82" t="str">
        <x:v>P2_中</x:v>
      </x:c>
      <x:c r="X59" s="82" t="str">
        <x:v>辅助证据</x:v>
      </x:c>
      <x:c r="Y59" s="84" t="str">
        <x:v>丑辰破</x:v>
      </x:c>
      <x:c r="Z59" s="84" t="str">
        <x:v>地支见丑、辰，识别为丑辰破；实际效应及权重转M06、M21判断。</x:v>
      </x:c>
      <x:c r="AA59" s="82" t="str">
        <x:v>中等</x:v>
      </x:c>
      <x:c r="AB59" s="82" t="str">
        <x:v>现代综合</x:v>
      </x:c>
      <x:c r="AC59" s="68" t="str">
        <x:v>六破配对在现代命理关系表中较常用，但具体效应权重存在较大流派差异。</x:v>
      </x:c>
      <x:c r="AD59" s="68" t="str">
        <x:v>年支丑、时支辰，登记丑辰破。</x:v>
      </x:c>
      <x:c r="AE59" s="90" t="str">
        <x:v>只见丑而不见辰，不能登记丑辰破。</x:v>
      </x:c>
      <x:c r="AF59" s="68" t="str">
        <x:v>内部结构化规则：识别层与效应层分离；https://zh.wikisource.org/wiki/淵海子平；https://zh.wikisource.org/zh-hans/三命通會_(四庫全書本)</x:v>
      </x:c>
      <x:c r="AG59" s="82" t="str">
        <x:v>待验证</x:v>
      </x:c>
      <x:c r="AH59" s="82" t="str">
        <x:v>初审</x:v>
      </x:c>
      <x:c r="AI59" s="87" t="n">
        <x:v>46255</x:v>
      </x:c>
    </x:row>
    <x:row r="60">
      <x:c r="A60" s="72" t="str">
        <x:f>IF(OR(C60="",D60=""),"",B60&amp;"-"&amp;UPPER(C60)&amp;"-"&amp;TEXT(D60,"0000")&amp;"-"&amp;E60)</x:f>
        <x:v>M05-PO-0054-V1.0</x:v>
      </x:c>
      <x:c r="B60" s="74" t="str">
        <x:v>M05</x:v>
      </x:c>
      <x:c r="C60" s="74" t="str">
        <x:v>PO</x:v>
      </x:c>
      <x:c r="D60" s="79" t="n">
        <x:v>54</x:v>
      </x:c>
      <x:c r="E60" s="74" t="str">
        <x:v>V1.0</x:v>
      </x:c>
      <x:c r="F60" s="68" t="str">
        <x:v>寅亥六破识别</x:v>
      </x:c>
      <x:c r="G60" s="82" t="str">
        <x:v>识别层</x:v>
      </x:c>
      <x:c r="H60" s="82" t="str">
        <x:v>六破</x:v>
      </x:c>
      <x:c r="I60" s="68" t="str">
        <x:v>寅、亥</x:v>
      </x:c>
      <x:c r="J60" s="82" t="str">
        <x:v>其他</x:v>
      </x:c>
      <x:c r="K60" s="82" t="str">
        <x:v>完整</x:v>
      </x:c>
      <x:c r="L60" s="68" t="str">
        <x:v>关系存在不以月支得令为必要条件；须另记录参与支中谁为月支。</x:v>
      </x:c>
      <x:c r="M60" s="68" t="str">
        <x:v>相关藏干是否透出不影响关系识别；透干信息只供后续效应与旺衰判断。</x:v>
      </x:c>
      <x:c r="N60" s="68" t="str">
        <x:v>同时独立检查寅亥破；六合与破可并存。</x:v>
      </x:c>
      <x:c r="O60" s="68" t="str">
        <x:v>四柱地支已按年、月、日、时标准化并保留柱位。</x:v>
      </x:c>
      <x:c r="P60" s="68" t="str">
        <x:v>四柱地支中同时出现寅与亥。</x:v>
      </x:c>
      <x:c r="Q60" s="68" t="str">
        <x:v>两支相邻或岁运再引动时，只增强后续破效应候选。</x:v>
      </x:c>
      <x:c r="R60" s="68" t="str">
        <x:v>两支隔位或其中一支参与其他强关系时，实际作用更不确定。</x:v>
      </x:c>
      <x:c r="S60" s="90" t="str">
        <x:v>缺少寅或亥。</x:v>
      </x:c>
      <x:c r="T60" s="68" t="str">
        <x:v>六破的作用权重和具体解释存在流派差异；本表只保存固定配对。</x:v>
      </x:c>
      <x:c r="U60" s="68" t="str">
        <x:v>原局存在寅亥六破关系。</x:v>
      </x:c>
      <x:c r="V60" s="68" t="str">
        <x:v>不得直接推出寅或亥根气被破坏、必然减力、关系破裂或具体事件。</x:v>
      </x:c>
      <x:c r="W60" s="82" t="str">
        <x:v>P2_中</x:v>
      </x:c>
      <x:c r="X60" s="82" t="str">
        <x:v>辅助证据</x:v>
      </x:c>
      <x:c r="Y60" s="84" t="str">
        <x:v>寅亥破</x:v>
      </x:c>
      <x:c r="Z60" s="84" t="str">
        <x:v>地支见寅、亥，识别为寅亥破；实际效应及权重转M06、M21判断。</x:v>
      </x:c>
      <x:c r="AA60" s="82" t="str">
        <x:v>中等</x:v>
      </x:c>
      <x:c r="AB60" s="82" t="str">
        <x:v>现代综合</x:v>
      </x:c>
      <x:c r="AC60" s="68" t="str">
        <x:v>六破配对在现代命理关系表中较常用，但具体效应权重存在较大流派差异。</x:v>
      </x:c>
      <x:c r="AD60" s="68" t="str">
        <x:v>年支寅、时支亥，登记寅亥破。</x:v>
      </x:c>
      <x:c r="AE60" s="90" t="str">
        <x:v>只见寅而不见亥，不能登记寅亥破。</x:v>
      </x:c>
      <x:c r="AF60" s="68" t="str">
        <x:v>内部结构化规则：识别层与效应层分离；https://zh.wikisource.org/wiki/淵海子平；https://zh.wikisource.org/zh-hans/三命通會_(四庫全書本)</x:v>
      </x:c>
      <x:c r="AG60" s="82" t="str">
        <x:v>待验证</x:v>
      </x:c>
      <x:c r="AH60" s="82" t="str">
        <x:v>初审</x:v>
      </x:c>
      <x:c r="AI60" s="87" t="n">
        <x:v>46255</x:v>
      </x:c>
    </x:row>
    <x:row r="61">
      <x:c r="A61" s="72" t="str">
        <x:f>IF(OR(C61="",D61=""),"",B61&amp;"-"&amp;UPPER(C61)&amp;"-"&amp;TEXT(D61,"0000")&amp;"-"&amp;E61)</x:f>
        <x:v>M05-PO-0055-V1.0</x:v>
      </x:c>
      <x:c r="B61" s="74" t="str">
        <x:v>M05</x:v>
      </x:c>
      <x:c r="C61" s="74" t="str">
        <x:v>PO</x:v>
      </x:c>
      <x:c r="D61" s="79" t="n">
        <x:v>55</x:v>
      </x:c>
      <x:c r="E61" s="74" t="str">
        <x:v>V1.0</x:v>
      </x:c>
      <x:c r="F61" s="68" t="str">
        <x:v>卯午六破识别</x:v>
      </x:c>
      <x:c r="G61" s="82" t="str">
        <x:v>识别层</x:v>
      </x:c>
      <x:c r="H61" s="82" t="str">
        <x:v>六破</x:v>
      </x:c>
      <x:c r="I61" s="68" t="str">
        <x:v>卯、午</x:v>
      </x:c>
      <x:c r="J61" s="82" t="str">
        <x:v>其他</x:v>
      </x:c>
      <x:c r="K61" s="82" t="str">
        <x:v>完整</x:v>
      </x:c>
      <x:c r="L61" s="68" t="str">
        <x:v>关系存在不以月支得令为必要条件；须另记录参与支中谁为月支。</x:v>
      </x:c>
      <x:c r="M61" s="68" t="str">
        <x:v>相关藏干是否透出不影响关系识别；透干信息只供后续效应与旺衰判断。</x:v>
      </x:c>
      <x:c r="N61" s="68" t="str">
        <x:v>检查两支是否还参与六合、三合、三会、冲刑害等关系。</x:v>
      </x:c>
      <x:c r="O61" s="68" t="str">
        <x:v>四柱地支已按年、月、日、时标准化并保留柱位。</x:v>
      </x:c>
      <x:c r="P61" s="68" t="str">
        <x:v>四柱地支中同时出现卯与午。</x:v>
      </x:c>
      <x:c r="Q61" s="68" t="str">
        <x:v>两支相邻或岁运再引动时，只增强后续破效应候选。</x:v>
      </x:c>
      <x:c r="R61" s="68" t="str">
        <x:v>两支隔位或其中一支参与其他强关系时，实际作用更不确定。</x:v>
      </x:c>
      <x:c r="S61" s="90" t="str">
        <x:v>缺少卯或午。</x:v>
      </x:c>
      <x:c r="T61" s="68" t="str">
        <x:v>六破的作用权重和具体解释存在流派差异；本表只保存固定配对。</x:v>
      </x:c>
      <x:c r="U61" s="68" t="str">
        <x:v>原局存在卯午六破关系。</x:v>
      </x:c>
      <x:c r="V61" s="68" t="str">
        <x:v>不得直接推出卯或午根气被破坏、必然减力、关系破裂或具体事件。</x:v>
      </x:c>
      <x:c r="W61" s="82" t="str">
        <x:v>P2_中</x:v>
      </x:c>
      <x:c r="X61" s="82" t="str">
        <x:v>辅助证据</x:v>
      </x:c>
      <x:c r="Y61" s="84" t="str">
        <x:v>卯午破</x:v>
      </x:c>
      <x:c r="Z61" s="84" t="str">
        <x:v>地支见卯、午，识别为卯午破；实际效应及权重转M06、M21判断。</x:v>
      </x:c>
      <x:c r="AA61" s="82" t="str">
        <x:v>中等</x:v>
      </x:c>
      <x:c r="AB61" s="82" t="str">
        <x:v>现代综合</x:v>
      </x:c>
      <x:c r="AC61" s="68" t="str">
        <x:v>六破配对在现代命理关系表中较常用，但具体效应权重存在较大流派差异。</x:v>
      </x:c>
      <x:c r="AD61" s="68" t="str">
        <x:v>年支卯、时支午，登记卯午破。</x:v>
      </x:c>
      <x:c r="AE61" s="90" t="str">
        <x:v>只见卯而不见午，不能登记卯午破。</x:v>
      </x:c>
      <x:c r="AF61" s="68" t="str">
        <x:v>内部结构化规则：识别层与效应层分离；https://zh.wikisource.org/wiki/淵海子平；https://zh.wikisource.org/zh-hans/三命通會_(四庫全書本)</x:v>
      </x:c>
      <x:c r="AG61" s="82" t="str">
        <x:v>待验证</x:v>
      </x:c>
      <x:c r="AH61" s="82" t="str">
        <x:v>初审</x:v>
      </x:c>
      <x:c r="AI61" s="87" t="n">
        <x:v>46255</x:v>
      </x:c>
    </x:row>
    <x:row r="62">
      <x:c r="A62" s="72" t="str">
        <x:f>IF(OR(C62="",D62=""),"",B62&amp;"-"&amp;UPPER(C62)&amp;"-"&amp;TEXT(D62,"0000")&amp;"-"&amp;E62)</x:f>
        <x:v>M05-PO-0056-V1.0</x:v>
      </x:c>
      <x:c r="B62" s="74" t="str">
        <x:v>M05</x:v>
      </x:c>
      <x:c r="C62" s="74" t="str">
        <x:v>PO</x:v>
      </x:c>
      <x:c r="D62" s="79" t="n">
        <x:v>56</x:v>
      </x:c>
      <x:c r="E62" s="74" t="str">
        <x:v>V1.0</x:v>
      </x:c>
      <x:c r="F62" s="68" t="str">
        <x:v>巳申六破识别</x:v>
      </x:c>
      <x:c r="G62" s="82" t="str">
        <x:v>识别层</x:v>
      </x:c>
      <x:c r="H62" s="82" t="str">
        <x:v>六破</x:v>
      </x:c>
      <x:c r="I62" s="68" t="str">
        <x:v>巳、申</x:v>
      </x:c>
      <x:c r="J62" s="82" t="str">
        <x:v>其他</x:v>
      </x:c>
      <x:c r="K62" s="82" t="str">
        <x:v>完整</x:v>
      </x:c>
      <x:c r="L62" s="68" t="str">
        <x:v>关系存在不以月支得令为必要条件；须另记录参与支中谁为月支。</x:v>
      </x:c>
      <x:c r="M62" s="68" t="str">
        <x:v>相关藏干是否透出不影响关系识别；透干信息只供后续效应与旺衰判断。</x:v>
      </x:c>
      <x:c r="N62" s="68" t="str">
        <x:v>同时独立检查巳申刑与巳申破；三种关系可并存。</x:v>
      </x:c>
      <x:c r="O62" s="68" t="str">
        <x:v>四柱地支已按年、月、日、时标准化并保留柱位。</x:v>
      </x:c>
      <x:c r="P62" s="68" t="str">
        <x:v>四柱地支中同时出现巳与申。</x:v>
      </x:c>
      <x:c r="Q62" s="68" t="str">
        <x:v>两支相邻或岁运再引动时，只增强后续破效应候选。</x:v>
      </x:c>
      <x:c r="R62" s="68" t="str">
        <x:v>两支隔位或其中一支参与其他强关系时，实际作用更不确定。</x:v>
      </x:c>
      <x:c r="S62" s="90" t="str">
        <x:v>缺少巳或申。</x:v>
      </x:c>
      <x:c r="T62" s="68" t="str">
        <x:v>六破的作用权重和具体解释存在流派差异；本表只保存固定配对。</x:v>
      </x:c>
      <x:c r="U62" s="68" t="str">
        <x:v>原局存在巳申六破关系。</x:v>
      </x:c>
      <x:c r="V62" s="68" t="str">
        <x:v>不得直接推出巳或申根气被破坏、必然减力、关系破裂或具体事件。</x:v>
      </x:c>
      <x:c r="W62" s="82" t="str">
        <x:v>P2_中</x:v>
      </x:c>
      <x:c r="X62" s="82" t="str">
        <x:v>辅助证据</x:v>
      </x:c>
      <x:c r="Y62" s="84" t="str">
        <x:v>巳申破</x:v>
      </x:c>
      <x:c r="Z62" s="84" t="str">
        <x:v>地支见巳、申，识别为巳申破；实际效应及权重转M06、M21判断。</x:v>
      </x:c>
      <x:c r="AA62" s="82" t="str">
        <x:v>中等</x:v>
      </x:c>
      <x:c r="AB62" s="82" t="str">
        <x:v>现代综合</x:v>
      </x:c>
      <x:c r="AC62" s="68" t="str">
        <x:v>六破配对在现代命理关系表中较常用，但具体效应权重存在较大流派差异。</x:v>
      </x:c>
      <x:c r="AD62" s="68" t="str">
        <x:v>年支巳、时支申，登记巳申破。</x:v>
      </x:c>
      <x:c r="AE62" s="90" t="str">
        <x:v>只见巳而不见申，不能登记巳申破。</x:v>
      </x:c>
      <x:c r="AF62" s="68" t="str">
        <x:v>内部结构化规则：识别层与效应层分离；https://zh.wikisource.org/wiki/淵海子平；https://zh.wikisource.org/zh-hans/三命通會_(四庫全書本)</x:v>
      </x:c>
      <x:c r="AG62" s="82" t="str">
        <x:v>待验证</x:v>
      </x:c>
      <x:c r="AH62" s="82" t="str">
        <x:v>初审</x:v>
      </x:c>
      <x:c r="AI62" s="87" t="n">
        <x:v>46255</x:v>
      </x:c>
    </x:row>
    <x:row r="63">
      <x:c r="A63" s="72" t="str">
        <x:f>IF(OR(C63="",D63=""),"",B63&amp;"-"&amp;UPPER(C63)&amp;"-"&amp;TEXT(D63,"0000")&amp;"-"&amp;E63)</x:f>
        <x:v>M05-PO-0057-V1.0</x:v>
      </x:c>
      <x:c r="B63" s="74" t="str">
        <x:v>M05</x:v>
      </x:c>
      <x:c r="C63" s="74" t="str">
        <x:v>PO</x:v>
      </x:c>
      <x:c r="D63" s="79" t="n">
        <x:v>57</x:v>
      </x:c>
      <x:c r="E63" s="74" t="str">
        <x:v>V1.0</x:v>
      </x:c>
      <x:c r="F63" s="68" t="str">
        <x:v>未戌六破识别</x:v>
      </x:c>
      <x:c r="G63" s="82" t="str">
        <x:v>识别层</x:v>
      </x:c>
      <x:c r="H63" s="82" t="str">
        <x:v>六破</x:v>
      </x:c>
      <x:c r="I63" s="68" t="str">
        <x:v>未、戌</x:v>
      </x:c>
      <x:c r="J63" s="82" t="str">
        <x:v>其他</x:v>
      </x:c>
      <x:c r="K63" s="82" t="str">
        <x:v>完整</x:v>
      </x:c>
      <x:c r="L63" s="68" t="str">
        <x:v>关系存在不以月支得令为必要条件；须另记录参与支中谁为月支。</x:v>
      </x:c>
      <x:c r="M63" s="68" t="str">
        <x:v>相关藏干是否透出不影响关系识别；透干信息只供后续效应与旺衰判断。</x:v>
      </x:c>
      <x:c r="N63" s="68" t="str">
        <x:v>同时独立检查未戌破及丑未戌刑组的局部刑关系。</x:v>
      </x:c>
      <x:c r="O63" s="68" t="str">
        <x:v>四柱地支已按年、月、日、时标准化并保留柱位。</x:v>
      </x:c>
      <x:c r="P63" s="68" t="str">
        <x:v>四柱地支中同时出现未与戌。</x:v>
      </x:c>
      <x:c r="Q63" s="68" t="str">
        <x:v>两支相邻或岁运再引动时，只增强后续破效应候选。</x:v>
      </x:c>
      <x:c r="R63" s="68" t="str">
        <x:v>两支隔位或其中一支参与其他强关系时，实际作用更不确定。</x:v>
      </x:c>
      <x:c r="S63" s="90" t="str">
        <x:v>缺少未或戌。</x:v>
      </x:c>
      <x:c r="T63" s="68" t="str">
        <x:v>六破的作用权重和具体解释存在流派差异；本表只保存固定配对。</x:v>
      </x:c>
      <x:c r="U63" s="68" t="str">
        <x:v>原局存在未戌六破关系。</x:v>
      </x:c>
      <x:c r="V63" s="68" t="str">
        <x:v>不得直接推出未或戌根气被破坏、必然减力、关系破裂或具体事件。</x:v>
      </x:c>
      <x:c r="W63" s="82" t="str">
        <x:v>P2_中</x:v>
      </x:c>
      <x:c r="X63" s="82" t="str">
        <x:v>辅助证据</x:v>
      </x:c>
      <x:c r="Y63" s="84" t="str">
        <x:v>未戌破</x:v>
      </x:c>
      <x:c r="Z63" s="84" t="str">
        <x:v>地支见未、戌，识别为未戌破；实际效应及权重转M06、M21判断。</x:v>
      </x:c>
      <x:c r="AA63" s="82" t="str">
        <x:v>中等</x:v>
      </x:c>
      <x:c r="AB63" s="82" t="str">
        <x:v>现代综合</x:v>
      </x:c>
      <x:c r="AC63" s="68" t="str">
        <x:v>六破配对在现代命理关系表中较常用，但具体效应权重存在较大流派差异。</x:v>
      </x:c>
      <x:c r="AD63" s="68" t="str">
        <x:v>年支未、时支戌，登记未戌破。</x:v>
      </x:c>
      <x:c r="AE63" s="90" t="str">
        <x:v>只见未而不见戌，不能登记未戌破。</x:v>
      </x:c>
      <x:c r="AF63" s="68" t="str">
        <x:v>内部结构化规则：识别层与效应层分离；https://zh.wikisource.org/wiki/淵海子平；https://zh.wikisource.org/zh-hans/三命通會_(四庫全書本)</x:v>
      </x:c>
      <x:c r="AG63" s="82" t="str">
        <x:v>待验证</x:v>
      </x:c>
      <x:c r="AH63" s="82" t="str">
        <x:v>初审</x:v>
      </x:c>
      <x:c r="AI63" s="87" t="n">
        <x:v>46255</x:v>
      </x:c>
    </x:row>
    <x:row r="64">
      <x:c r="A64" s="72" t="str">
        <x:f>IF(OR(C64="",D64=""),"",B64&amp;"-"&amp;UPPER(C64)&amp;"-"&amp;TEXT(D64,"0000")&amp;"-"&amp;E64)</x:f>
        <x:v>M05-POS-0058-V1.0</x:v>
      </x:c>
      <x:c r="B64" s="74" t="str">
        <x:v>M05</x:v>
      </x:c>
      <x:c r="C64" s="74" t="str">
        <x:v>POS</x:v>
      </x:c>
      <x:c r="D64" s="79" t="n">
        <x:v>58</x:v>
      </x:c>
      <x:c r="E64" s="74" t="str">
        <x:v>V1.0</x:v>
      </x:c>
      <x:c r="F64" s="68" t="str">
        <x:v>年月地支关系位置标记</x:v>
      </x:c>
      <x:c r="G64" s="82" t="str">
        <x:v>识别层</x:v>
      </x:c>
      <x:c r="H64" s="82" t="str">
        <x:v>其他</x:v>
      </x:c>
      <x:c r="I64" s="68" t="str">
        <x:v>年支、月支</x:v>
      </x:c>
      <x:c r="J64" s="82" t="str">
        <x:v>年月</x:v>
      </x:c>
      <x:c r="K64" s="82" t="str">
        <x:v>完整</x:v>
      </x:c>
      <x:c r="L64" s="68" t="str">
        <x:v>本条只标记柱位；若月支参与，另在“月令归属”记录。</x:v>
      </x:c>
      <x:c r="M64" s="68" t="str">
        <x:v>本条不以藏干透出为条件。</x:v>
      </x:c>
      <x:c r="N64" s="68" t="str">
        <x:v>同一对地支若满足具体六合、冲、刑、害、破等关系，须另引用相应规则。</x:v>
      </x:c>
      <x:c r="O64" s="68" t="str">
        <x:v>四柱地支已按年、月、日、时标准化并保留柱位。</x:v>
      </x:c>
      <x:c r="P64" s="68" t="str">
        <x:v>已识别的两个参与地支分别位于年月两柱。</x:v>
      </x:c>
      <x:c r="Q64" s="68" t="str">
        <x:v>年月属于相邻位置；该信息供M06评估接触路径，不在本条换算强弱。</x:v>
      </x:c>
      <x:c r="R64" s="68" t="str">
        <x:v>同一地支重复时，必须用柱位区分不同关系实例。</x:v>
      </x:c>
      <x:c r="S64" s="90" t="str">
        <x:v>参与支不位于年月两柱。</x:v>
      </x:c>
      <x:c r="T64" s="68" t="str">
        <x:v>位置只描述四柱顺序，不决定关系是否成局、谁强谁弱。</x:v>
      </x:c>
      <x:c r="U64" s="68" t="str">
        <x:v>该地支关系实例的位置标记为年月，位置类别为相邻。</x:v>
      </x:c>
      <x:c r="V64" s="68" t="str">
        <x:v>不得仅凭相邻、隔位或遥隔直接判关系有效、无效、增强或减弱。</x:v>
      </x:c>
      <x:c r="W64" s="82" t="str">
        <x:v>P1_高</x:v>
      </x:c>
      <x:c r="X64" s="82" t="str">
        <x:v>辅助证据</x:v>
      </x:c>
      <x:c r="Y64" s="84" t="str">
        <x:v>年月位置</x:v>
      </x:c>
      <x:c r="Z64" s="84" t="str">
        <x:v>该地支关系发生于年月，归入相邻位置；基础关系与实际效应分别记录。</x:v>
      </x:c>
      <x:c r="AA64" s="82" t="str">
        <x:v>确定</x:v>
      </x:c>
      <x:c r="AB64" s="82" t="str">
        <x:v>现代综合</x:v>
      </x:c>
      <x:c r="AC64" s="68" t="str">
        <x:v>四柱地支共有年月、月日、日时三个相邻组合，年日与月时为隔位，年时为遥隔。</x:v>
      </x:c>
      <x:c r="AD64" s="68" t="str">
        <x:v>关系两端分别位于年月，按本条记录。</x:v>
      </x:c>
      <x:c r="AE64" s="90" t="str">
        <x:v>关系两端实际位于其他柱位，不能标记为年月。</x:v>
      </x:c>
      <x:c r="AF64" s="68" t="str">
        <x:v>内部结构化规则：识别层与效应层分离；https://zh.wikisource.org/wiki/淵海子平；https://zh.wikisource.org/zh-hans/三命通會_(四庫全書本)</x:v>
      </x:c>
      <x:c r="AG64" s="82" t="str">
        <x:v>采用</x:v>
      </x:c>
      <x:c r="AH64" s="82" t="str">
        <x:v>初审</x:v>
      </x:c>
      <x:c r="AI64" s="87" t="n">
        <x:v>46255</x:v>
      </x:c>
    </x:row>
    <x:row r="65">
      <x:c r="A65" s="72" t="str">
        <x:f>IF(OR(C65="",D65=""),"",B65&amp;"-"&amp;UPPER(C65)&amp;"-"&amp;TEXT(D65,"0000")&amp;"-"&amp;E65)</x:f>
        <x:v>M05-POS-0059-V1.0</x:v>
      </x:c>
      <x:c r="B65" s="74" t="str">
        <x:v>M05</x:v>
      </x:c>
      <x:c r="C65" s="74" t="str">
        <x:v>POS</x:v>
      </x:c>
      <x:c r="D65" s="79" t="n">
        <x:v>59</x:v>
      </x:c>
      <x:c r="E65" s="74" t="str">
        <x:v>V1.0</x:v>
      </x:c>
      <x:c r="F65" s="68" t="str">
        <x:v>月日地支关系位置标记</x:v>
      </x:c>
      <x:c r="G65" s="82" t="str">
        <x:v>识别层</x:v>
      </x:c>
      <x:c r="H65" s="82" t="str">
        <x:v>其他</x:v>
      </x:c>
      <x:c r="I65" s="68" t="str">
        <x:v>月支、日支</x:v>
      </x:c>
      <x:c r="J65" s="82" t="str">
        <x:v>月日</x:v>
      </x:c>
      <x:c r="K65" s="82" t="str">
        <x:v>完整</x:v>
      </x:c>
      <x:c r="L65" s="68" t="str">
        <x:v>本条只标记柱位；若月支参与，另在“月令归属”记录。</x:v>
      </x:c>
      <x:c r="M65" s="68" t="str">
        <x:v>本条不以藏干透出为条件。</x:v>
      </x:c>
      <x:c r="N65" s="68" t="str">
        <x:v>同一对地支若满足具体六合、冲、刑、害、破等关系，须另引用相应规则。</x:v>
      </x:c>
      <x:c r="O65" s="68" t="str">
        <x:v>四柱地支已按年、月、日、时标准化并保留柱位。</x:v>
      </x:c>
      <x:c r="P65" s="68" t="str">
        <x:v>已识别的两个参与地支分别位于月日两柱。</x:v>
      </x:c>
      <x:c r="Q65" s="68" t="str">
        <x:v>月日属于相邻位置；该信息供M06评估接触路径，不在本条换算强弱。</x:v>
      </x:c>
      <x:c r="R65" s="68" t="str">
        <x:v>同一地支重复时，必须用柱位区分不同关系实例。</x:v>
      </x:c>
      <x:c r="S65" s="90" t="str">
        <x:v>参与支不位于月日两柱。</x:v>
      </x:c>
      <x:c r="T65" s="68" t="str">
        <x:v>位置只描述四柱顺序，不决定关系是否成局、谁强谁弱。</x:v>
      </x:c>
      <x:c r="U65" s="68" t="str">
        <x:v>该地支关系实例的位置标记为月日，位置类别为相邻。</x:v>
      </x:c>
      <x:c r="V65" s="68" t="str">
        <x:v>不得仅凭相邻、隔位或遥隔直接判关系有效、无效、增强或减弱。</x:v>
      </x:c>
      <x:c r="W65" s="82" t="str">
        <x:v>P1_高</x:v>
      </x:c>
      <x:c r="X65" s="82" t="str">
        <x:v>辅助证据</x:v>
      </x:c>
      <x:c r="Y65" s="84" t="str">
        <x:v>月日位置</x:v>
      </x:c>
      <x:c r="Z65" s="84" t="str">
        <x:v>该地支关系发生于月日，归入相邻位置；基础关系与实际效应分别记录。</x:v>
      </x:c>
      <x:c r="AA65" s="82" t="str">
        <x:v>确定</x:v>
      </x:c>
      <x:c r="AB65" s="82" t="str">
        <x:v>现代综合</x:v>
      </x:c>
      <x:c r="AC65" s="68" t="str">
        <x:v>四柱地支共有年月、月日、日时三个相邻组合，年日与月时为隔位，年时为遥隔。</x:v>
      </x:c>
      <x:c r="AD65" s="68" t="str">
        <x:v>关系两端分别位于月日，按本条记录。</x:v>
      </x:c>
      <x:c r="AE65" s="90" t="str">
        <x:v>关系两端实际位于其他柱位，不能标记为月日。</x:v>
      </x:c>
      <x:c r="AF65" s="68" t="str">
        <x:v>内部结构化规则：识别层与效应层分离；https://zh.wikisource.org/wiki/淵海子平；https://zh.wikisource.org/zh-hans/三命通會_(四庫全書本)</x:v>
      </x:c>
      <x:c r="AG65" s="82" t="str">
        <x:v>采用</x:v>
      </x:c>
      <x:c r="AH65" s="82" t="str">
        <x:v>初审</x:v>
      </x:c>
      <x:c r="AI65" s="87" t="n">
        <x:v>46255</x:v>
      </x:c>
    </x:row>
    <x:row r="66">
      <x:c r="A66" s="72" t="str">
        <x:f>IF(OR(C66="",D66=""),"",B66&amp;"-"&amp;UPPER(C66)&amp;"-"&amp;TEXT(D66,"0000")&amp;"-"&amp;E66)</x:f>
        <x:v>M05-POS-0060-V1.0</x:v>
      </x:c>
      <x:c r="B66" s="74" t="str">
        <x:v>M05</x:v>
      </x:c>
      <x:c r="C66" s="74" t="str">
        <x:v>POS</x:v>
      </x:c>
      <x:c r="D66" s="79" t="n">
        <x:v>60</x:v>
      </x:c>
      <x:c r="E66" s="74" t="str">
        <x:v>V1.0</x:v>
      </x:c>
      <x:c r="F66" s="68" t="str">
        <x:v>日时地支关系位置标记</x:v>
      </x:c>
      <x:c r="G66" s="82" t="str">
        <x:v>识别层</x:v>
      </x:c>
      <x:c r="H66" s="82" t="str">
        <x:v>其他</x:v>
      </x:c>
      <x:c r="I66" s="68" t="str">
        <x:v>日支、时支</x:v>
      </x:c>
      <x:c r="J66" s="82" t="str">
        <x:v>日时</x:v>
      </x:c>
      <x:c r="K66" s="82" t="str">
        <x:v>完整</x:v>
      </x:c>
      <x:c r="L66" s="68" t="str">
        <x:v>本条只标记柱位；若月支参与，另在“月令归属”记录。</x:v>
      </x:c>
      <x:c r="M66" s="68" t="str">
        <x:v>本条不以藏干透出为条件。</x:v>
      </x:c>
      <x:c r="N66" s="68" t="str">
        <x:v>同一对地支若满足具体六合、冲、刑、害、破等关系，须另引用相应规则。</x:v>
      </x:c>
      <x:c r="O66" s="68" t="str">
        <x:v>四柱地支已按年、月、日、时标准化并保留柱位。</x:v>
      </x:c>
      <x:c r="P66" s="68" t="str">
        <x:v>已识别的两个参与地支分别位于日时两柱。</x:v>
      </x:c>
      <x:c r="Q66" s="68" t="str">
        <x:v>日时属于相邻位置；该信息供M06评估接触路径，不在本条换算强弱。</x:v>
      </x:c>
      <x:c r="R66" s="68" t="str">
        <x:v>同一地支重复时，必须用柱位区分不同关系实例。</x:v>
      </x:c>
      <x:c r="S66" s="90" t="str">
        <x:v>参与支不位于日时两柱。</x:v>
      </x:c>
      <x:c r="T66" s="68" t="str">
        <x:v>位置只描述四柱顺序，不决定关系是否成局、谁强谁弱。</x:v>
      </x:c>
      <x:c r="U66" s="68" t="str">
        <x:v>该地支关系实例的位置标记为日时，位置类别为相邻。</x:v>
      </x:c>
      <x:c r="V66" s="68" t="str">
        <x:v>不得仅凭相邻、隔位或遥隔直接判关系有效、无效、增强或减弱。</x:v>
      </x:c>
      <x:c r="W66" s="82" t="str">
        <x:v>P1_高</x:v>
      </x:c>
      <x:c r="X66" s="82" t="str">
        <x:v>辅助证据</x:v>
      </x:c>
      <x:c r="Y66" s="84" t="str">
        <x:v>日时位置</x:v>
      </x:c>
      <x:c r="Z66" s="84" t="str">
        <x:v>该地支关系发生于日时，归入相邻位置；基础关系与实际效应分别记录。</x:v>
      </x:c>
      <x:c r="AA66" s="82" t="str">
        <x:v>确定</x:v>
      </x:c>
      <x:c r="AB66" s="82" t="str">
        <x:v>现代综合</x:v>
      </x:c>
      <x:c r="AC66" s="68" t="str">
        <x:v>四柱地支共有年月、月日、日时三个相邻组合，年日与月时为隔位，年时为遥隔。</x:v>
      </x:c>
      <x:c r="AD66" s="68" t="str">
        <x:v>关系两端分别位于日时，按本条记录。</x:v>
      </x:c>
      <x:c r="AE66" s="90" t="str">
        <x:v>关系两端实际位于其他柱位，不能标记为日时。</x:v>
      </x:c>
      <x:c r="AF66" s="68" t="str">
        <x:v>内部结构化规则：识别层与效应层分离；https://zh.wikisource.org/wiki/淵海子平；https://zh.wikisource.org/zh-hans/三命通會_(四庫全書本)</x:v>
      </x:c>
      <x:c r="AG66" s="82" t="str">
        <x:v>采用</x:v>
      </x:c>
      <x:c r="AH66" s="82" t="str">
        <x:v>初审</x:v>
      </x:c>
      <x:c r="AI66" s="87" t="n">
        <x:v>46255</x:v>
      </x:c>
    </x:row>
    <x:row r="67">
      <x:c r="A67" s="72" t="str">
        <x:f>IF(OR(C67="",D67=""),"",B67&amp;"-"&amp;UPPER(C67)&amp;"-"&amp;TEXT(D67,"0000")&amp;"-"&amp;E67)</x:f>
        <x:v>M05-POS-0061-V1.0</x:v>
      </x:c>
      <x:c r="B67" s="74" t="str">
        <x:v>M05</x:v>
      </x:c>
      <x:c r="C67" s="74" t="str">
        <x:v>POS</x:v>
      </x:c>
      <x:c r="D67" s="79" t="n">
        <x:v>61</x:v>
      </x:c>
      <x:c r="E67" s="74" t="str">
        <x:v>V1.0</x:v>
      </x:c>
      <x:c r="F67" s="68" t="str">
        <x:v>年日地支关系位置标记</x:v>
      </x:c>
      <x:c r="G67" s="82" t="str">
        <x:v>识别层</x:v>
      </x:c>
      <x:c r="H67" s="82" t="str">
        <x:v>其他</x:v>
      </x:c>
      <x:c r="I67" s="68" t="str">
        <x:v>年支、日支</x:v>
      </x:c>
      <x:c r="J67" s="82" t="str">
        <x:v>年日</x:v>
      </x:c>
      <x:c r="K67" s="82" t="str">
        <x:v>完整</x:v>
      </x:c>
      <x:c r="L67" s="68" t="str">
        <x:v>本条只标记柱位；若月支参与，另在“月令归属”记录。</x:v>
      </x:c>
      <x:c r="M67" s="68" t="str">
        <x:v>本条不以藏干透出为条件。</x:v>
      </x:c>
      <x:c r="N67" s="68" t="str">
        <x:v>同一对地支若满足具体六合、冲、刑、害、破等关系，须另引用相应规则。</x:v>
      </x:c>
      <x:c r="O67" s="68" t="str">
        <x:v>四柱地支已按年、月、日、时标准化并保留柱位。</x:v>
      </x:c>
      <x:c r="P67" s="68" t="str">
        <x:v>已识别的两个参与地支分别位于年日两柱。</x:v>
      </x:c>
      <x:c r="Q67" s="68" t="str">
        <x:v>年日属于隔位位置；该信息供M06评估接触路径，不在本条换算强弱。</x:v>
      </x:c>
      <x:c r="R67" s="68" t="str">
        <x:v>同一地支重复时，必须用柱位区分不同关系实例。</x:v>
      </x:c>
      <x:c r="S67" s="90" t="str">
        <x:v>参与支不位于年日两柱。</x:v>
      </x:c>
      <x:c r="T67" s="68" t="str">
        <x:v>位置只描述四柱顺序，不决定关系是否成局、谁强谁弱。</x:v>
      </x:c>
      <x:c r="U67" s="68" t="str">
        <x:v>该地支关系实例的位置标记为年日，位置类别为隔位。</x:v>
      </x:c>
      <x:c r="V67" s="68" t="str">
        <x:v>不得仅凭相邻、隔位或遥隔直接判关系有效、无效、增强或减弱。</x:v>
      </x:c>
      <x:c r="W67" s="82" t="str">
        <x:v>P1_高</x:v>
      </x:c>
      <x:c r="X67" s="82" t="str">
        <x:v>辅助证据</x:v>
      </x:c>
      <x:c r="Y67" s="84" t="str">
        <x:v>年日位置</x:v>
      </x:c>
      <x:c r="Z67" s="84" t="str">
        <x:v>该地支关系发生于年日，归入隔位位置；基础关系与实际效应分别记录。</x:v>
      </x:c>
      <x:c r="AA67" s="82" t="str">
        <x:v>确定</x:v>
      </x:c>
      <x:c r="AB67" s="82" t="str">
        <x:v>现代综合</x:v>
      </x:c>
      <x:c r="AC67" s="68" t="str">
        <x:v>四柱地支共有年月、月日、日时三个相邻组合，年日与月时为隔位，年时为遥隔。</x:v>
      </x:c>
      <x:c r="AD67" s="68" t="str">
        <x:v>关系两端分别位于年日，按本条记录。</x:v>
      </x:c>
      <x:c r="AE67" s="90" t="str">
        <x:v>关系两端实际位于其他柱位，不能标记为年日。</x:v>
      </x:c>
      <x:c r="AF67" s="68" t="str">
        <x:v>内部结构化规则：识别层与效应层分离；https://zh.wikisource.org/wiki/淵海子平；https://zh.wikisource.org/zh-hans/三命通會_(四庫全書本)</x:v>
      </x:c>
      <x:c r="AG67" s="82" t="str">
        <x:v>采用</x:v>
      </x:c>
      <x:c r="AH67" s="82" t="str">
        <x:v>初审</x:v>
      </x:c>
      <x:c r="AI67" s="87" t="n">
        <x:v>46255</x:v>
      </x:c>
    </x:row>
    <x:row r="68">
      <x:c r="A68" s="72" t="str">
        <x:f>IF(OR(C68="",D68=""),"",B68&amp;"-"&amp;UPPER(C68)&amp;"-"&amp;TEXT(D68,"0000")&amp;"-"&amp;E68)</x:f>
        <x:v>M05-POS-0062-V1.0</x:v>
      </x:c>
      <x:c r="B68" s="74" t="str">
        <x:v>M05</x:v>
      </x:c>
      <x:c r="C68" s="74" t="str">
        <x:v>POS</x:v>
      </x:c>
      <x:c r="D68" s="79" t="n">
        <x:v>62</x:v>
      </x:c>
      <x:c r="E68" s="74" t="str">
        <x:v>V1.0</x:v>
      </x:c>
      <x:c r="F68" s="68" t="str">
        <x:v>月时地支关系位置标记</x:v>
      </x:c>
      <x:c r="G68" s="82" t="str">
        <x:v>识别层</x:v>
      </x:c>
      <x:c r="H68" s="82" t="str">
        <x:v>其他</x:v>
      </x:c>
      <x:c r="I68" s="68" t="str">
        <x:v>月支、时支</x:v>
      </x:c>
      <x:c r="J68" s="82" t="str">
        <x:v>月时</x:v>
      </x:c>
      <x:c r="K68" s="82" t="str">
        <x:v>完整</x:v>
      </x:c>
      <x:c r="L68" s="68" t="str">
        <x:v>本条只标记柱位；若月支参与，另在“月令归属”记录。</x:v>
      </x:c>
      <x:c r="M68" s="68" t="str">
        <x:v>本条不以藏干透出为条件。</x:v>
      </x:c>
      <x:c r="N68" s="68" t="str">
        <x:v>同一对地支若满足具体六合、冲、刑、害、破等关系，须另引用相应规则。</x:v>
      </x:c>
      <x:c r="O68" s="68" t="str">
        <x:v>四柱地支已按年、月、日、时标准化并保留柱位。</x:v>
      </x:c>
      <x:c r="P68" s="68" t="str">
        <x:v>已识别的两个参与地支分别位于月时两柱。</x:v>
      </x:c>
      <x:c r="Q68" s="68" t="str">
        <x:v>月时属于隔位位置；该信息供M06评估接触路径，不在本条换算强弱。</x:v>
      </x:c>
      <x:c r="R68" s="68" t="str">
        <x:v>同一地支重复时，必须用柱位区分不同关系实例。</x:v>
      </x:c>
      <x:c r="S68" s="90" t="str">
        <x:v>参与支不位于月时两柱。</x:v>
      </x:c>
      <x:c r="T68" s="68" t="str">
        <x:v>位置只描述四柱顺序，不决定关系是否成局、谁强谁弱。</x:v>
      </x:c>
      <x:c r="U68" s="68" t="str">
        <x:v>该地支关系实例的位置标记为月时，位置类别为隔位。</x:v>
      </x:c>
      <x:c r="V68" s="68" t="str">
        <x:v>不得仅凭相邻、隔位或遥隔直接判关系有效、无效、增强或减弱。</x:v>
      </x:c>
      <x:c r="W68" s="82" t="str">
        <x:v>P1_高</x:v>
      </x:c>
      <x:c r="X68" s="82" t="str">
        <x:v>辅助证据</x:v>
      </x:c>
      <x:c r="Y68" s="84" t="str">
        <x:v>月时位置</x:v>
      </x:c>
      <x:c r="Z68" s="84" t="str">
        <x:v>该地支关系发生于月时，归入隔位位置；基础关系与实际效应分别记录。</x:v>
      </x:c>
      <x:c r="AA68" s="82" t="str">
        <x:v>确定</x:v>
      </x:c>
      <x:c r="AB68" s="82" t="str">
        <x:v>现代综合</x:v>
      </x:c>
      <x:c r="AC68" s="68" t="str">
        <x:v>四柱地支共有年月、月日、日时三个相邻组合，年日与月时为隔位，年时为遥隔。</x:v>
      </x:c>
      <x:c r="AD68" s="68" t="str">
        <x:v>关系两端分别位于月时，按本条记录。</x:v>
      </x:c>
      <x:c r="AE68" s="90" t="str">
        <x:v>关系两端实际位于其他柱位，不能标记为月时。</x:v>
      </x:c>
      <x:c r="AF68" s="68" t="str">
        <x:v>内部结构化规则：识别层与效应层分离；https://zh.wikisource.org/wiki/淵海子平；https://zh.wikisource.org/zh-hans/三命通會_(四庫全書本)</x:v>
      </x:c>
      <x:c r="AG68" s="82" t="str">
        <x:v>采用</x:v>
      </x:c>
      <x:c r="AH68" s="82" t="str">
        <x:v>初审</x:v>
      </x:c>
      <x:c r="AI68" s="87" t="n">
        <x:v>46255</x:v>
      </x:c>
    </x:row>
    <x:row r="69">
      <x:c r="A69" s="72" t="str">
        <x:f>IF(OR(C69="",D69=""),"",B69&amp;"-"&amp;UPPER(C69)&amp;"-"&amp;TEXT(D69,"0000")&amp;"-"&amp;E69)</x:f>
        <x:v>M05-POS-0063-V1.0</x:v>
      </x:c>
      <x:c r="B69" s="74" t="str">
        <x:v>M05</x:v>
      </x:c>
      <x:c r="C69" s="74" t="str">
        <x:v>POS</x:v>
      </x:c>
      <x:c r="D69" s="79" t="n">
        <x:v>63</x:v>
      </x:c>
      <x:c r="E69" s="74" t="str">
        <x:v>V1.0</x:v>
      </x:c>
      <x:c r="F69" s="68" t="str">
        <x:v>年时地支关系位置标记</x:v>
      </x:c>
      <x:c r="G69" s="82" t="str">
        <x:v>识别层</x:v>
      </x:c>
      <x:c r="H69" s="82" t="str">
        <x:v>其他</x:v>
      </x:c>
      <x:c r="I69" s="68" t="str">
        <x:v>年支、时支</x:v>
      </x:c>
      <x:c r="J69" s="82" t="str">
        <x:v>年时</x:v>
      </x:c>
      <x:c r="K69" s="82" t="str">
        <x:v>完整</x:v>
      </x:c>
      <x:c r="L69" s="68" t="str">
        <x:v>本条只标记柱位；若月支参与，另在“月令归属”记录。</x:v>
      </x:c>
      <x:c r="M69" s="68" t="str">
        <x:v>本条不以藏干透出为条件。</x:v>
      </x:c>
      <x:c r="N69" s="68" t="str">
        <x:v>同一对地支若满足具体六合、冲、刑、害、破等关系，须另引用相应规则。</x:v>
      </x:c>
      <x:c r="O69" s="68" t="str">
        <x:v>四柱地支已按年、月、日、时标准化并保留柱位。</x:v>
      </x:c>
      <x:c r="P69" s="68" t="str">
        <x:v>已识别的两个参与地支分别位于年时两柱。</x:v>
      </x:c>
      <x:c r="Q69" s="68" t="str">
        <x:v>年时属于遥隔位置；该信息供M06评估接触路径，不在本条换算强弱。</x:v>
      </x:c>
      <x:c r="R69" s="68" t="str">
        <x:v>同一地支重复时，必须用柱位区分不同关系实例。</x:v>
      </x:c>
      <x:c r="S69" s="90" t="str">
        <x:v>参与支不位于年时两柱。</x:v>
      </x:c>
      <x:c r="T69" s="68" t="str">
        <x:v>位置只描述四柱顺序，不决定关系是否成局、谁强谁弱。</x:v>
      </x:c>
      <x:c r="U69" s="68" t="str">
        <x:v>该地支关系实例的位置标记为年时，位置类别为遥隔。</x:v>
      </x:c>
      <x:c r="V69" s="68" t="str">
        <x:v>不得仅凭相邻、隔位或遥隔直接判关系有效、无效、增强或减弱。</x:v>
      </x:c>
      <x:c r="W69" s="82" t="str">
        <x:v>P1_高</x:v>
      </x:c>
      <x:c r="X69" s="82" t="str">
        <x:v>辅助证据</x:v>
      </x:c>
      <x:c r="Y69" s="84" t="str">
        <x:v>年时位置</x:v>
      </x:c>
      <x:c r="Z69" s="84" t="str">
        <x:v>该地支关系发生于年时，归入遥隔位置；基础关系与实际效应分别记录。</x:v>
      </x:c>
      <x:c r="AA69" s="82" t="str">
        <x:v>确定</x:v>
      </x:c>
      <x:c r="AB69" s="82" t="str">
        <x:v>现代综合</x:v>
      </x:c>
      <x:c r="AC69" s="68" t="str">
        <x:v>四柱地支共有年月、月日、日时三个相邻组合，年日与月时为隔位，年时为遥隔。</x:v>
      </x:c>
      <x:c r="AD69" s="68" t="str">
        <x:v>关系两端分别位于年时，按本条记录。</x:v>
      </x:c>
      <x:c r="AE69" s="90" t="str">
        <x:v>关系两端实际位于其他柱位，不能标记为年时。</x:v>
      </x:c>
      <x:c r="AF69" s="68" t="str">
        <x:v>内部结构化规则：识别层与效应层分离；https://zh.wikisource.org/wiki/淵海子平；https://zh.wikisource.org/zh-hans/三命通會_(四庫全書本)</x:v>
      </x:c>
      <x:c r="AG69" s="82" t="str">
        <x:v>采用</x:v>
      </x:c>
      <x:c r="AH69" s="82" t="str">
        <x:v>初审</x:v>
      </x:c>
      <x:c r="AI69" s="87" t="n">
        <x:v>46255</x:v>
      </x:c>
    </x:row>
    <x:row r="70">
      <x:c r="A70" s="72" t="str">
        <x:f>IF(OR(C70="",D70=""),"",B70&amp;"-"&amp;UPPER(C70)&amp;"-"&amp;TEXT(D70,"0000")&amp;"-"&amp;E70)</x:f>
        <x:v>M05-BOUND-0064-V1.0</x:v>
      </x:c>
      <x:c r="B70" s="74" t="str">
        <x:v>M05</x:v>
      </x:c>
      <x:c r="C70" s="74" t="str">
        <x:v>BOUND</x:v>
      </x:c>
      <x:c r="D70" s="79" t="n">
        <x:v>64</x:v>
      </x:c>
      <x:c r="E70" s="74" t="str">
        <x:v>V1.0</x:v>
      </x:c>
      <x:c r="F70" s="68" t="str">
        <x:v>月令归属只作关系元数据</x:v>
      </x:c>
      <x:c r="G70" s="82" t="str">
        <x:v>识别层</x:v>
      </x:c>
      <x:c r="H70" s="82" t="str">
        <x:v>其他</x:v>
      </x:c>
      <x:c r="I70" s="68" t="str">
        <x:v>任一已识别地支关系</x:v>
      </x:c>
      <x:c r="J70" s="82" t="str">
        <x:v>其他</x:v>
      </x:c>
      <x:c r="K70" s="82" t="str">
        <x:v>待定</x:v>
      </x:c>
      <x:c r="L70" s="68" t="str">
        <x:v>必须标记参与支中哪一支为月支；没有参与支临月令时也应明确记录。</x:v>
      </x:c>
      <x:c r="M70" s="68" t="str">
        <x:v>不适用。</x:v>
      </x:c>
      <x:c r="N70" s="68" t="str">
        <x:v>把月令信息传递至M06、M08、M14，不在M05改变关系是否存在。</x:v>
      </x:c>
      <x:c r="O70" s="68" t="str">
        <x:v>四柱地支已按年、月、日、时标准化并保留柱位。</x:v>
      </x:c>
      <x:c r="P70" s="68" t="str">
        <x:v>至少一条地支关系已经识别。</x:v>
      </x:c>
      <x:c r="Q70" s="68"/>
      <x:c r="R70" s="68"/>
      <x:c r="S70" s="90" t="str">
        <x:v>不得因关系双方均不得令就删除基础关系。</x:v>
      </x:c>
      <x:c r="T70" s="68" t="str">
        <x:v>月令可影响成局、冲刑强弱与根气，但属于后续效应。</x:v>
      </x:c>
      <x:c r="U70" s="68" t="str">
        <x:v>关系存在性与月令归属分栏记录。</x:v>
      </x:c>
      <x:c r="V70" s="68" t="str">
        <x:v>不得把“得令”写成六合、冲、刑、害、破存在的必要条件。</x:v>
      </x:c>
      <x:c r="W70" s="82" t="str">
        <x:v>P0_硬约束</x:v>
      </x:c>
      <x:c r="X70" s="82" t="str">
        <x:v>硬约束</x:v>
      </x:c>
      <x:c r="Y70" s="84" t="str">
        <x:v>月令元数据</x:v>
      </x:c>
      <x:c r="Z70" s="84" t="str">
        <x:v>该关系已识别；参与支的月令归属另行标注，仅供后续效应判断。</x:v>
      </x:c>
      <x:c r="AA70" s="82" t="str">
        <x:v>确定</x:v>
      </x:c>
      <x:c r="AB70" s="82" t="str">
        <x:v>现代综合</x:v>
      </x:c>
      <x:c r="AC70" s="68" t="str">
        <x:v>关系配对由地支组合决定，月令决定力量背景，两者不可混为一层。</x:v>
      </x:c>
      <x:c r="AD70" s="68" t="str">
        <x:v>子午同时出现即登记冲，再注明子或午是否为月支。</x:v>
      </x:c>
      <x:c r="AE70" s="90" t="str">
        <x:v>因子午均不得令而否定子午冲，属于把效应条件错当存在条件。</x:v>
      </x:c>
      <x:c r="AF70" s="68" t="str">
        <x:v>内部结构化规则：识别层与效应层分离；https://zh.wikisource.org/wiki/淵海子平；https://zh.wikisource.org/zh-hans/三命通會_(四庫全書本)</x:v>
      </x:c>
      <x:c r="AG70" s="82" t="str">
        <x:v>采用</x:v>
      </x:c>
      <x:c r="AH70" s="82" t="str">
        <x:v>初审</x:v>
      </x:c>
      <x:c r="AI70" s="87" t="n">
        <x:v>46255</x:v>
      </x:c>
    </x:row>
    <x:row r="71">
      <x:c r="A71" s="72" t="str">
        <x:f>IF(OR(C71="",D71=""),"",B71&amp;"-"&amp;UPPER(C71)&amp;"-"&amp;TEXT(D71,"0000")&amp;"-"&amp;E71)</x:f>
        <x:v>M05-BOUND-0065-V1.0</x:v>
      </x:c>
      <x:c r="B71" s="74" t="str">
        <x:v>M05</x:v>
      </x:c>
      <x:c r="C71" s="74" t="str">
        <x:v>BOUND</x:v>
      </x:c>
      <x:c r="D71" s="79" t="n">
        <x:v>65</x:v>
      </x:c>
      <x:c r="E71" s="74" t="str">
        <x:v>V1.0</x:v>
      </x:c>
      <x:c r="F71" s="68" t="str">
        <x:v>藏干透出不决定地支关系存在</x:v>
      </x:c>
      <x:c r="G71" s="82" t="str">
        <x:v>识别层</x:v>
      </x:c>
      <x:c r="H71" s="82" t="str">
        <x:v>其他</x:v>
      </x:c>
      <x:c r="I71" s="68" t="str">
        <x:v>任一已识别地支关系</x:v>
      </x:c>
      <x:c r="J71" s="82" t="str">
        <x:v>其他</x:v>
      </x:c>
      <x:c r="K71" s="82" t="str">
        <x:v>待定</x:v>
      </x:c>
      <x:c r="L71" s="68" t="str">
        <x:v>不适用。</x:v>
      </x:c>
      <x:c r="M71" s="68" t="str">
        <x:v>必须记录相关藏干是否透出，但透出与否不改变地支配对事实。</x:v>
      </x:c>
      <x:c r="N71" s="68" t="str">
        <x:v>透干信息传递至M06、M08、M10。</x:v>
      </x:c>
      <x:c r="O71" s="68" t="str">
        <x:v>四柱地支已按年、月、日、时标准化并保留柱位。</x:v>
      </x:c>
      <x:c r="P71" s="68" t="str">
        <x:v>地支配对或完整结构已经满足。</x:v>
      </x:c>
      <x:c r="Q71" s="68"/>
      <x:c r="R71" s="68"/>
      <x:c r="S71" s="90" t="str">
        <x:v>不得因藏干未透就删除六合、冲刑害破等关系。</x:v>
      </x:c>
      <x:c r="T71" s="68" t="str">
        <x:v>透干可使某一藏干作用更显，但属于效应层。</x:v>
      </x:c>
      <x:c r="U71" s="68" t="str">
        <x:v>关系保留，透干状态作为独立元数据。</x:v>
      </x:c>
      <x:c r="V71" s="68" t="str">
        <x:v>不得把“未透”写成地支关系不存在，也不得把“透出”写成关系必强。</x:v>
      </x:c>
      <x:c r="W71" s="82" t="str">
        <x:v>P0_硬约束</x:v>
      </x:c>
      <x:c r="X71" s="82" t="str">
        <x:v>硬约束</x:v>
      </x:c>
      <x:c r="Y71" s="84" t="str">
        <x:v>透干元数据</x:v>
      </x:c>
      <x:c r="Z71" s="84" t="str">
        <x:v>地支关系按支位成立；相关藏干透出情况另记，不影响本层识别。</x:v>
      </x:c>
      <x:c r="AA71" s="82" t="str">
        <x:v>确定</x:v>
      </x:c>
      <x:c r="AB71" s="82" t="str">
        <x:v>现代综合</x:v>
      </x:c>
      <x:c r="AC71" s="68" t="str">
        <x:v>地支关系的参与对象是地支，藏干透出是后续作用通道。</x:v>
      </x:c>
      <x:c r="AD71" s="68" t="str">
        <x:v>寅申同见即登记冲，不因甲庚未透而取消。</x:v>
      </x:c>
      <x:c r="AE71" s="90" t="str">
        <x:v>只有甲庚透干而地支无寅申，不能反向登记寅申冲。</x:v>
      </x:c>
      <x:c r="AF71" s="68" t="str">
        <x:v>内部结构化规则：识别层与效应层分离；https://zh.wikisource.org/wiki/淵海子平；https://zh.wikisource.org/zh-hans/三命通會_(四庫全書本)</x:v>
      </x:c>
      <x:c r="AG71" s="82" t="str">
        <x:v>采用</x:v>
      </x:c>
      <x:c r="AH71" s="82" t="str">
        <x:v>初审</x:v>
      </x:c>
      <x:c r="AI71" s="87" t="n">
        <x:v>46255</x:v>
      </x:c>
    </x:row>
    <x:row r="72">
      <x:c r="A72" s="72" t="str">
        <x:f>IF(OR(C72="",D72=""),"",B72&amp;"-"&amp;UPPER(C72)&amp;"-"&amp;TEXT(D72,"0000")&amp;"-"&amp;E72)</x:f>
        <x:v>M05-BOUND-0066-V1.0</x:v>
      </x:c>
      <x:c r="B72" s="74" t="str">
        <x:v>M05</x:v>
      </x:c>
      <x:c r="C72" s="74" t="str">
        <x:v>BOUND</x:v>
      </x:c>
      <x:c r="D72" s="79" t="n">
        <x:v>66</x:v>
      </x:c>
      <x:c r="E72" s="74" t="str">
        <x:v>V1.0</x:v>
      </x:c>
      <x:c r="F72" s="68" t="str">
        <x:v>藏干不得替代缺失地支补齐关系</x:v>
      </x:c>
      <x:c r="G72" s="82" t="str">
        <x:v>识别层</x:v>
      </x:c>
      <x:c r="H72" s="82" t="str">
        <x:v>其他</x:v>
      </x:c>
      <x:c r="I72" s="68" t="str">
        <x:v>地支与藏干</x:v>
      </x:c>
      <x:c r="J72" s="82" t="str">
        <x:v>其他</x:v>
      </x:c>
      <x:c r="K72" s="82" t="str">
        <x:v>缺失</x:v>
      </x:c>
      <x:c r="L72" s="68" t="str">
        <x:v>不适用。</x:v>
      </x:c>
      <x:c r="M72" s="68" t="str">
        <x:v>藏干即使透出，也不能在地支层替代一个实际缺失的地支。</x:v>
      </x:c>
      <x:c r="N72" s="68" t="str">
        <x:v>藏干存在与透出转M02、M03、M10处理。</x:v>
      </x:c>
      <x:c r="O72" s="68" t="str">
        <x:v>四柱地支已按年、月、日、时标准化并保留柱位。</x:v>
      </x:c>
      <x:c r="P72" s="68" t="str">
        <x:v>拟建立的地支关系缺少某一实际地支，仅有该支常藏之天干或同五行出现。</x:v>
      </x:c>
      <x:c r="Q72" s="68"/>
      <x:c r="R72" s="68"/>
      <x:c r="S72" s="90" t="str">
        <x:v>若缺失地支在四柱中真实出现，则按对应规则重新识别。</x:v>
      </x:c>
      <x:c r="T72" s="68" t="str">
        <x:v>岁运出现该地支可在D0标记补齐，但不改写原局。</x:v>
      </x:c>
      <x:c r="U72" s="68" t="str">
        <x:v>该地支关系保持缺失或部分状态。</x:v>
      </x:c>
      <x:c r="V72" s="68" t="str">
        <x:v>不得以藏干、同五行或天干名称替代缺失地支。</x:v>
      </x:c>
      <x:c r="W72" s="82" t="str">
        <x:v>P0_硬约束</x:v>
      </x:c>
      <x:c r="X72" s="82" t="str">
        <x:v>否决规则</x:v>
      </x:c>
      <x:c r="Y72" s="84" t="str">
        <x:v>藏干不补支</x:v>
      </x:c>
      <x:c r="Z72" s="84" t="str">
        <x:v>缺失的是实际地支，藏干或同五行不能替代，因此该关系未在原局补齐。</x:v>
      </x:c>
      <x:c r="AA72" s="82" t="str">
        <x:v>确定</x:v>
      </x:c>
      <x:c r="AB72" s="82" t="str">
        <x:v>跨流派共识</x:v>
      </x:c>
      <x:c r="AC72" s="68" t="str">
        <x:v>关系结构由具体地支节点构成，不由抽象五行或藏干替代。</x:v>
      </x:c>
      <x:c r="AD72" s="68" t="str">
        <x:v>申子辰缺辰，天干见戊不等于辰支出现。</x:v>
      </x:c>
      <x:c r="AE72" s="90" t="str">
        <x:v>原局真实见辰时，应按申子辰三支重新检查完整性。</x:v>
      </x:c>
      <x:c r="AF72" s="68" t="str">
        <x:v>内部结构化规则：识别层与效应层分离；https://zh.wikisource.org/wiki/淵海子平；https://zh.wikisource.org/zh-hans/三命通會_(四庫全書本)</x:v>
      </x:c>
      <x:c r="AG72" s="82" t="str">
        <x:v>采用</x:v>
      </x:c>
      <x:c r="AH72" s="82" t="str">
        <x:v>初审</x:v>
      </x:c>
      <x:c r="AI72" s="87" t="n">
        <x:v>46255</x:v>
      </x:c>
    </x:row>
    <x:row r="73">
      <x:c r="A73" s="72" t="str">
        <x:f>IF(OR(C73="",D73=""),"",B73&amp;"-"&amp;UPPER(C73)&amp;"-"&amp;TEXT(D73,"0000")&amp;"-"&amp;E73)</x:f>
        <x:v>M05-BOUND-0067-V1.0</x:v>
      </x:c>
      <x:c r="B73" s="74" t="str">
        <x:v>M05</x:v>
      </x:c>
      <x:c r="C73" s="74" t="str">
        <x:v>BOUND</x:v>
      </x:c>
      <x:c r="D73" s="79" t="n">
        <x:v>67</x:v>
      </x:c>
      <x:c r="E73" s="74" t="str">
        <x:v>V1.0</x:v>
      </x:c>
      <x:c r="F73" s="68" t="str">
        <x:v>重复地支按柱位保留独立节点</x:v>
      </x:c>
      <x:c r="G73" s="82" t="str">
        <x:v>识别层</x:v>
      </x:c>
      <x:c r="H73" s="82" t="str">
        <x:v>其他</x:v>
      </x:c>
      <x:c r="I73" s="68" t="str">
        <x:v>任一重复地支</x:v>
      </x:c>
      <x:c r="J73" s="82" t="str">
        <x:v>其他</x:v>
      </x:c>
      <x:c r="K73" s="82" t="str">
        <x:v>完整</x:v>
      </x:c>
      <x:c r="L73" s="68" t="str">
        <x:v>若重复支之一为月支，须标明具体柱位。</x:v>
      </x:c>
      <x:c r="M73" s="68" t="str">
        <x:v>重复支可有相同藏干，但仍是不同柱位节点。</x:v>
      </x:c>
      <x:c r="N73" s="68" t="str">
        <x:v>每个节点分别检查与其他支的合冲刑害破；自刑另按规则判断。</x:v>
      </x:c>
      <x:c r="O73" s="68" t="str">
        <x:v>四柱地支已按年、月、日、时标准化并保留柱位。</x:v>
      </x:c>
      <x:c r="P73" s="68" t="str">
        <x:v>同一地支在年、月、日、时中出现两次或以上。</x:v>
      </x:c>
      <x:c r="Q73" s="68" t="str">
        <x:v>柱位清楚时可准确生成多重关系实例。</x:v>
      </x:c>
      <x:c r="R73" s="68" t="str">
        <x:v>不得因支名相同而合并为一个抽象节点。</x:v>
      </x:c>
      <x:c r="S73" s="90" t="str">
        <x:v>该地支只出现一次。</x:v>
      </x:c>
      <x:c r="T73" s="68" t="str">
        <x:v>汇总统计可以计数，底层关系图仍保留逐柱节点。</x:v>
      </x:c>
      <x:c r="U73" s="68" t="str">
        <x:v>重复地支按柱位分别编号，不合并。</x:v>
      </x:c>
      <x:c r="V73" s="68" t="str">
        <x:v>不得把一个支节点的关系复制给全部同名支，也不得丢失自刑与多重关系信息。</x:v>
      </x:c>
      <x:c r="W73" s="82" t="str">
        <x:v>P0_硬约束</x:v>
      </x:c>
      <x:c r="X73" s="82" t="str">
        <x:v>硬约束</x:v>
      </x:c>
      <x:c r="Y73" s="84" t="str">
        <x:v>重复支节点</x:v>
      </x:c>
      <x:c r="Z73" s="84" t="str">
        <x:v>原局存在同名地支重复；已按柱位拆分独立节点，再分别建立关系。</x:v>
      </x:c>
      <x:c r="AA73" s="82" t="str">
        <x:v>确定</x:v>
      </x:c>
      <x:c r="AB73" s="82" t="str">
        <x:v>现代综合</x:v>
      </x:c>
      <x:c r="AC73" s="68" t="str">
        <x:v>关系识别需要区分年辰、月辰、日辰、时辰等具体节点。</x:v>
      </x:c>
      <x:c r="AD73" s="68" t="str">
        <x:v>年支辰、时支辰分别作为两个节点，并检查辰辰自刑及各自与其他支的关系。</x:v>
      </x:c>
      <x:c r="AE73" s="90" t="str">
        <x:v>把两个辰合并为一个辰，会遗漏自刑与柱位差异。</x:v>
      </x:c>
      <x:c r="AF73" s="68" t="str">
        <x:v>内部结构化规则：识别层与效应层分离；https://zh.wikisource.org/wiki/淵海子平；https://zh.wikisource.org/zh-hans/三命通會_(四庫全書本)</x:v>
      </x:c>
      <x:c r="AG73" s="82" t="str">
        <x:v>采用</x:v>
      </x:c>
      <x:c r="AH73" s="82" t="str">
        <x:v>初审</x:v>
      </x:c>
      <x:c r="AI73" s="87" t="n">
        <x:v>46255</x:v>
      </x:c>
    </x:row>
    <x:row r="74">
      <x:c r="A74" s="72" t="str">
        <x:f>IF(OR(C74="",D74=""),"",B74&amp;"-"&amp;UPPER(C74)&amp;"-"&amp;TEXT(D74,"0000")&amp;"-"&amp;E74)</x:f>
        <x:v>M05-OVER-0068-V1.0</x:v>
      </x:c>
      <x:c r="B74" s="74" t="str">
        <x:v>M05</x:v>
      </x:c>
      <x:c r="C74" s="74" t="str">
        <x:v>OVER</x:v>
      </x:c>
      <x:c r="D74" s="79" t="n">
        <x:v>68</x:v>
      </x:c>
      <x:c r="E74" s="74" t="str">
        <x:v>V1.0</x:v>
      </x:c>
      <x:c r="F74" s="68" t="str">
        <x:v>同一地支可同时参与多种关系</x:v>
      </x:c>
      <x:c r="G74" s="82" t="str">
        <x:v>识别层</x:v>
      </x:c>
      <x:c r="H74" s="82" t="str">
        <x:v>其他</x:v>
      </x:c>
      <x:c r="I74" s="68" t="str">
        <x:v>任一共享地支节点</x:v>
      </x:c>
      <x:c r="J74" s="82" t="str">
        <x:v>其他</x:v>
      </x:c>
      <x:c r="K74" s="82" t="str">
        <x:v>完整</x:v>
      </x:c>
      <x:c r="L74" s="68" t="str">
        <x:v>关系存在不以月支得令为必要条件；须另记录参与支中谁为月支。</x:v>
      </x:c>
      <x:c r="M74" s="68" t="str">
        <x:v>相关藏干是否透出不影响关系识别；透干信息只供后续效应与旺衰判断。</x:v>
      </x:c>
      <x:c r="N74" s="68" t="str">
        <x:v>检查参与支是否同时构成合、冲、刑、害、破、三合或三会的其他关系。</x:v>
      </x:c>
      <x:c r="O74" s="68" t="str">
        <x:v>四柱地支已按年、月、日、时标准化并保留柱位。</x:v>
      </x:c>
      <x:c r="P74" s="68" t="str">
        <x:v>同一地支节点与不同地支，或与同一地支，满足两种及以上固定关系。</x:v>
      </x:c>
      <x:c r="Q74" s="68" t="str">
        <x:v>关系实例均有明确柱位与类型。</x:v>
      </x:c>
      <x:c r="R74" s="68" t="str">
        <x:v>多重关系越多，后续效应越需逐对象裁决。</x:v>
      </x:c>
      <x:c r="S74" s="90" t="str">
        <x:v>基础关系配对并不成立。</x:v>
      </x:c>
      <x:c r="T74" s="68" t="str">
        <x:v>同一节点参与多关系不表示这些关系效应同强，也不预设优先级。</x:v>
      </x:c>
      <x:c r="U74" s="68" t="str">
        <x:v>保留该地支参与的全部关系边。</x:v>
      </x:c>
      <x:c r="V74" s="68" t="str">
        <x:v>不得只保留一种关系、删除其他客观关系，也不得据数量直接定旺衰。</x:v>
      </x:c>
      <x:c r="W74" s="82" t="str">
        <x:v>P0_硬约束</x:v>
      </x:c>
      <x:c r="X74" s="82" t="str">
        <x:v>硬约束</x:v>
      </x:c>
      <x:c r="Y74" s="84" t="str">
        <x:v>多重关系节点</x:v>
      </x:c>
      <x:c r="Z74" s="84" t="str">
        <x:v>该地支同时参与多种关系；所有关系已独立列出，效应优先级转M06。</x:v>
      </x:c>
      <x:c r="AA74" s="82" t="str">
        <x:v>确定</x:v>
      </x:c>
      <x:c r="AB74" s="82" t="str">
        <x:v>现代综合</x:v>
      </x:c>
      <x:c r="AC74" s="68" t="str">
        <x:v>地支关系形成网络而非互斥标签；识别层必须完整保存。</x:v>
      </x:c>
      <x:c r="AD74" s="68" t="str">
        <x:v>巳申同见，六合、刑、破三种关系均需记录。</x:v>
      </x:c>
      <x:c r="AE74" s="90" t="str">
        <x:v>因巳申六合就删除巳申刑或巳申破，会丢失客观关系。</x:v>
      </x:c>
      <x:c r="AF74" s="68" t="str">
        <x:v>内部结构化规则：识别层与效应层分离；https://zh.wikisource.org/wiki/淵海子平；https://zh.wikisource.org/zh-hans/三命通會_(四庫全書本)</x:v>
      </x:c>
      <x:c r="AG74" s="82" t="str">
        <x:v>采用</x:v>
      </x:c>
      <x:c r="AH74" s="82" t="str">
        <x:v>初审</x:v>
      </x:c>
      <x:c r="AI74" s="87" t="n">
        <x:v>46255</x:v>
      </x:c>
    </x:row>
    <x:row r="75">
      <x:c r="A75" s="72" t="str">
        <x:f>IF(OR(C75="",D75=""),"",B75&amp;"-"&amp;UPPER(C75)&amp;"-"&amp;TEXT(D75,"0000")&amp;"-"&amp;E75)</x:f>
        <x:v>M05-OVER-0069-V1.0</x:v>
      </x:c>
      <x:c r="B75" s="74" t="str">
        <x:v>M05</x:v>
      </x:c>
      <x:c r="C75" s="74" t="str">
        <x:v>OVER</x:v>
      </x:c>
      <x:c r="D75" s="79" t="n">
        <x:v>69</x:v>
      </x:c>
      <x:c r="E75" s="74" t="str">
        <x:v>V1.0</x:v>
      </x:c>
      <x:c r="F75" s="68" t="str">
        <x:v>多重地支关系按实例独立列出</x:v>
      </x:c>
      <x:c r="G75" s="82" t="str">
        <x:v>识别层</x:v>
      </x:c>
      <x:c r="H75" s="82" t="str">
        <x:v>其他</x:v>
      </x:c>
      <x:c r="I75" s="68" t="str">
        <x:v>全部关系实例</x:v>
      </x:c>
      <x:c r="J75" s="82" t="str">
        <x:v>其他</x:v>
      </x:c>
      <x:c r="K75" s="82" t="str">
        <x:v>完整</x:v>
      </x:c>
      <x:c r="L75" s="68" t="str">
        <x:v>关系存在不以月支得令为必要条件；须另记录参与支中谁为月支。</x:v>
      </x:c>
      <x:c r="M75" s="68" t="str">
        <x:v>相关藏干是否透出不影响关系识别；透干信息只供后续效应与旺衰判断。</x:v>
      </x:c>
      <x:c r="N75" s="68" t="str">
        <x:v>检查参与支是否同时构成合、冲、刑、害、破、三合或三会的其他关系。</x:v>
      </x:c>
      <x:c r="O75" s="68" t="str">
        <x:v>四柱地支已按年、月、日、时标准化并保留柱位。</x:v>
      </x:c>
      <x:c r="P75" s="68" t="str">
        <x:v>原局存在两条或以上共享节点或相互叠加的地支关系。</x:v>
      </x:c>
      <x:c r="Q75" s="68" t="str">
        <x:v>每条关系均记录类型、参与支、柱位、完整度和同时关系。</x:v>
      </x:c>
      <x:c r="R75" s="68" t="str">
        <x:v>不得用一个总括词替代具体关系。</x:v>
      </x:c>
      <x:c r="S75" s="90" t="str">
        <x:v>无基础关系时不生成关系实例。</x:v>
      </x:c>
      <x:c r="T75" s="68" t="str">
        <x:v>后续可建立关系组，但不能删除底层单条关系。</x:v>
      </x:c>
      <x:c r="U75" s="68" t="str">
        <x:v>每条关系独立成行或成边，并以关系组关联。</x:v>
      </x:c>
      <x:c r="V75" s="68" t="str">
        <x:v>不得在M05裁定哪个关系吞并哪个关系，也不得先做力量抵消。</x:v>
      </x:c>
      <x:c r="W75" s="82" t="str">
        <x:v>P0_硬约束</x:v>
      </x:c>
      <x:c r="X75" s="82" t="str">
        <x:v>硬约束</x:v>
      </x:c>
      <x:c r="Y75" s="84" t="str">
        <x:v>关系实例化</x:v>
      </x:c>
      <x:c r="Z75" s="84" t="str">
        <x:v>原局地支关系已逐条实例化；叠加、竞争与优先级转M06处理。</x:v>
      </x:c>
      <x:c r="AA75" s="82" t="str">
        <x:v>确定</x:v>
      </x:c>
      <x:c r="AB75" s="82" t="str">
        <x:v>现代综合</x:v>
      </x:c>
      <x:c r="AC75" s="68" t="str">
        <x:v>只有保留底层关系明细，后续才能逐支判断实际效应。</x:v>
      </x:c>
      <x:c r="AD75" s="68" t="str">
        <x:v>寅、巳、申齐全时，同时列三刑完整、寅申冲、寅巳害、巳申六合与破。</x:v>
      </x:c>
      <x:c r="AE75" s="90" t="str">
        <x:v>只写“寅巳申复杂”而不列具体关系，无法回溯。</x:v>
      </x:c>
      <x:c r="AF75" s="68" t="str">
        <x:v>内部结构化规则：识别层与效应层分离；https://zh.wikisource.org/wiki/淵海子平；https://zh.wikisource.org/zh-hans/三命通會_(四庫全書本)</x:v>
      </x:c>
      <x:c r="AG75" s="82" t="str">
        <x:v>采用</x:v>
      </x:c>
      <x:c r="AH75" s="82" t="str">
        <x:v>初审</x:v>
      </x:c>
      <x:c r="AI75" s="87" t="n">
        <x:v>46255</x:v>
      </x:c>
    </x:row>
    <x:row r="76">
      <x:c r="A76" s="72" t="str">
        <x:f>IF(OR(C76="",D76=""),"",B76&amp;"-"&amp;UPPER(C76)&amp;"-"&amp;TEXT(D76,"0000")&amp;"-"&amp;E76)</x:f>
        <x:v>M05-BOUND-0070-V1.0</x:v>
      </x:c>
      <x:c r="B76" s="74" t="str">
        <x:v>M05</x:v>
      </x:c>
      <x:c r="C76" s="74" t="str">
        <x:v>BOUND</x:v>
      </x:c>
      <x:c r="D76" s="79" t="n">
        <x:v>70</x:v>
      </x:c>
      <x:c r="E76" s="74" t="str">
        <x:v>V1.0</x:v>
      </x:c>
      <x:c r="F76" s="68" t="str">
        <x:v>三支结构缺一不得标记原局完整</x:v>
      </x:c>
      <x:c r="G76" s="82" t="str">
        <x:v>识别层</x:v>
      </x:c>
      <x:c r="H76" s="82" t="str">
        <x:v>其他</x:v>
      </x:c>
      <x:c r="I76" s="68" t="str">
        <x:v>任一三合、三会或三刑三支组</x:v>
      </x:c>
      <x:c r="J76" s="82" t="str">
        <x:v>其他</x:v>
      </x:c>
      <x:c r="K76" s="82" t="str">
        <x:v>部分</x:v>
      </x:c>
      <x:c r="L76" s="68" t="str">
        <x:v>关系存在不以月支得令为必要条件；须另记录参与支中谁为月支。</x:v>
      </x:c>
      <x:c r="M76" s="68" t="str">
        <x:v>相关藏干是否透出不影响关系识别；透干信息只供后续效应与旺衰判断。</x:v>
      </x:c>
      <x:c r="N76" s="68" t="str">
        <x:v>检查参与支是否同时构成合、冲、刑、害、破、三合或三会的其他关系。</x:v>
      </x:c>
      <x:c r="O76" s="68" t="str">
        <x:v>四柱地支已按年、月、日、时标准化并保留柱位。</x:v>
      </x:c>
      <x:c r="P76" s="68" t="str">
        <x:v>目标三支组只出现其中一支或两支。</x:v>
      </x:c>
      <x:c r="Q76" s="68"/>
      <x:c r="R76" s="68"/>
      <x:c r="S76" s="90" t="str">
        <x:v>三支已经全部真实出现时，应按完整规则登记。</x:v>
      </x:c>
      <x:c r="T76" s="68" t="str">
        <x:v>两支可能另构成半合、拱合或局部刑，须按对应子类精确分类。</x:v>
      </x:c>
      <x:c r="U76" s="68" t="str">
        <x:v>该三支结构标记为部分或缺失，不标原局完整。</x:v>
      </x:c>
      <x:c r="V76" s="68" t="str">
        <x:v>不得用同五行、藏干、重复支或“气势相近”代替缺失支。</x:v>
      </x:c>
      <x:c r="W76" s="82" t="str">
        <x:v>P0_硬约束</x:v>
      </x:c>
      <x:c r="X76" s="82" t="str">
        <x:v>否决规则</x:v>
      </x:c>
      <x:c r="Y76" s="84" t="str">
        <x:v>三支完整性边界</x:v>
      </x:c>
      <x:c r="Z76" s="84" t="str">
        <x:v>该三支结构尚未齐全；只记录实际存在的部分关系，不写原局完整三合、三会或三刑。</x:v>
      </x:c>
      <x:c r="AA76" s="82" t="str">
        <x:v>确定</x:v>
      </x:c>
      <x:c r="AB76" s="82" t="str">
        <x:v>现代综合</x:v>
      </x:c>
      <x:c r="AC76" s="68" t="str">
        <x:v>完整度是集合成员是否齐全的客观事实，不能由力量或象义替代。</x:v>
      </x:c>
      <x:c r="AD76" s="68" t="str">
        <x:v>寅、巳而无申，只记寅巳局部刑。</x:v>
      </x:c>
      <x:c r="AE76" s="90" t="str">
        <x:v>因申金透干或金旺就把缺申的寅巳补成完整三刑。</x:v>
      </x:c>
      <x:c r="AF76" s="68" t="str">
        <x:v>内部结构化规则：识别层与效应层分离；https://zh.wikisource.org/wiki/淵海子平；https://zh.wikisource.org/zh-hans/三命通會_(四庫全書本)</x:v>
      </x:c>
      <x:c r="AG76" s="82" t="str">
        <x:v>采用</x:v>
      </x:c>
      <x:c r="AH76" s="82" t="str">
        <x:v>初审</x:v>
      </x:c>
      <x:c r="AI76" s="87" t="n">
        <x:v>46255</x:v>
      </x:c>
    </x:row>
    <x:row r="77">
      <x:c r="A77" s="72" t="str">
        <x:f>IF(OR(C77="",D77=""),"",B77&amp;"-"&amp;UPPER(C77)&amp;"-"&amp;TEXT(D77,"0000")&amp;"-"&amp;E77)</x:f>
        <x:v>M05-SUIYUN-0071-V1.0</x:v>
      </x:c>
      <x:c r="B77" s="74" t="str">
        <x:v>M05</x:v>
      </x:c>
      <x:c r="C77" s="74" t="str">
        <x:v>SUIYUN</x:v>
      </x:c>
      <x:c r="D77" s="79" t="n">
        <x:v>71</x:v>
      </x:c>
      <x:c r="E77" s="74" t="str">
        <x:v>V1.0</x:v>
      </x:c>
      <x:c r="F77" s="68" t="str">
        <x:v>三合结构岁运补齐标记</x:v>
      </x:c>
      <x:c r="G77" s="82" t="str">
        <x:v>识别层</x:v>
      </x:c>
      <x:c r="H77" s="82" t="str">
        <x:v>三合</x:v>
      </x:c>
      <x:c r="I77" s="68" t="str">
        <x:v>原局部分三合＋岁运补入缺支</x:v>
      </x:c>
      <x:c r="J77" s="82" t="str">
        <x:v>其他</x:v>
      </x:c>
      <x:c r="K77" s="82" t="str">
        <x:v>岁运补齐</x:v>
      </x:c>
      <x:c r="L77" s="68" t="str">
        <x:v>原局月令保持不变；新增岁运支另记录其时间层级。</x:v>
      </x:c>
      <x:c r="M77" s="68" t="str">
        <x:v>岁运透干与原局透干分层记录。</x:v>
      </x:c>
      <x:c r="N77" s="68" t="str">
        <x:v>补齐后重新识别所有新生的合冲刑害破关系，但不得改写原局静态清单。</x:v>
      </x:c>
      <x:c r="O77" s="68" t="str">
        <x:v>四柱地支已按年、月、日、时标准化并保留柱位。</x:v>
      </x:c>
      <x:c r="P77" s="68" t="str">
        <x:v>原局仅部分具备某组三合，大运或流年真实出现唯一缺失地支。</x:v>
      </x:c>
      <x:c r="Q77" s="68" t="str">
        <x:v>补入支与原局支相邻性由动态模型按作用层级判断。</x:v>
      </x:c>
      <x:c r="R77" s="68" t="str">
        <x:v>岁运支同时被其他关系牵制时，只影响动态效应，不影响“曾补齐”事实。</x:v>
      </x:c>
      <x:c r="S77" s="90" t="str">
        <x:v>缺失支未在该岁运真实出现，或原局本已完整。</x:v>
      </x:c>
      <x:c r="T77" s="68" t="str">
        <x:v>M0只输出原局部分结构与可补齐接口；具体年份和事件由D0处理。</x:v>
      </x:c>
      <x:c r="U77" s="68" t="str">
        <x:v>该时段标记为三合结构岁运补齐，原局状态仍为部分。</x:v>
      </x:c>
      <x:c r="V77" s="68" t="str">
        <x:v>不得把岁运补齐写成原局天生完整，也不得在M05直接断吉凶事件。</x:v>
      </x:c>
      <x:c r="W77" s="82" t="str">
        <x:v>P1_高</x:v>
      </x:c>
      <x:c r="X77" s="82" t="str">
        <x:v>硬约束</x:v>
      </x:c>
      <x:c r="Y77" s="84" t="str">
        <x:v>三合岁运补齐</x:v>
      </x:c>
      <x:c r="Z77" s="84" t="str">
        <x:v>原局三合结构未全；该岁运补入缺支后可标记“岁运补齐”，动态效应转D0/M06。</x:v>
      </x:c>
      <x:c r="AA77" s="82" t="str">
        <x:v>确定</x:v>
      </x:c>
      <x:c r="AB77" s="82" t="str">
        <x:v>现代综合</x:v>
      </x:c>
      <x:c r="AC77" s="68" t="str">
        <x:v>静态原局与动态岁运必须分层；补齐是时间条件，不是回写原局。</x:v>
      </x:c>
      <x:c r="AD77" s="68" t="str">
        <x:v>原局申子而缺辰，流年辰到，可标记申子辰三合岁运补齐。</x:v>
      </x:c>
      <x:c r="AE77" s="90" t="str">
        <x:v>流年未见缺支时，不能仅凭同五行旺就标记三合补齐。</x:v>
      </x:c>
      <x:c r="AF77" s="68" t="str">
        <x:v>内部结构化规则：识别层与效应层分离；https://zh.wikisource.org/wiki/淵海子平；https://zh.wikisource.org/zh-hans/三命通會_(四庫全書本)</x:v>
      </x:c>
      <x:c r="AG77" s="82" t="str">
        <x:v>采用</x:v>
      </x:c>
      <x:c r="AH77" s="82" t="str">
        <x:v>初审</x:v>
      </x:c>
      <x:c r="AI77" s="87" t="n">
        <x:v>46255</x:v>
      </x:c>
    </x:row>
    <x:row r="78">
      <x:c r="A78" s="72" t="str">
        <x:f>IF(OR(C78="",D78=""),"",B78&amp;"-"&amp;UPPER(C78)&amp;"-"&amp;TEXT(D78,"0000")&amp;"-"&amp;E78)</x:f>
        <x:v>M05-SUIYUN-0072-V1.0</x:v>
      </x:c>
      <x:c r="B78" s="74" t="str">
        <x:v>M05</x:v>
      </x:c>
      <x:c r="C78" s="74" t="str">
        <x:v>SUIYUN</x:v>
      </x:c>
      <x:c r="D78" s="79" t="n">
        <x:v>72</x:v>
      </x:c>
      <x:c r="E78" s="74" t="str">
        <x:v>V1.0</x:v>
      </x:c>
      <x:c r="F78" s="68" t="str">
        <x:v>三会结构岁运补齐标记</x:v>
      </x:c>
      <x:c r="G78" s="82" t="str">
        <x:v>识别层</x:v>
      </x:c>
      <x:c r="H78" s="82" t="str">
        <x:v>三会</x:v>
      </x:c>
      <x:c r="I78" s="68" t="str">
        <x:v>原局部分三会＋岁运补入缺支</x:v>
      </x:c>
      <x:c r="J78" s="82" t="str">
        <x:v>其他</x:v>
      </x:c>
      <x:c r="K78" s="82" t="str">
        <x:v>岁运补齐</x:v>
      </x:c>
      <x:c r="L78" s="68" t="str">
        <x:v>原局月令保持不变；新增岁运支另记录其时间层级。</x:v>
      </x:c>
      <x:c r="M78" s="68" t="str">
        <x:v>岁运透干与原局透干分层记录。</x:v>
      </x:c>
      <x:c r="N78" s="68" t="str">
        <x:v>补齐后重新识别所有新生的合冲刑害破关系，但不得改写原局静态清单。</x:v>
      </x:c>
      <x:c r="O78" s="68" t="str">
        <x:v>四柱地支已按年、月、日、时标准化并保留柱位。</x:v>
      </x:c>
      <x:c r="P78" s="68" t="str">
        <x:v>原局仅部分具备某组三会，大运或流年真实出现唯一缺失地支。</x:v>
      </x:c>
      <x:c r="Q78" s="68" t="str">
        <x:v>补入支与原局支相邻性由动态模型按作用层级判断。</x:v>
      </x:c>
      <x:c r="R78" s="68" t="str">
        <x:v>岁运支同时被其他关系牵制时，只影响动态效应，不影响“曾补齐”事实。</x:v>
      </x:c>
      <x:c r="S78" s="90" t="str">
        <x:v>缺失支未在该岁运真实出现，或原局本已完整。</x:v>
      </x:c>
      <x:c r="T78" s="68" t="str">
        <x:v>M0只输出原局部分结构与可补齐接口；具体年份和事件由D0处理。</x:v>
      </x:c>
      <x:c r="U78" s="68" t="str">
        <x:v>该时段标记为三会结构岁运补齐，原局状态仍为部分。</x:v>
      </x:c>
      <x:c r="V78" s="68" t="str">
        <x:v>不得把岁运补齐写成原局天生完整，也不得在M05直接断吉凶事件。</x:v>
      </x:c>
      <x:c r="W78" s="82" t="str">
        <x:v>P1_高</x:v>
      </x:c>
      <x:c r="X78" s="82" t="str">
        <x:v>硬约束</x:v>
      </x:c>
      <x:c r="Y78" s="84" t="str">
        <x:v>三会岁运补齐</x:v>
      </x:c>
      <x:c r="Z78" s="84" t="str">
        <x:v>原局三会结构未全；该岁运补入缺支后可标记“岁运补齐”，动态效应转D0/M06。</x:v>
      </x:c>
      <x:c r="AA78" s="82" t="str">
        <x:v>确定</x:v>
      </x:c>
      <x:c r="AB78" s="82" t="str">
        <x:v>现代综合</x:v>
      </x:c>
      <x:c r="AC78" s="68" t="str">
        <x:v>静态原局与动态岁运必须分层；补齐是时间条件，不是回写原局。</x:v>
      </x:c>
      <x:c r="AD78" s="68" t="str">
        <x:v>原局申子而缺辰，流年辰到，可标记申子辰三合岁运补齐。</x:v>
      </x:c>
      <x:c r="AE78" s="90" t="str">
        <x:v>流年未见缺支时，不能仅凭同五行旺就标记三会补齐。</x:v>
      </x:c>
      <x:c r="AF78" s="68" t="str">
        <x:v>内部结构化规则：识别层与效应层分离；https://zh.wikisource.org/wiki/淵海子平；https://zh.wikisource.org/zh-hans/三命通會_(四庫全書本)</x:v>
      </x:c>
      <x:c r="AG78" s="82" t="str">
        <x:v>采用</x:v>
      </x:c>
      <x:c r="AH78" s="82" t="str">
        <x:v>初审</x:v>
      </x:c>
      <x:c r="AI78" s="87" t="n">
        <x:v>46255</x:v>
      </x:c>
    </x:row>
    <x:row r="79">
      <x:c r="A79" s="72" t="str">
        <x:f>IF(OR(C79="",D79=""),"",B79&amp;"-"&amp;UPPER(C79)&amp;"-"&amp;TEXT(D79,"0000")&amp;"-"&amp;E79)</x:f>
        <x:v>M05-SUIYUN-0073-V1.0</x:v>
      </x:c>
      <x:c r="B79" s="74" t="str">
        <x:v>M05</x:v>
      </x:c>
      <x:c r="C79" s="74" t="str">
        <x:v>SUIYUN</x:v>
      </x:c>
      <x:c r="D79" s="79" t="n">
        <x:v>73</x:v>
      </x:c>
      <x:c r="E79" s="74" t="str">
        <x:v>V1.0</x:v>
      </x:c>
      <x:c r="F79" s="68" t="str">
        <x:v>三刑结构岁运补齐标记</x:v>
      </x:c>
      <x:c r="G79" s="82" t="str">
        <x:v>识别层</x:v>
      </x:c>
      <x:c r="H79" s="82" t="str">
        <x:v>三刑</x:v>
      </x:c>
      <x:c r="I79" s="68" t="str">
        <x:v>原局部分三刑＋岁运补入缺支</x:v>
      </x:c>
      <x:c r="J79" s="82" t="str">
        <x:v>其他</x:v>
      </x:c>
      <x:c r="K79" s="82" t="str">
        <x:v>岁运补齐</x:v>
      </x:c>
      <x:c r="L79" s="68" t="str">
        <x:v>原局月令保持不变；新增岁运支另记录其时间层级。</x:v>
      </x:c>
      <x:c r="M79" s="68" t="str">
        <x:v>岁运透干与原局透干分层记录。</x:v>
      </x:c>
      <x:c r="N79" s="68" t="str">
        <x:v>补齐后重新识别所有新生的合冲刑害破关系，但不得改写原局静态清单。</x:v>
      </x:c>
      <x:c r="O79" s="68" t="str">
        <x:v>四柱地支已按年、月、日、时标准化并保留柱位。</x:v>
      </x:c>
      <x:c r="P79" s="68" t="str">
        <x:v>原局仅部分具备某组三刑，大运或流年真实出现唯一缺失地支。</x:v>
      </x:c>
      <x:c r="Q79" s="68" t="str">
        <x:v>补入支与原局支相邻性由动态模型按作用层级判断。</x:v>
      </x:c>
      <x:c r="R79" s="68" t="str">
        <x:v>岁运支同时被其他关系牵制时，只影响动态效应，不影响“曾补齐”事实。</x:v>
      </x:c>
      <x:c r="S79" s="90" t="str">
        <x:v>缺失支未在该岁运真实出现，或原局本已完整。</x:v>
      </x:c>
      <x:c r="T79" s="68" t="str">
        <x:v>M0只输出原局部分结构与可补齐接口；具体年份和事件由D0处理。</x:v>
      </x:c>
      <x:c r="U79" s="68" t="str">
        <x:v>该时段标记为三刑结构岁运补齐，原局状态仍为部分。</x:v>
      </x:c>
      <x:c r="V79" s="68" t="str">
        <x:v>不得把岁运补齐写成原局天生完整，也不得在M05直接断吉凶事件。</x:v>
      </x:c>
      <x:c r="W79" s="82" t="str">
        <x:v>P1_高</x:v>
      </x:c>
      <x:c r="X79" s="82" t="str">
        <x:v>硬约束</x:v>
      </x:c>
      <x:c r="Y79" s="84" t="str">
        <x:v>三刑岁运补齐</x:v>
      </x:c>
      <x:c r="Z79" s="84" t="str">
        <x:v>原局三刑结构未全；该岁运补入缺支后可标记“岁运补齐”，动态效应转D0/M06。</x:v>
      </x:c>
      <x:c r="AA79" s="82" t="str">
        <x:v>确定</x:v>
      </x:c>
      <x:c r="AB79" s="82" t="str">
        <x:v>现代综合</x:v>
      </x:c>
      <x:c r="AC79" s="68" t="str">
        <x:v>静态原局与动态岁运必须分层；补齐是时间条件，不是回写原局。</x:v>
      </x:c>
      <x:c r="AD79" s="68" t="str">
        <x:v>原局申子而缺辰，流年辰到，可标记申子辰三合岁运补齐。</x:v>
      </x:c>
      <x:c r="AE79" s="90" t="str">
        <x:v>流年未见缺支时，不能仅凭同五行旺就标记三刑补齐。</x:v>
      </x:c>
      <x:c r="AF79" s="68" t="str">
        <x:v>内部结构化规则：识别层与效应层分离；https://zh.wikisource.org/wiki/淵海子平；https://zh.wikisource.org/zh-hans/三命通會_(四庫全書本)</x:v>
      </x:c>
      <x:c r="AG79" s="82" t="str">
        <x:v>采用</x:v>
      </x:c>
      <x:c r="AH79" s="82" t="str">
        <x:v>初审</x:v>
      </x:c>
      <x:c r="AI79" s="87" t="n">
        <x:v>46255</x:v>
      </x:c>
    </x:row>
    <x:row r="80">
      <x:c r="A80" s="72" t="str">
        <x:f>IF(OR(C80="",D80=""),"",B80&amp;"-"&amp;UPPER(C80)&amp;"-"&amp;TEXT(D80,"0000")&amp;"-"&amp;E80)</x:f>
        <x:v>M05-BOUND-0074-V1.0</x:v>
      </x:c>
      <x:c r="B80" s="74" t="str">
        <x:v>M05</x:v>
      </x:c>
      <x:c r="C80" s="74" t="str">
        <x:v>BOUND</x:v>
      </x:c>
      <x:c r="D80" s="79" t="n">
        <x:v>74</x:v>
      </x:c>
      <x:c r="E80" s="74" t="str">
        <x:v>V1.0</x:v>
      </x:c>
      <x:c r="F80" s="68" t="str">
        <x:v>六合识别不等于合化成立</x:v>
      </x:c>
      <x:c r="G80" s="82" t="str">
        <x:v>识别层</x:v>
      </x:c>
      <x:c r="H80" s="82" t="str">
        <x:v>六合</x:v>
      </x:c>
      <x:c r="I80" s="68" t="str">
        <x:v>任一六合配对</x:v>
      </x:c>
      <x:c r="J80" s="82" t="str">
        <x:v>其他</x:v>
      </x:c>
      <x:c r="K80" s="82" t="str">
        <x:v>完整</x:v>
      </x:c>
      <x:c r="L80" s="68" t="str">
        <x:v>关系存在不以月支得令为必要条件；须另记录参与支中谁为月支。</x:v>
      </x:c>
      <x:c r="M80" s="68" t="str">
        <x:v>相关藏干是否透出不影响关系识别；透干信息只供后续效应与旺衰判断。</x:v>
      </x:c>
      <x:c r="N80" s="68" t="str">
        <x:v>检查参与支是否同时构成合、冲、刑、害、破、三合或三会的其他关系。</x:v>
      </x:c>
      <x:c r="O80" s="68" t="str">
        <x:v>四柱地支已按年、月、日、时标准化并保留柱位。</x:v>
      </x:c>
      <x:c r="P80" s="68" t="str">
        <x:v>基础六合配对已经识别。</x:v>
      </x:c>
      <x:c r="Q80" s="68"/>
      <x:c r="R80" s="68"/>
      <x:c r="S80" s="90" t="str">
        <x:v>无六合配对时不生成本边界提示。</x:v>
      </x:c>
      <x:c r="T80" s="68" t="str">
        <x:v>合绊、合住、合动、合化及化神条件由M06判断。</x:v>
      </x:c>
      <x:c r="U80" s="68" t="str">
        <x:v>六合关系存在，效应状态为待判。</x:v>
      </x:c>
      <x:c r="V80" s="68" t="str">
        <x:v>不得直接把两支改写为化神五行、删除原支或固定减力。</x:v>
      </x:c>
      <x:c r="W80" s="82" t="str">
        <x:v>P0_硬约束</x:v>
      </x:c>
      <x:c r="X80" s="82" t="str">
        <x:v>硬约束</x:v>
      </x:c>
      <x:c r="Y80" s="84" t="str">
        <x:v>六合效应边界</x:v>
      </x:c>
      <x:c r="Z80" s="84" t="str">
        <x:v>六合已经识别，但并不等于合化；实际作用转M06。</x:v>
      </x:c>
      <x:c r="AA80" s="82" t="str">
        <x:v>确定</x:v>
      </x:c>
      <x:c r="AB80" s="82" t="str">
        <x:v>现代综合</x:v>
      </x:c>
      <x:c r="AC80" s="68" t="str">
        <x:v>配对存在与合化成败是两层结论。</x:v>
      </x:c>
      <x:c r="AD80" s="68" t="str">
        <x:v>子丑同见只先写子丑合，不直接写已化土。</x:v>
      </x:c>
      <x:c r="AE80" s="90" t="str">
        <x:v>看到巳申就直接改成水局，属于越层推断。</x:v>
      </x:c>
      <x:c r="AF80" s="68" t="str">
        <x:v>内部结构化规则：识别层与效应层分离；https://zh.wikisource.org/wiki/淵海子平；https://zh.wikisource.org/zh-hans/三命通會_(四庫全書本)</x:v>
      </x:c>
      <x:c r="AG80" s="82" t="str">
        <x:v>采用</x:v>
      </x:c>
      <x:c r="AH80" s="82" t="str">
        <x:v>初审</x:v>
      </x:c>
      <x:c r="AI80" s="87" t="n">
        <x:v>46255</x:v>
      </x:c>
    </x:row>
    <x:row r="81">
      <x:c r="A81" s="72" t="str">
        <x:f>IF(OR(C81="",D81=""),"",B81&amp;"-"&amp;UPPER(C81)&amp;"-"&amp;TEXT(D81,"0000")&amp;"-"&amp;E81)</x:f>
        <x:v>M05-BOUND-0075-V1.0</x:v>
      </x:c>
      <x:c r="B81" s="74" t="str">
        <x:v>M05</x:v>
      </x:c>
      <x:c r="C81" s="74" t="str">
        <x:v>BOUND</x:v>
      </x:c>
      <x:c r="D81" s="79" t="n">
        <x:v>75</x:v>
      </x:c>
      <x:c r="E81" s="74" t="str">
        <x:v>V1.0</x:v>
      </x:c>
      <x:c r="F81" s="68" t="str">
        <x:v>三合完整不等于三合成局</x:v>
      </x:c>
      <x:c r="G81" s="82" t="str">
        <x:v>识别层</x:v>
      </x:c>
      <x:c r="H81" s="82" t="str">
        <x:v>三合</x:v>
      </x:c>
      <x:c r="I81" s="68" t="str">
        <x:v>任一完整三合组</x:v>
      </x:c>
      <x:c r="J81" s="82" t="str">
        <x:v>其他</x:v>
      </x:c>
      <x:c r="K81" s="82" t="str">
        <x:v>完整</x:v>
      </x:c>
      <x:c r="L81" s="68" t="str">
        <x:v>关系存在不以月支得令为必要条件；须另记录参与支中谁为月支。</x:v>
      </x:c>
      <x:c r="M81" s="68" t="str">
        <x:v>相关藏干是否透出不影响关系识别；透干信息只供后续效应与旺衰判断。</x:v>
      </x:c>
      <x:c r="N81" s="68" t="str">
        <x:v>检查参与支是否同时构成合、冲、刑、害、破、三合或三会的其他关系。</x:v>
      </x:c>
      <x:c r="O81" s="68" t="str">
        <x:v>四柱地支已按年、月、日、时标准化并保留柱位。</x:v>
      </x:c>
      <x:c r="P81" s="68" t="str">
        <x:v>三合三支已经齐全。</x:v>
      </x:c>
      <x:c r="Q81" s="68"/>
      <x:c r="R81" s="68"/>
      <x:c r="S81" s="90" t="str">
        <x:v>三支未齐时不能使用本条的“完整”前提。</x:v>
      </x:c>
      <x:c r="T81" s="68" t="str">
        <x:v>成局须综合月令、中神、透干、根气、冲破与全局势，转M06。</x:v>
      </x:c>
      <x:c r="U81" s="68" t="str">
        <x:v>三合完整结构与成局状态分开记录。</x:v>
      </x:c>
      <x:c r="V81" s="68" t="str">
        <x:v>不得直接输出三支合化、目标五行极旺或其他五行消失。</x:v>
      </x:c>
      <x:c r="W81" s="82" t="str">
        <x:v>P0_硬约束</x:v>
      </x:c>
      <x:c r="X81" s="82" t="str">
        <x:v>硬约束</x:v>
      </x:c>
      <x:c r="Y81" s="84" t="str">
        <x:v>三合成局边界</x:v>
      </x:c>
      <x:c r="Z81" s="84" t="str">
        <x:v>三合三支齐全，但成局尚未判定；目标五行只作为候选。</x:v>
      </x:c>
      <x:c r="AA81" s="82" t="str">
        <x:v>确定</x:v>
      </x:c>
      <x:c r="AB81" s="82" t="str">
        <x:v>现代综合</x:v>
      </x:c>
      <x:c r="AC81" s="68" t="str">
        <x:v>集合齐全是必要事实之一，不足以单独证明有效成局。</x:v>
      </x:c>
      <x:c r="AD81" s="68" t="str">
        <x:v>申子辰齐全，先记完整三合水候选。</x:v>
      </x:c>
      <x:c r="AE81" s="90" t="str">
        <x:v>不查月令与破坏条件就直接判水局成立。</x:v>
      </x:c>
      <x:c r="AF81" s="68" t="str">
        <x:v>内部结构化规则：识别层与效应层分离；https://zh.wikisource.org/wiki/淵海子平；https://zh.wikisource.org/zh-hans/三命通會_(四庫全書本)</x:v>
      </x:c>
      <x:c r="AG81" s="82" t="str">
        <x:v>采用</x:v>
      </x:c>
      <x:c r="AH81" s="82" t="str">
        <x:v>初审</x:v>
      </x:c>
      <x:c r="AI81" s="87" t="n">
        <x:v>46255</x:v>
      </x:c>
    </x:row>
    <x:row r="82">
      <x:c r="A82" s="72" t="str">
        <x:f>IF(OR(C82="",D82=""),"",B82&amp;"-"&amp;UPPER(C82)&amp;"-"&amp;TEXT(D82,"0000")&amp;"-"&amp;E82)</x:f>
        <x:v>M05-BOUND-0076-V1.0</x:v>
      </x:c>
      <x:c r="B82" s="74" t="str">
        <x:v>M05</x:v>
      </x:c>
      <x:c r="C82" s="74" t="str">
        <x:v>BOUND</x:v>
      </x:c>
      <x:c r="D82" s="79" t="n">
        <x:v>76</x:v>
      </x:c>
      <x:c r="E82" s="74" t="str">
        <x:v>V1.0</x:v>
      </x:c>
      <x:c r="F82" s="68" t="str">
        <x:v>三会完整不等于三会成局</x:v>
      </x:c>
      <x:c r="G82" s="82" t="str">
        <x:v>识别层</x:v>
      </x:c>
      <x:c r="H82" s="82" t="str">
        <x:v>三会</x:v>
      </x:c>
      <x:c r="I82" s="68" t="str">
        <x:v>任一完整三会组</x:v>
      </x:c>
      <x:c r="J82" s="82" t="str">
        <x:v>其他</x:v>
      </x:c>
      <x:c r="K82" s="82" t="str">
        <x:v>完整</x:v>
      </x:c>
      <x:c r="L82" s="68" t="str">
        <x:v>关系存在不以月支得令为必要条件；须另记录参与支中谁为月支。</x:v>
      </x:c>
      <x:c r="M82" s="68" t="str">
        <x:v>相关藏干是否透出不影响关系识别；透干信息只供后续效应与旺衰判断。</x:v>
      </x:c>
      <x:c r="N82" s="68" t="str">
        <x:v>检查参与支是否同时构成合、冲、刑、害、破、三合或三会的其他关系。</x:v>
      </x:c>
      <x:c r="O82" s="68" t="str">
        <x:v>四柱地支已按年、月、日、时标准化并保留柱位。</x:v>
      </x:c>
      <x:c r="P82" s="68" t="str">
        <x:v>三会三支已经齐全。</x:v>
      </x:c>
      <x:c r="Q82" s="68"/>
      <x:c r="R82" s="68"/>
      <x:c r="S82" s="90" t="str">
        <x:v>三支未齐时不能使用本条的“完整”前提。</x:v>
      </x:c>
      <x:c r="T82" s="68" t="str">
        <x:v>成会须综合季令、透干、根气、冲破与全局势，转M06。</x:v>
      </x:c>
      <x:c r="U82" s="68" t="str">
        <x:v>三会完整结构与成会状态分开记录。</x:v>
      </x:c>
      <x:c r="V82" s="68" t="str">
        <x:v>不得直接输出目标五行已成专势、三支原性消失或力量固定最大。</x:v>
      </x:c>
      <x:c r="W82" s="82" t="str">
        <x:v>P0_硬约束</x:v>
      </x:c>
      <x:c r="X82" s="82" t="str">
        <x:v>硬约束</x:v>
      </x:c>
      <x:c r="Y82" s="84" t="str">
        <x:v>三会成局边界</x:v>
      </x:c>
      <x:c r="Z82" s="84" t="str">
        <x:v>三会三支齐全，但成会尚未判定；目标五行只作为候选。</x:v>
      </x:c>
      <x:c r="AA82" s="82" t="str">
        <x:v>确定</x:v>
      </x:c>
      <x:c r="AB82" s="82" t="str">
        <x:v>现代综合</x:v>
      </x:c>
      <x:c r="AC82" s="68" t="str">
        <x:v>三会完整与会局有效性是不同层次。</x:v>
      </x:c>
      <x:c r="AD82" s="68" t="str">
        <x:v>寅卯辰齐全，先记完整三会木候选。</x:v>
      </x:c>
      <x:c r="AE82" s="90" t="str">
        <x:v>仅因三支齐全就不再检查冲破和季令。</x:v>
      </x:c>
      <x:c r="AF82" s="68" t="str">
        <x:v>内部结构化规则：识别层与效应层分离；https://zh.wikisource.org/wiki/淵海子平；https://zh.wikisource.org/zh-hans/三命通會_(四庫全書本)</x:v>
      </x:c>
      <x:c r="AG82" s="82" t="str">
        <x:v>采用</x:v>
      </x:c>
      <x:c r="AH82" s="82" t="str">
        <x:v>初审</x:v>
      </x:c>
      <x:c r="AI82" s="87" t="n">
        <x:v>46255</x:v>
      </x:c>
    </x:row>
    <x:row r="83">
      <x:c r="A83" s="72" t="str">
        <x:f>IF(OR(C83="",D83=""),"",B83&amp;"-"&amp;UPPER(C83)&amp;"-"&amp;TEXT(D83,"0000")&amp;"-"&amp;E83)</x:f>
        <x:v>M05-BOUND-0077-V1.0</x:v>
      </x:c>
      <x:c r="B83" s="74" t="str">
        <x:v>M05</x:v>
      </x:c>
      <x:c r="C83" s="74" t="str">
        <x:v>BOUND</x:v>
      </x:c>
      <x:c r="D83" s="79" t="n">
        <x:v>77</x:v>
      </x:c>
      <x:c r="E83" s="74" t="str">
        <x:v>V1.0</x:v>
      </x:c>
      <x:c r="F83" s="68" t="str">
        <x:v>六冲识别不等于冲散或冲去</x:v>
      </x:c>
      <x:c r="G83" s="82" t="str">
        <x:v>识别层</x:v>
      </x:c>
      <x:c r="H83" s="82" t="str">
        <x:v>六冲</x:v>
      </x:c>
      <x:c r="I83" s="68" t="str">
        <x:v>任一六冲配对</x:v>
      </x:c>
      <x:c r="J83" s="82" t="str">
        <x:v>其他</x:v>
      </x:c>
      <x:c r="K83" s="82" t="str">
        <x:v>完整</x:v>
      </x:c>
      <x:c r="L83" s="68" t="str">
        <x:v>关系存在不以月支得令为必要条件；须另记录参与支中谁为月支。</x:v>
      </x:c>
      <x:c r="M83" s="68" t="str">
        <x:v>相关藏干是否透出不影响关系识别；透干信息只供后续效应与旺衰判断。</x:v>
      </x:c>
      <x:c r="N83" s="68" t="str">
        <x:v>检查参与支是否同时构成合、冲、刑、害、破、三合或三会的其他关系。</x:v>
      </x:c>
      <x:c r="O83" s="68" t="str">
        <x:v>四柱地支已按年、月、日、时标准化并保留柱位。</x:v>
      </x:c>
      <x:c r="P83" s="68" t="str">
        <x:v>基础六冲配对已经识别。</x:v>
      </x:c>
      <x:c r="Q83" s="68"/>
      <x:c r="R83" s="68"/>
      <x:c r="S83" s="90" t="str">
        <x:v>无六冲配对时不生成本边界提示。</x:v>
      </x:c>
      <x:c r="T83" s="68" t="str">
        <x:v>冲动、冲散、冲开、冲旺、冲弱、冲去或作用有限转M06逐支判断。</x:v>
      </x:c>
      <x:c r="U83" s="68" t="str">
        <x:v>六冲关系存在，具体冲效应待判。</x:v>
      </x:c>
      <x:c r="V83" s="68" t="str">
        <x:v>不得直接删除被冲支、判根气全失或认定双方同幅减力。</x:v>
      </x:c>
      <x:c r="W83" s="82" t="str">
        <x:v>P0_硬约束</x:v>
      </x:c>
      <x:c r="X83" s="82" t="str">
        <x:v>硬约束</x:v>
      </x:c>
      <x:c r="Y83" s="84" t="str">
        <x:v>六冲效应边界</x:v>
      </x:c>
      <x:c r="Z83" s="84" t="str">
        <x:v>六冲已经识别；冲的实际结果需逐支评估，不能由“冲”字直接替代。</x:v>
      </x:c>
      <x:c r="AA83" s="82" t="str">
        <x:v>确定</x:v>
      </x:c>
      <x:c r="AB83" s="82" t="str">
        <x:v>现代综合</x:v>
      </x:c>
      <x:c r="AC83" s="68" t="str">
        <x:v>冲是关系类别，冲的结果受旺衰、位置、根气和叠加关系影响。</x:v>
      </x:c>
      <x:c r="AD83" s="68" t="str">
        <x:v>寅申同见先记冲，再判断谁动、谁受损或是否冲旺。</x:v>
      </x:c>
      <x:c r="AE83" s="90" t="str">
        <x:v>见寅申就把寅根删除。</x:v>
      </x:c>
      <x:c r="AF83" s="68" t="str">
        <x:v>内部结构化规则：识别层与效应层分离；https://zh.wikisource.org/wiki/淵海子平；https://zh.wikisource.org/zh-hans/三命通會_(四庫全書本)</x:v>
      </x:c>
      <x:c r="AG83" s="82" t="str">
        <x:v>采用</x:v>
      </x:c>
      <x:c r="AH83" s="82" t="str">
        <x:v>初审</x:v>
      </x:c>
      <x:c r="AI83" s="87" t="n">
        <x:v>46255</x:v>
      </x:c>
    </x:row>
    <x:row r="84">
      <x:c r="A84" s="72" t="str">
        <x:f>IF(OR(C84="",D84=""),"",B84&amp;"-"&amp;UPPER(C84)&amp;"-"&amp;TEXT(D84,"0000")&amp;"-"&amp;E84)</x:f>
        <x:v>M05-BOUND-0078-V1.0</x:v>
      </x:c>
      <x:c r="B84" s="74" t="str">
        <x:v>M05</x:v>
      </x:c>
      <x:c r="C84" s="74" t="str">
        <x:v>BOUND</x:v>
      </x:c>
      <x:c r="D84" s="79" t="n">
        <x:v>78</x:v>
      </x:c>
      <x:c r="E84" s="74" t="str">
        <x:v>V1.0</x:v>
      </x:c>
      <x:c r="F84" s="68" t="str">
        <x:v>三刑与自刑识别不等于固定减力</x:v>
      </x:c>
      <x:c r="G84" s="82" t="str">
        <x:v>识别层</x:v>
      </x:c>
      <x:c r="H84" s="82" t="str">
        <x:v>三刑</x:v>
      </x:c>
      <x:c r="I84" s="68" t="str">
        <x:v>任一刑关系</x:v>
      </x:c>
      <x:c r="J84" s="82" t="str">
        <x:v>其他</x:v>
      </x:c>
      <x:c r="K84" s="82" t="str">
        <x:v>待定</x:v>
      </x:c>
      <x:c r="L84" s="68" t="str">
        <x:v>关系存在不以月支得令为必要条件；须另记录参与支中谁为月支。</x:v>
      </x:c>
      <x:c r="M84" s="68" t="str">
        <x:v>相关藏干是否透出不影响关系识别；透干信息只供后续效应与旺衰判断。</x:v>
      </x:c>
      <x:c r="N84" s="68" t="str">
        <x:v>检查参与支是否同时构成合、冲、刑、害、破、三合或三会的其他关系。</x:v>
      </x:c>
      <x:c r="O84" s="68" t="str">
        <x:v>四柱地支已按年、月、日、时标准化并保留柱位。</x:v>
      </x:c>
      <x:c r="P84" s="68" t="str">
        <x:v>基础三刑、局部刑或自刑候选已经识别。</x:v>
      </x:c>
      <x:c r="Q84" s="68"/>
      <x:c r="R84" s="68"/>
      <x:c r="S84" s="90" t="str">
        <x:v>无刑关系时不生成本边界提示。</x:v>
      </x:c>
      <x:c r="T84" s="68" t="str">
        <x:v>刑动、刑伤、激活、阻滞或作用有限转M06；自刑争议转M21。</x:v>
      </x:c>
      <x:c r="U84" s="68" t="str">
        <x:v>刑关系存在，逐支力量结果待判。</x:v>
      </x:c>
      <x:c r="V84" s="68" t="str">
        <x:v>不得直接推出参与支都减力、某一支必弱、必伤或必发生灾象。</x:v>
      </x:c>
      <x:c r="W84" s="82" t="str">
        <x:v>P0_硬约束</x:v>
      </x:c>
      <x:c r="X84" s="82" t="str">
        <x:v>硬约束</x:v>
      </x:c>
      <x:c r="Y84" s="84" t="str">
        <x:v>刑效应边界</x:v>
      </x:c>
      <x:c r="Z84" s="84" t="str">
        <x:v>刑关系已经识别；实际是刑动、刑伤、激活还是作用有限，须在M06逐支判断。</x:v>
      </x:c>
      <x:c r="AA84" s="82" t="str">
        <x:v>确定</x:v>
      </x:c>
      <x:c r="AB84" s="82" t="str">
        <x:v>现代综合</x:v>
      </x:c>
      <x:c r="AC84" s="68" t="str">
        <x:v>刑名只表示结构，不内置统一的力量符号。</x:v>
      </x:c>
      <x:c r="AD84" s="68" t="str">
        <x:v>寅巳申齐全仍需分别判断寅、巳、申受力。</x:v>
      </x:c>
      <x:c r="AE84" s="90" t="str">
        <x:v>因三刑就统一给三支扣固定分值。</x:v>
      </x:c>
      <x:c r="AF84" s="68" t="str">
        <x:v>内部结构化规则：识别层与效应层分离；https://zh.wikisource.org/wiki/淵海子平；https://zh.wikisource.org/zh-hans/三命通會_(四庫全書本)</x:v>
      </x:c>
      <x:c r="AG84" s="82" t="str">
        <x:v>采用</x:v>
      </x:c>
      <x:c r="AH84" s="82" t="str">
        <x:v>初审</x:v>
      </x:c>
      <x:c r="AI84" s="87" t="n">
        <x:v>46255</x:v>
      </x:c>
    </x:row>
    <x:row r="85">
      <x:c r="A85" s="72" t="str">
        <x:f>IF(OR(C85="",D85=""),"",B85&amp;"-"&amp;UPPER(C85)&amp;"-"&amp;TEXT(D85,"0000")&amp;"-"&amp;E85)</x:f>
        <x:v>M05-BOUND-0079-V1.0</x:v>
      </x:c>
      <x:c r="B85" s="74" t="str">
        <x:v>M05</x:v>
      </x:c>
      <x:c r="C85" s="74" t="str">
        <x:v>BOUND</x:v>
      </x:c>
      <x:c r="D85" s="79" t="n">
        <x:v>79</x:v>
      </x:c>
      <x:c r="E85" s="74" t="str">
        <x:v>V1.0</x:v>
      </x:c>
      <x:c r="F85" s="68" t="str">
        <x:v>六害识别不等于受伤或减力</x:v>
      </x:c>
      <x:c r="G85" s="82" t="str">
        <x:v>识别层</x:v>
      </x:c>
      <x:c r="H85" s="82" t="str">
        <x:v>六害</x:v>
      </x:c>
      <x:c r="I85" s="68" t="str">
        <x:v>任一六害配对</x:v>
      </x:c>
      <x:c r="J85" s="82" t="str">
        <x:v>其他</x:v>
      </x:c>
      <x:c r="K85" s="82" t="str">
        <x:v>完整</x:v>
      </x:c>
      <x:c r="L85" s="68" t="str">
        <x:v>关系存在不以月支得令为必要条件；须另记录参与支中谁为月支。</x:v>
      </x:c>
      <x:c r="M85" s="68" t="str">
        <x:v>相关藏干是否透出不影响关系识别；透干信息只供后续效应与旺衰判断。</x:v>
      </x:c>
      <x:c r="N85" s="68" t="str">
        <x:v>检查参与支是否同时构成合、冲、刑、害、破、三合或三会的其他关系。</x:v>
      </x:c>
      <x:c r="O85" s="68" t="str">
        <x:v>四柱地支已按年、月、日、时标准化并保留柱位。</x:v>
      </x:c>
      <x:c r="P85" s="68" t="str">
        <x:v>基础六害配对已经识别。</x:v>
      </x:c>
      <x:c r="Q85" s="68"/>
      <x:c r="R85" s="68"/>
      <x:c r="S85" s="90" t="str">
        <x:v>无六害配对时不生成本边界提示。</x:v>
      </x:c>
      <x:c r="T85" s="68" t="str">
        <x:v>害的阻碍、暗损、牵制或作用有限转M06。</x:v>
      </x:c>
      <x:c r="U85" s="68" t="str">
        <x:v>六害关系存在，实际效应待判。</x:v>
      </x:c>
      <x:c r="V85" s="68" t="str">
        <x:v>不得直接把“害”翻译为受伤、关系必坏或力量固定下降。</x:v>
      </x:c>
      <x:c r="W85" s="82" t="str">
        <x:v>P0_硬约束</x:v>
      </x:c>
      <x:c r="X85" s="82" t="str">
        <x:v>硬约束</x:v>
      </x:c>
      <x:c r="Y85" s="84" t="str">
        <x:v>六害效应边界</x:v>
      </x:c>
      <x:c r="Z85" s="84" t="str">
        <x:v>六害已经识别；具体作用及权重转M06，不在识别层定吉凶。</x:v>
      </x:c>
      <x:c r="AA85" s="82" t="str">
        <x:v>确定</x:v>
      </x:c>
      <x:c r="AB85" s="82" t="str">
        <x:v>现代综合</x:v>
      </x:c>
      <x:c r="AC85" s="68" t="str">
        <x:v>六害的象义和权重差异较大，必须先保留结构、后判效应。</x:v>
      </x:c>
      <x:c r="AD85" s="68" t="str">
        <x:v>子未同见先记害，不直接扣减子水或未土。</x:v>
      </x:c>
      <x:c r="AE85" s="90" t="str">
        <x:v>仅凭六害就断定某支根气受损。</x:v>
      </x:c>
      <x:c r="AF85" s="68" t="str">
        <x:v>内部结构化规则：识别层与效应层分离；https://zh.wikisource.org/wiki/淵海子平；https://zh.wikisource.org/zh-hans/三命通會_(四庫全書本)</x:v>
      </x:c>
      <x:c r="AG85" s="82" t="str">
        <x:v>采用</x:v>
      </x:c>
      <x:c r="AH85" s="82" t="str">
        <x:v>初审</x:v>
      </x:c>
      <x:c r="AI85" s="87" t="n">
        <x:v>46255</x:v>
      </x:c>
    </x:row>
    <x:row r="86">
      <x:c r="A86" s="72" t="str">
        <x:f>IF(OR(C86="",D86=""),"",B86&amp;"-"&amp;UPPER(C86)&amp;"-"&amp;TEXT(D86,"0000")&amp;"-"&amp;E86)</x:f>
        <x:v>M05-BOUND-0080-V1.0</x:v>
      </x:c>
      <x:c r="B86" s="74" t="str">
        <x:v>M05</x:v>
      </x:c>
      <x:c r="C86" s="74" t="str">
        <x:v>BOUND</x:v>
      </x:c>
      <x:c r="D86" s="79" t="n">
        <x:v>80</x:v>
      </x:c>
      <x:c r="E86" s="74" t="str">
        <x:v>V1.0</x:v>
      </x:c>
      <x:c r="F86" s="68" t="str">
        <x:v>六破识别不等于根气被破坏</x:v>
      </x:c>
      <x:c r="G86" s="82" t="str">
        <x:v>识别层</x:v>
      </x:c>
      <x:c r="H86" s="82" t="str">
        <x:v>六破</x:v>
      </x:c>
      <x:c r="I86" s="68" t="str">
        <x:v>任一六破配对</x:v>
      </x:c>
      <x:c r="J86" s="82" t="str">
        <x:v>其他</x:v>
      </x:c>
      <x:c r="K86" s="82" t="str">
        <x:v>完整</x:v>
      </x:c>
      <x:c r="L86" s="68" t="str">
        <x:v>关系存在不以月支得令为必要条件；须另记录参与支中谁为月支。</x:v>
      </x:c>
      <x:c r="M86" s="68" t="str">
        <x:v>相关藏干是否透出不影响关系识别；透干信息只供后续效应与旺衰判断。</x:v>
      </x:c>
      <x:c r="N86" s="68" t="str">
        <x:v>检查参与支是否同时构成合、冲、刑、害、破、三合或三会的其他关系。</x:v>
      </x:c>
      <x:c r="O86" s="68" t="str">
        <x:v>四柱地支已按年、月、日、时标准化并保留柱位。</x:v>
      </x:c>
      <x:c r="P86" s="68" t="str">
        <x:v>基础六破配对已经识别。</x:v>
      </x:c>
      <x:c r="Q86" s="68"/>
      <x:c r="R86" s="68"/>
      <x:c r="S86" s="90" t="str">
        <x:v>无六破配对时不生成本边界提示。</x:v>
      </x:c>
      <x:c r="T86" s="68" t="str">
        <x:v>破的实际作用与权重转M06、M21。</x:v>
      </x:c>
      <x:c r="U86" s="68" t="str">
        <x:v>六破关系存在，实际效应待判。</x:v>
      </x:c>
      <x:c r="V86" s="68" t="str">
        <x:v>不得直接推出根气被破坏、关系破裂、地支消失或力量固定下降。</x:v>
      </x:c>
      <x:c r="W86" s="82" t="str">
        <x:v>P0_硬约束</x:v>
      </x:c>
      <x:c r="X86" s="82" t="str">
        <x:v>硬约束</x:v>
      </x:c>
      <x:c r="Y86" s="84" t="str">
        <x:v>六破效应边界</x:v>
      </x:c>
      <x:c r="Z86" s="84" t="str">
        <x:v>六破已经识别；“破”不是自动破坏根气，需结合全局转M06判断。</x:v>
      </x:c>
      <x:c r="AA86" s="82" t="str">
        <x:v>确定</x:v>
      </x:c>
      <x:c r="AB86" s="82" t="str">
        <x:v>现代综合</x:v>
      </x:c>
      <x:c r="AC86" s="68" t="str">
        <x:v>六破的固定配对与实际作用权重应分开管理。</x:v>
      </x:c>
      <x:c r="AD86" s="68" t="str">
        <x:v>寅亥同见可同时记六合与破，但不直接判亥水根破。</x:v>
      </x:c>
      <x:c r="AE86" s="90" t="str">
        <x:v>把六破名称直接等同于破根。</x:v>
      </x:c>
      <x:c r="AF86" s="68" t="str">
        <x:v>内部结构化规则：识别层与效应层分离；https://zh.wikisource.org/wiki/淵海子平；https://zh.wikisource.org/zh-hans/三命通會_(四庫全書本)</x:v>
      </x:c>
      <x:c r="AG86" s="82" t="str">
        <x:v>采用</x:v>
      </x:c>
      <x:c r="AH86" s="82" t="str">
        <x:v>初审</x:v>
      </x:c>
      <x:c r="AI86" s="87" t="n">
        <x:v>46255</x:v>
      </x:c>
    </x:row>
    <x:row r="87">
      <x:c r="A87" s="72" t="str">
        <x:f>IF(OR(C87="",D87=""),"",B87&amp;"-"&amp;UPPER(C87)&amp;"-"&amp;TEXT(D87,"0000")&amp;"-"&amp;E87)</x:f>
        <x:v>M05-OVER-0081-V1.0</x:v>
      </x:c>
      <x:c r="B87" s="74" t="str">
        <x:v>M05</x:v>
      </x:c>
      <x:c r="C87" s="74" t="str">
        <x:v>OVER</x:v>
      </x:c>
      <x:c r="D87" s="79" t="n">
        <x:v>81</x:v>
      </x:c>
      <x:c r="E87" s="74" t="str">
        <x:v>V1.0</x:v>
      </x:c>
      <x:c r="F87" s="68" t="str">
        <x:v>巳申三重关系独立识别</x:v>
      </x:c>
      <x:c r="G87" s="82" t="str">
        <x:v>识别层</x:v>
      </x:c>
      <x:c r="H87" s="82" t="str">
        <x:v>其他</x:v>
      </x:c>
      <x:c r="I87" s="68" t="str">
        <x:v>巳、申</x:v>
      </x:c>
      <x:c r="J87" s="82" t="str">
        <x:v>其他</x:v>
      </x:c>
      <x:c r="K87" s="82" t="str">
        <x:v>完整</x:v>
      </x:c>
      <x:c r="L87" s="68" t="str">
        <x:v>关系存在不以月支得令为必要条件；须另记录参与支中谁为月支。</x:v>
      </x:c>
      <x:c r="M87" s="68" t="str">
        <x:v>相关藏干是否透出不影响关系识别；透干信息只供后续效应与旺衰判断。</x:v>
      </x:c>
      <x:c r="N87" s="68" t="str">
        <x:v>必须同时列出：巳申六合、巳申刑、巳申破。</x:v>
      </x:c>
      <x:c r="O87" s="68" t="str">
        <x:v>四柱地支已按年、月、日、时标准化并保留柱位。</x:v>
      </x:c>
      <x:c r="P87" s="68" t="str">
        <x:v>四柱地支中同时出现巳、申，且各基础关系配对规则均成立。</x:v>
      </x:c>
      <x:c r="Q87" s="68" t="str">
        <x:v>两支相邻或在月日等核心位置，只供后续效应判断。</x:v>
      </x:c>
      <x:c r="R87" s="68" t="str">
        <x:v>其中一支同时参与更多关系时，结构更复杂，但本组关系不删除。</x:v>
      </x:c>
      <x:c r="S87" s="90" t="str">
        <x:v>缺少巳或申中的任一支。</x:v>
      </x:c>
      <x:c r="T87" s="68" t="str">
        <x:v>多重关系的实际优先级、抵消、强化或转化由M06裁决。</x:v>
      </x:c>
      <x:c r="U87" s="68" t="str">
        <x:v>原局存在巳申三重关系，各关系独立保留。</x:v>
      </x:c>
      <x:c r="V87" s="68" t="str">
        <x:v>不得选择性只保留其中一种关系，也不得在识别层预判哪一种生效。</x:v>
      </x:c>
      <x:c r="W87" s="82" t="str">
        <x:v>P0_硬约束</x:v>
      </x:c>
      <x:c r="X87" s="82" t="str">
        <x:v>硬约束</x:v>
      </x:c>
      <x:c r="Y87" s="84" t="str">
        <x:v>巳申三重关系</x:v>
      </x:c>
      <x:c r="Z87" s="84" t="str">
        <x:v>地支见巳、申，同时登记巳申六合、巳申刑、巳申破；多重关系的实际效应转M06。</x:v>
      </x:c>
      <x:c r="AA87" s="82" t="str">
        <x:v>确定</x:v>
      </x:c>
      <x:c r="AB87" s="82" t="str">
        <x:v>现代综合</x:v>
      </x:c>
      <x:c r="AC87" s="68" t="str">
        <x:v>同一对地支可以满足多套固定关系映射，关系类别并非互斥。</x:v>
      </x:c>
      <x:c r="AD87" s="68" t="str">
        <x:v>见巳、申时，同时列出巳申六合、巳申刑、巳申破。</x:v>
      </x:c>
      <x:c r="AE87" s="90" t="str">
        <x:v>因其中一种关系较常用就删除其他关系。</x:v>
      </x:c>
      <x:c r="AF87" s="68" t="str">
        <x:v>内部结构化规则：识别层与效应层分离；https://zh.wikisource.org/wiki/淵海子平；https://zh.wikisource.org/zh-hans/三命通會_(四庫全書本)</x:v>
      </x:c>
      <x:c r="AG87" s="82" t="str">
        <x:v>采用</x:v>
      </x:c>
      <x:c r="AH87" s="82" t="str">
        <x:v>初审</x:v>
      </x:c>
      <x:c r="AI87" s="87" t="n">
        <x:v>46255</x:v>
      </x:c>
    </x:row>
    <x:row r="88">
      <x:c r="A88" s="72" t="str">
        <x:f>IF(OR(C88="",D88=""),"",B88&amp;"-"&amp;UPPER(C88)&amp;"-"&amp;TEXT(D88,"0000")&amp;"-"&amp;E88)</x:f>
        <x:v>M05-OVER-0082-V1.0</x:v>
      </x:c>
      <x:c r="B88" s="74" t="str">
        <x:v>M05</x:v>
      </x:c>
      <x:c r="C88" s="74" t="str">
        <x:v>OVER</x:v>
      </x:c>
      <x:c r="D88" s="79" t="n">
        <x:v>82</x:v>
      </x:c>
      <x:c r="E88" s="74" t="str">
        <x:v>V1.0</x:v>
      </x:c>
      <x:c r="F88" s="68" t="str">
        <x:v>寅申冲刑并见独立识别</x:v>
      </x:c>
      <x:c r="G88" s="82" t="str">
        <x:v>识别层</x:v>
      </x:c>
      <x:c r="H88" s="82" t="str">
        <x:v>其他</x:v>
      </x:c>
      <x:c r="I88" s="68" t="str">
        <x:v>寅、申</x:v>
      </x:c>
      <x:c r="J88" s="82" t="str">
        <x:v>其他</x:v>
      </x:c>
      <x:c r="K88" s="82" t="str">
        <x:v>完整</x:v>
      </x:c>
      <x:c r="L88" s="68" t="str">
        <x:v>关系存在不以月支得令为必要条件；须另记录参与支中谁为月支。</x:v>
      </x:c>
      <x:c r="M88" s="68" t="str">
        <x:v>相关藏干是否透出不影响关系识别；透干信息只供后续效应与旺衰判断。</x:v>
      </x:c>
      <x:c r="N88" s="68" t="str">
        <x:v>必须同时列出：寅申冲、寅申刑支局部关系。</x:v>
      </x:c>
      <x:c r="O88" s="68" t="str">
        <x:v>四柱地支已按年、月、日、时标准化并保留柱位。</x:v>
      </x:c>
      <x:c r="P88" s="68" t="str">
        <x:v>四柱地支中同时出现寅、申，且各基础关系配对规则均成立。</x:v>
      </x:c>
      <x:c r="Q88" s="68" t="str">
        <x:v>两支相邻或在月日等核心位置，只供后续效应判断。</x:v>
      </x:c>
      <x:c r="R88" s="68" t="str">
        <x:v>其中一支同时参与更多关系时，结构更复杂，但本组关系不删除。</x:v>
      </x:c>
      <x:c r="S88" s="90" t="str">
        <x:v>缺少寅或申中的任一支。</x:v>
      </x:c>
      <x:c r="T88" s="68" t="str">
        <x:v>多重关系的实际优先级、抵消、强化或转化由M06裁决。</x:v>
      </x:c>
      <x:c r="U88" s="68" t="str">
        <x:v>原局存在寅申冲刑并见，各关系独立保留。</x:v>
      </x:c>
      <x:c r="V88" s="68" t="str">
        <x:v>不得选择性只保留其中一种关系，也不得在识别层预判哪一种生效。</x:v>
      </x:c>
      <x:c r="W88" s="82" t="str">
        <x:v>P0_硬约束</x:v>
      </x:c>
      <x:c r="X88" s="82" t="str">
        <x:v>硬约束</x:v>
      </x:c>
      <x:c r="Y88" s="84" t="str">
        <x:v>寅申冲刑并见</x:v>
      </x:c>
      <x:c r="Z88" s="84" t="str">
        <x:v>地支见寅、申，同时登记寅申冲、寅申刑支局部关系；多重关系的实际效应转M06。</x:v>
      </x:c>
      <x:c r="AA88" s="82" t="str">
        <x:v>确定</x:v>
      </x:c>
      <x:c r="AB88" s="82" t="str">
        <x:v>现代综合</x:v>
      </x:c>
      <x:c r="AC88" s="68" t="str">
        <x:v>同一对地支可以满足多套固定关系映射，关系类别并非互斥。</x:v>
      </x:c>
      <x:c r="AD88" s="68" t="str">
        <x:v>见寅、申时，同时列出寅申冲、寅申刑支局部关系。</x:v>
      </x:c>
      <x:c r="AE88" s="90" t="str">
        <x:v>因其中一种关系较常用就删除其他关系。</x:v>
      </x:c>
      <x:c r="AF88" s="68" t="str">
        <x:v>内部结构化规则：识别层与效应层分离；https://zh.wikisource.org/wiki/淵海子平；https://zh.wikisource.org/zh-hans/三命通會_(四庫全書本)</x:v>
      </x:c>
      <x:c r="AG88" s="82" t="str">
        <x:v>采用</x:v>
      </x:c>
      <x:c r="AH88" s="82" t="str">
        <x:v>初审</x:v>
      </x:c>
      <x:c r="AI88" s="87" t="n">
        <x:v>46255</x:v>
      </x:c>
    </x:row>
    <x:row r="89">
      <x:c r="A89" s="72" t="str">
        <x:f>IF(OR(C89="",D89=""),"",B89&amp;"-"&amp;UPPER(C89)&amp;"-"&amp;TEXT(D89,"0000")&amp;"-"&amp;E89)</x:f>
        <x:v>M05-OVER-0083-V1.0</x:v>
      </x:c>
      <x:c r="B89" s="74" t="str">
        <x:v>M05</x:v>
      </x:c>
      <x:c r="C89" s="74" t="str">
        <x:v>OVER</x:v>
      </x:c>
      <x:c r="D89" s="79" t="n">
        <x:v>83</x:v>
      </x:c>
      <x:c r="E89" s="74" t="str">
        <x:v>V1.0</x:v>
      </x:c>
      <x:c r="F89" s="68" t="str">
        <x:v>丑未冲刑并见独立识别</x:v>
      </x:c>
      <x:c r="G89" s="82" t="str">
        <x:v>识别层</x:v>
      </x:c>
      <x:c r="H89" s="82" t="str">
        <x:v>其他</x:v>
      </x:c>
      <x:c r="I89" s="68" t="str">
        <x:v>丑、未</x:v>
      </x:c>
      <x:c r="J89" s="82" t="str">
        <x:v>其他</x:v>
      </x:c>
      <x:c r="K89" s="82" t="str">
        <x:v>完整</x:v>
      </x:c>
      <x:c r="L89" s="68" t="str">
        <x:v>关系存在不以月支得令为必要条件；须另记录参与支中谁为月支。</x:v>
      </x:c>
      <x:c r="M89" s="68" t="str">
        <x:v>相关藏干是否透出不影响关系识别；透干信息只供后续效应与旺衰判断。</x:v>
      </x:c>
      <x:c r="N89" s="68" t="str">
        <x:v>必须同时列出：丑未冲、丑未刑支局部关系。</x:v>
      </x:c>
      <x:c r="O89" s="68" t="str">
        <x:v>四柱地支已按年、月、日、时标准化并保留柱位。</x:v>
      </x:c>
      <x:c r="P89" s="68" t="str">
        <x:v>四柱地支中同时出现丑、未，且各基础关系配对规则均成立。</x:v>
      </x:c>
      <x:c r="Q89" s="68" t="str">
        <x:v>两支相邻或在月日等核心位置，只供后续效应判断。</x:v>
      </x:c>
      <x:c r="R89" s="68" t="str">
        <x:v>其中一支同时参与更多关系时，结构更复杂，但本组关系不删除。</x:v>
      </x:c>
      <x:c r="S89" s="90" t="str">
        <x:v>缺少丑或未中的任一支。</x:v>
      </x:c>
      <x:c r="T89" s="68" t="str">
        <x:v>多重关系的实际优先级、抵消、强化或转化由M06裁决。</x:v>
      </x:c>
      <x:c r="U89" s="68" t="str">
        <x:v>原局存在丑未冲刑并见，各关系独立保留。</x:v>
      </x:c>
      <x:c r="V89" s="68" t="str">
        <x:v>不得选择性只保留其中一种关系，也不得在识别层预判哪一种生效。</x:v>
      </x:c>
      <x:c r="W89" s="82" t="str">
        <x:v>P0_硬约束</x:v>
      </x:c>
      <x:c r="X89" s="82" t="str">
        <x:v>硬约束</x:v>
      </x:c>
      <x:c r="Y89" s="84" t="str">
        <x:v>丑未冲刑并见</x:v>
      </x:c>
      <x:c r="Z89" s="84" t="str">
        <x:v>地支见丑、未，同时登记丑未冲、丑未刑支局部关系；多重关系的实际效应转M06。</x:v>
      </x:c>
      <x:c r="AA89" s="82" t="str">
        <x:v>确定</x:v>
      </x:c>
      <x:c r="AB89" s="82" t="str">
        <x:v>现代综合</x:v>
      </x:c>
      <x:c r="AC89" s="68" t="str">
        <x:v>同一对地支可以满足多套固定关系映射，关系类别并非互斥。</x:v>
      </x:c>
      <x:c r="AD89" s="68" t="str">
        <x:v>见丑、未时，同时列出丑未冲、丑未刑支局部关系。</x:v>
      </x:c>
      <x:c r="AE89" s="90" t="str">
        <x:v>因其中一种关系较常用就删除其他关系。</x:v>
      </x:c>
      <x:c r="AF89" s="68" t="str">
        <x:v>内部结构化规则：识别层与效应层分离；https://zh.wikisource.org/wiki/淵海子平；https://zh.wikisource.org/zh-hans/三命通會_(四庫全書本)</x:v>
      </x:c>
      <x:c r="AG89" s="82" t="str">
        <x:v>采用</x:v>
      </x:c>
      <x:c r="AH89" s="82" t="str">
        <x:v>初审</x:v>
      </x:c>
      <x:c r="AI89" s="87" t="n">
        <x:v>46255</x:v>
      </x:c>
    </x:row>
    <x:row r="90">
      <x:c r="A90" s="72" t="str">
        <x:f>IF(OR(C90="",D90=""),"",B90&amp;"-"&amp;UPPER(C90)&amp;"-"&amp;TEXT(D90,"0000")&amp;"-"&amp;E90)</x:f>
        <x:v>M05-OVER-0084-V1.0</x:v>
      </x:c>
      <x:c r="B90" s="74" t="str">
        <x:v>M05</x:v>
      </x:c>
      <x:c r="C90" s="74" t="str">
        <x:v>OVER</x:v>
      </x:c>
      <x:c r="D90" s="79" t="n">
        <x:v>84</x:v>
      </x:c>
      <x:c r="E90" s="74" t="str">
        <x:v>V1.0</x:v>
      </x:c>
      <x:c r="F90" s="68" t="str">
        <x:v>寅巳刑害并见独立识别</x:v>
      </x:c>
      <x:c r="G90" s="82" t="str">
        <x:v>识别层</x:v>
      </x:c>
      <x:c r="H90" s="82" t="str">
        <x:v>其他</x:v>
      </x:c>
      <x:c r="I90" s="68" t="str">
        <x:v>寅、巳</x:v>
      </x:c>
      <x:c r="J90" s="82" t="str">
        <x:v>其他</x:v>
      </x:c>
      <x:c r="K90" s="82" t="str">
        <x:v>完整</x:v>
      </x:c>
      <x:c r="L90" s="68" t="str">
        <x:v>关系存在不以月支得令为必要条件；须另记录参与支中谁为月支。</x:v>
      </x:c>
      <x:c r="M90" s="68" t="str">
        <x:v>相关藏干是否透出不影响关系识别；透干信息只供后续效应与旺衰判断。</x:v>
      </x:c>
      <x:c r="N90" s="68" t="str">
        <x:v>必须同时列出：寅巳害、寅巳刑支局部关系。</x:v>
      </x:c>
      <x:c r="O90" s="68" t="str">
        <x:v>四柱地支已按年、月、日、时标准化并保留柱位。</x:v>
      </x:c>
      <x:c r="P90" s="68" t="str">
        <x:v>四柱地支中同时出现寅、巳，且各基础关系配对规则均成立。</x:v>
      </x:c>
      <x:c r="Q90" s="68" t="str">
        <x:v>两支相邻或在月日等核心位置，只供后续效应判断。</x:v>
      </x:c>
      <x:c r="R90" s="68" t="str">
        <x:v>其中一支同时参与更多关系时，结构更复杂，但本组关系不删除。</x:v>
      </x:c>
      <x:c r="S90" s="90" t="str">
        <x:v>缺少寅或巳中的任一支。</x:v>
      </x:c>
      <x:c r="T90" s="68" t="str">
        <x:v>多重关系的实际优先级、抵消、强化或转化由M06裁决。</x:v>
      </x:c>
      <x:c r="U90" s="68" t="str">
        <x:v>原局存在寅巳刑害并见，各关系独立保留。</x:v>
      </x:c>
      <x:c r="V90" s="68" t="str">
        <x:v>不得选择性只保留其中一种关系，也不得在识别层预判哪一种生效。</x:v>
      </x:c>
      <x:c r="W90" s="82" t="str">
        <x:v>P0_硬约束</x:v>
      </x:c>
      <x:c r="X90" s="82" t="str">
        <x:v>硬约束</x:v>
      </x:c>
      <x:c r="Y90" s="84" t="str">
        <x:v>寅巳刑害并见</x:v>
      </x:c>
      <x:c r="Z90" s="84" t="str">
        <x:v>地支见寅、巳，同时登记寅巳害、寅巳刑支局部关系；多重关系的实际效应转M06。</x:v>
      </x:c>
      <x:c r="AA90" s="82" t="str">
        <x:v>确定</x:v>
      </x:c>
      <x:c r="AB90" s="82" t="str">
        <x:v>现代综合</x:v>
      </x:c>
      <x:c r="AC90" s="68" t="str">
        <x:v>同一对地支可以满足多套固定关系映射，关系类别并非互斥。</x:v>
      </x:c>
      <x:c r="AD90" s="68" t="str">
        <x:v>见寅、巳时，同时列出寅巳害、寅巳刑支局部关系。</x:v>
      </x:c>
      <x:c r="AE90" s="90" t="str">
        <x:v>因其中一种关系较常用就删除其他关系。</x:v>
      </x:c>
      <x:c r="AF90" s="68" t="str">
        <x:v>内部结构化规则：识别层与效应层分离；https://zh.wikisource.org/wiki/淵海子平；https://zh.wikisource.org/zh-hans/三命通會_(四庫全書本)</x:v>
      </x:c>
      <x:c r="AG90" s="82" t="str">
        <x:v>采用</x:v>
      </x:c>
      <x:c r="AH90" s="82" t="str">
        <x:v>初审</x:v>
      </x:c>
      <x:c r="AI90" s="87" t="n">
        <x:v>46255</x:v>
      </x:c>
    </x:row>
    <x:row r="91">
      <x:c r="A91" s="72" t="str">
        <x:f>IF(OR(C91="",D91=""),"",B91&amp;"-"&amp;UPPER(C91)&amp;"-"&amp;TEXT(D91,"0000")&amp;"-"&amp;E91)</x:f>
        <x:v>M05-OVER-0085-V1.0</x:v>
      </x:c>
      <x:c r="B91" s="74" t="str">
        <x:v>M05</x:v>
      </x:c>
      <x:c r="C91" s="74" t="str">
        <x:v>OVER</x:v>
      </x:c>
      <x:c r="D91" s="79" t="n">
        <x:v>85</x:v>
      </x:c>
      <x:c r="E91" s="74" t="str">
        <x:v>V1.0</x:v>
      </x:c>
      <x:c r="F91" s="68" t="str">
        <x:v>寅亥合破并见独立识别</x:v>
      </x:c>
      <x:c r="G91" s="82" t="str">
        <x:v>识别层</x:v>
      </x:c>
      <x:c r="H91" s="82" t="str">
        <x:v>其他</x:v>
      </x:c>
      <x:c r="I91" s="68" t="str">
        <x:v>寅、亥</x:v>
      </x:c>
      <x:c r="J91" s="82" t="str">
        <x:v>其他</x:v>
      </x:c>
      <x:c r="K91" s="82" t="str">
        <x:v>完整</x:v>
      </x:c>
      <x:c r="L91" s="68" t="str">
        <x:v>关系存在不以月支得令为必要条件；须另记录参与支中谁为月支。</x:v>
      </x:c>
      <x:c r="M91" s="68" t="str">
        <x:v>相关藏干是否透出不影响关系识别；透干信息只供后续效应与旺衰判断。</x:v>
      </x:c>
      <x:c r="N91" s="68" t="str">
        <x:v>必须同时列出：寅亥六合、寅亥破。</x:v>
      </x:c>
      <x:c r="O91" s="68" t="str">
        <x:v>四柱地支已按年、月、日、时标准化并保留柱位。</x:v>
      </x:c>
      <x:c r="P91" s="68" t="str">
        <x:v>四柱地支中同时出现寅、亥，且各基础关系配对规则均成立。</x:v>
      </x:c>
      <x:c r="Q91" s="68" t="str">
        <x:v>两支相邻或在月日等核心位置，只供后续效应判断。</x:v>
      </x:c>
      <x:c r="R91" s="68" t="str">
        <x:v>其中一支同时参与更多关系时，结构更复杂，但本组关系不删除。</x:v>
      </x:c>
      <x:c r="S91" s="90" t="str">
        <x:v>缺少寅或亥中的任一支。</x:v>
      </x:c>
      <x:c r="T91" s="68" t="str">
        <x:v>多重关系的实际优先级、抵消、强化或转化由M06裁决。</x:v>
      </x:c>
      <x:c r="U91" s="68" t="str">
        <x:v>原局存在寅亥合破并见，各关系独立保留。</x:v>
      </x:c>
      <x:c r="V91" s="68" t="str">
        <x:v>不得选择性只保留其中一种关系，也不得在识别层预判哪一种生效。</x:v>
      </x:c>
      <x:c r="W91" s="82" t="str">
        <x:v>P0_硬约束</x:v>
      </x:c>
      <x:c r="X91" s="82" t="str">
        <x:v>硬约束</x:v>
      </x:c>
      <x:c r="Y91" s="84" t="str">
        <x:v>寅亥合破并见</x:v>
      </x:c>
      <x:c r="Z91" s="84" t="str">
        <x:v>地支见寅、亥，同时登记寅亥六合、寅亥破；多重关系的实际效应转M06。</x:v>
      </x:c>
      <x:c r="AA91" s="82" t="str">
        <x:v>确定</x:v>
      </x:c>
      <x:c r="AB91" s="82" t="str">
        <x:v>现代综合</x:v>
      </x:c>
      <x:c r="AC91" s="68" t="str">
        <x:v>同一对地支可以满足多套固定关系映射，关系类别并非互斥。</x:v>
      </x:c>
      <x:c r="AD91" s="68" t="str">
        <x:v>见寅、亥时，同时列出寅亥六合、寅亥破。</x:v>
      </x:c>
      <x:c r="AE91" s="90" t="str">
        <x:v>因其中一种关系较常用就删除其他关系。</x:v>
      </x:c>
      <x:c r="AF91" s="68" t="str">
        <x:v>内部结构化规则：识别层与效应层分离；https://zh.wikisource.org/wiki/淵海子平；https://zh.wikisource.org/zh-hans/三命通會_(四庫全書本)</x:v>
      </x:c>
      <x:c r="AG91" s="82" t="str">
        <x:v>采用</x:v>
      </x:c>
      <x:c r="AH91" s="82" t="str">
        <x:v>初审</x:v>
      </x:c>
      <x:c r="AI91" s="87" t="n">
        <x:v>46255</x:v>
      </x:c>
    </x:row>
    <x:row r="92">
      <x:c r="A92" s="72" t="str">
        <x:f>IF(OR(C92="",D92=""),"",B92&amp;"-"&amp;UPPER(C92)&amp;"-"&amp;TEXT(D92,"0000")&amp;"-"&amp;E92)</x:f>
        <x:v>M05-OVER-0086-V1.0</x:v>
      </x:c>
      <x:c r="B92" s="74" t="str">
        <x:v>M05</x:v>
      </x:c>
      <x:c r="C92" s="74" t="str">
        <x:v>OVER</x:v>
      </x:c>
      <x:c r="D92" s="79" t="n">
        <x:v>86</x:v>
      </x:c>
      <x:c r="E92" s="74" t="str">
        <x:v>V1.0</x:v>
      </x:c>
      <x:c r="F92" s="68" t="str">
        <x:v>未戌刑破并见独立识别</x:v>
      </x:c>
      <x:c r="G92" s="82" t="str">
        <x:v>识别层</x:v>
      </x:c>
      <x:c r="H92" s="82" t="str">
        <x:v>其他</x:v>
      </x:c>
      <x:c r="I92" s="68" t="str">
        <x:v>未、戌</x:v>
      </x:c>
      <x:c r="J92" s="82" t="str">
        <x:v>其他</x:v>
      </x:c>
      <x:c r="K92" s="82" t="str">
        <x:v>完整</x:v>
      </x:c>
      <x:c r="L92" s="68" t="str">
        <x:v>关系存在不以月支得令为必要条件；须另记录参与支中谁为月支。</x:v>
      </x:c>
      <x:c r="M92" s="68" t="str">
        <x:v>相关藏干是否透出不影响关系识别；透干信息只供后续效应与旺衰判断。</x:v>
      </x:c>
      <x:c r="N92" s="68" t="str">
        <x:v>必须同时列出：未戌刑支局部关系、未戌破。</x:v>
      </x:c>
      <x:c r="O92" s="68" t="str">
        <x:v>四柱地支已按年、月、日、时标准化并保留柱位。</x:v>
      </x:c>
      <x:c r="P92" s="68" t="str">
        <x:v>四柱地支中同时出现未、戌，且各基础关系配对规则均成立。</x:v>
      </x:c>
      <x:c r="Q92" s="68" t="str">
        <x:v>两支相邻或在月日等核心位置，只供后续效应判断。</x:v>
      </x:c>
      <x:c r="R92" s="68" t="str">
        <x:v>其中一支同时参与更多关系时，结构更复杂，但本组关系不删除。</x:v>
      </x:c>
      <x:c r="S92" s="90" t="str">
        <x:v>缺少未或戌中的任一支。</x:v>
      </x:c>
      <x:c r="T92" s="68" t="str">
        <x:v>多重关系的实际优先级、抵消、强化或转化由M06裁决。</x:v>
      </x:c>
      <x:c r="U92" s="68" t="str">
        <x:v>原局存在未戌刑破并见，各关系独立保留。</x:v>
      </x:c>
      <x:c r="V92" s="68" t="str">
        <x:v>不得选择性只保留其中一种关系，也不得在识别层预判哪一种生效。</x:v>
      </x:c>
      <x:c r="W92" s="82" t="str">
        <x:v>P0_硬约束</x:v>
      </x:c>
      <x:c r="X92" s="82" t="str">
        <x:v>硬约束</x:v>
      </x:c>
      <x:c r="Y92" s="84" t="str">
        <x:v>未戌刑破并见</x:v>
      </x:c>
      <x:c r="Z92" s="84" t="str">
        <x:v>地支见未、戌，同时登记未戌刑支局部关系、未戌破；多重关系的实际效应转M06。</x:v>
      </x:c>
      <x:c r="AA92" s="82" t="str">
        <x:v>确定</x:v>
      </x:c>
      <x:c r="AB92" s="82" t="str">
        <x:v>现代综合</x:v>
      </x:c>
      <x:c r="AC92" s="68" t="str">
        <x:v>同一对地支可以满足多套固定关系映射，关系类别并非互斥。</x:v>
      </x:c>
      <x:c r="AD92" s="68" t="str">
        <x:v>见未、戌时，同时列出未戌刑支局部关系、未戌破。</x:v>
      </x:c>
      <x:c r="AE92" s="90" t="str">
        <x:v>因其中一种关系较常用就删除其他关系。</x:v>
      </x:c>
      <x:c r="AF92" s="68" t="str">
        <x:v>内部结构化规则：识别层与效应层分离；https://zh.wikisource.org/wiki/淵海子平；https://zh.wikisource.org/zh-hans/三命通會_(四庫全書本)</x:v>
      </x:c>
      <x:c r="AG92" s="82" t="str">
        <x:v>采用</x:v>
      </x:c>
      <x:c r="AH92" s="82" t="str">
        <x:v>初审</x:v>
      </x:c>
      <x:c r="AI92" s="87" t="n">
        <x:v>46255</x:v>
      </x:c>
    </x:row>
    <x:row r="93">
      <x:c r="A93" s="72" t="str">
        <x:f>IF(OR(C93="",D93=""),"",B93&amp;"-"&amp;UPPER(C93)&amp;"-"&amp;TEXT(D93,"0000")&amp;"-"&amp;E93)</x:f>
        <x:v>M05-BOUND-0087-V1.0</x:v>
      </x:c>
      <x:c r="B93" s="74" t="str">
        <x:v>M05</x:v>
      </x:c>
      <x:c r="C93" s="74" t="str">
        <x:v>BOUND</x:v>
      </x:c>
      <x:c r="D93" s="79" t="n">
        <x:v>87</x:v>
      </x:c>
      <x:c r="E93" s="74" t="str">
        <x:v>V1.0</x:v>
      </x:c>
      <x:c r="F93" s="68" t="str">
        <x:v>三合两端组合应分类为拱合而非半合</x:v>
      </x:c>
      <x:c r="G93" s="82" t="str">
        <x:v>识别层</x:v>
      </x:c>
      <x:c r="H93" s="82" t="str">
        <x:v>拱合</x:v>
      </x:c>
      <x:c r="I93" s="68" t="str">
        <x:v>任一三合生支与墓支</x:v>
      </x:c>
      <x:c r="J93" s="82" t="str">
        <x:v>其他</x:v>
      </x:c>
      <x:c r="K93" s="82" t="str">
        <x:v>部分</x:v>
      </x:c>
      <x:c r="L93" s="68" t="str">
        <x:v>关系存在不以月支得令为必要条件；须另记录参与支中谁为月支。</x:v>
      </x:c>
      <x:c r="M93" s="68" t="str">
        <x:v>相关藏干是否透出不影响关系识别；透干信息只供后续效应与旺衰判断。</x:v>
      </x:c>
      <x:c r="N93" s="68" t="str">
        <x:v>检查参与支是否同时构成合、冲、刑、害、破、三合或三会的其他关系。</x:v>
      </x:c>
      <x:c r="O93" s="68" t="str">
        <x:v>四柱地支已按年、月、日、时标准化并保留柱位。</x:v>
      </x:c>
      <x:c r="P93" s="68" t="str">
        <x:v>只见三合组的两端支，且中神缺失。</x:v>
      </x:c>
      <x:c r="Q93" s="68"/>
      <x:c r="R93" s="68"/>
      <x:c r="S93" s="90" t="str">
        <x:v>中神已经出现时应登记完整三合；含中神的两支组合按半合分类。</x:v>
      </x:c>
      <x:c r="T93" s="68" t="str">
        <x:v>部分流派会泛称半合，本库为提高可计算性固定区分“含中神半合”与“两端拱合”。</x:v>
      </x:c>
      <x:c r="U93" s="68" t="str">
        <x:v>该两支结构归入拱合，不归入本库的半合子类。</x:v>
      </x:c>
      <x:c r="V93" s="68" t="str">
        <x:v>不得把缺失中神当作已经被拱出，也不得混淆分类。</x:v>
      </x:c>
      <x:c r="W93" s="82" t="str">
        <x:v>P0_硬约束</x:v>
      </x:c>
      <x:c r="X93" s="82" t="str">
        <x:v>硬约束</x:v>
      </x:c>
      <x:c r="Y93" s="84" t="str">
        <x:v>半合拱合分类</x:v>
      </x:c>
      <x:c r="Z93" s="84" t="str">
        <x:v>该组合为三合两端齐、中神缺，按本库分类记为拱合；含中神的两支才记半合。</x:v>
      </x:c>
      <x:c r="AA93" s="82" t="str">
        <x:v>较高</x:v>
      </x:c>
      <x:c r="AB93" s="82" t="str">
        <x:v>现代综合</x:v>
      </x:c>
      <x:c r="AC93" s="68" t="str">
        <x:v>明确分类能避免同一两支同时被重复标为半合与拱合。</x:v>
      </x:c>
      <x:c r="AD93" s="68" t="str">
        <x:v>申辰缺子，记申辰拱合。</x:v>
      </x:c>
      <x:c r="AE93" s="90" t="str">
        <x:v>申子含中神子，应记半合，不记两端拱合。</x:v>
      </x:c>
      <x:c r="AF93" s="68" t="str">
        <x:v>内部结构化规则：识别层与效应层分离；https://zh.wikisource.org/wiki/淵海子平；https://zh.wikisource.org/zh-hans/三命通會_(四庫全書本)</x:v>
      </x:c>
      <x:c r="AG93" s="82" t="str">
        <x:v>采用</x:v>
      </x:c>
      <x:c r="AH93" s="82" t="str">
        <x:v>初审</x:v>
      </x:c>
      <x:c r="AI93" s="87" t="n">
        <x:v>46255</x:v>
      </x:c>
    </x:row>
    <x:row r="94">
      <x:c r="A94" s="72" t="str">
        <x:f>IF(OR(C94="",D94=""),"",B94&amp;"-"&amp;UPPER(C94)&amp;"-"&amp;TEXT(D94,"0000")&amp;"-"&amp;E94)</x:f>
        <x:v>M05-BOUND-0088-V1.0</x:v>
      </x:c>
      <x:c r="B94" s="74" t="str">
        <x:v>M05</x:v>
      </x:c>
      <x:c r="C94" s="74" t="str">
        <x:v>BOUND</x:v>
      </x:c>
      <x:c r="D94" s="79" t="n">
        <x:v>88</x:v>
      </x:c>
      <x:c r="E94" s="74" t="str">
        <x:v>V1.0</x:v>
      </x:c>
      <x:c r="F94" s="68" t="str">
        <x:v>三会只见两支时标记部分候选</x:v>
      </x:c>
      <x:c r="G94" s="82" t="str">
        <x:v>识别层</x:v>
      </x:c>
      <x:c r="H94" s="82" t="str">
        <x:v>三会</x:v>
      </x:c>
      <x:c r="I94" s="68" t="str">
        <x:v>任一三会组的两支</x:v>
      </x:c>
      <x:c r="J94" s="82" t="str">
        <x:v>其他</x:v>
      </x:c>
      <x:c r="K94" s="82" t="str">
        <x:v>部分</x:v>
      </x:c>
      <x:c r="L94" s="68" t="str">
        <x:v>关系存在不以月支得令为必要条件；须另记录参与支中谁为月支。</x:v>
      </x:c>
      <x:c r="M94" s="68" t="str">
        <x:v>相关藏干是否透出不影响关系识别；透干信息只供后续效应与旺衰判断。</x:v>
      </x:c>
      <x:c r="N94" s="68" t="str">
        <x:v>检查参与支是否同时构成合、冲、刑、害、破、三合或三会的其他关系。</x:v>
      </x:c>
      <x:c r="O94" s="68" t="str">
        <x:v>四柱地支已按年、月、日、时标准化并保留柱位。</x:v>
      </x:c>
      <x:c r="P94" s="68" t="str">
        <x:v>同一三会组只出现其中两支，第三支缺失。</x:v>
      </x:c>
      <x:c r="Q94" s="68" t="str">
        <x:v>两支相邻、同季得令时，只增强后续会势候选。</x:v>
      </x:c>
      <x:c r="R94" s="68" t="str">
        <x:v>两支隔位或参与其他关系时，后续效应更不确定。</x:v>
      </x:c>
      <x:c r="S94" s="90" t="str">
        <x:v>三支已齐时应登记完整三会；只见一支时不形成两支候选。</x:v>
      </x:c>
      <x:c r="T94" s="68" t="str">
        <x:v>本库不另设“半会”关系类型，统一标记为三会部分候选。</x:v>
      </x:c>
      <x:c r="U94" s="68" t="str">
        <x:v>该三会组为部分状态，不标完整三会。</x:v>
      </x:c>
      <x:c r="V94" s="68" t="str">
        <x:v>不得直接输出成会局，也不得把缺失支视为存在。</x:v>
      </x:c>
      <x:c r="W94" s="82" t="str">
        <x:v>P1_高</x:v>
      </x:c>
      <x:c r="X94" s="82" t="str">
        <x:v>辅助证据</x:v>
      </x:c>
      <x:c r="Y94" s="84" t="str">
        <x:v>三会部分候选</x:v>
      </x:c>
      <x:c r="Z94" s="84" t="str">
        <x:v>同一三会组仅见两支，记录为三会部分候选；第三支缺失，完整度为部分。</x:v>
      </x:c>
      <x:c r="AA94" s="82" t="str">
        <x:v>较高</x:v>
      </x:c>
      <x:c r="AB94" s="82" t="str">
        <x:v>现代综合</x:v>
      </x:c>
      <x:c r="AC94" s="68" t="str">
        <x:v>三会完整需要三支齐全；两支可保留候选信息，但避免发明统一效应。</x:v>
      </x:c>
      <x:c r="AD94" s="68" t="str">
        <x:v>寅卯同见而无辰，记寅卯辰三会部分候选。</x:v>
      </x:c>
      <x:c r="AE94" s="90" t="str">
        <x:v>寅卯辰齐全仍只写部分候选。</x:v>
      </x:c>
      <x:c r="AF94" s="68" t="str">
        <x:v>内部结构化规则：识别层与效应层分离；https://zh.wikisource.org/wiki/淵海子平；https://zh.wikisource.org/zh-hans/三命通會_(四庫全書本)</x:v>
      </x:c>
      <x:c r="AG94" s="82" t="str">
        <x:v>采用</x:v>
      </x:c>
      <x:c r="AH94" s="82" t="str">
        <x:v>初审</x:v>
      </x:c>
      <x:c r="AI94" s="87" t="n">
        <x:v>46255</x:v>
      </x:c>
    </x:row>
    <x:row r="95">
      <x:c r="A95" s="72" t="str">
        <x:f>IF(OR(C95="",D95=""),"",B95&amp;"-"&amp;UPPER(C95)&amp;"-"&amp;TEXT(D95,"0000")&amp;"-"&amp;E95)</x:f>
        <x:v>M05-BOUND-0089-V1.0</x:v>
      </x:c>
      <x:c r="B95" s="74" t="str">
        <x:v>M05</x:v>
      </x:c>
      <x:c r="C95" s="74" t="str">
        <x:v>BOUND</x:v>
      </x:c>
      <x:c r="D95" s="79" t="n">
        <x:v>89</x:v>
      </x:c>
      <x:c r="E95" s="74" t="str">
        <x:v>V1.0</x:v>
      </x:c>
      <x:c r="F95" s="68" t="str">
        <x:v>重复同一地支不得替代三支组缺支</x:v>
      </x:c>
      <x:c r="G95" s="82" t="str">
        <x:v>识别层</x:v>
      </x:c>
      <x:c r="H95" s="82" t="str">
        <x:v>其他</x:v>
      </x:c>
      <x:c r="I95" s="68" t="str">
        <x:v>任一三合、三会或三刑三支组</x:v>
      </x:c>
      <x:c r="J95" s="82" t="str">
        <x:v>其他</x:v>
      </x:c>
      <x:c r="K95" s="82" t="str">
        <x:v>部分</x:v>
      </x:c>
      <x:c r="L95" s="68" t="str">
        <x:v>关系存在不以月支得令为必要条件；须另记录参与支中谁为月支。</x:v>
      </x:c>
      <x:c r="M95" s="68" t="str">
        <x:v>相关藏干是否透出不影响关系识别；透干信息只供后续效应与旺衰判断。</x:v>
      </x:c>
      <x:c r="N95" s="68" t="str">
        <x:v>检查参与支是否同时构成合、冲、刑、害、破、三合或三会的其他关系。</x:v>
      </x:c>
      <x:c r="O95" s="68" t="str">
        <x:v>四柱地支已按年、月、日、时标准化并保留柱位。</x:v>
      </x:c>
      <x:c r="P95" s="68" t="str">
        <x:v>三支组中一支重复出现，但另一成员地支缺失。</x:v>
      </x:c>
      <x:c r="Q95" s="68"/>
      <x:c r="R95" s="68"/>
      <x:c r="S95" s="90" t="str">
        <x:v>三种不同成员支均已出现时，按完整结构登记。</x:v>
      </x:c>
      <x:c r="T95" s="68" t="str">
        <x:v>重复支可形成自刑或多重关系，但不增加集合中的不同成员数。</x:v>
      </x:c>
      <x:c r="U95" s="68" t="str">
        <x:v>完整度仍为部分；重复支另按节点与自刑规则处理。</x:v>
      </x:c>
      <x:c r="V95" s="68" t="str">
        <x:v>不得把两个相同支当作两个不同成员来补齐三合、三会或三刑。</x:v>
      </x:c>
      <x:c r="W95" s="82" t="str">
        <x:v>P0_硬约束</x:v>
      </x:c>
      <x:c r="X95" s="82" t="str">
        <x:v>否决规则</x:v>
      </x:c>
      <x:c r="Y95" s="84" t="str">
        <x:v>重复支不补组</x:v>
      </x:c>
      <x:c r="Z95" s="84" t="str">
        <x:v>同支重复不能替代缺失成员；该三支组仍未完整，重复支另行处理。</x:v>
      </x:c>
      <x:c r="AA95" s="82" t="str">
        <x:v>确定</x:v>
      </x:c>
      <x:c r="AB95" s="82" t="str">
        <x:v>现代综合</x:v>
      </x:c>
      <x:c r="AC95" s="68" t="str">
        <x:v>集合完整度按不同地支成员计数，而非按地支总数量计数。</x:v>
      </x:c>
      <x:c r="AD95" s="68" t="str">
        <x:v>申、申、子而无辰，申子辰三合仍为部分。</x:v>
      </x:c>
      <x:c r="AE95" s="90" t="str">
        <x:v>把两个申分别当作申与辰来判完整三合。</x:v>
      </x:c>
      <x:c r="AF95" s="68" t="str">
        <x:v>内部结构化规则：识别层与效应层分离；https://zh.wikisource.org/wiki/淵海子平；https://zh.wikisource.org/zh-hans/三命通會_(四庫全書本)</x:v>
      </x:c>
      <x:c r="AG95" s="82" t="str">
        <x:v>采用</x:v>
      </x:c>
      <x:c r="AH95" s="82" t="str">
        <x:v>初审</x:v>
      </x:c>
      <x:c r="AI95" s="87" t="n">
        <x:v>46255</x:v>
      </x:c>
    </x:row>
    <x:row r="96">
      <x:c r="A96" s="72" t="str">
        <x:f>IF(OR(C96="",D96=""),"",B96&amp;"-"&amp;UPPER(C96)&amp;"-"&amp;TEXT(D96,"0000")&amp;"-"&amp;E96)</x:f>
        <x:v>M05-BOUND-0090-V1.0</x:v>
      </x:c>
      <x:c r="B96" s="74" t="str">
        <x:v>M05</x:v>
      </x:c>
      <x:c r="C96" s="74" t="str">
        <x:v>BOUND</x:v>
      </x:c>
      <x:c r="D96" s="79" t="n">
        <x:v>90</x:v>
      </x:c>
      <x:c r="E96" s="74" t="str">
        <x:v>V1.0</x:v>
      </x:c>
      <x:c r="F96" s="68" t="str">
        <x:v>地支识别层不裁定关系优先级与力量结果</x:v>
      </x:c>
      <x:c r="G96" s="82" t="str">
        <x:v>识别层</x:v>
      </x:c>
      <x:c r="H96" s="82" t="str">
        <x:v>其他</x:v>
      </x:c>
      <x:c r="I96" s="68" t="str">
        <x:v>全部地支关系</x:v>
      </x:c>
      <x:c r="J96" s="82" t="str">
        <x:v>其他</x:v>
      </x:c>
      <x:c r="K96" s="82" t="str">
        <x:v>待定</x:v>
      </x:c>
      <x:c r="L96" s="68" t="str">
        <x:v>月令、根气、透干与成势用于效应层，不删除已识别关系。</x:v>
      </x:c>
      <x:c r="M96" s="68" t="str">
        <x:v>透干只作为后续作用通道。</x:v>
      </x:c>
      <x:c r="N96" s="68" t="str">
        <x:v>所有六合、三合、半合、拱合、三会、冲刑害破完整传递至M06。</x:v>
      </x:c>
      <x:c r="O96" s="68" t="str">
        <x:v>四柱地支已按年、月、日、时标准化并保留柱位。</x:v>
      </x:c>
      <x:c r="P96" s="68" t="str">
        <x:v>M05已经识别出至少一条地支关系。</x:v>
      </x:c>
      <x:c r="Q96" s="68"/>
      <x:c r="R96" s="68"/>
      <x:c r="S96" s="90" t="str">
        <x:v>无关系实例时不生成效应任务。</x:v>
      </x:c>
      <x:c r="T96" s="68" t="str">
        <x:v>错误配对可以在识别层否决；效应未成立不能反向删除基础关系事实。</x:v>
      </x:c>
      <x:c r="U96" s="68" t="str">
        <x:v>输出关系清单、柱位、完整度、月令与叠加关系；实际效应统一标记为待M06。</x:v>
      </x:c>
      <x:c r="V96" s="68" t="str">
        <x:v>不得在M05直接输出合化成局、冲散、刑伤、开库、破根、增减力、吉凶或喜忌用神。</x:v>
      </x:c>
      <x:c r="W96" s="82" t="str">
        <x:v>P0_硬约束</x:v>
      </x:c>
      <x:c r="X96" s="82" t="str">
        <x:v>硬约束</x:v>
      </x:c>
      <x:c r="Y96" s="84" t="str">
        <x:v>识别效应分层</x:v>
      </x:c>
      <x:c r="Z96" s="84" t="str">
        <x:v>地支关系已经客观识别；所有成局、冲刑结果、根气变化与力量修正转M06及后续模块判断。</x:v>
      </x:c>
      <x:c r="AA96" s="82" t="str">
        <x:v>确定</x:v>
      </x:c>
      <x:c r="AB96" s="82" t="str">
        <x:v>现代综合</x:v>
      </x:c>
      <x:c r="AC96" s="68" t="str">
        <x:v>识别层与效应层分离是本知识库的核心治理原则。</x:v>
      </x:c>
      <x:c r="AD96" s="68" t="str">
        <x:v>见寅巳申只输出完整三刑与重叠关系，不直接写巳火被刑弱。</x:v>
      </x:c>
      <x:c r="AE96" s="90" t="str">
        <x:v>一识别冲刑就统一扣减参与支力量，属于越层推断。</x:v>
      </x:c>
      <x:c r="AF96" s="68" t="str">
        <x:v>内部结构化规则：识别层与效应层分离；https://zh.wikisource.org/wiki/淵海子平；https://zh.wikisource.org/zh-hans/三命通會_(四庫全書本)</x:v>
      </x:c>
      <x:c r="AG96" s="82" t="str">
        <x:v>采用</x:v>
      </x:c>
      <x:c r="AH96" s="82" t="str">
        <x:v>初审</x:v>
      </x:c>
      <x:c r="AI96" s="87" t="n">
        <x:v>46255</x:v>
      </x:c>
    </x:row>
    <x:row r="97">
      <x:c r="A97" s="72" t="str">
        <x:f>IF(OR(C97="",D97=""),"",B97&amp;"-"&amp;UPPER(C97)&amp;"-"&amp;TEXT(D97,"0000")&amp;"-"&amp;E97)</x:f>
      </x:c>
      <x:c r="B97" s="74" t="str">
        <x:v>M05</x:v>
      </x:c>
      <x:c r="C97" s="74"/>
      <x:c r="D97" s="79"/>
      <x:c r="E97" s="74" t="str">
        <x:v>V1.0</x:v>
      </x:c>
      <x:c r="F97" s="68"/>
      <x:c r="G97" s="82"/>
      <x:c r="H97" s="82"/>
      <x:c r="I97" s="68"/>
      <x:c r="J97" s="82"/>
      <x:c r="K97" s="82"/>
      <x:c r="L97" s="68"/>
      <x:c r="M97" s="68"/>
      <x:c r="N97" s="68"/>
      <x:c r="O97" s="68"/>
      <x:c r="P97" s="68"/>
      <x:c r="Q97" s="68"/>
      <x:c r="R97" s="68"/>
      <x:c r="S97" s="90"/>
      <x:c r="T97" s="68"/>
      <x:c r="U97" s="68"/>
      <x:c r="V97" s="68"/>
      <x:c r="W97" s="82"/>
      <x:c r="X97" s="82"/>
      <x:c r="Y97" s="84"/>
      <x:c r="Z97" s="84"/>
      <x:c r="AA97" s="82"/>
      <x:c r="AB97" s="82"/>
      <x:c r="AC97" s="68"/>
      <x:c r="AD97" s="68"/>
      <x:c r="AE97" s="90"/>
      <x:c r="AF97" s="68"/>
      <x:c r="AG97" s="82"/>
      <x:c r="AH97" s="82"/>
      <x:c r="AI97" s="87"/>
    </x:row>
    <x:row r="98">
      <x:c r="A98" s="72" t="str">
        <x:f>IF(OR(C98="",D98=""),"",B98&amp;"-"&amp;UPPER(C98)&amp;"-"&amp;TEXT(D98,"0000")&amp;"-"&amp;E98)</x:f>
      </x:c>
      <x:c r="B98" s="74" t="str">
        <x:v>M05</x:v>
      </x:c>
      <x:c r="C98" s="74"/>
      <x:c r="D98" s="79"/>
      <x:c r="E98" s="74" t="str">
        <x:v>V1.0</x:v>
      </x:c>
      <x:c r="F98" s="68"/>
      <x:c r="G98" s="82"/>
      <x:c r="H98" s="82"/>
      <x:c r="I98" s="68"/>
      <x:c r="J98" s="82"/>
      <x:c r="K98" s="82"/>
      <x:c r="L98" s="68"/>
      <x:c r="M98" s="68"/>
      <x:c r="N98" s="68"/>
      <x:c r="O98" s="68"/>
      <x:c r="P98" s="68"/>
      <x:c r="Q98" s="68"/>
      <x:c r="R98" s="68"/>
      <x:c r="S98" s="90"/>
      <x:c r="T98" s="68"/>
      <x:c r="U98" s="68"/>
      <x:c r="V98" s="68"/>
      <x:c r="W98" s="82"/>
      <x:c r="X98" s="82"/>
      <x:c r="Y98" s="84"/>
      <x:c r="Z98" s="84"/>
      <x:c r="AA98" s="82"/>
      <x:c r="AB98" s="82"/>
      <x:c r="AC98" s="68"/>
      <x:c r="AD98" s="68"/>
      <x:c r="AE98" s="90"/>
      <x:c r="AF98" s="68"/>
      <x:c r="AG98" s="82"/>
      <x:c r="AH98" s="82"/>
      <x:c r="AI98" s="87"/>
    </x:row>
    <x:row r="99">
      <x:c r="A99" s="72" t="str">
        <x:f>IF(OR(C99="",D99=""),"",B99&amp;"-"&amp;UPPER(C99)&amp;"-"&amp;TEXT(D99,"0000")&amp;"-"&amp;E99)</x:f>
      </x:c>
      <x:c r="B99" s="74" t="str">
        <x:v>M05</x:v>
      </x:c>
      <x:c r="C99" s="74"/>
      <x:c r="D99" s="79"/>
      <x:c r="E99" s="74" t="str">
        <x:v>V1.0</x:v>
      </x:c>
      <x:c r="F99" s="68"/>
      <x:c r="G99" s="82"/>
      <x:c r="H99" s="82"/>
      <x:c r="I99" s="68"/>
      <x:c r="J99" s="82"/>
      <x:c r="K99" s="82"/>
      <x:c r="L99" s="68"/>
      <x:c r="M99" s="68"/>
      <x:c r="N99" s="68"/>
      <x:c r="O99" s="68"/>
      <x:c r="P99" s="68"/>
      <x:c r="Q99" s="68"/>
      <x:c r="R99" s="68"/>
      <x:c r="S99" s="90"/>
      <x:c r="T99" s="68"/>
      <x:c r="U99" s="68"/>
      <x:c r="V99" s="68"/>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M05</x:v>
      </x:c>
      <x:c r="C100" s="74"/>
      <x:c r="D100" s="79"/>
      <x:c r="E100" s="74" t="str">
        <x:v>V1.0</x:v>
      </x:c>
      <x:c r="F100" s="68"/>
      <x:c r="G100" s="82"/>
      <x:c r="H100" s="82"/>
      <x:c r="I100" s="68"/>
      <x:c r="J100" s="82"/>
      <x:c r="K100" s="82"/>
      <x:c r="L100" s="68"/>
      <x:c r="M100" s="68"/>
      <x:c r="N100" s="68"/>
      <x:c r="O100" s="68"/>
      <x:c r="P100" s="68"/>
      <x:c r="Q100" s="68"/>
      <x:c r="R100" s="68"/>
      <x:c r="S100" s="90"/>
      <x:c r="T100" s="68"/>
      <x:c r="U100" s="68"/>
      <x:c r="V100" s="68"/>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M05</x:v>
      </x:c>
      <x:c r="C101" s="74"/>
      <x:c r="D101" s="79"/>
      <x:c r="E101" s="74" t="str">
        <x:v>V1.0</x:v>
      </x:c>
      <x:c r="F101" s="68"/>
      <x:c r="G101" s="82"/>
      <x:c r="H101" s="82"/>
      <x:c r="I101" s="68"/>
      <x:c r="J101" s="82"/>
      <x:c r="K101" s="82"/>
      <x:c r="L101" s="68"/>
      <x:c r="M101" s="68"/>
      <x:c r="N101" s="68"/>
      <x:c r="O101" s="68"/>
      <x:c r="P101" s="68"/>
      <x:c r="Q101" s="68"/>
      <x:c r="R101" s="68"/>
      <x:c r="S101" s="90"/>
      <x:c r="T101" s="68"/>
      <x:c r="U101" s="68"/>
      <x:c r="V101" s="68"/>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M05</x:v>
      </x:c>
      <x:c r="C102" s="74"/>
      <x:c r="D102" s="79"/>
      <x:c r="E102" s="74" t="str">
        <x:v>V1.0</x:v>
      </x:c>
      <x:c r="F102" s="68"/>
      <x:c r="G102" s="82"/>
      <x:c r="H102" s="82"/>
      <x:c r="I102" s="68"/>
      <x:c r="J102" s="82"/>
      <x:c r="K102" s="82"/>
      <x:c r="L102" s="68"/>
      <x:c r="M102" s="68"/>
      <x:c r="N102" s="68"/>
      <x:c r="O102" s="68"/>
      <x:c r="P102" s="68"/>
      <x:c r="Q102" s="68"/>
      <x:c r="R102" s="68"/>
      <x:c r="S102" s="90"/>
      <x:c r="T102" s="68"/>
      <x:c r="U102" s="68"/>
      <x:c r="V102" s="68"/>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M05</x:v>
      </x:c>
      <x:c r="C103" s="74"/>
      <x:c r="D103" s="79"/>
      <x:c r="E103" s="74" t="str">
        <x:v>V1.0</x:v>
      </x:c>
      <x:c r="F103" s="68"/>
      <x:c r="G103" s="82"/>
      <x:c r="H103" s="82"/>
      <x:c r="I103" s="68"/>
      <x:c r="J103" s="82"/>
      <x:c r="K103" s="82"/>
      <x:c r="L103" s="68"/>
      <x:c r="M103" s="68"/>
      <x:c r="N103" s="68"/>
      <x:c r="O103" s="68"/>
      <x:c r="P103" s="68"/>
      <x:c r="Q103" s="68"/>
      <x:c r="R103" s="68"/>
      <x:c r="S103" s="90"/>
      <x:c r="T103" s="68"/>
      <x:c r="U103" s="68"/>
      <x:c r="V103" s="68"/>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M05</x:v>
      </x:c>
      <x:c r="C104" s="74"/>
      <x:c r="D104" s="79"/>
      <x:c r="E104" s="74" t="str">
        <x:v>V1.0</x:v>
      </x:c>
      <x:c r="F104" s="68"/>
      <x:c r="G104" s="82"/>
      <x:c r="H104" s="82"/>
      <x:c r="I104" s="68"/>
      <x:c r="J104" s="82"/>
      <x:c r="K104" s="82"/>
      <x:c r="L104" s="68"/>
      <x:c r="M104" s="68"/>
      <x:c r="N104" s="68"/>
      <x:c r="O104" s="68"/>
      <x:c r="P104" s="68"/>
      <x:c r="Q104" s="68"/>
      <x:c r="R104" s="68"/>
      <x:c r="S104" s="90"/>
      <x:c r="T104" s="68"/>
      <x:c r="U104" s="68"/>
      <x:c r="V104" s="68"/>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M05</x:v>
      </x:c>
      <x:c r="C105" s="74"/>
      <x:c r="D105" s="79"/>
      <x:c r="E105" s="74" t="str">
        <x:v>V1.0</x:v>
      </x:c>
      <x:c r="F105" s="68"/>
      <x:c r="G105" s="82"/>
      <x:c r="H105" s="82"/>
      <x:c r="I105" s="68"/>
      <x:c r="J105" s="82"/>
      <x:c r="K105" s="82"/>
      <x:c r="L105" s="68"/>
      <x:c r="M105" s="68"/>
      <x:c r="N105" s="68"/>
      <x:c r="O105" s="68"/>
      <x:c r="P105" s="68"/>
      <x:c r="Q105" s="68"/>
      <x:c r="R105" s="68"/>
      <x:c r="S105" s="90"/>
      <x:c r="T105" s="68"/>
      <x:c r="U105" s="68"/>
      <x:c r="V105" s="68"/>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3"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'99_下拉选项'!$BG$4:$BG$16</x:formula1>
    </x:dataValidation>
  </x:dataValidations>
  <x:pageMargins left="0.7" right="0.7" top="0.75" bottom="0.75" header="0.3" footer="0.3"/>
  <x:tableParts count="1">
    <x:tablePart xmlns:r="http://schemas.openxmlformats.org/officeDocument/2006/relationships" r:id="R8a7ae892e6ce4ae9"/>
  </x:tableParts>
</x:worksheet>
</file>

<file path=xl/worksheets/sheet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30" hidden="0" customWidth="1"/>
    <x:col min="12" max="12" width="16" hidden="0" customWidth="1"/>
    <x:col min="13" max="13" width="16"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16" hidden="0" customWidth="1"/>
    <x:col min="21" max="21" width="16" hidden="0" customWidth="1"/>
    <x:col min="22" max="22" width="16" hidden="0" customWidth="1"/>
    <x:col min="23" max="23" width="16" hidden="0" customWidth="1"/>
    <x:col min="24" max="24" width="16"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30" hidden="0" customWidth="1"/>
    <x:col min="33" max="33" width="30" hidden="0" customWidth="1"/>
    <x:col min="34" max="34" width="16" hidden="0" customWidth="1"/>
    <x:col min="35" max="35" width="16" hidden="0" customWidth="1"/>
    <x:col min="36" max="36" width="30" hidden="0" customWidth="1"/>
    <x:col min="37" max="37" width="16" hidden="0" customWidth="1"/>
    <x:col min="38" max="38" width="16" hidden="0" customWidth="1"/>
    <x:col min="39" max="39" width="30" hidden="0" customWidth="1"/>
    <x:col min="40" max="40" width="30" hidden="0" customWidth="1"/>
    <x:col min="41" max="41" width="13" hidden="0" customWidth="1"/>
  </x:cols>
  <x:sheetData>
    <x:row r="1" ht="28" customHeight="1">
      <x:c r="A1" s="32" t="str">
        <x:v>M06｜干支关系实际效应判定规则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c r="AN1" s="32"/>
      <x:c r="AO1" s="32"/>
    </x:row>
    <x:row r="2" ht="36" customHeight="1">
      <x:c r="A2" s="39" t="str">
        <x:v>将已识别的合冲刑害转化为实际效应。本版录入120条正式规则，统一拆分合动/合绊/合化、冲动/冲旺/冲弱/冲散/冲开/冲去、刑动/刑伤、根气与藏干变化，并要求逐对象输出。</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c r="AN2" s="39"/>
      <x:c r="AO2" s="39"/>
    </x:row>
    <x:row r="3" ht="30" customHeight="1">
      <x:c r="A3" s="47" t="str">
        <x:v>前置依赖：M03/M04/M05　｜　主要输出：关系的实际增减、转化、激活与阻断　｜　直接下游：M08/M09/M10/M11/M12/M14/M15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c r="AN3" s="47"/>
      <x:c r="AO3" s="47"/>
    </x:row>
    <x:row r="4" ht="34" customHeight="1">
      <x:c r="A4" s="54" t="str">
        <x:v>填写约束：一行只写一条原子规则；关系名称不得换算固定分值；五行改性只允许由已验证合化或成局触发；根气变化必须落实到具体根位；示例行序号9999，不计入正式规则。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c r="AN4" s="54"/>
      <x:c r="AO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来源关系Rule_ID</x:v>
      </x:c>
      <x:c r="I5" s="61" t="str">
        <x:v>关系类型</x:v>
      </x:c>
      <x:c r="J5" s="61" t="str">
        <x:v>参与对象</x:v>
      </x:c>
      <x:c r="K5" s="61" t="str">
        <x:v>作用对象</x:v>
      </x:c>
      <x:c r="L5" s="61" t="str">
        <x:v>对象原始旺衰</x:v>
      </x:c>
      <x:c r="M5" s="61" t="str">
        <x:v>月令地位</x:v>
      </x:c>
      <x:c r="N5" s="61" t="str">
        <x:v>透干状态</x:v>
      </x:c>
      <x:c r="O5" s="61" t="str">
        <x:v>根气状态</x:v>
      </x:c>
      <x:c r="P5" s="61" t="str">
        <x:v>叠加关系</x:v>
      </x:c>
      <x:c r="Q5" s="61" t="str">
        <x:v>效应类型</x:v>
      </x:c>
      <x:c r="R5" s="61" t="str">
        <x:v>作用方向</x:v>
      </x:c>
      <x:c r="S5" s="61" t="str">
        <x:v>作用等级</x:v>
      </x:c>
      <x:c r="T5" s="61" t="str">
        <x:v>是否改变五行性质</x:v>
      </x:c>
      <x:c r="U5" s="61" t="str">
        <x:v>是否改变根气</x:v>
      </x:c>
      <x:c r="V5" s="61" t="str">
        <x:v>是否改变藏干可用性</x:v>
      </x:c>
      <x:c r="W5" s="61" t="str">
        <x:v>是否增力</x:v>
      </x:c>
      <x:c r="X5" s="61" t="str">
        <x:v>是否减力</x:v>
      </x:c>
      <x:c r="Y5" s="61" t="str">
        <x:v>流通影响</x:v>
      </x:c>
      <x:c r="Z5" s="61" t="str">
        <x:v>前置条件</x:v>
      </x:c>
      <x:c r="AA5" s="61" t="str">
        <x:v>必要条件</x:v>
      </x:c>
      <x:c r="AB5" s="61" t="str">
        <x:v>增强条件</x:v>
      </x:c>
      <x:c r="AC5" s="61" t="str">
        <x:v>削弱条件</x:v>
      </x:c>
      <x:c r="AD5" s="61" t="str">
        <x:v>否决条件</x:v>
      </x:c>
      <x:c r="AE5" s="61" t="str">
        <x:v>例外条件</x:v>
      </x:c>
      <x:c r="AF5" s="61" t="str">
        <x:v>实际效应结论</x:v>
      </x:c>
      <x:c r="AG5" s="61" t="str">
        <x:v>标准输出</x:v>
      </x:c>
      <x:c r="AH5" s="61" t="str">
        <x:v>置信等级</x:v>
      </x:c>
      <x:c r="AI5" s="61" t="str">
        <x:v>流派标签</x:v>
      </x:c>
      <x:c r="AJ5" s="61" t="str">
        <x:v>依据说明</x:v>
      </x:c>
      <x:c r="AK5" s="61" t="str">
        <x:v>正例</x:v>
      </x:c>
      <x:c r="AL5" s="61" t="str">
        <x:v>反例</x:v>
      </x:c>
      <x:c r="AM5" s="61" t="str">
        <x:v>规则状态</x:v>
      </x:c>
      <x:c r="AN5" s="61" t="str">
        <x:v>审核状态</x:v>
      </x:c>
      <x:c r="AO5" s="61" t="str">
        <x:v>更新日期</x:v>
      </x:c>
    </x:row>
    <x:row r="6" ht="66" customHeight="1">
      <x:c r="A6" s="76" t="str">
        <x:f>IF(OR(C6="",D6=""),"",B6&amp;"-"&amp;UPPER(C6)&amp;"-"&amp;TEXT(D6,"0000")&amp;"-"&amp;E6)</x:f>
        <x:v>M06-DEMO-9999-V0.1</x:v>
      </x:c>
      <x:c r="B6" s="76" t="str">
        <x:v>M06</x:v>
      </x:c>
      <x:c r="C6" s="76" t="str">
        <x:v>DEMO</x:v>
      </x:c>
      <x:c r="D6" s="78" t="n">
        <x:v>9999</x:v>
      </x:c>
      <x:c r="E6" s="76" t="str">
        <x:v>V0.1</x:v>
      </x:c>
      <x:c r="F6" s="76" t="str">
        <x:v>相冲成立不等于被冲支自动归零</x:v>
      </x:c>
      <x:c r="G6" s="76" t="str">
        <x:v>效应层</x:v>
      </x:c>
      <x:c r="H6" s="76" t="str">
        <x:v>M05-CHONG-待填写</x:v>
      </x:c>
      <x:c r="I6" s="76" t="str">
        <x:v>六冲</x:v>
      </x:c>
      <x:c r="J6" s="76" t="str">
        <x:v>相冲两支</x:v>
      </x:c>
      <x:c r="K6" s="76" t="str">
        <x:v>逐支判断</x:v>
      </x:c>
      <x:c r="L6" s="76" t="str">
        <x:v>待定</x:v>
      </x:c>
      <x:c r="M6" s="76" t="str">
        <x:v>分别记录是否得令</x:v>
      </x:c>
      <x:c r="N6" s="76" t="str">
        <x:v>分别记录藏干是否透出</x:v>
      </x:c>
      <x:c r="O6" s="76" t="str">
        <x:v>分别记录根气深浅</x:v>
      </x:c>
      <x:c r="P6" s="76" t="str">
        <x:v>检查合、会、刑及同党</x:v>
      </x:c>
      <x:c r="Q6" s="76" t="str">
        <x:v>冲动</x:v>
      </x:c>
      <x:c r="R6" s="76" t="str">
        <x:v>条件性</x:v>
      </x:c>
      <x:c r="S6" s="76" t="str">
        <x:v>待定</x:v>
      </x:c>
      <x:c r="T6" s="76" t="str">
        <x:v>否</x:v>
      </x:c>
      <x:c r="U6" s="76" t="str">
        <x:v>条件性</x:v>
      </x:c>
      <x:c r="V6" s="76" t="str">
        <x:v>条件性</x:v>
      </x:c>
      <x:c r="W6" s="76" t="str">
        <x:v>条件性</x:v>
      </x:c>
      <x:c r="X6" s="76" t="str">
        <x:v>条件性</x:v>
      </x:c>
      <x:c r="Y6" s="76" t="str">
        <x:v>可能激活、打断、开库或造成对战</x:v>
      </x:c>
      <x:c r="Z6" s="76" t="str">
        <x:v>M05已确认相冲关系存在</x:v>
      </x:c>
      <x:c r="AA6" s="76" t="str">
        <x:v>比较双方有效力量、月令、根气及叠加关系</x:v>
      </x:c>
      <x:c r="AB6" s="76" t="str">
        <x:v>一方得令成势、另一方孤弱无援</x:v>
      </x:c>
      <x:c r="AC6" s="76" t="str">
        <x:v>双方均有根有援或有合会缓冲</x:v>
      </x:c>
      <x:c r="AD6" s="76" t="str">
        <x:v>禁止仅凭“有冲”将任一地支记为零力量</x:v>
      </x:c>
      <x:c r="AE6" s="76" t="str">
        <x:v>极端强弱悬殊且根气被实质破坏时，可判明显减力或冲去</x:v>
      </x:c>
      <x:c r="AF6" s="76" t="str">
        <x:v>冲的效应必须在冲动、冲散、冲开、冲旺、冲弱等候选中择一或并列条件结论</x:v>
      </x:c>
      <x:c r="AG6" s="76" t="str">
        <x:v>相冲关系成立，但被冲对象是否减力及减力程度需逐支判断，不能直接视为失去根气。</x:v>
      </x:c>
      <x:c r="AH6" s="76" t="str">
        <x:v>较高</x:v>
      </x:c>
      <x:c r="AI6" s="76" t="str">
        <x:v>现代综合</x:v>
      </x:c>
      <x:c r="AJ6" s="76" t="str">
        <x:v>关系名不等于统一的力学结果。</x:v>
      </x:c>
      <x:c r="AK6" s="76" t="str">
        <x:v>强支冲弱支并破坏其唯一根气时，可判明显减力。</x:v>
      </x:c>
      <x:c r="AL6" s="76" t="str">
        <x:v>两支均有根有势，仅因相冲就把其中一支归零。</x:v>
      </x:c>
      <x:c r="AM6" s="76" t="str">
        <x:v>示例</x:v>
      </x:c>
      <x:c r="AN6" s="76" t="str">
        <x:v>未审核</x:v>
      </x:c>
      <x:c r="AO6" s="86" t="n">
        <x:v>46254</x:v>
      </x:c>
    </x:row>
    <x:row r="7">
      <x:c r="A7" s="72" t="str">
        <x:f>IF(OR(C7="",D7=""),"",B7&amp;"-"&amp;UPPER(C7)&amp;"-"&amp;TEXT(D7,"0000")&amp;"-"&amp;E7)</x:f>
        <x:v>M06-TGHE-0001-V1.0</x:v>
      </x:c>
      <x:c r="B7" s="74" t="str">
        <x:v>M06</x:v>
      </x:c>
      <x:c r="C7" s="74" t="str">
        <x:v>TGHE</x:v>
      </x:c>
      <x:c r="D7" s="79" t="n">
        <x:v>1</x:v>
      </x:c>
      <x:c r="E7" s="74" t="str">
        <x:v>V1.0</x:v>
      </x:c>
      <x:c r="F7" s="68" t="str">
        <x:v>天干五合先判合意再判合化</x:v>
      </x:c>
      <x:c r="G7" s="82" t="str">
        <x:v>效应层</x:v>
      </x:c>
      <x:c r="H7" s="68" t="str">
        <x:v>M04-HE-0001-V1.0—M04-HE-0005-V1.0</x:v>
      </x:c>
      <x:c r="I7" s="82" t="str">
        <x:v>天干五合</x:v>
      </x:c>
      <x:c r="J7" s="68" t="str">
        <x:v>任一五合配对</x:v>
      </x:c>
      <x:c r="K7" s="68" t="str">
        <x:v>参与两干</x:v>
      </x:c>
      <x:c r="L7" s="82" t="str">
        <x:v>逐对象比较得令、得地、得势与相对强弱</x:v>
      </x:c>
      <x:c r="M7" s="68" t="str">
        <x:v>记录参与对象中谁得令、谁受季节支持</x:v>
      </x:c>
      <x:c r="N7" s="68" t="str">
        <x:v>记录明干及相关藏干的透出通道</x:v>
      </x:c>
      <x:c r="O7" s="68" t="str">
        <x:v>记录各对象根气层级、数量及是否唯一根</x:v>
      </x:c>
      <x:c r="P7" s="68" t="str">
        <x:v>检查同节点的合、冲、刑、害、破、会及生克</x:v>
      </x:c>
      <x:c r="Q7" s="82" t="str">
        <x:v>合动</x:v>
      </x:c>
      <x:c r="R7" s="82" t="str">
        <x:v>条件性</x:v>
      </x:c>
      <x:c r="S7" s="82" t="str">
        <x:v>中</x:v>
      </x:c>
      <x:c r="T7" s="82" t="str">
        <x:v>条件性</x:v>
      </x:c>
      <x:c r="U7" s="82" t="str">
        <x:v>否</x:v>
      </x:c>
      <x:c r="V7" s="82" t="str">
        <x:v>否</x:v>
      </x:c>
      <x:c r="W7" s="82" t="str">
        <x:v>条件性</x:v>
      </x:c>
      <x:c r="X7" s="82" t="str">
        <x:v>条件性</x:v>
      </x:c>
      <x:c r="Y7" s="68" t="str">
        <x:v>原有生克通道可能被牵引或暂缓</x:v>
      </x:c>
      <x:c r="Z7" s="68" t="str">
        <x:v>M04/M05已识别关系，柱位、完整度与参与对象已标准化</x:v>
      </x:c>
      <x:c r="AA7" s="68" t="str">
        <x:v>两干明现且M04已建立具体关系实例</x:v>
      </x:c>
      <x:c r="AB7" s="68" t="str">
        <x:v>关系相邻、得令、得地、成势且无强力反制</x:v>
      </x:c>
      <x:c r="AC7" s="68" t="str">
        <x:v>遥隔、争合、节点被其他关系牵制或双方各有强根</x:v>
      </x:c>
      <x:c r="AD7" s="90" t="str">
        <x:v>仅凭关系名称不得直接判性质改变、归零或固定吉凶</x:v>
      </x:c>
      <x:c r="AE7" s="68" t="str">
        <x:v>特殊格局或岁运动态补齐须另建实例重新裁决</x:v>
      </x:c>
      <x:c r="AF7" s="84" t="str">
        <x:v>五合关系首先表示双方发生牵引或功能重排；只有另满足化神条件时才进入合化。</x:v>
      </x:c>
      <x:c r="AG7" s="84" t="str">
        <x:v>天干五合已形成合意，当前先按合动或合绊评估；合化须另行验证。</x:v>
      </x:c>
      <x:c r="AH7" s="82" t="str">
        <x:v>较高</x:v>
      </x:c>
      <x:c r="AI7" s="82" t="str">
        <x:v>现代综合</x:v>
      </x:c>
      <x:c r="AJ7" s="68" t="str">
        <x:v>五合固定配对与合化候选应分层处理。参考：https://zh.wikisource.org/zh-hans/淵海子平；https://zh.wikisource.org/wiki/三命通會/卷二</x:v>
      </x:c>
      <x:c r="AK7" s="68" t="str">
        <x:v>甲己同时明现，但土势不足，先记合意而不判化土。</x:v>
      </x:c>
      <x:c r="AL7" s="90" t="str">
        <x:v>甲己一见即把甲、己都改记为土。</x:v>
      </x:c>
      <x:c r="AM7" s="82" t="str">
        <x:v>采用</x:v>
      </x:c>
      <x:c r="AN7" s="82" t="str">
        <x:v>初审</x:v>
      </x:c>
      <x:c r="AO7" s="87" t="n">
        <x:v>46255</x:v>
      </x:c>
    </x:row>
    <x:row r="8">
      <x:c r="A8" s="72" t="str">
        <x:f>IF(OR(C8="",D8=""),"",B8&amp;"-"&amp;UPPER(C8)&amp;"-"&amp;TEXT(D8,"0000")&amp;"-"&amp;E8)</x:f>
        <x:v>M06-TGHE-0002-V1.0</x:v>
      </x:c>
      <x:c r="B8" s="74" t="str">
        <x:v>M06</x:v>
      </x:c>
      <x:c r="C8" s="74" t="str">
        <x:v>TGHE</x:v>
      </x:c>
      <x:c r="D8" s="79" t="n">
        <x:v>2</x:v>
      </x:c>
      <x:c r="E8" s="74" t="str">
        <x:v>V1.0</x:v>
      </x:c>
      <x:c r="F8" s="68" t="str">
        <x:v>天干相邻增强合的直接作用</x:v>
      </x:c>
      <x:c r="G8" s="82" t="str">
        <x:v>效应层</x:v>
      </x:c>
      <x:c r="H8" s="68" t="str">
        <x:v>M04-POS-0026-V1.0—M04-POS-0028-V1.0；M04-HE-0001-V1.0—M04-HE-0005-V1.0</x:v>
      </x:c>
      <x:c r="I8" s="82" t="str">
        <x:v>天干五合</x:v>
      </x:c>
      <x:c r="J8" s="68" t="str">
        <x:v>相邻柱位的五合两干</x:v>
      </x:c>
      <x:c r="K8" s="68" t="str">
        <x:v>参与两干</x:v>
      </x:c>
      <x:c r="L8" s="82" t="str">
        <x:v>逐对象比较得令、得地、得势与相对强弱</x:v>
      </x:c>
      <x:c r="M8" s="68" t="str">
        <x:v>记录参与对象中谁得令、谁受季节支持</x:v>
      </x:c>
      <x:c r="N8" s="68" t="str">
        <x:v>记录明干及相关藏干的透出通道</x:v>
      </x:c>
      <x:c r="O8" s="68" t="str">
        <x:v>记录各对象根气层级、数量及是否唯一根</x:v>
      </x:c>
      <x:c r="P8" s="68" t="str">
        <x:v>检查同节点的合、冲、刑、害、破、会及生克</x:v>
      </x:c>
      <x:c r="Q8" s="82" t="str">
        <x:v>合绊</x:v>
      </x:c>
      <x:c r="R8" s="82" t="str">
        <x:v>冻结</x:v>
      </x:c>
      <x:c r="S8" s="82" t="str">
        <x:v>中</x:v>
      </x:c>
      <x:c r="T8" s="82" t="str">
        <x:v>否</x:v>
      </x:c>
      <x:c r="U8" s="82" t="str">
        <x:v>条件性</x:v>
      </x:c>
      <x:c r="V8" s="82" t="str">
        <x:v>条件性</x:v>
      </x:c>
      <x:c r="W8" s="82" t="str">
        <x:v>条件性</x:v>
      </x:c>
      <x:c r="X8" s="82" t="str">
        <x:v>条件性</x:v>
      </x:c>
      <x:c r="Y8" s="68" t="str">
        <x:v>可能改变原有生克路径，须在M12复核</x:v>
      </x:c>
      <x:c r="Z8" s="68" t="str">
        <x:v>M04/M05已识别关系，柱位、完整度与参与对象已标准化</x:v>
      </x:c>
      <x:c r="AA8" s="68" t="str">
        <x:v>必须指向具体作用对象，并比较各方力量、根气和通道</x:v>
      </x:c>
      <x:c r="AB8" s="68" t="str">
        <x:v>两干相邻且关系单一、无强克冲破坏</x:v>
      </x:c>
      <x:c r="AC8" s="68" t="str">
        <x:v>双方均强根或同时被第三干牵制</x:v>
      </x:c>
      <x:c r="AD8" s="90" t="str">
        <x:v>仅凭关系名称不得直接判性质改变、归零或固定吉凶</x:v>
      </x:c>
      <x:c r="AE8" s="68" t="str">
        <x:v>特殊格局或岁运动态补齐须另建实例重新裁决</x:v>
      </x:c>
      <x:c r="AF8" s="84" t="str">
        <x:v>相邻使双方作用路径更直接，合绊或合住的可见度通常高于隔位、遥隔。</x:v>
      </x:c>
      <x:c r="AG8" s="84" t="str">
        <x:v>该五合相邻，直接牵制较明显；是否达到合住仍须看双方强弱与第三方作用。</x:v>
      </x:c>
      <x:c r="AH8" s="82" t="str">
        <x:v>较高</x:v>
      </x:c>
      <x:c r="AI8" s="82" t="str">
        <x:v>现代综合</x:v>
      </x:c>
      <x:c r="AJ8" s="68" t="str">
        <x:v>位置近远作为效应强弱信息，而不是关系存在条件。参考：https://ctext.org/wiki.pl?chapter=435028&amp;if=gb&amp;remap=gb</x:v>
      </x:c>
      <x:c r="AK8" s="68" t="str">
        <x:v>月干与日干成五合且无第三干争合，合绊较直接。</x:v>
      </x:c>
      <x:c r="AL8" s="90" t="str">
        <x:v>年时遥合与月日相邻合一律记同等作用。</x:v>
      </x:c>
      <x:c r="AM8" s="82" t="str">
        <x:v>采用</x:v>
      </x:c>
      <x:c r="AN8" s="82" t="str">
        <x:v>初审</x:v>
      </x:c>
      <x:c r="AO8" s="87" t="n">
        <x:v>46255</x:v>
      </x:c>
    </x:row>
    <x:row r="9">
      <x:c r="A9" s="72" t="str">
        <x:f>IF(OR(C9="",D9=""),"",B9&amp;"-"&amp;UPPER(C9)&amp;"-"&amp;TEXT(D9,"0000")&amp;"-"&amp;E9)</x:f>
        <x:v>M06-TGHE-0003-V1.0</x:v>
      </x:c>
      <x:c r="B9" s="74" t="str">
        <x:v>M06</x:v>
      </x:c>
      <x:c r="C9" s="74" t="str">
        <x:v>TGHE</x:v>
      </x:c>
      <x:c r="D9" s="79" t="n">
        <x:v>3</x:v>
      </x:c>
      <x:c r="E9" s="74" t="str">
        <x:v>V1.0</x:v>
      </x:c>
      <x:c r="F9" s="68" t="str">
        <x:v>天干隔合降低直接牵制强度</x:v>
      </x:c>
      <x:c r="G9" s="82" t="str">
        <x:v>效应层</x:v>
      </x:c>
      <x:c r="H9" s="68" t="str">
        <x:v>M04-GEHE-0044-V1.0</x:v>
      </x:c>
      <x:c r="I9" s="82" t="str">
        <x:v>隔合</x:v>
      </x:c>
      <x:c r="J9" s="68" t="str">
        <x:v>隔位五合两干</x:v>
      </x:c>
      <x:c r="K9" s="68" t="str">
        <x:v>参与两干</x:v>
      </x:c>
      <x:c r="L9" s="82" t="str">
        <x:v>逐对象比较得令、得地、得势与相对强弱</x:v>
      </x:c>
      <x:c r="M9" s="68" t="str">
        <x:v>记录参与对象中谁得令、谁受季节支持</x:v>
      </x:c>
      <x:c r="N9" s="68" t="str">
        <x:v>记录明干及相关藏干的透出通道</x:v>
      </x:c>
      <x:c r="O9" s="68" t="str">
        <x:v>记录各对象根气层级、数量及是否唯一根</x:v>
      </x:c>
      <x:c r="P9" s="68" t="str">
        <x:v>检查同节点的合、冲、刑、害、破、会及生克</x:v>
      </x:c>
      <x:c r="Q9" s="82" t="str">
        <x:v>合动</x:v>
      </x:c>
      <x:c r="R9" s="82" t="str">
        <x:v>条件性</x:v>
      </x:c>
      <x:c r="S9" s="82" t="str">
        <x:v>弱</x:v>
      </x:c>
      <x:c r="T9" s="82" t="str">
        <x:v>否</x:v>
      </x:c>
      <x:c r="U9" s="82" t="str">
        <x:v>条件性</x:v>
      </x:c>
      <x:c r="V9" s="82" t="str">
        <x:v>条件性</x:v>
      </x:c>
      <x:c r="W9" s="82" t="str">
        <x:v>条件性</x:v>
      </x:c>
      <x:c r="X9" s="82" t="str">
        <x:v>条件性</x:v>
      </x:c>
      <x:c r="Y9" s="68" t="str">
        <x:v>可能改变原有生克路径，须在M12复核</x:v>
      </x:c>
      <x:c r="Z9" s="68" t="str">
        <x:v>M04/M05已识别关系，柱位、完整度与参与对象已标准化</x:v>
      </x:c>
      <x:c r="AA9" s="68" t="str">
        <x:v>必须指向具体作用对象，并比较各方力量、根气和通道</x:v>
      </x:c>
      <x:c r="AB9" s="68" t="str">
        <x:v>中间天干生助化神或不构成阻隔</x:v>
      </x:c>
      <x:c r="AC9" s="68" t="str">
        <x:v>中间天干直接克制其中一方或引走其中一方</x:v>
      </x:c>
      <x:c r="AD9" s="90" t="str">
        <x:v>仅凭关系名称不得直接判性质改变、归零或固定吉凶</x:v>
      </x:c>
      <x:c r="AE9" s="68" t="str">
        <x:v>特殊格局或岁运动态补齐须另建实例重新裁决</x:v>
      </x:c>
      <x:c r="AF9" s="84" t="str">
        <x:v>隔位仍保留合意，但直接冻结或合住的证据较弱，须检查中间天干是否生克阻隔。</x:v>
      </x:c>
      <x:c r="AG9" s="84" t="str">
        <x:v>该五合属隔合，保留牵引候选；未见额外支持时不判强合住。</x:v>
      </x:c>
      <x:c r="AH9" s="82" t="str">
        <x:v>较高</x:v>
      </x:c>
      <x:c r="AI9" s="82" t="str">
        <x:v>现代综合</x:v>
      </x:c>
      <x:c r="AJ9" s="68" t="str">
        <x:v>隔位关系需要额外通道支持。参考：https://ctext.org/wiki.pl?chapter=435028&amp;if=gb&amp;remap=gb</x:v>
      </x:c>
      <x:c r="AK9" s="68" t="str">
        <x:v>年干与日干五合，中间月干不阻隔，可记弱至中等合意。</x:v>
      </x:c>
      <x:c r="AL9" s="90" t="str">
        <x:v>隔位五合未经检查中间干即判双方完全失效。</x:v>
      </x:c>
      <x:c r="AM9" s="82" t="str">
        <x:v>采用</x:v>
      </x:c>
      <x:c r="AN9" s="82" t="str">
        <x:v>初审</x:v>
      </x:c>
      <x:c r="AO9" s="87" t="n">
        <x:v>46255</x:v>
      </x:c>
    </x:row>
    <x:row r="10">
      <x:c r="A10" s="72" t="str">
        <x:f>IF(OR(C10="",D10=""),"",B10&amp;"-"&amp;UPPER(C10)&amp;"-"&amp;TEXT(D10,"0000")&amp;"-"&amp;E10)</x:f>
        <x:v>M06-TGHE-0004-V1.0</x:v>
      </x:c>
      <x:c r="B10" s="74" t="str">
        <x:v>M06</x:v>
      </x:c>
      <x:c r="C10" s="74" t="str">
        <x:v>TGHE</x:v>
      </x:c>
      <x:c r="D10" s="79" t="n">
        <x:v>4</x:v>
      </x:c>
      <x:c r="E10" s="74" t="str">
        <x:v>V1.0</x:v>
      </x:c>
      <x:c r="F10" s="68" t="str">
        <x:v>天干遥合只保留弱牵引候选</x:v>
      </x:c>
      <x:c r="G10" s="82" t="str">
        <x:v>效应层</x:v>
      </x:c>
      <x:c r="H10" s="68" t="str">
        <x:v>M04-YAOHE-0045-V1.0</x:v>
      </x:c>
      <x:c r="I10" s="82" t="str">
        <x:v>遥合</x:v>
      </x:c>
      <x:c r="J10" s="68" t="str">
        <x:v>年时五合两干</x:v>
      </x:c>
      <x:c r="K10" s="68" t="str">
        <x:v>参与两干</x:v>
      </x:c>
      <x:c r="L10" s="82" t="str">
        <x:v>逐对象比较得令、得地、得势与相对强弱</x:v>
      </x:c>
      <x:c r="M10" s="68" t="str">
        <x:v>记录参与对象中谁得令、谁受季节支持</x:v>
      </x:c>
      <x:c r="N10" s="68" t="str">
        <x:v>记录明干及相关藏干的透出通道</x:v>
      </x:c>
      <x:c r="O10" s="68" t="str">
        <x:v>记录各对象根气层级、数量及是否唯一根</x:v>
      </x:c>
      <x:c r="P10" s="68" t="str">
        <x:v>检查同节点的合、冲、刑、害、破、会及生克</x:v>
      </x:c>
      <x:c r="Q10" s="82" t="str">
        <x:v>合动</x:v>
      </x:c>
      <x:c r="R10" s="82" t="str">
        <x:v>条件性</x:v>
      </x:c>
      <x:c r="S10" s="82" t="str">
        <x:v>弱</x:v>
      </x:c>
      <x:c r="T10" s="82" t="str">
        <x:v>否</x:v>
      </x:c>
      <x:c r="U10" s="82" t="str">
        <x:v>条件性</x:v>
      </x:c>
      <x:c r="V10" s="82" t="str">
        <x:v>条件性</x:v>
      </x:c>
      <x:c r="W10" s="82" t="str">
        <x:v>条件性</x:v>
      </x:c>
      <x:c r="X10" s="82" t="str">
        <x:v>条件性</x:v>
      </x:c>
      <x:c r="Y10" s="68" t="str">
        <x:v>可能改变原有生克路径，须在M12复核</x:v>
      </x:c>
      <x:c r="Z10" s="68" t="str">
        <x:v>M04/M05已识别关系，柱位、完整度与参与对象已标准化</x:v>
      </x:c>
      <x:c r="AA10" s="68" t="str">
        <x:v>必须指向具体作用对象，并比较各方力量、根气和通道</x:v>
      </x:c>
      <x:c r="AB10" s="68" t="str">
        <x:v>化神得令成势，或月日形成连续生扶通道</x:v>
      </x:c>
      <x:c r="AC10" s="68" t="str">
        <x:v>中间两干形成强克制或争合</x:v>
      </x:c>
      <x:c r="AD10" s="90" t="str">
        <x:v>仅凭关系名称不得直接判性质改变、归零或固定吉凶</x:v>
      </x:c>
      <x:c r="AE10" s="68" t="str">
        <x:v>特殊格局或岁运动态补齐须另建实例重新裁决</x:v>
      </x:c>
      <x:c r="AF10" s="84" t="str">
        <x:v>年时遥隔时，关系存在但直接合绊通常较弱；须有化神成势、同党或中间通道才可升级。</x:v>
      </x:c>
      <x:c r="AG10" s="84" t="str">
        <x:v>该关系为遥合，暂记弱牵引；不得仅凭遥合判合住或合化。</x:v>
      </x:c>
      <x:c r="AH10" s="82" t="str">
        <x:v>较高</x:v>
      </x:c>
      <x:c r="AI10" s="82" t="str">
        <x:v>现代综合</x:v>
      </x:c>
      <x:c r="AJ10" s="68" t="str">
        <x:v>遥隔降低直接作用，不删除关系本身。参考：https://ctext.org/wiki.pl?chapter=435028&amp;if=gb&amp;remap=gb</x:v>
      </x:c>
      <x:c r="AK10" s="68" t="str">
        <x:v>年干丁、时干壬，木势成党时可提高丁壬遥合的作用等级。</x:v>
      </x:c>
      <x:c r="AL10" s="90" t="str">
        <x:v>年时丁壬遥合无木势也直接判丁壬化木。</x:v>
      </x:c>
      <x:c r="AM10" s="82" t="str">
        <x:v>采用</x:v>
      </x:c>
      <x:c r="AN10" s="82" t="str">
        <x:v>初审</x:v>
      </x:c>
      <x:c r="AO10" s="87" t="n">
        <x:v>46255</x:v>
      </x:c>
    </x:row>
    <x:row r="11">
      <x:c r="A11" s="72" t="str">
        <x:f>IF(OR(C11="",D11=""),"",B11&amp;"-"&amp;UPPER(C11)&amp;"-"&amp;TEXT(D11,"0000")&amp;"-"&amp;E11)</x:f>
        <x:v>M06-TGHE-0005-V1.0</x:v>
      </x:c>
      <x:c r="B11" s="74" t="str">
        <x:v>M06</x:v>
      </x:c>
      <x:c r="C11" s="74" t="str">
        <x:v>TGHE</x:v>
      </x:c>
      <x:c r="D11" s="79" t="n">
        <x:v>5</x:v>
      </x:c>
      <x:c r="E11" s="74" t="str">
        <x:v>V1.0</x:v>
      </x:c>
      <x:c r="F11" s="68" t="str">
        <x:v>一强一弱时弱干更易受合绊</x:v>
      </x:c>
      <x:c r="G11" s="82" t="str">
        <x:v>效应层</x:v>
      </x:c>
      <x:c r="H11" s="68" t="str">
        <x:v>M04-HE-0001-V1.0—M04-HE-0005-V1.0</x:v>
      </x:c>
      <x:c r="I11" s="82" t="str">
        <x:v>天干五合</x:v>
      </x:c>
      <x:c r="J11" s="68" t="str">
        <x:v>强弱悬殊的五合两干</x:v>
      </x:c>
      <x:c r="K11" s="68" t="str">
        <x:v>较弱一干</x:v>
      </x:c>
      <x:c r="L11" s="82" t="str">
        <x:v>一方旺或中和偏旺，另一方弱或极弱</x:v>
      </x:c>
      <x:c r="M11" s="68" t="str">
        <x:v>记录参与对象中谁得令、谁受季节支持</x:v>
      </x:c>
      <x:c r="N11" s="68" t="str">
        <x:v>记录明干及相关藏干的透出通道</x:v>
      </x:c>
      <x:c r="O11" s="68" t="str">
        <x:v>记录各对象根气层级、数量及是否唯一根</x:v>
      </x:c>
      <x:c r="P11" s="68" t="str">
        <x:v>检查同节点的合、冲、刑、害、破、会及生克</x:v>
      </x:c>
      <x:c r="Q11" s="82" t="str">
        <x:v>合住</x:v>
      </x:c>
      <x:c r="R11" s="82" t="str">
        <x:v>冻结</x:v>
      </x:c>
      <x:c r="S11" s="82" t="str">
        <x:v>强</x:v>
      </x:c>
      <x:c r="T11" s="82" t="str">
        <x:v>否</x:v>
      </x:c>
      <x:c r="U11" s="82" t="str">
        <x:v>条件性</x:v>
      </x:c>
      <x:c r="V11" s="82" t="str">
        <x:v>条件性</x:v>
      </x:c>
      <x:c r="W11" s="82" t="str">
        <x:v>条件性</x:v>
      </x:c>
      <x:c r="X11" s="82" t="str">
        <x:v>条件性</x:v>
      </x:c>
      <x:c r="Y11" s="68" t="str">
        <x:v>可能改变原有生克路径，须在M12复核</x:v>
      </x:c>
      <x:c r="Z11" s="68" t="str">
        <x:v>M04/M05已识别关系，柱位、完整度与参与对象已标准化</x:v>
      </x:c>
      <x:c r="AA11" s="68" t="str">
        <x:v>必须指向具体作用对象，并比较各方力量、根气和通道</x:v>
      </x:c>
      <x:c r="AB11" s="68" t="str">
        <x:v>强方得令多根，弱方无根且无同党</x:v>
      </x:c>
      <x:c r="AC11" s="68" t="str">
        <x:v>弱方另有强根、印比或第三方解合</x:v>
      </x:c>
      <x:c r="AD11" s="90" t="str">
        <x:v>仅凭关系名称不得直接判性质改变、归零或固定吉凶</x:v>
      </x:c>
      <x:c r="AE11" s="68" t="str">
        <x:v>特殊格局或岁运动态补齐须另建实例重新裁决</x:v>
      </x:c>
      <x:c r="AF11" s="84" t="str">
        <x:v>当一方得令有根成势、另一方无根孤弱时，弱方更易被牵制，强方不必同步失去原功能。</x:v>
      </x:c>
      <x:c r="AG11" s="84" t="str">
        <x:v>五合双方力量悬殊，弱干受合绊较重；强干仍保留主要功能。</x:v>
      </x:c>
      <x:c r="AH11" s="82" t="str">
        <x:v>较高</x:v>
      </x:c>
      <x:c r="AI11" s="82" t="str">
        <x:v>现代综合</x:v>
      </x:c>
      <x:c r="AJ11" s="68" t="str">
        <x:v>实际效应必须逐对象判断，不能把两干作等量扣减。参考：https://zh.wikisource.org/zh-hans/滴天髓</x:v>
      </x:c>
      <x:c r="AK11" s="68" t="str">
        <x:v>庚强有根、乙弱无根，乙庚合时乙受牵制更明显。</x:v>
      </x:c>
      <x:c r="AL11" s="90" t="str">
        <x:v>乙庚合便把庚、乙同时按相同比例减力。</x:v>
      </x:c>
      <x:c r="AM11" s="82" t="str">
        <x:v>采用</x:v>
      </x:c>
      <x:c r="AN11" s="82" t="str">
        <x:v>初审</x:v>
      </x:c>
      <x:c r="AO11" s="87" t="n">
        <x:v>46255</x:v>
      </x:c>
    </x:row>
    <x:row r="12">
      <x:c r="A12" s="72" t="str">
        <x:f>IF(OR(C12="",D12=""),"",B12&amp;"-"&amp;UPPER(C12)&amp;"-"&amp;TEXT(D12,"0000")&amp;"-"&amp;E12)</x:f>
        <x:v>M06-TGHE-0006-V1.0</x:v>
      </x:c>
      <x:c r="B12" s="74" t="str">
        <x:v>M06</x:v>
      </x:c>
      <x:c r="C12" s="74" t="str">
        <x:v>TGHE</x:v>
      </x:c>
      <x:c r="D12" s="79" t="n">
        <x:v>6</x:v>
      </x:c>
      <x:c r="E12" s="74" t="str">
        <x:v>V1.0</x:v>
      </x:c>
      <x:c r="F12" s="68" t="str">
        <x:v>双方强根时优先判合绊而非消失</x:v>
      </x:c>
      <x:c r="G12" s="82" t="str">
        <x:v>效应层</x:v>
      </x:c>
      <x:c r="H12" s="68" t="str">
        <x:v>M04-HE-0001-V1.0—M04-HE-0005-V1.0</x:v>
      </x:c>
      <x:c r="I12" s="82" t="str">
        <x:v>天干五合</x:v>
      </x:c>
      <x:c r="J12" s="68" t="str">
        <x:v>双方均有强根的五合两干</x:v>
      </x:c>
      <x:c r="K12" s="68" t="str">
        <x:v>参与两干</x:v>
      </x:c>
      <x:c r="L12" s="82" t="str">
        <x:v>逐对象比较得令、得地、得势与相对强弱</x:v>
      </x:c>
      <x:c r="M12" s="68" t="str">
        <x:v>记录参与对象中谁得令、谁受季节支持</x:v>
      </x:c>
      <x:c r="N12" s="68" t="str">
        <x:v>记录明干及相关藏干的透出通道</x:v>
      </x:c>
      <x:c r="O12" s="68" t="str">
        <x:v>记录各对象根气层级、数量及是否唯一根</x:v>
      </x:c>
      <x:c r="P12" s="68" t="str">
        <x:v>检查同节点的合、冲、刑、害、破、会及生克</x:v>
      </x:c>
      <x:c r="Q12" s="82" t="str">
        <x:v>合绊</x:v>
      </x:c>
      <x:c r="R12" s="82" t="str">
        <x:v>冻结</x:v>
      </x:c>
      <x:c r="S12" s="82" t="str">
        <x:v>中</x:v>
      </x:c>
      <x:c r="T12" s="82" t="str">
        <x:v>否</x:v>
      </x:c>
      <x:c r="U12" s="82" t="str">
        <x:v>否</x:v>
      </x:c>
      <x:c r="V12" s="82" t="str">
        <x:v>否</x:v>
      </x:c>
      <x:c r="W12" s="82" t="str">
        <x:v>条件性</x:v>
      </x:c>
      <x:c r="X12" s="82" t="str">
        <x:v>条件性</x:v>
      </x:c>
      <x:c r="Y12" s="68" t="str">
        <x:v>可能改变原有生克路径，须在M12复核</x:v>
      </x:c>
      <x:c r="Z12" s="68" t="str">
        <x:v>M04/M05已识别关系，柱位、完整度与参与对象已标准化</x:v>
      </x:c>
      <x:c r="AA12" s="68" t="str">
        <x:v>必须指向具体作用对象，并比较各方力量、根气和通道</x:v>
      </x:c>
      <x:c r="AB12" s="68" t="str">
        <x:v>双方相邻且无第三方解合</x:v>
      </x:c>
      <x:c r="AC12" s="68" t="str">
        <x:v>一方得势远胜另一方，或化神另成强势</x:v>
      </x:c>
      <x:c r="AD12" s="90" t="str">
        <x:v>仅凭关系名称不得直接判性质改变、归零或固定吉凶</x:v>
      </x:c>
      <x:c r="AE12" s="68" t="str">
        <x:v>特殊格局或岁运动态补齐须另建实例重新裁决</x:v>
      </x:c>
      <x:c r="AF12" s="84" t="str">
        <x:v>双方各有强根与同党时，多表现为彼此牵制或功能暂缓，不宜判任一方被合没。</x:v>
      </x:c>
      <x:c r="AG12" s="84" t="str">
        <x:v>双方根气均实，本条判为相互合绊；原五行性质和基本存在仍保留。</x:v>
      </x:c>
      <x:c r="AH12" s="82" t="str">
        <x:v>较高</x:v>
      </x:c>
      <x:c r="AI12" s="82" t="str">
        <x:v>现代综合</x:v>
      </x:c>
      <x:c r="AJ12" s="68" t="str">
        <x:v>有根者不因一合自动失去存在。参考：https://ctext.org/wiki.pl?chapter=974137&amp;if=gb&amp;remap=gb</x:v>
      </x:c>
      <x:c r="AK12" s="68" t="str">
        <x:v>丙、辛各有强根且水势不足，判丙辛合绊而不化水。</x:v>
      </x:c>
      <x:c r="AL12" s="90" t="str">
        <x:v>双方均旺有根仍直接判两干消失。</x:v>
      </x:c>
      <x:c r="AM12" s="82" t="str">
        <x:v>采用</x:v>
      </x:c>
      <x:c r="AN12" s="82" t="str">
        <x:v>初审</x:v>
      </x:c>
      <x:c r="AO12" s="87" t="n">
        <x:v>46255</x:v>
      </x:c>
    </x:row>
    <x:row r="13">
      <x:c r="A13" s="72" t="str">
        <x:f>IF(OR(C13="",D13=""),"",B13&amp;"-"&amp;UPPER(C13)&amp;"-"&amp;TEXT(D13,"0000")&amp;"-"&amp;E13)</x:f>
        <x:v>M06-TGHE-0007-V1.0</x:v>
      </x:c>
      <x:c r="B13" s="74" t="str">
        <x:v>M06</x:v>
      </x:c>
      <x:c r="C13" s="74" t="str">
        <x:v>TGHE</x:v>
      </x:c>
      <x:c r="D13" s="79" t="n">
        <x:v>7</x:v>
      </x:c>
      <x:c r="E13" s="74" t="str">
        <x:v>V1.0</x:v>
      </x:c>
      <x:c r="F13" s="68" t="str">
        <x:v>独立根气使被合天干保留本气</x:v>
      </x:c>
      <x:c r="G13" s="82" t="str">
        <x:v>效应层</x:v>
      </x:c>
      <x:c r="H13" s="68" t="str">
        <x:v>M04-HE-0001-V1.0—M04-HE-0005-V1.0；M03-RTCT-0040-V1.0—M03-RTCT-0045-V1.0；M03-RTEF-0046-V1.0—M03-RTEF-0052-V1.0</x:v>
      </x:c>
      <x:c r="I13" s="82" t="str">
        <x:v>天干五合</x:v>
      </x:c>
      <x:c r="J13" s="68" t="str">
        <x:v>有独立根气的被合天干</x:v>
      </x:c>
      <x:c r="K13" s="68" t="str">
        <x:v>有根一干</x:v>
      </x:c>
      <x:c r="L13" s="82" t="str">
        <x:v>逐对象比较得令、得地、得势与相对强弱</x:v>
      </x:c>
      <x:c r="M13" s="68" t="str">
        <x:v>记录参与对象中谁得令、谁受季节支持</x:v>
      </x:c>
      <x:c r="N13" s="68" t="str">
        <x:v>记录明干及相关藏干的透出通道</x:v>
      </x:c>
      <x:c r="O13" s="68" t="str">
        <x:v>记录各对象根气层级、数量及是否唯一根</x:v>
      </x:c>
      <x:c r="P13" s="68" t="str">
        <x:v>检查同节点的合、冲、刑、害、破、会及生克</x:v>
      </x:c>
      <x:c r="Q13" s="82" t="str">
        <x:v>合绊</x:v>
      </x:c>
      <x:c r="R13" s="82" t="str">
        <x:v>条件性</x:v>
      </x:c>
      <x:c r="S13" s="82" t="str">
        <x:v>中</x:v>
      </x:c>
      <x:c r="T13" s="82" t="str">
        <x:v>否</x:v>
      </x:c>
      <x:c r="U13" s="82" t="str">
        <x:v>否</x:v>
      </x:c>
      <x:c r="V13" s="82" t="str">
        <x:v>否</x:v>
      </x:c>
      <x:c r="W13" s="82" t="str">
        <x:v>条件性</x:v>
      </x:c>
      <x:c r="X13" s="82" t="str">
        <x:v>条件性</x:v>
      </x:c>
      <x:c r="Y13" s="68" t="str">
        <x:v>可能改变原有生克路径，须在M12复核</x:v>
      </x:c>
      <x:c r="Z13" s="68" t="str">
        <x:v>M04/M05已识别关系，柱位、完整度与参与对象已标准化</x:v>
      </x:c>
      <x:c r="AA13" s="68" t="str">
        <x:v>确认根气未被M06其他关系实质破坏</x:v>
      </x:c>
      <x:c r="AB13" s="68" t="str">
        <x:v>关系相邻、得令、得地、成势且无强力反制</x:v>
      </x:c>
      <x:c r="AC13" s="68" t="str">
        <x:v>遥隔、争合、节点被其他关系牵制或双方各有强根</x:v>
      </x:c>
      <x:c r="AD13" s="90" t="str">
        <x:v>仅凭关系名称不得直接判性质改变、归零或固定吉凶</x:v>
      </x:c>
      <x:c r="AE13" s="68" t="str">
        <x:v>特殊格局或岁运动态补齐须另建实例重新裁决</x:v>
      </x:c>
      <x:c r="AF13" s="84" t="str">
        <x:v>天干虽受合，其地支根仍独立存在；除非根也被实质冲散、合化或制损，否则本气功能不能归零。</x:v>
      </x:c>
      <x:c r="AG13" s="84" t="str">
        <x:v>该干虽被合，但根气未失，仍保留本气；合主要限制其直接发挥。</x:v>
      </x:c>
      <x:c r="AH13" s="82" t="str">
        <x:v>较高</x:v>
      </x:c>
      <x:c r="AI13" s="82" t="str">
        <x:v>现代综合</x:v>
      </x:c>
      <x:c r="AJ13" s="68" t="str">
        <x:v>天干关系与地支根气是不同层级。参考：https://zh.wikisource.org/zh-hans/滴天髓</x:v>
      </x:c>
      <x:c r="AK13" s="68" t="str">
        <x:v>甲被己合但寅卯根完整，甲木仍有基础力量。</x:v>
      </x:c>
      <x:c r="AL13" s="90" t="str">
        <x:v>甲己合后不检查寅卯根便判甲木为零。</x:v>
      </x:c>
      <x:c r="AM13" s="82" t="str">
        <x:v>采用</x:v>
      </x:c>
      <x:c r="AN13" s="82" t="str">
        <x:v>初审</x:v>
      </x:c>
      <x:c r="AO13" s="87" t="n">
        <x:v>46255</x:v>
      </x:c>
    </x:row>
    <x:row r="14">
      <x:c r="A14" s="72" t="str">
        <x:f>IF(OR(C14="",D14=""),"",B14&amp;"-"&amp;UPPER(C14)&amp;"-"&amp;TEXT(D14,"0000")&amp;"-"&amp;E14)</x:f>
        <x:v>M06-TGHE-0008-V1.0</x:v>
      </x:c>
      <x:c r="B14" s="74" t="str">
        <x:v>M06</x:v>
      </x:c>
      <x:c r="C14" s="74" t="str">
        <x:v>TGHE</x:v>
      </x:c>
      <x:c r="D14" s="79" t="n">
        <x:v>8</x:v>
      </x:c>
      <x:c r="E14" s="74" t="str">
        <x:v>V1.0</x:v>
      </x:c>
      <x:c r="F14" s="68" t="str">
        <x:v>天干合可暂缓原有直接克制路径</x:v>
      </x:c>
      <x:c r="G14" s="82" t="str">
        <x:v>效应层</x:v>
      </x:c>
      <x:c r="H14" s="68" t="str">
        <x:v>M04-OVER-0046-V1.0；M04-HE-0001-V1.0—M04-HE-0005-V1.0</x:v>
      </x:c>
      <x:c r="I14" s="82" t="str">
        <x:v>其他</x:v>
      </x:c>
      <x:c r="J14" s="68" t="str">
        <x:v>合与克并见的共享天干</x:v>
      </x:c>
      <x:c r="K14" s="68" t="str">
        <x:v>原克制路径</x:v>
      </x:c>
      <x:c r="L14" s="82" t="str">
        <x:v>逐对象比较得令、得地、得势与相对强弱</x:v>
      </x:c>
      <x:c r="M14" s="68" t="str">
        <x:v>记录参与对象中谁得令、谁受季节支持</x:v>
      </x:c>
      <x:c r="N14" s="68" t="str">
        <x:v>记录明干及相关藏干的透出通道</x:v>
      </x:c>
      <x:c r="O14" s="68" t="str">
        <x:v>记录各对象根气层级、数量及是否唯一根</x:v>
      </x:c>
      <x:c r="P14" s="68" t="str">
        <x:v>检查同节点的合、冲、刑、害、破、会及生克</x:v>
      </x:c>
      <x:c r="Q14" s="82" t="str">
        <x:v>阻断</x:v>
      </x:c>
      <x:c r="R14" s="82" t="str">
        <x:v>阻断</x:v>
      </x:c>
      <x:c r="S14" s="82" t="str">
        <x:v>中</x:v>
      </x:c>
      <x:c r="T14" s="82" t="str">
        <x:v>否</x:v>
      </x:c>
      <x:c r="U14" s="82" t="str">
        <x:v>否</x:v>
      </x:c>
      <x:c r="V14" s="82" t="str">
        <x:v>否</x:v>
      </x:c>
      <x:c r="W14" s="82" t="str">
        <x:v>否</x:v>
      </x:c>
      <x:c r="X14" s="82" t="str">
        <x:v>条件性</x:v>
      </x:c>
      <x:c r="Y14" s="68" t="str">
        <x:v>原生克路径局部阻断，需在M12重建通路</x:v>
      </x:c>
      <x:c r="Z14" s="68" t="str">
        <x:v>M04/M05已识别关系，柱位、完整度与参与对象已标准化</x:v>
      </x:c>
      <x:c r="AA14" s="68" t="str">
        <x:v>必须指向具体作用对象，并比较各方力量、根气和通道</x:v>
      </x:c>
      <x:c r="AB14" s="68" t="str">
        <x:v>合相邻、关系单一且被合干弱</x:v>
      </x:c>
      <x:c r="AC14" s="68" t="str">
        <x:v>被合干强根或另有同类接力</x:v>
      </x:c>
      <x:c r="AD14" s="90" t="str">
        <x:v>仅凭关系名称不得直接判性质改变、归零或固定吉凶</x:v>
      </x:c>
      <x:c r="AE14" s="68" t="str">
        <x:v>特殊格局或岁运动态补齐须另建实例重新裁决</x:v>
      </x:c>
      <x:c r="AF14" s="84" t="str">
        <x:v>当克者或被克者被另一干强力合绊时，原直接克制路径可能减弱或延后，但不能自动视为完全解除。</x:v>
      </x:c>
      <x:c r="AG14" s="84" t="str">
        <x:v>共享天干受合，原克制路径被削弱；是否完全解除须看合的强度与第三方力量。</x:v>
      </x:c>
      <x:c r="AH14" s="82" t="str">
        <x:v>较高</x:v>
      </x:c>
      <x:c r="AI14" s="82" t="str">
        <x:v>现代综合</x:v>
      </x:c>
      <x:c r="AJ14" s="68" t="str">
        <x:v>会合可作为解冲解克机制，但必须比较结构强弱。参考：https://ctext.org/wiki.pl?chapter=974137&amp;if=gb&amp;remap=gb</x:v>
      </x:c>
      <x:c r="AK14" s="68" t="str">
        <x:v>庚欲克甲，而庚被乙强合，庚克甲的直接性下降。</x:v>
      </x:c>
      <x:c r="AL14" s="90" t="str">
        <x:v>庚被乙弱遥合便认定庚完全不能克甲。</x:v>
      </x:c>
      <x:c r="AM14" s="82" t="str">
        <x:v>采用</x:v>
      </x:c>
      <x:c r="AN14" s="82" t="str">
        <x:v>初审</x:v>
      </x:c>
      <x:c r="AO14" s="87" t="n">
        <x:v>46255</x:v>
      </x:c>
    </x:row>
    <x:row r="15">
      <x:c r="A15" s="72" t="str">
        <x:f>IF(OR(C15="",D15=""),"",B15&amp;"-"&amp;UPPER(C15)&amp;"-"&amp;TEXT(D15,"0000")&amp;"-"&amp;E15)</x:f>
        <x:v>M06-TGHE-0009-V1.0</x:v>
      </x:c>
      <x:c r="B15" s="74" t="str">
        <x:v>M06</x:v>
      </x:c>
      <x:c r="C15" s="74" t="str">
        <x:v>TGHE</x:v>
      </x:c>
      <x:c r="D15" s="79" t="n">
        <x:v>9</x:v>
      </x:c>
      <x:c r="E15" s="74" t="str">
        <x:v>V1.0</x:v>
      </x:c>
      <x:c r="F15" s="68" t="str">
        <x:v>第三干仍可作用于被合天干</x:v>
      </x:c>
      <x:c r="G15" s="82" t="str">
        <x:v>效应层</x:v>
      </x:c>
      <x:c r="H15" s="68" t="str">
        <x:v>M04-OVER-0046-V1.0</x:v>
      </x:c>
      <x:c r="I15" s="82" t="str">
        <x:v>其他</x:v>
      </x:c>
      <x:c r="J15" s="68" t="str">
        <x:v>五合两干及第三干</x:v>
      </x:c>
      <x:c r="K15" s="68" t="str">
        <x:v>被合天干</x:v>
      </x:c>
      <x:c r="L15" s="82" t="str">
        <x:v>逐对象比较得令、得地、得势与相对强弱</x:v>
      </x:c>
      <x:c r="M15" s="68" t="str">
        <x:v>记录参与对象中谁得令、谁受季节支持</x:v>
      </x:c>
      <x:c r="N15" s="68" t="str">
        <x:v>记录明干及相关藏干的透出通道</x:v>
      </x:c>
      <x:c r="O15" s="68" t="str">
        <x:v>记录各对象根气层级、数量及是否唯一根</x:v>
      </x:c>
      <x:c r="P15" s="68" t="str">
        <x:v>必须列出合与第三干生克的全部关系实例</x:v>
      </x:c>
      <x:c r="Q15" s="82" t="str">
        <x:v>克</x:v>
      </x:c>
      <x:c r="R15" s="82" t="str">
        <x:v>条件性</x:v>
      </x:c>
      <x:c r="S15" s="82" t="str">
        <x:v>中</x:v>
      </x:c>
      <x:c r="T15" s="82" t="str">
        <x:v>否</x:v>
      </x:c>
      <x:c r="U15" s="82" t="str">
        <x:v>条件性</x:v>
      </x:c>
      <x:c r="V15" s="82" t="str">
        <x:v>条件性</x:v>
      </x:c>
      <x:c r="W15" s="82" t="str">
        <x:v>条件性</x:v>
      </x:c>
      <x:c r="X15" s="82" t="str">
        <x:v>条件性</x:v>
      </x:c>
      <x:c r="Y15" s="68" t="str">
        <x:v>可能改变原有生克路径，须在M12复核</x:v>
      </x:c>
      <x:c r="Z15" s="68" t="str">
        <x:v>M04/M05已识别关系，柱位、完整度与参与对象已标准化</x:v>
      </x:c>
      <x:c r="AA15" s="68" t="str">
        <x:v>必须指向具体作用对象，并比较各方力量、根气和通道</x:v>
      </x:c>
      <x:c r="AB15" s="68" t="str">
        <x:v>关系相邻、得令、得地、成势且无强力反制</x:v>
      </x:c>
      <x:c r="AC15" s="68" t="str">
        <x:v>遥隔、争合、节点被其他关系牵制或双方各有强根</x:v>
      </x:c>
      <x:c r="AD15" s="90" t="str">
        <x:v>仅凭关系名称不得直接判性质改变、归零或固定吉凶</x:v>
      </x:c>
      <x:c r="AE15" s="68" t="str">
        <x:v>特殊格局或岁运动态补齐须另建实例重新裁决</x:v>
      </x:c>
      <x:c r="AF15" s="84" t="str">
        <x:v>被合不等于获得隔离保护；第三干的生克仍须登记，只是效果需与合绊同时裁决。</x:v>
      </x:c>
      <x:c r="AG15" s="84" t="str">
        <x:v>该干虽参与五合，仍接受第三干生克；最终效应按多重关系综合。</x:v>
      </x:c>
      <x:c r="AH15" s="82" t="str">
        <x:v>较高</x:v>
      </x:c>
      <x:c r="AI15" s="82" t="str">
        <x:v>现代综合</x:v>
      </x:c>
      <x:c r="AJ15" s="68" t="str">
        <x:v>多重关系不能因先见合而删除后续生克。参考：https://ctext.org/wiki.pl?chapter=974137&amp;if=gb&amp;remap=gb</x:v>
      </x:c>
      <x:c r="AK15" s="68" t="str">
        <x:v>甲己合同时庚克甲，合与克均保留并比较。</x:v>
      </x:c>
      <x:c r="AL15" s="90" t="str">
        <x:v>甲被己合后直接忽略庚克甲。</x:v>
      </x:c>
      <x:c r="AM15" s="82" t="str">
        <x:v>采用</x:v>
      </x:c>
      <x:c r="AN15" s="82" t="str">
        <x:v>初审</x:v>
      </x:c>
      <x:c r="AO15" s="87" t="n">
        <x:v>46255</x:v>
      </x:c>
    </x:row>
    <x:row r="16">
      <x:c r="A16" s="72" t="str">
        <x:f>IF(OR(C16="",D16=""),"",B16&amp;"-"&amp;UPPER(C16)&amp;"-"&amp;TEXT(D16,"0000")&amp;"-"&amp;E16)</x:f>
        <x:v>M06-TGHE-0010-V1.0</x:v>
      </x:c>
      <x:c r="B16" s="74" t="str">
        <x:v>M06</x:v>
      </x:c>
      <x:c r="C16" s="74" t="str">
        <x:v>TGHE</x:v>
      </x:c>
      <x:c r="D16" s="79" t="n">
        <x:v>10</x:v>
      </x:c>
      <x:c r="E16" s="74" t="str">
        <x:v>V1.0</x:v>
      </x:c>
      <x:c r="F16" s="68" t="str">
        <x:v>争合降低单一合关系的稳定性</x:v>
      </x:c>
      <x:c r="G16" s="82" t="str">
        <x:v>效应层</x:v>
      </x:c>
      <x:c r="H16" s="68" t="str">
        <x:v>M04-ZHENG-0037-V1.0—M04-ZHENG-0042-V1.0；M04-DUHE-0043-V1.0</x:v>
      </x:c>
      <x:c r="I16" s="82" t="str">
        <x:v>争合</x:v>
      </x:c>
      <x:c r="J16" s="68" t="str">
        <x:v>一干与两个配对干</x:v>
      </x:c>
      <x:c r="K16" s="68" t="str">
        <x:v>共享天干及各关系实例</x:v>
      </x:c>
      <x:c r="L16" s="82" t="str">
        <x:v>逐对象比较得令、得地、得势与相对强弱</x:v>
      </x:c>
      <x:c r="M16" s="68" t="str">
        <x:v>记录参与对象中谁得令、谁受季节支持</x:v>
      </x:c>
      <x:c r="N16" s="68" t="str">
        <x:v>记录明干及相关藏干的透出通道</x:v>
      </x:c>
      <x:c r="O16" s="68" t="str">
        <x:v>记录各对象根气层级、数量及是否唯一根</x:v>
      </x:c>
      <x:c r="P16" s="68" t="str">
        <x:v>检查同节点的合、冲、刑、害、破、会及生克</x:v>
      </x:c>
      <x:c r="Q16" s="82" t="str">
        <x:v>合动</x:v>
      </x:c>
      <x:c r="R16" s="82" t="str">
        <x:v>待定</x:v>
      </x:c>
      <x:c r="S16" s="82" t="str">
        <x:v>中</x:v>
      </x:c>
      <x:c r="T16" s="82" t="str">
        <x:v>否</x:v>
      </x:c>
      <x:c r="U16" s="82" t="str">
        <x:v>条件性</x:v>
      </x:c>
      <x:c r="V16" s="82" t="str">
        <x:v>条件性</x:v>
      </x:c>
      <x:c r="W16" s="82" t="str">
        <x:v>条件性</x:v>
      </x:c>
      <x:c r="X16" s="82" t="str">
        <x:v>条件性</x:v>
      </x:c>
      <x:c r="Y16" s="68" t="str">
        <x:v>可能改变原有生克路径，须在M12复核</x:v>
      </x:c>
      <x:c r="Z16" s="68" t="str">
        <x:v>M04/M05已识别关系，柱位、完整度与参与对象已标准化</x:v>
      </x:c>
      <x:c r="AA16" s="68" t="str">
        <x:v>必须指向具体作用对象，并比较各方力量、根气和通道</x:v>
      </x:c>
      <x:c r="AB16" s="68" t="str">
        <x:v>一组相邻且强势，另一组遥隔弱势</x:v>
      </x:c>
      <x:c r="AC16" s="68" t="str">
        <x:v>两组力量接近且共享节点有强根</x:v>
      </x:c>
      <x:c r="AD16" s="90" t="str">
        <x:v>不得把共享天干同时完整化入两个不同结果</x:v>
      </x:c>
      <x:c r="AE16" s="68" t="str">
        <x:v>若两组候选化神相同且全局一气成势，仍须以特殊规则复核</x:v>
      </x:c>
      <x:c r="AF16" s="84" t="str">
        <x:v>同一节点被两个合关系竞争时，不宜把两组关系都判为完整合住或同时合化；须按位置、强弱、根气确定主次。</x:v>
      </x:c>
      <x:c r="AG16" s="84" t="str">
        <x:v>该结构存在争合，各合关系稳定性下降；需指定主合、次合或均不成强合。</x:v>
      </x:c>
      <x:c r="AH16" s="82" t="str">
        <x:v>中等</x:v>
      </x:c>
      <x:c r="AI16" s="82" t="str">
        <x:v>现代综合</x:v>
      </x:c>
      <x:c r="AJ16" s="68" t="str">
        <x:v>争合是多关系共享节点问题，必须分配作用优先级。参考：https://ctext.org/wiki.pl?chapter=435028&amp;if=gb&amp;remap=gb</x:v>
      </x:c>
      <x:c r="AK16" s="68" t="str">
        <x:v>两甲争一己时，月日相邻一组可列主合，年时遥隔一组列次合。</x:v>
      </x:c>
      <x:c r="AL16" s="90" t="str">
        <x:v>一己同时被两甲完整合化，且两组均判决定性。</x:v>
      </x:c>
      <x:c r="AM16" s="82" t="str">
        <x:v>采用</x:v>
      </x:c>
      <x:c r="AN16" s="82" t="str">
        <x:v>初审</x:v>
      </x:c>
      <x:c r="AO16" s="87" t="n">
        <x:v>46255</x:v>
      </x:c>
    </x:row>
    <x:row r="17">
      <x:c r="A17" s="72" t="str">
        <x:f>IF(OR(C17="",D17=""),"",B17&amp;"-"&amp;UPPER(C17)&amp;"-"&amp;TEXT(D17,"0000")&amp;"-"&amp;E17)</x:f>
        <x:v>M06-TGHUA-0011-V1.0</x:v>
      </x:c>
      <x:c r="B17" s="74" t="str">
        <x:v>M06</x:v>
      </x:c>
      <x:c r="C17" s="74" t="str">
        <x:v>TGHUA</x:v>
      </x:c>
      <x:c r="D17" s="79" t="n">
        <x:v>11</x:v>
      </x:c>
      <x:c r="E17" s="74" t="str">
        <x:v>V1.0</x:v>
      </x:c>
      <x:c r="F17" s="68" t="str">
        <x:v>天干合化成立的四项联合门槛</x:v>
      </x:c>
      <x:c r="G17" s="82" t="str">
        <x:v>效应层</x:v>
      </x:c>
      <x:c r="H17" s="68" t="str">
        <x:v>M04-HHC-0032-V1.0—M04-HHC-0036-V1.0</x:v>
      </x:c>
      <x:c r="I17" s="82" t="str">
        <x:v>天干五合</x:v>
      </x:c>
      <x:c r="J17" s="68" t="str">
        <x:v>任一五合配对及候选化神</x:v>
      </x:c>
      <x:c r="K17" s="68" t="str">
        <x:v>参与两干与化神</x:v>
      </x:c>
      <x:c r="L17" s="82" t="str">
        <x:v>逐对象比较得令、得地、得势与相对强弱</x:v>
      </x:c>
      <x:c r="M17" s="68" t="str">
        <x:v>记录参与对象中谁得令、谁受季节支持</x:v>
      </x:c>
      <x:c r="N17" s="68" t="str">
        <x:v>记录明干及相关藏干的透出通道</x:v>
      </x:c>
      <x:c r="O17" s="68" t="str">
        <x:v>记录各对象根气层级、数量及是否唯一根</x:v>
      </x:c>
      <x:c r="P17" s="68" t="str">
        <x:v>检查同节点的合、冲、刑、害、破、会及生克</x:v>
      </x:c>
      <x:c r="Q17" s="82" t="str">
        <x:v>合化</x:v>
      </x:c>
      <x:c r="R17" s="82" t="str">
        <x:v>转化</x:v>
      </x:c>
      <x:c r="S17" s="82" t="str">
        <x:v>决定性</x:v>
      </x:c>
      <x:c r="T17" s="82" t="str">
        <x:v>是</x:v>
      </x:c>
      <x:c r="U17" s="82" t="str">
        <x:v>条件性</x:v>
      </x:c>
      <x:c r="V17" s="82" t="str">
        <x:v>条件性</x:v>
      </x:c>
      <x:c r="W17" s="82" t="str">
        <x:v>是</x:v>
      </x:c>
      <x:c r="X17" s="82" t="str">
        <x:v>是</x:v>
      </x:c>
      <x:c r="Y17" s="68" t="str">
        <x:v>原两干通道重组为化神通道</x:v>
      </x:c>
      <x:c r="Z17" s="68" t="str">
        <x:v>M04/M05已识别关系，柱位、完整度与参与对象已标准化</x:v>
      </x:c>
      <x:c r="AA17" s="68" t="str">
        <x:v>五合配对完整；化神有实质承载；双方原气不过度固着；无否决性破坏</x:v>
      </x:c>
      <x:c r="AB17" s="68" t="str">
        <x:v>化神临月令、透干、得根并有同党</x:v>
      </x:c>
      <x:c r="AC17" s="68" t="str">
        <x:v>化神仅虚浮无根，或原两干各自强根</x:v>
      </x:c>
      <x:c r="AD17" s="90" t="str">
        <x:v>化神被强克、争合严重、双方原气均强而拒化</x:v>
      </x:c>
      <x:c r="AE17" s="68" t="str">
        <x:v>从化、化气格须转M14/M15按更严格条件复核</x:v>
      </x:c>
      <x:c r="AF17" s="84" t="str">
        <x:v>完整合化至少同时满足：关系明确、化神得时得地或成势、原干从化条件具备、无强力反化或争合。</x:v>
      </x:c>
      <x:c r="AG17" s="84" t="str">
        <x:v>当前满足合化联合门槛，方可把两干的主要有效性质转向化神；否则退回合绊或合动。</x:v>
      </x:c>
      <x:c r="AH17" s="82" t="str">
        <x:v>较高</x:v>
      </x:c>
      <x:c r="AI17" s="82" t="str">
        <x:v>跨流派共识</x:v>
      </x:c>
      <x:c r="AJ17" s="68" t="str">
        <x:v>传统五合化气不能仅凭配对成立，需考察月令与气势。参考：https://zh.wikisource.org/zh-hans/淵海子平；https://zh.wikisource.org/wiki/三命通會/卷二</x:v>
      </x:c>
      <x:c r="AK17" s="68" t="str">
        <x:v>丙辛合，水得令得根且丙辛原根薄弱，无强土制水，可判化水。</x:v>
      </x:c>
      <x:c r="AL17" s="90" t="str">
        <x:v>丙辛一见便化水，不查季节、根气和制化。</x:v>
      </x:c>
      <x:c r="AM17" s="82" t="str">
        <x:v>采用</x:v>
      </x:c>
      <x:c r="AN17" s="82" t="str">
        <x:v>初审</x:v>
      </x:c>
      <x:c r="AO17" s="87" t="n">
        <x:v>46255</x:v>
      </x:c>
    </x:row>
    <x:row r="18">
      <x:c r="A18" s="72" t="str">
        <x:f>IF(OR(C18="",D18=""),"",B18&amp;"-"&amp;UPPER(C18)&amp;"-"&amp;TEXT(D18,"0000")&amp;"-"&amp;E18)</x:f>
        <x:v>M06-TGHUA-0012-V1.0</x:v>
      </x:c>
      <x:c r="B18" s="74" t="str">
        <x:v>M06</x:v>
      </x:c>
      <x:c r="C18" s="74" t="str">
        <x:v>TGHUA</x:v>
      </x:c>
      <x:c r="D18" s="79" t="n">
        <x:v>12</x:v>
      </x:c>
      <x:c r="E18" s="74" t="str">
        <x:v>V1.0</x:v>
      </x:c>
      <x:c r="F18" s="68" t="str">
        <x:v>甲己合化土的化神方向</x:v>
      </x:c>
      <x:c r="G18" s="82" t="str">
        <x:v>效应层</x:v>
      </x:c>
      <x:c r="H18" s="68" t="str">
        <x:v>M04-HHC-0032-V1.0</x:v>
      </x:c>
      <x:c r="I18" s="82" t="str">
        <x:v>天干五合</x:v>
      </x:c>
      <x:c r="J18" s="68" t="str">
        <x:v>甲、己</x:v>
      </x:c>
      <x:c r="K18" s="68" t="str">
        <x:v>甲、己及化神土</x:v>
      </x:c>
      <x:c r="L18" s="82" t="str">
        <x:v>逐对象比较得令、得地、得势与相对强弱</x:v>
      </x:c>
      <x:c r="M18" s="68" t="str">
        <x:v>记录参与对象中谁得令、谁受季节支持</x:v>
      </x:c>
      <x:c r="N18" s="68" t="str">
        <x:v>记录明干及相关藏干的透出通道</x:v>
      </x:c>
      <x:c r="O18" s="68" t="str">
        <x:v>记录各对象根气层级、数量及是否唯一根</x:v>
      </x:c>
      <x:c r="P18" s="68" t="str">
        <x:v>检查同节点的合、冲、刑、害、破、会及生克</x:v>
      </x:c>
      <x:c r="Q18" s="82" t="str">
        <x:v>合化</x:v>
      </x:c>
      <x:c r="R18" s="82" t="str">
        <x:v>转化</x:v>
      </x:c>
      <x:c r="S18" s="82" t="str">
        <x:v>强</x:v>
      </x:c>
      <x:c r="T18" s="82" t="str">
        <x:v>是</x:v>
      </x:c>
      <x:c r="U18" s="82" t="str">
        <x:v>条件性</x:v>
      </x:c>
      <x:c r="V18" s="82" t="str">
        <x:v>条件性</x:v>
      </x:c>
      <x:c r="W18" s="82" t="str">
        <x:v>是</x:v>
      </x:c>
      <x:c r="X18" s="82" t="str">
        <x:v>是</x:v>
      </x:c>
      <x:c r="Y18" s="68" t="str">
        <x:v>原有两干通道转入土的生克链</x:v>
      </x:c>
      <x:c r="Z18" s="68" t="str">
        <x:v>M04/M05已识别关系，柱位、完整度与参与对象已标准化</x:v>
      </x:c>
      <x:c r="AA18" s="68" t="str">
        <x:v>土得时、得地或成势，且双方具备从化条件</x:v>
      </x:c>
      <x:c r="AB18" s="68" t="str">
        <x:v>土临辰戌丑未或火土成势，戊己透出承接</x:v>
      </x:c>
      <x:c r="AC18" s="68" t="str">
        <x:v>木势或水势强，甲有强根拒化</x:v>
      </x:c>
      <x:c r="AD18" s="90" t="str">
        <x:v>土无根无势或受强力反制；任一方原气根深拒化</x:v>
      </x:c>
      <x:c r="AE18" s="68" t="str">
        <x:v>仅有化意但未达完整门槛时，降级为条件性合动或合绊</x:v>
      </x:c>
      <x:c r="AF18" s="84" t="str">
        <x:v>甲己合只生成化土方向；土得令、得根、成势且甲己能从化时，才可判主要性质转土。</x:v>
      </x:c>
      <x:c r="AG18" s="84" t="str">
        <x:v>甲己合化土条件成立，甲己主要有效作用转向土；若条件不足则仍按合绊处理。</x:v>
      </x:c>
      <x:c r="AH18" s="82" t="str">
        <x:v>较高</x:v>
      </x:c>
      <x:c r="AI18" s="82" t="str">
        <x:v>现代综合</x:v>
      </x:c>
      <x:c r="AJ18" s="68" t="str">
        <x:v>本条只规定固定化神方向与条件，不把候选等同成立。参考：https://zh.wikisource.org/zh-hans/淵海子平；https://zh.wikisource.org/wiki/三命通會/卷二</x:v>
      </x:c>
      <x:c r="AK18" s="68" t="str">
        <x:v>甲己合化土条件成立，甲己主要有效作用转向土；若条件不足则仍按合绊处理。</x:v>
      </x:c>
      <x:c r="AL18" s="90" t="str">
        <x:v>甲己见而土虚弱、木强破土</x:v>
      </x:c>
      <x:c r="AM18" s="82" t="str">
        <x:v>采用</x:v>
      </x:c>
      <x:c r="AN18" s="82" t="str">
        <x:v>初审</x:v>
      </x:c>
      <x:c r="AO18" s="87" t="n">
        <x:v>46255</x:v>
      </x:c>
    </x:row>
    <x:row r="19">
      <x:c r="A19" s="72" t="str">
        <x:f>IF(OR(C19="",D19=""),"",B19&amp;"-"&amp;UPPER(C19)&amp;"-"&amp;TEXT(D19,"0000")&amp;"-"&amp;E19)</x:f>
        <x:v>M06-TGHUA-0013-V1.0</x:v>
      </x:c>
      <x:c r="B19" s="74" t="str">
        <x:v>M06</x:v>
      </x:c>
      <x:c r="C19" s="74" t="str">
        <x:v>TGHUA</x:v>
      </x:c>
      <x:c r="D19" s="79" t="n">
        <x:v>13</x:v>
      </x:c>
      <x:c r="E19" s="74" t="str">
        <x:v>V1.0</x:v>
      </x:c>
      <x:c r="F19" s="68" t="str">
        <x:v>乙庚合化金的化神方向</x:v>
      </x:c>
      <x:c r="G19" s="82" t="str">
        <x:v>效应层</x:v>
      </x:c>
      <x:c r="H19" s="68" t="str">
        <x:v>M04-HHC-0033-V1.0</x:v>
      </x:c>
      <x:c r="I19" s="82" t="str">
        <x:v>天干五合</x:v>
      </x:c>
      <x:c r="J19" s="68" t="str">
        <x:v>乙、庚</x:v>
      </x:c>
      <x:c r="K19" s="68" t="str">
        <x:v>乙、庚及化神金</x:v>
      </x:c>
      <x:c r="L19" s="82" t="str">
        <x:v>逐对象比较得令、得地、得势与相对强弱</x:v>
      </x:c>
      <x:c r="M19" s="68" t="str">
        <x:v>记录参与对象中谁得令、谁受季节支持</x:v>
      </x:c>
      <x:c r="N19" s="68" t="str">
        <x:v>记录明干及相关藏干的透出通道</x:v>
      </x:c>
      <x:c r="O19" s="68" t="str">
        <x:v>记录各对象根气层级、数量及是否唯一根</x:v>
      </x:c>
      <x:c r="P19" s="68" t="str">
        <x:v>检查同节点的合、冲、刑、害、破、会及生克</x:v>
      </x:c>
      <x:c r="Q19" s="82" t="str">
        <x:v>合化</x:v>
      </x:c>
      <x:c r="R19" s="82" t="str">
        <x:v>转化</x:v>
      </x:c>
      <x:c r="S19" s="82" t="str">
        <x:v>强</x:v>
      </x:c>
      <x:c r="T19" s="82" t="str">
        <x:v>是</x:v>
      </x:c>
      <x:c r="U19" s="82" t="str">
        <x:v>条件性</x:v>
      </x:c>
      <x:c r="V19" s="82" t="str">
        <x:v>条件性</x:v>
      </x:c>
      <x:c r="W19" s="82" t="str">
        <x:v>是</x:v>
      </x:c>
      <x:c r="X19" s="82" t="str">
        <x:v>是</x:v>
      </x:c>
      <x:c r="Y19" s="68" t="str">
        <x:v>原有两干通道转入金的生克链</x:v>
      </x:c>
      <x:c r="Z19" s="68" t="str">
        <x:v>M04/M05已识别关系，柱位、完整度与参与对象已标准化</x:v>
      </x:c>
      <x:c r="AA19" s="68" t="str">
        <x:v>金得时、得地或成势，且双方具备从化条件</x:v>
      </x:c>
      <x:c r="AB19" s="68" t="str">
        <x:v>申酉月或巳酉丑金势成，庚辛有根透出</x:v>
      </x:c>
      <x:c r="AC19" s="68" t="str">
        <x:v>木火强势，乙根深或火克金</x:v>
      </x:c>
      <x:c r="AD19" s="90" t="str">
        <x:v>金无根无势或受强力反制；任一方原气根深拒化</x:v>
      </x:c>
      <x:c r="AE19" s="68" t="str">
        <x:v>仅有化意但未达完整门槛时，降级为条件性合动或合绊</x:v>
      </x:c>
      <x:c r="AF19" s="84" t="str">
        <x:v>乙庚合只生成化金方向；金得令、得根、成势且乙庚能从化时，才可判主要性质转金。</x:v>
      </x:c>
      <x:c r="AG19" s="84" t="str">
        <x:v>乙庚合化金条件成立，乙庚主要有效作用转向金；若条件不足则仍按合绊处理。</x:v>
      </x:c>
      <x:c r="AH19" s="82" t="str">
        <x:v>较高</x:v>
      </x:c>
      <x:c r="AI19" s="82" t="str">
        <x:v>现代综合</x:v>
      </x:c>
      <x:c r="AJ19" s="68" t="str">
        <x:v>本条只规定固定化神方向与条件，不把候选等同成立。参考：https://zh.wikisource.org/zh-hans/淵海子平；https://zh.wikisource.org/wiki/三命通會/卷二</x:v>
      </x:c>
      <x:c r="AK19" s="68" t="str">
        <x:v>乙庚合化金条件成立，乙庚主要有效作用转向金；若条件不足则仍按合绊处理。</x:v>
      </x:c>
      <x:c r="AL19" s="90" t="str">
        <x:v>乙庚见而金无根、火旺制金</x:v>
      </x:c>
      <x:c r="AM19" s="82" t="str">
        <x:v>采用</x:v>
      </x:c>
      <x:c r="AN19" s="82" t="str">
        <x:v>初审</x:v>
      </x:c>
      <x:c r="AO19" s="87" t="n">
        <x:v>46255</x:v>
      </x:c>
    </x:row>
    <x:row r="20">
      <x:c r="A20" s="72" t="str">
        <x:f>IF(OR(C20="",D20=""),"",B20&amp;"-"&amp;UPPER(C20)&amp;"-"&amp;TEXT(D20,"0000")&amp;"-"&amp;E20)</x:f>
        <x:v>M06-TGHUA-0014-V1.0</x:v>
      </x:c>
      <x:c r="B20" s="74" t="str">
        <x:v>M06</x:v>
      </x:c>
      <x:c r="C20" s="74" t="str">
        <x:v>TGHUA</x:v>
      </x:c>
      <x:c r="D20" s="79" t="n">
        <x:v>14</x:v>
      </x:c>
      <x:c r="E20" s="74" t="str">
        <x:v>V1.0</x:v>
      </x:c>
      <x:c r="F20" s="68" t="str">
        <x:v>丙辛合化水的化神方向</x:v>
      </x:c>
      <x:c r="G20" s="82" t="str">
        <x:v>效应层</x:v>
      </x:c>
      <x:c r="H20" s="68" t="str">
        <x:v>M04-HHC-0034-V1.0</x:v>
      </x:c>
      <x:c r="I20" s="82" t="str">
        <x:v>天干五合</x:v>
      </x:c>
      <x:c r="J20" s="68" t="str">
        <x:v>丙、辛</x:v>
      </x:c>
      <x:c r="K20" s="68" t="str">
        <x:v>丙、辛及化神水</x:v>
      </x:c>
      <x:c r="L20" s="82" t="str">
        <x:v>逐对象比较得令、得地、得势与相对强弱</x:v>
      </x:c>
      <x:c r="M20" s="68" t="str">
        <x:v>记录参与对象中谁得令、谁受季节支持</x:v>
      </x:c>
      <x:c r="N20" s="68" t="str">
        <x:v>记录明干及相关藏干的透出通道</x:v>
      </x:c>
      <x:c r="O20" s="68" t="str">
        <x:v>记录各对象根气层级、数量及是否唯一根</x:v>
      </x:c>
      <x:c r="P20" s="68" t="str">
        <x:v>检查同节点的合、冲、刑、害、破、会及生克</x:v>
      </x:c>
      <x:c r="Q20" s="82" t="str">
        <x:v>合化</x:v>
      </x:c>
      <x:c r="R20" s="82" t="str">
        <x:v>转化</x:v>
      </x:c>
      <x:c r="S20" s="82" t="str">
        <x:v>强</x:v>
      </x:c>
      <x:c r="T20" s="82" t="str">
        <x:v>是</x:v>
      </x:c>
      <x:c r="U20" s="82" t="str">
        <x:v>条件性</x:v>
      </x:c>
      <x:c r="V20" s="82" t="str">
        <x:v>条件性</x:v>
      </x:c>
      <x:c r="W20" s="82" t="str">
        <x:v>是</x:v>
      </x:c>
      <x:c r="X20" s="82" t="str">
        <x:v>是</x:v>
      </x:c>
      <x:c r="Y20" s="68" t="str">
        <x:v>原有两干通道转入水的生克链</x:v>
      </x:c>
      <x:c r="Z20" s="68" t="str">
        <x:v>M04/M05已识别关系，柱位、完整度与参与对象已标准化</x:v>
      </x:c>
      <x:c r="AA20" s="68" t="str">
        <x:v>水得时、得地或成势，且双方具备从化条件</x:v>
      </x:c>
      <x:c r="AB20" s="68" t="str">
        <x:v>亥子月或申子辰水势成，壬癸透出承接</x:v>
      </x:c>
      <x:c r="AC20" s="68" t="str">
        <x:v>火土强势，丙有强根或土重制水</x:v>
      </x:c>
      <x:c r="AD20" s="90" t="str">
        <x:v>水无根无势或受强力反制；任一方原气根深拒化</x:v>
      </x:c>
      <x:c r="AE20" s="68" t="str">
        <x:v>仅有化意但未达完整门槛时，降级为条件性合动或合绊</x:v>
      </x:c>
      <x:c r="AF20" s="84" t="str">
        <x:v>丙辛合只生成化水方向；水得令、得根、成势且丙辛能从化时，才可判主要性质转水。</x:v>
      </x:c>
      <x:c r="AG20" s="84" t="str">
        <x:v>丙辛合化水条件成立，丙辛主要有效作用转向水；若条件不足则仍按合绊处理。</x:v>
      </x:c>
      <x:c r="AH20" s="82" t="str">
        <x:v>较高</x:v>
      </x:c>
      <x:c r="AI20" s="82" t="str">
        <x:v>现代综合</x:v>
      </x:c>
      <x:c r="AJ20" s="68" t="str">
        <x:v>本条只规定固定化神方向与条件，不把候选等同成立。参考：https://zh.wikisource.org/zh-hans/淵海子平；https://zh.wikisource.org/wiki/三命通會/卷二</x:v>
      </x:c>
      <x:c r="AK20" s="68" t="str">
        <x:v>丙辛合化水条件成立，丙辛主要有效作用转向水；若条件不足则仍按合绊处理。</x:v>
      </x:c>
      <x:c r="AL20" s="90" t="str">
        <x:v>丙辛见而水无根、火土旺</x:v>
      </x:c>
      <x:c r="AM20" s="82" t="str">
        <x:v>采用</x:v>
      </x:c>
      <x:c r="AN20" s="82" t="str">
        <x:v>初审</x:v>
      </x:c>
      <x:c r="AO20" s="87" t="n">
        <x:v>46255</x:v>
      </x:c>
    </x:row>
    <x:row r="21">
      <x:c r="A21" s="72" t="str">
        <x:f>IF(OR(C21="",D21=""),"",B21&amp;"-"&amp;UPPER(C21)&amp;"-"&amp;TEXT(D21,"0000")&amp;"-"&amp;E21)</x:f>
        <x:v>M06-TGHUA-0015-V1.0</x:v>
      </x:c>
      <x:c r="B21" s="74" t="str">
        <x:v>M06</x:v>
      </x:c>
      <x:c r="C21" s="74" t="str">
        <x:v>TGHUA</x:v>
      </x:c>
      <x:c r="D21" s="79" t="n">
        <x:v>15</x:v>
      </x:c>
      <x:c r="E21" s="74" t="str">
        <x:v>V1.0</x:v>
      </x:c>
      <x:c r="F21" s="68" t="str">
        <x:v>丁壬合化木的化神方向</x:v>
      </x:c>
      <x:c r="G21" s="82" t="str">
        <x:v>效应层</x:v>
      </x:c>
      <x:c r="H21" s="68" t="str">
        <x:v>M04-HHC-0035-V1.0</x:v>
      </x:c>
      <x:c r="I21" s="82" t="str">
        <x:v>天干五合</x:v>
      </x:c>
      <x:c r="J21" s="68" t="str">
        <x:v>丁、壬</x:v>
      </x:c>
      <x:c r="K21" s="68" t="str">
        <x:v>丁、壬及化神木</x:v>
      </x:c>
      <x:c r="L21" s="82" t="str">
        <x:v>逐对象比较得令、得地、得势与相对强弱</x:v>
      </x:c>
      <x:c r="M21" s="68" t="str">
        <x:v>记录参与对象中谁得令、谁受季节支持</x:v>
      </x:c>
      <x:c r="N21" s="68" t="str">
        <x:v>记录明干及相关藏干的透出通道</x:v>
      </x:c>
      <x:c r="O21" s="68" t="str">
        <x:v>记录各对象根气层级、数量及是否唯一根</x:v>
      </x:c>
      <x:c r="P21" s="68" t="str">
        <x:v>检查同节点的合、冲、刑、害、破、会及生克</x:v>
      </x:c>
      <x:c r="Q21" s="82" t="str">
        <x:v>合化</x:v>
      </x:c>
      <x:c r="R21" s="82" t="str">
        <x:v>转化</x:v>
      </x:c>
      <x:c r="S21" s="82" t="str">
        <x:v>强</x:v>
      </x:c>
      <x:c r="T21" s="82" t="str">
        <x:v>是</x:v>
      </x:c>
      <x:c r="U21" s="82" t="str">
        <x:v>条件性</x:v>
      </x:c>
      <x:c r="V21" s="82" t="str">
        <x:v>条件性</x:v>
      </x:c>
      <x:c r="W21" s="82" t="str">
        <x:v>是</x:v>
      </x:c>
      <x:c r="X21" s="82" t="str">
        <x:v>是</x:v>
      </x:c>
      <x:c r="Y21" s="68" t="str">
        <x:v>原有两干通道转入木的生克链</x:v>
      </x:c>
      <x:c r="Z21" s="68" t="str">
        <x:v>M04/M05已识别关系，柱位、完整度与参与对象已标准化</x:v>
      </x:c>
      <x:c r="AA21" s="68" t="str">
        <x:v>木得时、得地或成势，且双方具备从化条件</x:v>
      </x:c>
      <x:c r="AB21" s="68" t="str">
        <x:v>寅卯月或亥卯未木势成，甲乙透出承接</x:v>
      </x:c>
      <x:c r="AC21" s="68" t="str">
        <x:v>金土强势，丁壬各有强根或金克木</x:v>
      </x:c>
      <x:c r="AD21" s="90" t="str">
        <x:v>木无根无势或受强力反制；任一方原气根深拒化</x:v>
      </x:c>
      <x:c r="AE21" s="68" t="str">
        <x:v>仅有化意但未达完整门槛时，降级为条件性合动或合绊</x:v>
      </x:c>
      <x:c r="AF21" s="84" t="str">
        <x:v>丁壬合只生成化木方向；木得令、得根、成势且丁壬能从化时，才可判主要性质转木。</x:v>
      </x:c>
      <x:c r="AG21" s="84" t="str">
        <x:v>丁壬合化木条件成立，丁壬主要有效作用转向木；若条件不足则仍按合绊处理。</x:v>
      </x:c>
      <x:c r="AH21" s="82" t="str">
        <x:v>较高</x:v>
      </x:c>
      <x:c r="AI21" s="82" t="str">
        <x:v>现代综合</x:v>
      </x:c>
      <x:c r="AJ21" s="68" t="str">
        <x:v>本条只规定固定化神方向与条件，不把候选等同成立。参考：https://zh.wikisource.org/zh-hans/淵海子平；https://zh.wikisource.org/wiki/三命通會/卷二</x:v>
      </x:c>
      <x:c r="AK21" s="68" t="str">
        <x:v>丁壬合化木条件成立，丁壬主要有效作用转向木；若条件不足则仍按合绊处理。</x:v>
      </x:c>
      <x:c r="AL21" s="90" t="str">
        <x:v>丁壬见而木无根、金旺伐木</x:v>
      </x:c>
      <x:c r="AM21" s="82" t="str">
        <x:v>采用</x:v>
      </x:c>
      <x:c r="AN21" s="82" t="str">
        <x:v>初审</x:v>
      </x:c>
      <x:c r="AO21" s="87" t="n">
        <x:v>46255</x:v>
      </x:c>
    </x:row>
    <x:row r="22">
      <x:c r="A22" s="72" t="str">
        <x:f>IF(OR(C22="",D22=""),"",B22&amp;"-"&amp;UPPER(C22)&amp;"-"&amp;TEXT(D22,"0000")&amp;"-"&amp;E22)</x:f>
        <x:v>M06-TGHUA-0016-V1.0</x:v>
      </x:c>
      <x:c r="B22" s="74" t="str">
        <x:v>M06</x:v>
      </x:c>
      <x:c r="C22" s="74" t="str">
        <x:v>TGHUA</x:v>
      </x:c>
      <x:c r="D22" s="79" t="n">
        <x:v>16</x:v>
      </x:c>
      <x:c r="E22" s="74" t="str">
        <x:v>V1.0</x:v>
      </x:c>
      <x:c r="F22" s="68" t="str">
        <x:v>戊癸合化火的化神方向</x:v>
      </x:c>
      <x:c r="G22" s="82" t="str">
        <x:v>效应层</x:v>
      </x:c>
      <x:c r="H22" s="68" t="str">
        <x:v>M04-HHC-0036-V1.0</x:v>
      </x:c>
      <x:c r="I22" s="82" t="str">
        <x:v>天干五合</x:v>
      </x:c>
      <x:c r="J22" s="68" t="str">
        <x:v>戊、癸</x:v>
      </x:c>
      <x:c r="K22" s="68" t="str">
        <x:v>戊、癸及化神火</x:v>
      </x:c>
      <x:c r="L22" s="82" t="str">
        <x:v>逐对象比较得令、得地、得势与相对强弱</x:v>
      </x:c>
      <x:c r="M22" s="68" t="str">
        <x:v>记录参与对象中谁得令、谁受季节支持</x:v>
      </x:c>
      <x:c r="N22" s="68" t="str">
        <x:v>记录明干及相关藏干的透出通道</x:v>
      </x:c>
      <x:c r="O22" s="68" t="str">
        <x:v>记录各对象根气层级、数量及是否唯一根</x:v>
      </x:c>
      <x:c r="P22" s="68" t="str">
        <x:v>检查同节点的合、冲、刑、害、破、会及生克</x:v>
      </x:c>
      <x:c r="Q22" s="82" t="str">
        <x:v>合化</x:v>
      </x:c>
      <x:c r="R22" s="82" t="str">
        <x:v>转化</x:v>
      </x:c>
      <x:c r="S22" s="82" t="str">
        <x:v>强</x:v>
      </x:c>
      <x:c r="T22" s="82" t="str">
        <x:v>是</x:v>
      </x:c>
      <x:c r="U22" s="82" t="str">
        <x:v>条件性</x:v>
      </x:c>
      <x:c r="V22" s="82" t="str">
        <x:v>条件性</x:v>
      </x:c>
      <x:c r="W22" s="82" t="str">
        <x:v>是</x:v>
      </x:c>
      <x:c r="X22" s="82" t="str">
        <x:v>是</x:v>
      </x:c>
      <x:c r="Y22" s="68" t="str">
        <x:v>原有两干通道转入火的生克链</x:v>
      </x:c>
      <x:c r="Z22" s="68" t="str">
        <x:v>M04/M05已识别关系，柱位、完整度与参与对象已标准化</x:v>
      </x:c>
      <x:c r="AA22" s="68" t="str">
        <x:v>火得时、得地或成势，且双方具备从化条件</x:v>
      </x:c>
      <x:c r="AB22" s="68" t="str">
        <x:v>巳午月或寅午戌火势成，丙丁透出承接</x:v>
      </x:c>
      <x:c r="AC22" s="68" t="str">
        <x:v>水金强势，癸根深或水制火</x:v>
      </x:c>
      <x:c r="AD22" s="90" t="str">
        <x:v>火无根无势或受强力反制；任一方原气根深拒化</x:v>
      </x:c>
      <x:c r="AE22" s="68" t="str">
        <x:v>仅有化意但未达完整门槛时，降级为条件性合动或合绊</x:v>
      </x:c>
      <x:c r="AF22" s="84" t="str">
        <x:v>戊癸合只生成化火方向；火得令、得根、成势且戊癸能从化时，才可判主要性质转火。</x:v>
      </x:c>
      <x:c r="AG22" s="84" t="str">
        <x:v>戊癸合化火条件成立，戊癸主要有效作用转向火；若条件不足则仍按合绊处理。</x:v>
      </x:c>
      <x:c r="AH22" s="82" t="str">
        <x:v>较高</x:v>
      </x:c>
      <x:c r="AI22" s="82" t="str">
        <x:v>现代综合</x:v>
      </x:c>
      <x:c r="AJ22" s="68" t="str">
        <x:v>本条只规定固定化神方向与条件，不把候选等同成立。参考：https://zh.wikisource.org/zh-hans/淵海子平；https://zh.wikisource.org/wiki/三命通會/卷二</x:v>
      </x:c>
      <x:c r="AK22" s="68" t="str">
        <x:v>戊癸合化火条件成立，戊癸主要有效作用转向火；若条件不足则仍按合绊处理。</x:v>
      </x:c>
      <x:c r="AL22" s="90" t="str">
        <x:v>戊癸见而火无根、水旺灭火</x:v>
      </x:c>
      <x:c r="AM22" s="82" t="str">
        <x:v>采用</x:v>
      </x:c>
      <x:c r="AN22" s="82" t="str">
        <x:v>初审</x:v>
      </x:c>
      <x:c r="AO22" s="87" t="n">
        <x:v>46255</x:v>
      </x:c>
    </x:row>
    <x:row r="23">
      <x:c r="A23" s="72" t="str">
        <x:f>IF(OR(C23="",D23=""),"",B23&amp;"-"&amp;UPPER(C23)&amp;"-"&amp;TEXT(D23,"0000")&amp;"-"&amp;E23)</x:f>
        <x:v>M06-TGHUA-0017-V1.0</x:v>
      </x:c>
      <x:c r="B23" s="74" t="str">
        <x:v>M06</x:v>
      </x:c>
      <x:c r="C23" s="74" t="str">
        <x:v>TGHUA</x:v>
      </x:c>
      <x:c r="D23" s="79" t="n">
        <x:v>17</x:v>
      </x:c>
      <x:c r="E23" s="74" t="str">
        <x:v>V1.0</x:v>
      </x:c>
      <x:c r="F23" s="68" t="str">
        <x:v>化神得令得地成势显著增强合化</x:v>
      </x:c>
      <x:c r="G23" s="82" t="str">
        <x:v>效应层</x:v>
      </x:c>
      <x:c r="H23" s="68" t="str">
        <x:v>M04-HHC-0032-V1.0—M04-HHC-0036-V1.0；M03-ML-0001-V1.0—M03-ML-0012-V1.0；M03-PROC-0020-V1.0</x:v>
      </x:c>
      <x:c r="I23" s="82" t="str">
        <x:v>天干五合</x:v>
      </x:c>
      <x:c r="J23" s="68" t="str">
        <x:v>五合两干与候选化神</x:v>
      </x:c>
      <x:c r="K23" s="68" t="str">
        <x:v>候选化神</x:v>
      </x:c>
      <x:c r="L23" s="82" t="str">
        <x:v>逐对象比较得令、得地、得势与相对强弱</x:v>
      </x:c>
      <x:c r="M23" s="68" t="str">
        <x:v>记录参与对象中谁得令、谁受季节支持</x:v>
      </x:c>
      <x:c r="N23" s="68" t="str">
        <x:v>记录明干及相关藏干的透出通道</x:v>
      </x:c>
      <x:c r="O23" s="68" t="str">
        <x:v>记录各对象根气层级、数量及是否唯一根</x:v>
      </x:c>
      <x:c r="P23" s="68" t="str">
        <x:v>检查同节点的合、冲、刑、害、破、会及生克</x:v>
      </x:c>
      <x:c r="Q23" s="82" t="str">
        <x:v>合化</x:v>
      </x:c>
      <x:c r="R23" s="82" t="str">
        <x:v>增强</x:v>
      </x:c>
      <x:c r="S23" s="82" t="str">
        <x:v>强</x:v>
      </x:c>
      <x:c r="T23" s="82" t="str">
        <x:v>条件性</x:v>
      </x:c>
      <x:c r="U23" s="82" t="str">
        <x:v>条件性</x:v>
      </x:c>
      <x:c r="V23" s="82" t="str">
        <x:v>条件性</x:v>
      </x:c>
      <x:c r="W23" s="82" t="str">
        <x:v>是</x:v>
      </x:c>
      <x:c r="X23" s="82" t="str">
        <x:v>条件性</x:v>
      </x:c>
      <x:c r="Y23" s="68" t="str">
        <x:v>可能改变原有生克路径，须在M12复核</x:v>
      </x:c>
      <x:c r="Z23" s="68" t="str">
        <x:v>M04/M05已识别关系，柱位、完整度与参与对象已标准化</x:v>
      </x:c>
      <x:c r="AA23" s="68" t="str">
        <x:v>化神至少具有真实根气或成势通道，不能仅凭名称</x:v>
      </x:c>
      <x:c r="AB23" s="68" t="str">
        <x:v>关系相邻、得令、得地、成势且无强力反制</x:v>
      </x:c>
      <x:c r="AC23" s="68" t="str">
        <x:v>遥隔、争合、节点被其他关系牵制或双方各有强根</x:v>
      </x:c>
      <x:c r="AD23" s="90" t="str">
        <x:v>仅凭关系名称不得直接判性质改变、归零或固定吉凶</x:v>
      </x:c>
      <x:c r="AE23" s="68" t="str">
        <x:v>特殊格局或岁运动态补齐须另建实例重新裁决</x:v>
      </x:c>
      <x:c r="AF23" s="84" t="str">
        <x:v>化神同时得月令、通根并有同党时，合化从候选升级为明显成立的关键证据。</x:v>
      </x:c>
      <x:c r="AG23" s="84" t="str">
        <x:v>化神得令得地成势，合化证据显著增强；仍需确认无拒化与争合。</x:v>
      </x:c>
      <x:c r="AH23" s="82" t="str">
        <x:v>较高</x:v>
      </x:c>
      <x:c r="AI23" s="82" t="str">
        <x:v>现代综合</x:v>
      </x:c>
      <x:c r="AJ23" s="68" t="str">
        <x:v>月令和气势是传统合化判定的核心条件。参考：https://zh.wikisource.org/zh-hans/淵海子平；https://zh.wikisource.org/wiki/三命通會/卷二</x:v>
      </x:c>
      <x:c r="AK23" s="68" t="str">
        <x:v>丙辛合而水临子月、壬癸透、亥子有根，化水证据强。</x:v>
      </x:c>
      <x:c r="AL23" s="90" t="str">
        <x:v>化神仅在名称上存在，原局毫无该五行承载却判合化。</x:v>
      </x:c>
      <x:c r="AM23" s="82" t="str">
        <x:v>采用</x:v>
      </x:c>
      <x:c r="AN23" s="82" t="str">
        <x:v>初审</x:v>
      </x:c>
      <x:c r="AO23" s="87" t="n">
        <x:v>46255</x:v>
      </x:c>
    </x:row>
    <x:row r="24">
      <x:c r="A24" s="72" t="str">
        <x:f>IF(OR(C24="",D24=""),"",B24&amp;"-"&amp;UPPER(C24)&amp;"-"&amp;TEXT(D24,"0000")&amp;"-"&amp;E24)</x:f>
        <x:v>M06-TGHUA-0018-V1.0</x:v>
      </x:c>
      <x:c r="B24" s="74" t="str">
        <x:v>M06</x:v>
      </x:c>
      <x:c r="C24" s="74" t="str">
        <x:v>TGHUA</x:v>
      </x:c>
      <x:c r="D24" s="79" t="n">
        <x:v>18</x:v>
      </x:c>
      <x:c r="E24" s="74" t="str">
        <x:v>V1.0</x:v>
      </x:c>
      <x:c r="F24" s="68" t="str">
        <x:v>原干强根拒化使完整合化降级</x:v>
      </x:c>
      <x:c r="G24" s="82" t="str">
        <x:v>效应层</x:v>
      </x:c>
      <x:c r="H24" s="68" t="str">
        <x:v>M04-HHC-0032-V1.0—M04-HHC-0036-V1.0；M03-RTCT-0040-V1.0—M03-RTCT-0045-V1.0；M03-RTEF-0046-V1.0—M03-RTEF-0052-V1.0</x:v>
      </x:c>
      <x:c r="I24" s="82" t="str">
        <x:v>天干五合</x:v>
      </x:c>
      <x:c r="J24" s="68" t="str">
        <x:v>五合两干</x:v>
      </x:c>
      <x:c r="K24" s="68" t="str">
        <x:v>强根一方或双方</x:v>
      </x:c>
      <x:c r="L24" s="82" t="str">
        <x:v>逐对象比较得令、得地、得势与相对强弱</x:v>
      </x:c>
      <x:c r="M24" s="68" t="str">
        <x:v>记录参与对象中谁得令、谁受季节支持</x:v>
      </x:c>
      <x:c r="N24" s="68" t="str">
        <x:v>记录明干及相关藏干的透出通道</x:v>
      </x:c>
      <x:c r="O24" s="68" t="str">
        <x:v>记录各对象根气层级、数量及是否唯一根</x:v>
      </x:c>
      <x:c r="P24" s="68" t="str">
        <x:v>检查同节点的合、冲、刑、害、破、会及生克</x:v>
      </x:c>
      <x:c r="Q24" s="82" t="str">
        <x:v>合绊</x:v>
      </x:c>
      <x:c r="R24" s="82" t="str">
        <x:v>冻结</x:v>
      </x:c>
      <x:c r="S24" s="82" t="str">
        <x:v>强</x:v>
      </x:c>
      <x:c r="T24" s="82" t="str">
        <x:v>否</x:v>
      </x:c>
      <x:c r="U24" s="82" t="str">
        <x:v>否</x:v>
      </x:c>
      <x:c r="V24" s="82" t="str">
        <x:v>否</x:v>
      </x:c>
      <x:c r="W24" s="82" t="str">
        <x:v>否</x:v>
      </x:c>
      <x:c r="X24" s="82" t="str">
        <x:v>条件性</x:v>
      </x:c>
      <x:c r="Y24" s="68" t="str">
        <x:v>可能改变原有生克路径，须在M12复核</x:v>
      </x:c>
      <x:c r="Z24" s="68" t="str">
        <x:v>M04/M05已识别关系，柱位、完整度与参与对象已标准化</x:v>
      </x:c>
      <x:c r="AA24" s="68" t="str">
        <x:v>必须指向具体作用对象，并比较各方力量、根气和通道</x:v>
      </x:c>
      <x:c r="AB24" s="68" t="str">
        <x:v>双方或一方临旺令且根多党众</x:v>
      </x:c>
      <x:c r="AC24" s="68" t="str">
        <x:v>原根被冲散或原气无援</x:v>
      </x:c>
      <x:c r="AD24" s="90" t="str">
        <x:v>仅凭关系名称不得直接判性质改变、归零或固定吉凶</x:v>
      </x:c>
      <x:c r="AE24" s="68" t="str">
        <x:v>特殊格局或岁运动态补齐须另建实例重新裁决</x:v>
      </x:c>
      <x:c r="AF24" s="84" t="str">
        <x:v>任一原干得令、多根成势时，其本气不易完全转化；完整合化应降级为合绊、合动或局部化意。</x:v>
      </x:c>
      <x:c r="AG24" s="84" t="str">
        <x:v>原干根气坚固，拒化证据明显；本条不判完整合化。</x:v>
      </x:c>
      <x:c r="AH24" s="82" t="str">
        <x:v>较高</x:v>
      </x:c>
      <x:c r="AI24" s="82" t="str">
        <x:v>现代综合</x:v>
      </x:c>
      <x:c r="AJ24" s="68" t="str">
        <x:v>化神成立不能忽略原气是否有能力从化。参考：https://zh.wikisource.org/zh-hans/滴天髓</x:v>
      </x:c>
      <x:c r="AK24" s="68" t="str">
        <x:v>甲己合而甲临寅卯月、多根木旺，甲不从土，判合绊。</x:v>
      </x:c>
      <x:c r="AL24" s="90" t="str">
        <x:v>原干强旺有根仍按完整合化处理。</x:v>
      </x:c>
      <x:c r="AM24" s="82" t="str">
        <x:v>采用</x:v>
      </x:c>
      <x:c r="AN24" s="82" t="str">
        <x:v>初审</x:v>
      </x:c>
      <x:c r="AO24" s="87" t="n">
        <x:v>46255</x:v>
      </x:c>
    </x:row>
    <x:row r="25">
      <x:c r="A25" s="72" t="str">
        <x:f>IF(OR(C25="",D25=""),"",B25&amp;"-"&amp;UPPER(C25)&amp;"-"&amp;TEXT(D25,"0000")&amp;"-"&amp;E25)</x:f>
        <x:v>M06-TGHUA-0019-V1.0</x:v>
      </x:c>
      <x:c r="B25" s="74" t="str">
        <x:v>M06</x:v>
      </x:c>
      <x:c r="C25" s="74" t="str">
        <x:v>TGHUA</x:v>
      </x:c>
      <x:c r="D25" s="79" t="n">
        <x:v>19</x:v>
      </x:c>
      <x:c r="E25" s="74" t="str">
        <x:v>V1.0</x:v>
      </x:c>
      <x:c r="F25" s="68" t="str">
        <x:v>强力反化五行可否决完整合化</x:v>
      </x:c>
      <x:c r="G25" s="82" t="str">
        <x:v>效应层</x:v>
      </x:c>
      <x:c r="H25" s="68" t="str">
        <x:v>M04-HHC-0032-V1.0—M04-HHC-0036-V1.0；M04-OVER-0046-V1.0</x:v>
      </x:c>
      <x:c r="I25" s="82" t="str">
        <x:v>其他</x:v>
      </x:c>
      <x:c r="J25" s="68" t="str">
        <x:v>五合两干、化神及反化五行</x:v>
      </x:c>
      <x:c r="K25" s="68" t="str">
        <x:v>候选化神</x:v>
      </x:c>
      <x:c r="L25" s="82" t="str">
        <x:v>逐对象比较得令、得地、得势与相对强弱</x:v>
      </x:c>
      <x:c r="M25" s="68" t="str">
        <x:v>记录参与对象中谁得令、谁受季节支持</x:v>
      </x:c>
      <x:c r="N25" s="68" t="str">
        <x:v>记录明干及相关藏干的透出通道</x:v>
      </x:c>
      <x:c r="O25" s="68" t="str">
        <x:v>记录各对象根气层级、数量及是否唯一根</x:v>
      </x:c>
      <x:c r="P25" s="68" t="str">
        <x:v>检查同节点的合、冲、刑、害、破、会及生克</x:v>
      </x:c>
      <x:c r="Q25" s="82" t="str">
        <x:v>克</x:v>
      </x:c>
      <x:c r="R25" s="82" t="str">
        <x:v>减弱</x:v>
      </x:c>
      <x:c r="S25" s="82" t="str">
        <x:v>强</x:v>
      </x:c>
      <x:c r="T25" s="82" t="str">
        <x:v>否</x:v>
      </x:c>
      <x:c r="U25" s="82" t="str">
        <x:v>否</x:v>
      </x:c>
      <x:c r="V25" s="82" t="str">
        <x:v>否</x:v>
      </x:c>
      <x:c r="W25" s="82" t="str">
        <x:v>否</x:v>
      </x:c>
      <x:c r="X25" s="82" t="str">
        <x:v>是</x:v>
      </x:c>
      <x:c r="Y25" s="68" t="str">
        <x:v>可能改变原有生克路径，须在M12复核</x:v>
      </x:c>
      <x:c r="Z25" s="68" t="str">
        <x:v>M04/M05已识别关系，柱位、完整度与参与对象已标准化</x:v>
      </x:c>
      <x:c r="AA25" s="68" t="str">
        <x:v>反化五行须真实有力并能直接作用化神</x:v>
      </x:c>
      <x:c r="AB25" s="68" t="str">
        <x:v>关系相邻、得令、得地、成势且无强力反制</x:v>
      </x:c>
      <x:c r="AC25" s="68" t="str">
        <x:v>遥隔、争合、节点被其他关系牵制或双方各有强根</x:v>
      </x:c>
      <x:c r="AD25" s="90" t="str">
        <x:v>仅凭关系名称不得直接判性质改变、归零或固定吉凶</x:v>
      </x:c>
      <x:c r="AE25" s="68" t="str">
        <x:v>特殊格局或岁运动态补齐须另建实例重新裁决</x:v>
      </x:c>
      <x:c r="AF25" s="84" t="str">
        <x:v>化神被得令成势的克神直接压制时，合化缺乏承载，通常只能保留合意或局部化意。</x:v>
      </x:c>
      <x:c r="AG25" s="84" t="str">
        <x:v>化神受强力反制，完整合化被否决；退回合绊或合动。</x:v>
      </x:c>
      <x:c r="AH25" s="82" t="str">
        <x:v>较高</x:v>
      </x:c>
      <x:c r="AI25" s="82" t="str">
        <x:v>现代综合</x:v>
      </x:c>
      <x:c r="AJ25" s="68" t="str">
        <x:v>合化必须能在全局生克中存续。参考：https://zh.wikisource.org/zh-hans/淵海子平；https://zh.wikisource.org/wiki/三命通會/卷二</x:v>
      </x:c>
      <x:c r="AK25" s="68" t="str">
        <x:v>丙辛欲化水而戊己土得令成势，水无根，完整化水不成立。</x:v>
      </x:c>
      <x:c r="AL25" s="90" t="str">
        <x:v>化神被强克仍不作任何修正。</x:v>
      </x:c>
      <x:c r="AM25" s="82" t="str">
        <x:v>采用</x:v>
      </x:c>
      <x:c r="AN25" s="82" t="str">
        <x:v>初审</x:v>
      </x:c>
      <x:c r="AO25" s="87" t="n">
        <x:v>46255</x:v>
      </x:c>
    </x:row>
    <x:row r="26">
      <x:c r="A26" s="72" t="str">
        <x:f>IF(OR(C26="",D26=""),"",B26&amp;"-"&amp;UPPER(C26)&amp;"-"&amp;TEXT(D26,"0000")&amp;"-"&amp;E26)</x:f>
        <x:v>M06-TGHUA-0020-V1.0</x:v>
      </x:c>
      <x:c r="B26" s="74" t="str">
        <x:v>M06</x:v>
      </x:c>
      <x:c r="C26" s="74" t="str">
        <x:v>TGHUA</x:v>
      </x:c>
      <x:c r="D26" s="79" t="n">
        <x:v>20</x:v>
      </x:c>
      <x:c r="E26" s="74" t="str">
        <x:v>V1.0</x:v>
      </x:c>
      <x:c r="F26" s="68" t="str">
        <x:v>争合与妒合可破坏单一化神归属</x:v>
      </x:c>
      <x:c r="G26" s="82" t="str">
        <x:v>效应层</x:v>
      </x:c>
      <x:c r="H26" s="68" t="str">
        <x:v>M04-ZHENG-0037-V1.0—M04-ZHENG-0042-V1.0；M04-DUHE-0043-V1.0</x:v>
      </x:c>
      <x:c r="I26" s="82" t="str">
        <x:v>争合</x:v>
      </x:c>
      <x:c r="J26" s="68" t="str">
        <x:v>共享天干及两个配对干</x:v>
      </x:c>
      <x:c r="K26" s="68" t="str">
        <x:v>化神归属</x:v>
      </x:c>
      <x:c r="L26" s="82" t="str">
        <x:v>逐对象比较得令、得地、得势与相对强弱</x:v>
      </x:c>
      <x:c r="M26" s="68" t="str">
        <x:v>记录参与对象中谁得令、谁受季节支持</x:v>
      </x:c>
      <x:c r="N26" s="68" t="str">
        <x:v>记录明干及相关藏干的透出通道</x:v>
      </x:c>
      <x:c r="O26" s="68" t="str">
        <x:v>记录各对象根气层级、数量及是否唯一根</x:v>
      </x:c>
      <x:c r="P26" s="68" t="str">
        <x:v>检查同节点的合、冲、刑、害、破、会及生克</x:v>
      </x:c>
      <x:c r="Q26" s="82" t="str">
        <x:v>阻断</x:v>
      </x:c>
      <x:c r="R26" s="82" t="str">
        <x:v>阻断</x:v>
      </x:c>
      <x:c r="S26" s="82" t="str">
        <x:v>强</x:v>
      </x:c>
      <x:c r="T26" s="82" t="str">
        <x:v>否</x:v>
      </x:c>
      <x:c r="U26" s="82" t="str">
        <x:v>否</x:v>
      </x:c>
      <x:c r="V26" s="82" t="str">
        <x:v>否</x:v>
      </x:c>
      <x:c r="W26" s="82" t="str">
        <x:v>否</x:v>
      </x:c>
      <x:c r="X26" s="82" t="str">
        <x:v>条件性</x:v>
      </x:c>
      <x:c r="Y26" s="68" t="str">
        <x:v>可能改变原有生克路径，须在M12复核</x:v>
      </x:c>
      <x:c r="Z26" s="68" t="str">
        <x:v>M04/M05已识别关系，柱位、完整度与参与对象已标准化</x:v>
      </x:c>
      <x:c r="AA26" s="68" t="str">
        <x:v>必须指向具体作用对象，并比较各方力量、根气和通道</x:v>
      </x:c>
      <x:c r="AB26" s="68" t="str">
        <x:v>关系相邻、得令、得地、成势且无强力反制</x:v>
      </x:c>
      <x:c r="AC26" s="68" t="str">
        <x:v>遥隔、争合、节点被其他关系牵制或双方各有强根</x:v>
      </x:c>
      <x:c r="AD26" s="90" t="str">
        <x:v>共享干同时完整化入两个关系</x:v>
      </x:c>
      <x:c r="AE26" s="68" t="str">
        <x:v>特殊格局或岁运动态补齐须另建实例重新裁决</x:v>
      </x:c>
      <x:c r="AF26" s="84" t="str">
        <x:v>争合使共享节点无法稳定从属于单一配对；未裁定主次前，不得判两组关系同时完整合化。</x:v>
      </x:c>
      <x:c r="AG26" s="84" t="str">
        <x:v>争合破坏单一化神归属，合化暂不成立或仅保留主关系的条件性候选。</x:v>
      </x:c>
      <x:c r="AH26" s="82" t="str">
        <x:v>中等</x:v>
      </x:c>
      <x:c r="AI26" s="82" t="str">
        <x:v>现代综合</x:v>
      </x:c>
      <x:c r="AJ26" s="68" t="str">
        <x:v>争合属于合化稳定性的否决或降级因素。参考：https://ctext.org/wiki.pl?chapter=435028&amp;if=gb&amp;remap=gb</x:v>
      </x:c>
      <x:c r="AK26" s="68" t="str">
        <x:v>两乙争庚，未能确定主合前，不判两组乙庚同时化金。</x:v>
      </x:c>
      <x:c r="AL26" s="90" t="str">
        <x:v>共享庚同时完整化入两组乙庚合。</x:v>
      </x:c>
      <x:c r="AM26" s="82" t="str">
        <x:v>采用</x:v>
      </x:c>
      <x:c r="AN26" s="82" t="str">
        <x:v>初审</x:v>
      </x:c>
      <x:c r="AO26" s="87" t="n">
        <x:v>46255</x:v>
      </x:c>
    </x:row>
    <x:row r="27">
      <x:c r="A27" s="72" t="str">
        <x:f>IF(OR(C27="",D27=""),"",B27&amp;"-"&amp;UPPER(C27)&amp;"-"&amp;TEXT(D27,"0000")&amp;"-"&amp;E27)</x:f>
        <x:v>M06-TGHUA-0021-V1.0</x:v>
      </x:c>
      <x:c r="B27" s="74" t="str">
        <x:v>M06</x:v>
      </x:c>
      <x:c r="C27" s="74" t="str">
        <x:v>TGHUA</x:v>
      </x:c>
      <x:c r="D27" s="79" t="n">
        <x:v>21</x:v>
      </x:c>
      <x:c r="E27" s="74" t="str">
        <x:v>V1.0</x:v>
      </x:c>
      <x:c r="F27" s="68" t="str">
        <x:v>局部化意不得等同完整五行改性</x:v>
      </x:c>
      <x:c r="G27" s="82" t="str">
        <x:v>效应层</x:v>
      </x:c>
      <x:c r="H27" s="68" t="str">
        <x:v>M04-HHC-0032-V1.0—M04-HHC-0036-V1.0</x:v>
      </x:c>
      <x:c r="I27" s="82" t="str">
        <x:v>天干五合</x:v>
      </x:c>
      <x:c r="J27" s="68" t="str">
        <x:v>五合两干与弱化神</x:v>
      </x:c>
      <x:c r="K27" s="68" t="str">
        <x:v>参与两干</x:v>
      </x:c>
      <x:c r="L27" s="82" t="str">
        <x:v>逐对象比较得令、得地、得势与相对强弱</x:v>
      </x:c>
      <x:c r="M27" s="68" t="str">
        <x:v>记录参与对象中谁得令、谁受季节支持</x:v>
      </x:c>
      <x:c r="N27" s="68" t="str">
        <x:v>记录明干及相关藏干的透出通道</x:v>
      </x:c>
      <x:c r="O27" s="68" t="str">
        <x:v>记录各对象根气层级、数量及是否唯一根</x:v>
      </x:c>
      <x:c r="P27" s="68" t="str">
        <x:v>检查同节点的合、冲、刑、害、破、会及生克</x:v>
      </x:c>
      <x:c r="Q27" s="82" t="str">
        <x:v>合动</x:v>
      </x:c>
      <x:c r="R27" s="82" t="str">
        <x:v>条件性</x:v>
      </x:c>
      <x:c r="S27" s="82" t="str">
        <x:v>中</x:v>
      </x:c>
      <x:c r="T27" s="82" t="str">
        <x:v>条件性</x:v>
      </x:c>
      <x:c r="U27" s="82" t="str">
        <x:v>否</x:v>
      </x:c>
      <x:c r="V27" s="82" t="str">
        <x:v>否</x:v>
      </x:c>
      <x:c r="W27" s="82" t="str">
        <x:v>条件性</x:v>
      </x:c>
      <x:c r="X27" s="82" t="str">
        <x:v>条件性</x:v>
      </x:c>
      <x:c r="Y27" s="68" t="str">
        <x:v>可能改变原有生克路径，须在M12复核</x:v>
      </x:c>
      <x:c r="Z27" s="68" t="str">
        <x:v>M04/M05已识别关系，柱位、完整度与参与对象已标准化</x:v>
      </x:c>
      <x:c r="AA27" s="68" t="str">
        <x:v>化神有一定根气或同党，但存在一项以上关键缺口</x:v>
      </x:c>
      <x:c r="AB27" s="68" t="str">
        <x:v>关系相邻、得令、得地、成势且无强力反制</x:v>
      </x:c>
      <x:c r="AC27" s="68" t="str">
        <x:v>遥隔、争合、节点被其他关系牵制或双方各有强根</x:v>
      </x:c>
      <x:c r="AD27" s="90" t="str">
        <x:v>仅凭关系名称不得直接判性质改变、归零或固定吉凶</x:v>
      </x:c>
      <x:c r="AE27" s="68" t="str">
        <x:v>特殊格局或岁运动态补齐须另建实例重新裁决</x:v>
      </x:c>
      <x:c r="AF27" s="84" t="str">
        <x:v>化神有部分支持但未达联合门槛时，可记录趋向化神的功能偏移，不得把两干全部改性。</x:v>
      </x:c>
      <x:c r="AG27" s="84" t="str">
        <x:v>当前仅有化意：合对功能有偏移，但原五行仍保留，不能按完整合化计。</x:v>
      </x:c>
      <x:c r="AH27" s="82" t="str">
        <x:v>较高</x:v>
      </x:c>
      <x:c r="AI27" s="82" t="str">
        <x:v>现代综合</x:v>
      </x:c>
      <x:c r="AJ27" s="68" t="str">
        <x:v>设置局部化意可避免“非化即无效”的二分错误。参考：https://ctext.org/wiki.pl?chapter=435028&amp;if=gb&amp;remap=gb</x:v>
      </x:c>
      <x:c r="AK27" s="68" t="str">
        <x:v>丁壬合见少量木根但木不得令，记木意增强而不判丁壬全化木。</x:v>
      </x:c>
      <x:c r="AL27" s="90" t="str">
        <x:v>只要有一点化神就把两干完全改性。</x:v>
      </x:c>
      <x:c r="AM27" s="82" t="str">
        <x:v>采用</x:v>
      </x:c>
      <x:c r="AN27" s="82" t="str">
        <x:v>初审</x:v>
      </x:c>
      <x:c r="AO27" s="87" t="n">
        <x:v>46255</x:v>
      </x:c>
    </x:row>
    <x:row r="28">
      <x:c r="A28" s="72" t="str">
        <x:f>IF(OR(C28="",D28=""),"",B28&amp;"-"&amp;UPPER(C28)&amp;"-"&amp;TEXT(D28,"0000")&amp;"-"&amp;E28)</x:f>
        <x:v>M06-TGHUA-0022-V1.0</x:v>
      </x:c>
      <x:c r="B28" s="74" t="str">
        <x:v>M06</x:v>
      </x:c>
      <x:c r="C28" s="74" t="str">
        <x:v>TGHUA</x:v>
      </x:c>
      <x:c r="D28" s="79" t="n">
        <x:v>22</x:v>
      </x:c>
      <x:c r="E28" s="74" t="str">
        <x:v>V1.0</x:v>
      </x:c>
      <x:c r="F28" s="68" t="str">
        <x:v>完整合化后原干不作物理删除</x:v>
      </x:c>
      <x:c r="G28" s="82" t="str">
        <x:v>效应层</x:v>
      </x:c>
      <x:c r="H28" s="68" t="str">
        <x:v>M04-HHC-0032-V1.0—M04-HHC-0036-V1.0</x:v>
      </x:c>
      <x:c r="I28" s="82" t="str">
        <x:v>天干五合</x:v>
      </x:c>
      <x:c r="J28" s="68" t="str">
        <x:v>已验证合化的两干</x:v>
      </x:c>
      <x:c r="K28" s="68" t="str">
        <x:v>参与两干的有效功能</x:v>
      </x:c>
      <x:c r="L28" s="82" t="str">
        <x:v>逐对象比较得令、得地、得势与相对强弱</x:v>
      </x:c>
      <x:c r="M28" s="68" t="str">
        <x:v>记录参与对象中谁得令、谁受季节支持</x:v>
      </x:c>
      <x:c r="N28" s="68" t="str">
        <x:v>记录明干及相关藏干的透出通道</x:v>
      </x:c>
      <x:c r="O28" s="68" t="str">
        <x:v>记录各对象根气层级、数量及是否唯一根</x:v>
      </x:c>
      <x:c r="P28" s="68" t="str">
        <x:v>检查同节点的合、冲、刑、害、破、会及生克</x:v>
      </x:c>
      <x:c r="Q28" s="82" t="str">
        <x:v>合化</x:v>
      </x:c>
      <x:c r="R28" s="82" t="str">
        <x:v>转化</x:v>
      </x:c>
      <x:c r="S28" s="82" t="str">
        <x:v>决定性</x:v>
      </x:c>
      <x:c r="T28" s="82" t="str">
        <x:v>是</x:v>
      </x:c>
      <x:c r="U28" s="82" t="str">
        <x:v>条件性</x:v>
      </x:c>
      <x:c r="V28" s="82" t="str">
        <x:v>条件性</x:v>
      </x:c>
      <x:c r="W28" s="82" t="str">
        <x:v>是</x:v>
      </x:c>
      <x:c r="X28" s="82" t="str">
        <x:v>是</x:v>
      </x:c>
      <x:c r="Y28" s="68" t="str">
        <x:v>有效通道改按化神处理，但保留原始节点</x:v>
      </x:c>
      <x:c r="Z28" s="68" t="str">
        <x:v>M04/M05已识别关系，柱位、完整度与参与对象已标准化</x:v>
      </x:c>
      <x:c r="AA28" s="68" t="str">
        <x:v>M06已确认完整合化</x:v>
      </x:c>
      <x:c r="AB28" s="68" t="str">
        <x:v>关系相邻、得令、得地、成势且无强力反制</x:v>
      </x:c>
      <x:c r="AC28" s="68" t="str">
        <x:v>遥隔、争合、节点被其他关系牵制或双方各有强根</x:v>
      </x:c>
      <x:c r="AD28" s="90" t="str">
        <x:v>仅凭关系名称不得直接判性质改变、归零或固定吉凶</x:v>
      </x:c>
      <x:c r="AE28" s="68" t="str">
        <x:v>特殊格局或岁运动态补齐须另建实例重新裁决</x:v>
      </x:c>
      <x:c r="AF28" s="84" t="str">
        <x:v>合化成立表示主要有效性质和作用路径转向化神，不是从原局数据层删除两干；原始存在仍保留供岁运复核。</x:v>
      </x:c>
      <x:c r="AG28" s="84" t="str">
        <x:v>合化成立：两干原始记录保留，当前有效功能按化神计入；后续破合时可恢复原气评估。</x:v>
      </x:c>
      <x:c r="AH28" s="82" t="str">
        <x:v>较高</x:v>
      </x:c>
      <x:c r="AI28" s="82" t="str">
        <x:v>现代综合</x:v>
      </x:c>
      <x:c r="AJ28" s="68" t="str">
        <x:v>区分原始存在与有效性质，便于后续岁运破合与回溯。参考：https://zh.wikisource.org/zh-hans/滴天髓</x:v>
      </x:c>
      <x:c r="AK28" s="68" t="str">
        <x:v>丙辛化水成立，数据中仍保留丙辛原始节点，同时有效力量计入水。</x:v>
      </x:c>
      <x:c r="AL28" s="90" t="str">
        <x:v>合化后从四柱记录中彻底删除丙辛，导致后续无法判断破合。</x:v>
      </x:c>
      <x:c r="AM28" s="82" t="str">
        <x:v>采用</x:v>
      </x:c>
      <x:c r="AN28" s="82" t="str">
        <x:v>初审</x:v>
      </x:c>
      <x:c r="AO28" s="87" t="n">
        <x:v>46255</x:v>
      </x:c>
    </x:row>
    <x:row r="29">
      <x:c r="A29" s="72" t="str">
        <x:f>IF(OR(C29="",D29=""),"",B29&amp;"-"&amp;UPPER(C29)&amp;"-"&amp;TEXT(D29,"0000")&amp;"-"&amp;E29)</x:f>
        <x:v>M06-TGKE-0023-V1.0</x:v>
      </x:c>
      <x:c r="B29" s="74" t="str">
        <x:v>M06</x:v>
      </x:c>
      <x:c r="C29" s="74" t="str">
        <x:v>TGKE</x:v>
      </x:c>
      <x:c r="D29" s="79" t="n">
        <x:v>23</x:v>
      </x:c>
      <x:c r="E29" s="74" t="str">
        <x:v>V1.0</x:v>
      </x:c>
      <x:c r="F29" s="68" t="str">
        <x:v>天干相克必须分别记录克者与受克者</x:v>
      </x:c>
      <x:c r="G29" s="82" t="str">
        <x:v>效应层</x:v>
      </x:c>
      <x:c r="H29" s="68" t="str">
        <x:v>M04-KE-0006-V1.0—M04-KE-0025-V1.0</x:v>
      </x:c>
      <x:c r="I29" s="82" t="str">
        <x:v>天干相克</x:v>
      </x:c>
      <x:c r="J29" s="68" t="str">
        <x:v>任一有向相克两干</x:v>
      </x:c>
      <x:c r="K29" s="68" t="str">
        <x:v>克者与受克者</x:v>
      </x:c>
      <x:c r="L29" s="82" t="str">
        <x:v>逐对象比较得令、得地、得势与相对强弱</x:v>
      </x:c>
      <x:c r="M29" s="68" t="str">
        <x:v>记录参与对象中谁得令、谁受季节支持</x:v>
      </x:c>
      <x:c r="N29" s="68" t="str">
        <x:v>记录明干及相关藏干的透出通道</x:v>
      </x:c>
      <x:c r="O29" s="68" t="str">
        <x:v>记录各对象根气层级、数量及是否唯一根</x:v>
      </x:c>
      <x:c r="P29" s="68" t="str">
        <x:v>检查同节点的合、冲、刑、害、破、会及生克</x:v>
      </x:c>
      <x:c r="Q29" s="82" t="str">
        <x:v>克</x:v>
      </x:c>
      <x:c r="R29" s="82" t="str">
        <x:v>条件性</x:v>
      </x:c>
      <x:c r="S29" s="82" t="str">
        <x:v>中</x:v>
      </x:c>
      <x:c r="T29" s="82" t="str">
        <x:v>否</x:v>
      </x:c>
      <x:c r="U29" s="82" t="str">
        <x:v>否</x:v>
      </x:c>
      <x:c r="V29" s="82" t="str">
        <x:v>否</x:v>
      </x:c>
      <x:c r="W29" s="82" t="str">
        <x:v>否</x:v>
      </x:c>
      <x:c r="X29" s="82" t="str">
        <x:v>条件性</x:v>
      </x:c>
      <x:c r="Y29" s="68" t="str">
        <x:v>原有生化链可能被截断或转向制化</x:v>
      </x:c>
      <x:c r="Z29" s="68" t="str">
        <x:v>M04/M05已识别关系，柱位、完整度与参与对象已标准化</x:v>
      </x:c>
      <x:c r="AA29" s="68" t="str">
        <x:v>明确谁克谁，并保留柱位</x:v>
      </x:c>
      <x:c r="AB29" s="68" t="str">
        <x:v>关系相邻、得令、得地、成势且无强力反制</x:v>
      </x:c>
      <x:c r="AC29" s="68" t="str">
        <x:v>遥隔、争合、节点被其他关系牵制或双方各有强根</x:v>
      </x:c>
      <x:c r="AD29" s="90" t="str">
        <x:v>仅凭关系名称不得直接判性质改变、归零或固定吉凶</x:v>
      </x:c>
      <x:c r="AE29" s="68" t="str">
        <x:v>特殊格局或岁运动态补齐须另建实例重新裁决</x:v>
      </x:c>
      <x:c r="AF29" s="84" t="str">
        <x:v>相克至少产生定向作用，但克者耗力、受克者受制的程度不同，必须分对象输出。</x:v>
      </x:c>
      <x:c r="AG29" s="84" t="str">
        <x:v>该天干相克关系成立；克者耗力与受克者减力分别评估，不作等量扣减。</x:v>
      </x:c>
      <x:c r="AH29" s="82" t="str">
        <x:v>较高</x:v>
      </x:c>
      <x:c r="AI29" s="82" t="str">
        <x:v>现代综合</x:v>
      </x:c>
      <x:c r="AJ29" s="68" t="str">
        <x:v>五行相克是有方向的，效应需分角色。参考：https://zh.wikisource.org/zh-hans/淵海子平；https://zh.wikisource.org/wiki/三命通會/卷二</x:v>
      </x:c>
      <x:c r="AK29" s="68" t="str">
        <x:v>庚克甲，分别记录庚的耗力和甲的受制。</x:v>
      </x:c>
      <x:c r="AL29" s="90" t="str">
        <x:v>只记“金木相战”，不区分庚与甲的作用方向。</x:v>
      </x:c>
      <x:c r="AM29" s="82" t="str">
        <x:v>采用</x:v>
      </x:c>
      <x:c r="AN29" s="82" t="str">
        <x:v>初审</x:v>
      </x:c>
      <x:c r="AO29" s="87" t="n">
        <x:v>46255</x:v>
      </x:c>
    </x:row>
    <x:row r="30">
      <x:c r="A30" s="72" t="str">
        <x:f>IF(OR(C30="",D30=""),"",B30&amp;"-"&amp;UPPER(C30)&amp;"-"&amp;TEXT(D30,"0000")&amp;"-"&amp;E30)</x:f>
        <x:v>M06-TGKE-0024-V1.0</x:v>
      </x:c>
      <x:c r="B30" s="74" t="str">
        <x:v>M06</x:v>
      </x:c>
      <x:c r="C30" s="74" t="str">
        <x:v>TGKE</x:v>
      </x:c>
      <x:c r="D30" s="79" t="n">
        <x:v>24</x:v>
      </x:c>
      <x:c r="E30" s="74" t="str">
        <x:v>V1.0</x:v>
      </x:c>
      <x:c r="F30" s="68" t="str">
        <x:v>强干克弱干时弱干明显受制</x:v>
      </x:c>
      <x:c r="G30" s="82" t="str">
        <x:v>效应层</x:v>
      </x:c>
      <x:c r="H30" s="68" t="str">
        <x:v>M04-KE-0006-V1.0—M04-KE-0025-V1.0</x:v>
      </x:c>
      <x:c r="I30" s="82" t="str">
        <x:v>天干相克</x:v>
      </x:c>
      <x:c r="J30" s="68" t="str">
        <x:v>强克者与弱受克者</x:v>
      </x:c>
      <x:c r="K30" s="68" t="str">
        <x:v>弱受克者</x:v>
      </x:c>
      <x:c r="L30" s="82" t="str">
        <x:v>克者旺或中和偏旺，受克者弱或极弱</x:v>
      </x:c>
      <x:c r="M30" s="68" t="str">
        <x:v>记录参与对象中谁得令、谁受季节支持</x:v>
      </x:c>
      <x:c r="N30" s="68" t="str">
        <x:v>记录明干及相关藏干的透出通道</x:v>
      </x:c>
      <x:c r="O30" s="68" t="str">
        <x:v>记录各对象根气层级、数量及是否唯一根</x:v>
      </x:c>
      <x:c r="P30" s="68" t="str">
        <x:v>检查同节点的合、冲、刑、害、破、会及生克</x:v>
      </x:c>
      <x:c r="Q30" s="82" t="str">
        <x:v>克</x:v>
      </x:c>
      <x:c r="R30" s="82" t="str">
        <x:v>减弱</x:v>
      </x:c>
      <x:c r="S30" s="82" t="str">
        <x:v>强</x:v>
      </x:c>
      <x:c r="T30" s="82" t="str">
        <x:v>否</x:v>
      </x:c>
      <x:c r="U30" s="82" t="str">
        <x:v>条件性</x:v>
      </x:c>
      <x:c r="V30" s="82" t="str">
        <x:v>条件性</x:v>
      </x:c>
      <x:c r="W30" s="82" t="str">
        <x:v>条件性</x:v>
      </x:c>
      <x:c r="X30" s="82" t="str">
        <x:v>条件性</x:v>
      </x:c>
      <x:c r="Y30" s="68" t="str">
        <x:v>可能改变原有生克路径，须在M12复核</x:v>
      </x:c>
      <x:c r="Z30" s="68" t="str">
        <x:v>M04/M05已识别关系，柱位、完整度与参与对象已标准化</x:v>
      </x:c>
      <x:c r="AA30" s="68" t="str">
        <x:v>必须指向具体作用对象，并比较各方力量、根气和通道</x:v>
      </x:c>
      <x:c r="AB30" s="68" t="str">
        <x:v>克者相邻、得令多根；受克者无根无救</x:v>
      </x:c>
      <x:c r="AC30" s="68" t="str">
        <x:v>受克者有生源、同党或通关</x:v>
      </x:c>
      <x:c r="AD30" s="90" t="str">
        <x:v>仅凭关系名称不得直接判性质改变、归零或固定吉凶</x:v>
      </x:c>
      <x:c r="AE30" s="68" t="str">
        <x:v>特殊格局或岁运动态补齐须另建实例重新裁决</x:v>
      </x:c>
      <x:c r="AF30" s="84" t="str">
        <x:v>克者得令有根成势、受克者无根无援时，受克者有效功能明显下降，克者仅承担相应耗力。</x:v>
      </x:c>
      <x:c r="AG30" s="84" t="str">
        <x:v>强克弱成立，受克干明显减力；克者仍保留主要力量。</x:v>
      </x:c>
      <x:c r="AH30" s="82" t="str">
        <x:v>较高</x:v>
      </x:c>
      <x:c r="AI30" s="82" t="str">
        <x:v>现代综合</x:v>
      </x:c>
      <x:c r="AJ30" s="68" t="str">
        <x:v>强弱决定克制是否落实。参考：https://zh.wikisource.org/zh-hans/滴天髓</x:v>
      </x:c>
      <x:c r="AK30" s="68" t="str">
        <x:v>庚旺有根克无根甲，甲木受制明显。</x:v>
      </x:c>
      <x:c r="AL30" s="90" t="str">
        <x:v>弱庚克旺甲仍判甲被重伤。</x:v>
      </x:c>
      <x:c r="AM30" s="82" t="str">
        <x:v>采用</x:v>
      </x:c>
      <x:c r="AN30" s="82" t="str">
        <x:v>初审</x:v>
      </x:c>
      <x:c r="AO30" s="87" t="n">
        <x:v>46255</x:v>
      </x:c>
    </x:row>
    <x:row r="31">
      <x:c r="A31" s="72" t="str">
        <x:f>IF(OR(C31="",D31=""),"",B31&amp;"-"&amp;UPPER(C31)&amp;"-"&amp;TEXT(D31,"0000")&amp;"-"&amp;E31)</x:f>
        <x:v>M06-TGKE-0025-V1.0</x:v>
      </x:c>
      <x:c r="B31" s="74" t="str">
        <x:v>M06</x:v>
      </x:c>
      <x:c r="C31" s="74" t="str">
        <x:v>TGKE</x:v>
      </x:c>
      <x:c r="D31" s="79" t="n">
        <x:v>25</x:v>
      </x:c>
      <x:c r="E31" s="74" t="str">
        <x:v>V1.0</x:v>
      </x:c>
      <x:c r="F31" s="68" t="str">
        <x:v>弱干克强干时克者先耗而难制强</x:v>
      </x:c>
      <x:c r="G31" s="82" t="str">
        <x:v>效应层</x:v>
      </x:c>
      <x:c r="H31" s="68" t="str">
        <x:v>M04-KE-0006-V1.0—M04-KE-0025-V1.0</x:v>
      </x:c>
      <x:c r="I31" s="82" t="str">
        <x:v>天干相克</x:v>
      </x:c>
      <x:c r="J31" s="68" t="str">
        <x:v>弱克者与强受克者</x:v>
      </x:c>
      <x:c r="K31" s="68" t="str">
        <x:v>弱克者</x:v>
      </x:c>
      <x:c r="L31" s="82" t="str">
        <x:v>克者弱或极弱，受克者旺或极旺</x:v>
      </x:c>
      <x:c r="M31" s="68" t="str">
        <x:v>记录参与对象中谁得令、谁受季节支持</x:v>
      </x:c>
      <x:c r="N31" s="68" t="str">
        <x:v>记录明干及相关藏干的透出通道</x:v>
      </x:c>
      <x:c r="O31" s="68" t="str">
        <x:v>记录各对象根气层级、数量及是否唯一根</x:v>
      </x:c>
      <x:c r="P31" s="68" t="str">
        <x:v>检查同节点的合、冲、刑、害、破、会及生克</x:v>
      </x:c>
      <x:c r="Q31" s="82" t="str">
        <x:v>耗</x:v>
      </x:c>
      <x:c r="R31" s="82" t="str">
        <x:v>减弱</x:v>
      </x:c>
      <x:c r="S31" s="82" t="str">
        <x:v>中</x:v>
      </x:c>
      <x:c r="T31" s="82" t="str">
        <x:v>否</x:v>
      </x:c>
      <x:c r="U31" s="82" t="str">
        <x:v>否</x:v>
      </x:c>
      <x:c r="V31" s="82" t="str">
        <x:v>否</x:v>
      </x:c>
      <x:c r="W31" s="82" t="str">
        <x:v>否</x:v>
      </x:c>
      <x:c r="X31" s="82" t="str">
        <x:v>是</x:v>
      </x:c>
      <x:c r="Y31" s="68" t="str">
        <x:v>可能改变原有生克路径，须在M12复核</x:v>
      </x:c>
      <x:c r="Z31" s="68" t="str">
        <x:v>M04/M05已识别关系，柱位、完整度与参与对象已标准化</x:v>
      </x:c>
      <x:c r="AA31" s="68" t="str">
        <x:v>必须指向具体作用对象，并比较各方力量、根气和通道</x:v>
      </x:c>
      <x:c r="AB31" s="68" t="str">
        <x:v>受克者得令多根、克者孤弱</x:v>
      </x:c>
      <x:c r="AC31" s="68" t="str">
        <x:v>另有同类克者成党或受克者根被破坏</x:v>
      </x:c>
      <x:c r="AD31" s="90" t="str">
        <x:v>仅凭关系名称不得直接判性质改变、归零或固定吉凶</x:v>
      </x:c>
      <x:c r="AE31" s="68" t="str">
        <x:v>特殊格局或岁运动态补齐须另建实例重新裁决</x:v>
      </x:c>
      <x:c r="AF31" s="84" t="str">
        <x:v>克者弱而受克者旺有根时，克制难落实，弱克者反因输出而耗力，强者可被激活但不宜判明显减力。</x:v>
      </x:c>
      <x:c r="AG31" s="84" t="str">
        <x:v>弱克强：克者耗力较明显，受克者仅受扰动或被激活。</x:v>
      </x:c>
      <x:c r="AH31" s="82" t="str">
        <x:v>较高</x:v>
      </x:c>
      <x:c r="AI31" s="82" t="str">
        <x:v>现代综合</x:v>
      </x:c>
      <x:c r="AJ31" s="68" t="str">
        <x:v>相克不是固定单向减分，弱者强行克制也会耗损。参考：https://zh.wikisource.org/zh-hans/滴天髓</x:v>
      </x:c>
      <x:c r="AK31" s="68" t="str">
        <x:v>弱壬克旺丙，壬耗而丙受扰，不判丙重减。</x:v>
      </x:c>
      <x:c r="AL31" s="90" t="str">
        <x:v>只因壬克丙就无视丙旺壬弱。</x:v>
      </x:c>
      <x:c r="AM31" s="82" t="str">
        <x:v>采用</x:v>
      </x:c>
      <x:c r="AN31" s="82" t="str">
        <x:v>初审</x:v>
      </x:c>
      <x:c r="AO31" s="87" t="n">
        <x:v>46255</x:v>
      </x:c>
    </x:row>
    <x:row r="32">
      <x:c r="A32" s="72" t="str">
        <x:f>IF(OR(C32="",D32=""),"",B32&amp;"-"&amp;UPPER(C32)&amp;"-"&amp;TEXT(D32,"0000")&amp;"-"&amp;E32)</x:f>
        <x:v>M06-TGKE-0026-V1.0</x:v>
      </x:c>
      <x:c r="B32" s="74" t="str">
        <x:v>M06</x:v>
      </x:c>
      <x:c r="C32" s="74" t="str">
        <x:v>TGKE</x:v>
      </x:c>
      <x:c r="D32" s="79" t="n">
        <x:v>26</x:v>
      </x:c>
      <x:c r="E32" s="74" t="str">
        <x:v>V1.0</x:v>
      </x:c>
      <x:c r="F32" s="68" t="str">
        <x:v>势均力敌的天干相克形成互耗</x:v>
      </x:c>
      <x:c r="G32" s="82" t="str">
        <x:v>效应层</x:v>
      </x:c>
      <x:c r="H32" s="68" t="str">
        <x:v>M04-KE-0006-V1.0—M04-KE-0025-V1.0</x:v>
      </x:c>
      <x:c r="I32" s="82" t="str">
        <x:v>天干相克</x:v>
      </x:c>
      <x:c r="J32" s="68" t="str">
        <x:v>力量接近的相克两干</x:v>
      </x:c>
      <x:c r="K32" s="68" t="str">
        <x:v>双方</x:v>
      </x:c>
      <x:c r="L32" s="82" t="str">
        <x:v>逐对象比较得令、得地、得势与相对强弱</x:v>
      </x:c>
      <x:c r="M32" s="68" t="str">
        <x:v>记录参与对象中谁得令、谁受季节支持</x:v>
      </x:c>
      <x:c r="N32" s="68" t="str">
        <x:v>记录明干及相关藏干的透出通道</x:v>
      </x:c>
      <x:c r="O32" s="68" t="str">
        <x:v>记录各对象根气层级、数量及是否唯一根</x:v>
      </x:c>
      <x:c r="P32" s="68" t="str">
        <x:v>检查同节点的合、冲、刑、害、破、会及生克</x:v>
      </x:c>
      <x:c r="Q32" s="82" t="str">
        <x:v>耗</x:v>
      </x:c>
      <x:c r="R32" s="82" t="str">
        <x:v>减弱</x:v>
      </x:c>
      <x:c r="S32" s="82" t="str">
        <x:v>中</x:v>
      </x:c>
      <x:c r="T32" s="82" t="str">
        <x:v>否</x:v>
      </x:c>
      <x:c r="U32" s="82" t="str">
        <x:v>否</x:v>
      </x:c>
      <x:c r="V32" s="82" t="str">
        <x:v>否</x:v>
      </x:c>
      <x:c r="W32" s="82" t="str">
        <x:v>否</x:v>
      </x:c>
      <x:c r="X32" s="82" t="str">
        <x:v>是</x:v>
      </x:c>
      <x:c r="Y32" s="68" t="str">
        <x:v>形成两强相战或局部阻塞</x:v>
      </x:c>
      <x:c r="Z32" s="68" t="str">
        <x:v>M04/M05已识别关系，柱位、完整度与参与对象已标准化</x:v>
      </x:c>
      <x:c r="AA32" s="68" t="str">
        <x:v>必须指向具体作用对象，并比较各方力量、根气和通道</x:v>
      </x:c>
      <x:c r="AB32" s="68" t="str">
        <x:v>关系相邻、得令、得地、成势且无强力反制</x:v>
      </x:c>
      <x:c r="AC32" s="68" t="str">
        <x:v>遥隔、争合、节点被其他关系牵制或双方各有强根</x:v>
      </x:c>
      <x:c r="AD32" s="90" t="str">
        <x:v>仅凭关系名称不得直接判性质改变、归零或固定吉凶</x:v>
      </x:c>
      <x:c r="AE32" s="68" t="str">
        <x:v>特殊格局或岁运动态补齐须另建实例重新裁决</x:v>
      </x:c>
      <x:c r="AF32" s="84" t="str">
        <x:v>双方有根有援且力量接近时，关系表现为持续对抗与互耗，通常形成流通卡点。</x:v>
      </x:c>
      <x:c r="AG32" s="84" t="str">
        <x:v>双方力量接近，判为相克互耗；需在M12检查是否有通关。</x:v>
      </x:c>
      <x:c r="AH32" s="82" t="str">
        <x:v>较高</x:v>
      </x:c>
      <x:c r="AI32" s="82" t="str">
        <x:v>现代综合</x:v>
      </x:c>
      <x:c r="AJ32" s="68" t="str">
        <x:v>相战结构应进入通关与病药模块，而非只削弱一方。参考：https://zh.wikisource.org/zh-hans/滴天髓</x:v>
      </x:c>
      <x:c r="AK32" s="68" t="str">
        <x:v>庚甲均旺有根，庚克甲形成持续金木相战。</x:v>
      </x:c>
      <x:c r="AL32" s="90" t="str">
        <x:v>势均力敌仍只判甲减力、庚不耗。</x:v>
      </x:c>
      <x:c r="AM32" s="82" t="str">
        <x:v>采用</x:v>
      </x:c>
      <x:c r="AN32" s="82" t="str">
        <x:v>初审</x:v>
      </x:c>
      <x:c r="AO32" s="87" t="n">
        <x:v>46255</x:v>
      </x:c>
    </x:row>
    <x:row r="33">
      <x:c r="A33" s="72" t="str">
        <x:f>IF(OR(C33="",D33=""),"",B33&amp;"-"&amp;UPPER(C33)&amp;"-"&amp;TEXT(D33,"0000")&amp;"-"&amp;E33)</x:f>
        <x:v>M06-TGKE-0027-V1.0</x:v>
      </x:c>
      <x:c r="B33" s="74" t="str">
        <x:v>M06</x:v>
      </x:c>
      <x:c r="C33" s="74" t="str">
        <x:v>TGKE</x:v>
      </x:c>
      <x:c r="D33" s="79" t="n">
        <x:v>27</x:v>
      </x:c>
      <x:c r="E33" s="74" t="str">
        <x:v>V1.0</x:v>
      </x:c>
      <x:c r="F33" s="68" t="str">
        <x:v>受克干得生扶可降低制伤</x:v>
      </x:c>
      <x:c r="G33" s="82" t="str">
        <x:v>效应层</x:v>
      </x:c>
      <x:c r="H33" s="68" t="str">
        <x:v>M04-KE-0006-V1.0—M04-KE-0025-V1.0</x:v>
      </x:c>
      <x:c r="I33" s="82" t="str">
        <x:v>天干相克</x:v>
      </x:c>
      <x:c r="J33" s="68" t="str">
        <x:v>受克干及其生源同党</x:v>
      </x:c>
      <x:c r="K33" s="68" t="str">
        <x:v>受克干</x:v>
      </x:c>
      <x:c r="L33" s="82" t="str">
        <x:v>逐对象比较得令、得地、得势与相对强弱</x:v>
      </x:c>
      <x:c r="M33" s="68" t="str">
        <x:v>记录参与对象中谁得令、谁受季节支持</x:v>
      </x:c>
      <x:c r="N33" s="68" t="str">
        <x:v>记录明干及相关藏干的透出通道</x:v>
      </x:c>
      <x:c r="O33" s="68" t="str">
        <x:v>记录各对象根气层级、数量及是否唯一根</x:v>
      </x:c>
      <x:c r="P33" s="68" t="str">
        <x:v>检查同节点的合、冲、刑、害、破、会及生克</x:v>
      </x:c>
      <x:c r="Q33" s="82" t="str">
        <x:v>生</x:v>
      </x:c>
      <x:c r="R33" s="82" t="str">
        <x:v>增强</x:v>
      </x:c>
      <x:c r="S33" s="82" t="str">
        <x:v>中</x:v>
      </x:c>
      <x:c r="T33" s="82" t="str">
        <x:v>否</x:v>
      </x:c>
      <x:c r="U33" s="82" t="str">
        <x:v>条件性</x:v>
      </x:c>
      <x:c r="V33" s="82" t="str">
        <x:v>条件性</x:v>
      </x:c>
      <x:c r="W33" s="82" t="str">
        <x:v>是</x:v>
      </x:c>
      <x:c r="X33" s="82" t="str">
        <x:v>条件性</x:v>
      </x:c>
      <x:c r="Y33" s="68" t="str">
        <x:v>可能改变原有生克路径，须在M12复核</x:v>
      </x:c>
      <x:c r="Z33" s="68" t="str">
        <x:v>M04/M05已识别关系，柱位、完整度与参与对象已标准化</x:v>
      </x:c>
      <x:c r="AA33" s="68" t="str">
        <x:v>生源或同党自身有效且能到达受克干</x:v>
      </x:c>
      <x:c r="AB33" s="68" t="str">
        <x:v>关系相邻、得令、得地、成势且无强力反制</x:v>
      </x:c>
      <x:c r="AC33" s="68" t="str">
        <x:v>遥隔、争合、节点被其他关系牵制或双方各有强根</x:v>
      </x:c>
      <x:c r="AD33" s="90" t="str">
        <x:v>仅凭关系名称不得直接判性质改变、归零或固定吉凶</x:v>
      </x:c>
      <x:c r="AE33" s="68" t="str">
        <x:v>特殊格局或岁运动态补齐须另建实例重新裁决</x:v>
      </x:c>
      <x:c r="AF33" s="84" t="str">
        <x:v>受克干有得力生源、同类接力或根气时，克制仍存在但伤害程度下降，功能可能维持。</x:v>
      </x:c>
      <x:c r="AG33" s="84" t="str">
        <x:v>受克干有生扶承接，克制被缓冲；不判完全失效。</x:v>
      </x:c>
      <x:c r="AH33" s="82" t="str">
        <x:v>较高</x:v>
      </x:c>
      <x:c r="AI33" s="82" t="str">
        <x:v>现代综合</x:v>
      </x:c>
      <x:c r="AJ33" s="68" t="str">
        <x:v>制化须看是否有救应和承载。参考：https://zh.wikisource.org/zh-hans/淵海子平；https://zh.wikisource.org/wiki/三命通會/卷二</x:v>
      </x:c>
      <x:c r="AK33" s="68" t="str">
        <x:v>庚克甲，但壬水有力生甲，甲受制而不至于失效。</x:v>
      </x:c>
      <x:c r="AL33" s="90" t="str">
        <x:v>甲有强印生仍按无救重伤处理。</x:v>
      </x:c>
      <x:c r="AM33" s="82" t="str">
        <x:v>采用</x:v>
      </x:c>
      <x:c r="AN33" s="82" t="str">
        <x:v>初审</x:v>
      </x:c>
      <x:c r="AO33" s="87" t="n">
        <x:v>46255</x:v>
      </x:c>
    </x:row>
    <x:row r="34">
      <x:c r="A34" s="72" t="str">
        <x:f>IF(OR(C34="",D34=""),"",B34&amp;"-"&amp;UPPER(C34)&amp;"-"&amp;TEXT(D34,"0000")&amp;"-"&amp;E34)</x:f>
        <x:v>M06-TGKE-0028-V1.0</x:v>
      </x:c>
      <x:c r="B34" s="74" t="str">
        <x:v>M06</x:v>
      </x:c>
      <x:c r="C34" s="74" t="str">
        <x:v>TGKE</x:v>
      </x:c>
      <x:c r="D34" s="79" t="n">
        <x:v>28</x:v>
      </x:c>
      <x:c r="E34" s="74" t="str">
        <x:v>V1.0</x:v>
      </x:c>
      <x:c r="F34" s="68" t="str">
        <x:v>克者被合绊会降低实际克制效率</x:v>
      </x:c>
      <x:c r="G34" s="82" t="str">
        <x:v>效应层</x:v>
      </x:c>
      <x:c r="H34" s="68" t="str">
        <x:v>M04-OVER-0046-V1.0；M04-KE-0006-V1.0—M04-KE-0025-V1.0</x:v>
      </x:c>
      <x:c r="I34" s="82" t="str">
        <x:v>其他</x:v>
      </x:c>
      <x:c r="J34" s="68" t="str">
        <x:v>克者、受克者及合克者</x:v>
      </x:c>
      <x:c r="K34" s="68" t="str">
        <x:v>克者的直接克制功能</x:v>
      </x:c>
      <x:c r="L34" s="82" t="str">
        <x:v>逐对象比较得令、得地、得势与相对强弱</x:v>
      </x:c>
      <x:c r="M34" s="68" t="str">
        <x:v>记录参与对象中谁得令、谁受季节支持</x:v>
      </x:c>
      <x:c r="N34" s="68" t="str">
        <x:v>记录明干及相关藏干的透出通道</x:v>
      </x:c>
      <x:c r="O34" s="68" t="str">
        <x:v>记录各对象根气层级、数量及是否唯一根</x:v>
      </x:c>
      <x:c r="P34" s="68" t="str">
        <x:v>检查同节点的合、冲、刑、害、破、会及生克</x:v>
      </x:c>
      <x:c r="Q34" s="82" t="str">
        <x:v>合绊</x:v>
      </x:c>
      <x:c r="R34" s="82" t="str">
        <x:v>冻结</x:v>
      </x:c>
      <x:c r="S34" s="82" t="str">
        <x:v>中</x:v>
      </x:c>
      <x:c r="T34" s="82" t="str">
        <x:v>否</x:v>
      </x:c>
      <x:c r="U34" s="82" t="str">
        <x:v>否</x:v>
      </x:c>
      <x:c r="V34" s="82" t="str">
        <x:v>否</x:v>
      </x:c>
      <x:c r="W34" s="82" t="str">
        <x:v>否</x:v>
      </x:c>
      <x:c r="X34" s="82" t="str">
        <x:v>条件性</x:v>
      </x:c>
      <x:c r="Y34" s="68" t="str">
        <x:v>克制通道局部冻结</x:v>
      </x:c>
      <x:c r="Z34" s="68" t="str">
        <x:v>M04/M05已识别关系，柱位、完整度与参与对象已标准化</x:v>
      </x:c>
      <x:c r="AA34" s="68" t="str">
        <x:v>必须指向具体作用对象，并比较各方力量、根气和通道</x:v>
      </x:c>
      <x:c r="AB34" s="68" t="str">
        <x:v>关系相邻、得令、得地、成势且无强力反制</x:v>
      </x:c>
      <x:c r="AC34" s="68" t="str">
        <x:v>遥隔、争合、节点被其他关系牵制或双方各有强根</x:v>
      </x:c>
      <x:c r="AD34" s="90" t="str">
        <x:v>仅凭关系名称不得直接判性质改变、归零或固定吉凶</x:v>
      </x:c>
      <x:c r="AE34" s="68" t="str">
        <x:v>特殊格局或岁运动态补齐须另建实例重新裁决</x:v>
      </x:c>
      <x:c r="AF34" s="84" t="str">
        <x:v>克者被强合绊时，其对目标的直接作用受限；若合弱或克者根深，则只作部分削弱。</x:v>
      </x:c>
      <x:c r="AG34" s="84" t="str">
        <x:v>克者受合绊，原克制路径下降；是否解除取决于合绊强度。</x:v>
      </x:c>
      <x:c r="AH34" s="82" t="str">
        <x:v>较高</x:v>
      </x:c>
      <x:c r="AI34" s="82" t="str">
        <x:v>现代综合</x:v>
      </x:c>
      <x:c r="AJ34" s="68" t="str">
        <x:v>合与克并见要综合，不可只保留其中一项。参考：https://ctext.org/wiki.pl?chapter=974137&amp;if=gb&amp;remap=gb</x:v>
      </x:c>
      <x:c r="AK34" s="68" t="str">
        <x:v>庚克甲，同时乙强合庚，庚克甲效率下降。</x:v>
      </x:c>
      <x:c r="AL34" s="90" t="str">
        <x:v>乙庚仅弱遥合就判庚完全不克甲。</x:v>
      </x:c>
      <x:c r="AM34" s="82" t="str">
        <x:v>采用</x:v>
      </x:c>
      <x:c r="AN34" s="82" t="str">
        <x:v>初审</x:v>
      </x:c>
      <x:c r="AO34" s="87" t="n">
        <x:v>46255</x:v>
      </x:c>
    </x:row>
    <x:row r="35">
      <x:c r="A35" s="72" t="str">
        <x:f>IF(OR(C35="",D35=""),"",B35&amp;"-"&amp;UPPER(C35)&amp;"-"&amp;TEXT(D35,"0000")&amp;"-"&amp;E35)</x:f>
        <x:v>M06-TGKE-0029-V1.0</x:v>
      </x:c>
      <x:c r="B35" s="74" t="str">
        <x:v>M06</x:v>
      </x:c>
      <x:c r="C35" s="74" t="str">
        <x:v>TGKE</x:v>
      </x:c>
      <x:c r="D35" s="79" t="n">
        <x:v>29</x:v>
      </x:c>
      <x:c r="E35" s="74" t="str">
        <x:v>V1.0</x:v>
      </x:c>
      <x:c r="F35" s="68" t="str">
        <x:v>受克干被合住不等于免受克</x:v>
      </x:c>
      <x:c r="G35" s="82" t="str">
        <x:v>效应层</x:v>
      </x:c>
      <x:c r="H35" s="68" t="str">
        <x:v>M04-OVER-0046-V1.0；M04-KE-0006-V1.0—M04-KE-0025-V1.0</x:v>
      </x:c>
      <x:c r="I35" s="82" t="str">
        <x:v>其他</x:v>
      </x:c>
      <x:c r="J35" s="68" t="str">
        <x:v>克者、被克者及合住者</x:v>
      </x:c>
      <x:c r="K35" s="68" t="str">
        <x:v>被克干</x:v>
      </x:c>
      <x:c r="L35" s="82" t="str">
        <x:v>逐对象比较得令、得地、得势与相对强弱</x:v>
      </x:c>
      <x:c r="M35" s="68" t="str">
        <x:v>记录参与对象中谁得令、谁受季节支持</x:v>
      </x:c>
      <x:c r="N35" s="68" t="str">
        <x:v>记录明干及相关藏干的透出通道</x:v>
      </x:c>
      <x:c r="O35" s="68" t="str">
        <x:v>记录各对象根气层级、数量及是否唯一根</x:v>
      </x:c>
      <x:c r="P35" s="68" t="str">
        <x:v>合、克两组实例同时保留</x:v>
      </x:c>
      <x:c r="Q35" s="82" t="str">
        <x:v>克</x:v>
      </x:c>
      <x:c r="R35" s="82" t="str">
        <x:v>条件性</x:v>
      </x:c>
      <x:c r="S35" s="82" t="str">
        <x:v>中</x:v>
      </x:c>
      <x:c r="T35" s="82" t="str">
        <x:v>否</x:v>
      </x:c>
      <x:c r="U35" s="82" t="str">
        <x:v>条件性</x:v>
      </x:c>
      <x:c r="V35" s="82" t="str">
        <x:v>条件性</x:v>
      </x:c>
      <x:c r="W35" s="82" t="str">
        <x:v>条件性</x:v>
      </x:c>
      <x:c r="X35" s="82" t="str">
        <x:v>条件性</x:v>
      </x:c>
      <x:c r="Y35" s="68" t="str">
        <x:v>可能改变原有生克路径，须在M12复核</x:v>
      </x:c>
      <x:c r="Z35" s="68" t="str">
        <x:v>M04/M05已识别关系，柱位、完整度与参与对象已标准化</x:v>
      </x:c>
      <x:c r="AA35" s="68" t="str">
        <x:v>必须指向具体作用对象，并比较各方力量、根气和通道</x:v>
      </x:c>
      <x:c r="AB35" s="68" t="str">
        <x:v>关系相邻、得令、得地、成势且无强力反制</x:v>
      </x:c>
      <x:c r="AC35" s="68" t="str">
        <x:v>遥隔、争合、节点被其他关系牵制或双方各有强根</x:v>
      </x:c>
      <x:c r="AD35" s="90" t="str">
        <x:v>仅凭关系名称不得直接判性质改变、归零或固定吉凶</x:v>
      </x:c>
      <x:c r="AE35" s="68" t="str">
        <x:v>特殊格局或岁运动态补齐须另建实例重新裁决</x:v>
      </x:c>
      <x:c r="AF35" s="84" t="str">
        <x:v>被克干参与五合时，既可能因合被牵离克路，也可能因受限而更难自救；必须比较两条关系，不能自动视为解克。</x:v>
      </x:c>
      <x:c r="AG35" s="84" t="str">
        <x:v>被克干同时受合与克，当前不直接判解克；按主导关系决定其功能。</x:v>
      </x:c>
      <x:c r="AH35" s="82" t="str">
        <x:v>中等</x:v>
      </x:c>
      <x:c r="AI35" s="82" t="str">
        <x:v>现代综合</x:v>
      </x:c>
      <x:c r="AJ35" s="68" t="str">
        <x:v>会合是否解克依赖节点归属和强弱。参考：https://ctext.org/wiki.pl?chapter=974137&amp;if=gb&amp;remap=gb</x:v>
      </x:c>
      <x:c r="AK35" s="68" t="str">
        <x:v>甲被己合又受庚克，若己合强可缓冲，若己弱则庚克仍落实。</x:v>
      </x:c>
      <x:c r="AL35" s="90" t="str">
        <x:v>被克干一有合就一律判免受克。</x:v>
      </x:c>
      <x:c r="AM35" s="82" t="str">
        <x:v>采用</x:v>
      </x:c>
      <x:c r="AN35" s="82" t="str">
        <x:v>初审</x:v>
      </x:c>
      <x:c r="AO35" s="87" t="n">
        <x:v>46255</x:v>
      </x:c>
    </x:row>
    <x:row r="36">
      <x:c r="A36" s="72" t="str">
        <x:f>IF(OR(C36="",D36=""),"",B36&amp;"-"&amp;UPPER(C36)&amp;"-"&amp;TEXT(D36,"0000")&amp;"-"&amp;E36)</x:f>
        <x:v>M06-TGKE-0030-V1.0</x:v>
      </x:c>
      <x:c r="B36" s="74" t="str">
        <x:v>M06</x:v>
      </x:c>
      <x:c r="C36" s="74" t="str">
        <x:v>TGKE</x:v>
      </x:c>
      <x:c r="D36" s="79" t="n">
        <x:v>30</x:v>
      </x:c>
      <x:c r="E36" s="74" t="str">
        <x:v>V1.0</x:v>
      </x:c>
      <x:c r="F36" s="68" t="str">
        <x:v>距离与中间通道修正天干克制</x:v>
      </x:c>
      <x:c r="G36" s="82" t="str">
        <x:v>效应层</x:v>
      </x:c>
      <x:c r="H36" s="68" t="str">
        <x:v>M04-POS-0026-V1.0—M04-POS-0031-V1.0；M04-KE-0006-V1.0—M04-KE-0025-V1.0</x:v>
      </x:c>
      <x:c r="I36" s="82" t="str">
        <x:v>天干相克</x:v>
      </x:c>
      <x:c r="J36" s="68" t="str">
        <x:v>不同柱位的相克两干</x:v>
      </x:c>
      <x:c r="K36" s="68" t="str">
        <x:v>克制路径</x:v>
      </x:c>
      <x:c r="L36" s="82" t="str">
        <x:v>逐对象比较得令、得地、得势与相对强弱</x:v>
      </x:c>
      <x:c r="M36" s="68" t="str">
        <x:v>记录参与对象中谁得令、谁受季节支持</x:v>
      </x:c>
      <x:c r="N36" s="68" t="str">
        <x:v>记录明干及相关藏干的透出通道</x:v>
      </x:c>
      <x:c r="O36" s="68" t="str">
        <x:v>记录各对象根气层级、数量及是否唯一根</x:v>
      </x:c>
      <x:c r="P36" s="68" t="str">
        <x:v>检查同节点的合、冲、刑、害、破、会及生克</x:v>
      </x:c>
      <x:c r="Q36" s="82" t="str">
        <x:v>克</x:v>
      </x:c>
      <x:c r="R36" s="82" t="str">
        <x:v>条件性</x:v>
      </x:c>
      <x:c r="S36" s="82" t="str">
        <x:v>弱</x:v>
      </x:c>
      <x:c r="T36" s="82" t="str">
        <x:v>否</x:v>
      </x:c>
      <x:c r="U36" s="82" t="str">
        <x:v>条件性</x:v>
      </x:c>
      <x:c r="V36" s="82" t="str">
        <x:v>条件性</x:v>
      </x:c>
      <x:c r="W36" s="82" t="str">
        <x:v>条件性</x:v>
      </x:c>
      <x:c r="X36" s="82" t="str">
        <x:v>条件性</x:v>
      </x:c>
      <x:c r="Y36" s="68" t="str">
        <x:v>可能改变原有生克路径，须在M12复核</x:v>
      </x:c>
      <x:c r="Z36" s="68" t="str">
        <x:v>M04/M05已识别关系，柱位、完整度与参与对象已标准化</x:v>
      </x:c>
      <x:c r="AA36" s="68" t="str">
        <x:v>必须指向具体作用对象，并比较各方力量、根气和通道</x:v>
      </x:c>
      <x:c r="AB36" s="68" t="str">
        <x:v>相邻且中间无通关</x:v>
      </x:c>
      <x:c r="AC36" s="68" t="str">
        <x:v>隔位、遥隔或中间干形成通关</x:v>
      </x:c>
      <x:c r="AD36" s="90" t="str">
        <x:v>仅凭关系名称不得直接判性质改变、归零或固定吉凶</x:v>
      </x:c>
      <x:c r="AE36" s="68" t="str">
        <x:v>特殊格局或岁运动态补齐须另建实例重新裁决</x:v>
      </x:c>
      <x:c r="AF36" s="84" t="str">
        <x:v>相邻且无中介时克制更直接；隔位或遥隔时须检查中间干是否通关、生助或阻隔。</x:v>
      </x:c>
      <x:c r="AG36" s="84" t="str">
        <x:v>该克制路径受柱位修正；相邻从强评估，隔位遥隔从弱评估并检查中间通道。</x:v>
      </x:c>
      <x:c r="AH36" s="82" t="str">
        <x:v>较高</x:v>
      </x:c>
      <x:c r="AI36" s="82" t="str">
        <x:v>现代综合</x:v>
      </x:c>
      <x:c r="AJ36" s="68" t="str">
        <x:v>位置只修正效应，不改变有向相克事实。参考：https://ctext.org/wiki.pl?chapter=435028&amp;if=gb&amp;remap=gb</x:v>
      </x:c>
      <x:c r="AK36" s="68" t="str">
        <x:v>月干庚直接克日干甲，比年干庚遥克时干甲作用更直接。</x:v>
      </x:c>
      <x:c r="AL36" s="90" t="str">
        <x:v>所有柱位的天干相克一律按同强度。</x:v>
      </x:c>
      <x:c r="AM36" s="82" t="str">
        <x:v>采用</x:v>
      </x:c>
      <x:c r="AN36" s="82" t="str">
        <x:v>初审</x:v>
      </x:c>
      <x:c r="AO36" s="87" t="n">
        <x:v>46255</x:v>
      </x:c>
    </x:row>
    <x:row r="37">
      <x:c r="A37" s="72" t="str">
        <x:f>IF(OR(C37="",D37=""),"",B37&amp;"-"&amp;UPPER(C37)&amp;"-"&amp;TEXT(D37,"0000")&amp;"-"&amp;E37)</x:f>
        <x:v>M06-LIUHE-0031-V1.0</x:v>
      </x:c>
      <x:c r="B37" s="74" t="str">
        <x:v>M06</x:v>
      </x:c>
      <x:c r="C37" s="74" t="str">
        <x:v>LIUHE</x:v>
      </x:c>
      <x:c r="D37" s="79" t="n">
        <x:v>31</x:v>
      </x:c>
      <x:c r="E37" s="74" t="str">
        <x:v>V1.0</x:v>
      </x:c>
      <x:c r="F37" s="68" t="str">
        <x:v>地支六合先判牵引再判合化</x:v>
      </x:c>
      <x:c r="G37" s="82" t="str">
        <x:v>效应层</x:v>
      </x:c>
      <x:c r="H37" s="68" t="str">
        <x:v>M05-LIUHE-0001-V1.0—M05-LIUHE-0006-V1.0；M05-BOUND-0074-V1.0</x:v>
      </x:c>
      <x:c r="I37" s="82" t="str">
        <x:v>六合</x:v>
      </x:c>
      <x:c r="J37" s="68" t="str">
        <x:v>任一六合配对</x:v>
      </x:c>
      <x:c r="K37" s="68" t="str">
        <x:v>参与两支</x:v>
      </x:c>
      <x:c r="L37" s="82" t="str">
        <x:v>逐对象比较得令、得地、得势与相对强弱</x:v>
      </x:c>
      <x:c r="M37" s="68" t="str">
        <x:v>记录参与对象中谁得令、谁受季节支持</x:v>
      </x:c>
      <x:c r="N37" s="68" t="str">
        <x:v>记录明干及相关藏干的透出通道</x:v>
      </x:c>
      <x:c r="O37" s="68" t="str">
        <x:v>记录各对象根气层级、数量及是否唯一根</x:v>
      </x:c>
      <x:c r="P37" s="68" t="str">
        <x:v>检查同节点的合、冲、刑、害、破、会及生克</x:v>
      </x:c>
      <x:c r="Q37" s="82" t="str">
        <x:v>合动</x:v>
      </x:c>
      <x:c r="R37" s="82" t="str">
        <x:v>条件性</x:v>
      </x:c>
      <x:c r="S37" s="82" t="str">
        <x:v>中</x:v>
      </x:c>
      <x:c r="T37" s="82" t="str">
        <x:v>条件性</x:v>
      </x:c>
      <x:c r="U37" s="82" t="str">
        <x:v>条件性</x:v>
      </x:c>
      <x:c r="V37" s="82" t="str">
        <x:v>条件性</x:v>
      </x:c>
      <x:c r="W37" s="82" t="str">
        <x:v>条件性</x:v>
      </x:c>
      <x:c r="X37" s="82" t="str">
        <x:v>条件性</x:v>
      </x:c>
      <x:c r="Y37" s="68" t="str">
        <x:v>地支内部生克与藏干通道可能重排</x:v>
      </x:c>
      <x:c r="Z37" s="68" t="str">
        <x:v>M04/M05已识别关系，柱位、完整度与参与对象已标准化</x:v>
      </x:c>
      <x:c r="AA37" s="68" t="str">
        <x:v>M05已识别具体六合配对并保留柱位</x:v>
      </x:c>
      <x:c r="AB37" s="68" t="str">
        <x:v>关系相邻、得令、得地、成势且无强力反制</x:v>
      </x:c>
      <x:c r="AC37" s="68" t="str">
        <x:v>遥隔、争合、节点被其他关系牵制或双方各有强根</x:v>
      </x:c>
      <x:c r="AD37" s="90" t="str">
        <x:v>仅凭关系名称不得直接判性质改变、归零或固定吉凶</x:v>
      </x:c>
      <x:c r="AE37" s="68" t="str">
        <x:v>特殊格局或岁运动态补齐须另建实例重新裁决</x:v>
      </x:c>
      <x:c r="AF37" s="84" t="str">
        <x:v>六合首先表示两支发生牵引、趋同或局部绊住；只有化神有力且无破坏时才可升级为合化。</x:v>
      </x:c>
      <x:c r="AG37" s="84" t="str">
        <x:v>六合关系成立，当前先按合动或合绊处理；合化另验。</x:v>
      </x:c>
      <x:c r="AH37" s="82" t="str">
        <x:v>较高</x:v>
      </x:c>
      <x:c r="AI37" s="82" t="str">
        <x:v>现代综合</x:v>
      </x:c>
      <x:c r="AJ37" s="68" t="str">
        <x:v>六合配对与实际化气必须分层。参考：https://zh.wikisource.org/zh-hans/淵海子平；https://zh.wikisource.org/wiki/三命通會/卷二</x:v>
      </x:c>
      <x:c r="AK37" s="68" t="str">
        <x:v>子丑同时出现，但土势不足时只判合意。</x:v>
      </x:c>
      <x:c r="AL37" s="90" t="str">
        <x:v>六合一出现便把两支全部改记化神。</x:v>
      </x:c>
      <x:c r="AM37" s="82" t="str">
        <x:v>采用</x:v>
      </x:c>
      <x:c r="AN37" s="82" t="str">
        <x:v>初审</x:v>
      </x:c>
      <x:c r="AO37" s="87" t="n">
        <x:v>46255</x:v>
      </x:c>
    </x:row>
    <x:row r="38">
      <x:c r="A38" s="72" t="str">
        <x:f>IF(OR(C38="",D38=""),"",B38&amp;"-"&amp;UPPER(C38)&amp;"-"&amp;TEXT(D38,"0000")&amp;"-"&amp;E38)</x:f>
        <x:v>M06-LIUHE-0032-V1.0</x:v>
      </x:c>
      <x:c r="B38" s="74" t="str">
        <x:v>M06</x:v>
      </x:c>
      <x:c r="C38" s="74" t="str">
        <x:v>LIUHE</x:v>
      </x:c>
      <x:c r="D38" s="79" t="n">
        <x:v>32</x:v>
      </x:c>
      <x:c r="E38" s="74" t="str">
        <x:v>V1.0</x:v>
      </x:c>
      <x:c r="F38" s="68" t="str">
        <x:v>六合相邻时合绊作用更直接</x:v>
      </x:c>
      <x:c r="G38" s="82" t="str">
        <x:v>效应层</x:v>
      </x:c>
      <x:c r="H38" s="68" t="str">
        <x:v>M05-POS-0058-V1.0—M05-POS-0060-V1.0；M05-LIUHE-0001-V1.0—M05-LIUHE-0006-V1.0</x:v>
      </x:c>
      <x:c r="I38" s="82" t="str">
        <x:v>六合</x:v>
      </x:c>
      <x:c r="J38" s="68" t="str">
        <x:v>相邻柱位的六合两支</x:v>
      </x:c>
      <x:c r="K38" s="68" t="str">
        <x:v>参与两支</x:v>
      </x:c>
      <x:c r="L38" s="82" t="str">
        <x:v>逐对象比较得令、得地、得势与相对强弱</x:v>
      </x:c>
      <x:c r="M38" s="68" t="str">
        <x:v>记录参与对象中谁得令、谁受季节支持</x:v>
      </x:c>
      <x:c r="N38" s="68" t="str">
        <x:v>记录明干及相关藏干的透出通道</x:v>
      </x:c>
      <x:c r="O38" s="68" t="str">
        <x:v>记录各对象根气层级、数量及是否唯一根</x:v>
      </x:c>
      <x:c r="P38" s="68" t="str">
        <x:v>检查同节点的合、冲、刑、害、破、会及生克</x:v>
      </x:c>
      <x:c r="Q38" s="82" t="str">
        <x:v>合绊</x:v>
      </x:c>
      <x:c r="R38" s="82" t="str">
        <x:v>冻结</x:v>
      </x:c>
      <x:c r="S38" s="82" t="str">
        <x:v>中</x:v>
      </x:c>
      <x:c r="T38" s="82" t="str">
        <x:v>否</x:v>
      </x:c>
      <x:c r="U38" s="82" t="str">
        <x:v>条件性</x:v>
      </x:c>
      <x:c r="V38" s="82" t="str">
        <x:v>条件性</x:v>
      </x:c>
      <x:c r="W38" s="82" t="str">
        <x:v>条件性</x:v>
      </x:c>
      <x:c r="X38" s="82" t="str">
        <x:v>条件性</x:v>
      </x:c>
      <x:c r="Y38" s="68" t="str">
        <x:v>可能改变原有生克路径，须在M12复核</x:v>
      </x:c>
      <x:c r="Z38" s="68" t="str">
        <x:v>M04/M05已识别关系，柱位、完整度与参与对象已标准化</x:v>
      </x:c>
      <x:c r="AA38" s="68" t="str">
        <x:v>必须指向具体作用对象，并比较各方力量、根气和通道</x:v>
      </x:c>
      <x:c r="AB38" s="68" t="str">
        <x:v>相邻、关系单一且无强冲</x:v>
      </x:c>
      <x:c r="AC38" s="68" t="str">
        <x:v>双方均强根成势或同节点另入三合三会</x:v>
      </x:c>
      <x:c r="AD38" s="90" t="str">
        <x:v>仅凭关系名称不得直接判性质改变、归零或固定吉凶</x:v>
      </x:c>
      <x:c r="AE38" s="68" t="str">
        <x:v>特殊格局或岁运动态补齐须另建实例重新裁决</x:v>
      </x:c>
      <x:c r="AF38" s="84" t="str">
        <x:v>年月、月日或日时相邻六合时，节点互动更直接；若无冲会争夺，可提高合绊等级。</x:v>
      </x:c>
      <x:c r="AG38" s="84" t="str">
        <x:v>该六合相邻，合绊较直接；是否合住或合化仍须看强弱与叠加关系。</x:v>
      </x:c>
      <x:c r="AH38" s="82" t="str">
        <x:v>较高</x:v>
      </x:c>
      <x:c r="AI38" s="82" t="str">
        <x:v>现代综合</x:v>
      </x:c>
      <x:c r="AJ38" s="68" t="str">
        <x:v>位置近远是效应强弱信息。参考：https://ctext.org/wiki.pl?chapter=435028&amp;if=gb&amp;remap=gb</x:v>
      </x:c>
      <x:c r="AK38" s="68" t="str">
        <x:v>月支与日支六合且无其他争夺，合绊从中等评估。</x:v>
      </x:c>
      <x:c r="AL38" s="90" t="str">
        <x:v>年时遥隔六合与月日六合一律同强度。</x:v>
      </x:c>
      <x:c r="AM38" s="82" t="str">
        <x:v>采用</x:v>
      </x:c>
      <x:c r="AN38" s="82" t="str">
        <x:v>初审</x:v>
      </x:c>
      <x:c r="AO38" s="87" t="n">
        <x:v>46255</x:v>
      </x:c>
    </x:row>
    <x:row r="39">
      <x:c r="A39" s="72" t="str">
        <x:f>IF(OR(C39="",D39=""),"",B39&amp;"-"&amp;UPPER(C39)&amp;"-"&amp;TEXT(D39,"0000")&amp;"-"&amp;E39)</x:f>
        <x:v>M06-LIUHE-0033-V1.0</x:v>
      </x:c>
      <x:c r="B39" s="74" t="str">
        <x:v>M06</x:v>
      </x:c>
      <x:c r="C39" s="74" t="str">
        <x:v>LIUHE</x:v>
      </x:c>
      <x:c r="D39" s="79" t="n">
        <x:v>33</x:v>
      </x:c>
      <x:c r="E39" s="74" t="str">
        <x:v>V1.0</x:v>
      </x:c>
      <x:c r="F39" s="68" t="str">
        <x:v>六合一强一弱时弱支更易被牵制</x:v>
      </x:c>
      <x:c r="G39" s="82" t="str">
        <x:v>效应层</x:v>
      </x:c>
      <x:c r="H39" s="68" t="str">
        <x:v>M05-LIUHE-0001-V1.0—M05-LIUHE-0006-V1.0</x:v>
      </x:c>
      <x:c r="I39" s="82" t="str">
        <x:v>六合</x:v>
      </x:c>
      <x:c r="J39" s="68" t="str">
        <x:v>强弱悬殊的六合两支</x:v>
      </x:c>
      <x:c r="K39" s="68" t="str">
        <x:v>较弱一支</x:v>
      </x:c>
      <x:c r="L39" s="82" t="str">
        <x:v>一支旺或极旺，另一支弱或极弱</x:v>
      </x:c>
      <x:c r="M39" s="68" t="str">
        <x:v>记录参与对象中谁得令、谁受季节支持</x:v>
      </x:c>
      <x:c r="N39" s="68" t="str">
        <x:v>记录明干及相关藏干的透出通道</x:v>
      </x:c>
      <x:c r="O39" s="68" t="str">
        <x:v>记录各对象根气层级、数量及是否唯一根</x:v>
      </x:c>
      <x:c r="P39" s="68" t="str">
        <x:v>检查同节点的合、冲、刑、害、破、会及生克</x:v>
      </x:c>
      <x:c r="Q39" s="82" t="str">
        <x:v>合住</x:v>
      </x:c>
      <x:c r="R39" s="82" t="str">
        <x:v>冻结</x:v>
      </x:c>
      <x:c r="S39" s="82" t="str">
        <x:v>强</x:v>
      </x:c>
      <x:c r="T39" s="82" t="str">
        <x:v>否</x:v>
      </x:c>
      <x:c r="U39" s="82" t="str">
        <x:v>条件性</x:v>
      </x:c>
      <x:c r="V39" s="82" t="str">
        <x:v>条件性</x:v>
      </x:c>
      <x:c r="W39" s="82" t="str">
        <x:v>条件性</x:v>
      </x:c>
      <x:c r="X39" s="82" t="str">
        <x:v>条件性</x:v>
      </x:c>
      <x:c r="Y39" s="68" t="str">
        <x:v>可能改变原有生克路径，须在M12复核</x:v>
      </x:c>
      <x:c r="Z39" s="68" t="str">
        <x:v>M04/M05已识别关系，柱位、完整度与参与对象已标准化</x:v>
      </x:c>
      <x:c r="AA39" s="68" t="str">
        <x:v>必须指向具体作用对象，并比较各方力量、根气和通道</x:v>
      </x:c>
      <x:c r="AB39" s="68" t="str">
        <x:v>强支临月令、有同党；弱支为唯一弱根且无援</x:v>
      </x:c>
      <x:c r="AC39" s="68" t="str">
        <x:v>弱支另有同党、三合三会或透干承接</x:v>
      </x:c>
      <x:c r="AD39" s="90" t="str">
        <x:v>仅凭关系名称不得直接判性质改变、归零或固定吉凶</x:v>
      </x:c>
      <x:c r="AE39" s="68" t="str">
        <x:v>特殊格局或岁运动态补齐须另建实例重新裁决</x:v>
      </x:c>
      <x:c r="AF39" s="84" t="str">
        <x:v>一支得令成势、另一支孤弱无援时，弱支更易被牵入强支或化神方向；强支不必同步失去原功能。</x:v>
      </x:c>
      <x:c r="AG39" s="84" t="str">
        <x:v>六合双方力量悬殊，弱支受牵制更重；强支保留主导作用。</x:v>
      </x:c>
      <x:c r="AH39" s="82" t="str">
        <x:v>较高</x:v>
      </x:c>
      <x:c r="AI39" s="82" t="str">
        <x:v>现代综合</x:v>
      </x:c>
      <x:c r="AJ39" s="68" t="str">
        <x:v>六合效应也必须逐支判断。参考：https://zh.wikisource.org/zh-hans/滴天髓</x:v>
      </x:c>
      <x:c r="AK39" s="68" t="str">
        <x:v>亥旺有援、寅弱无根，寅亥合时寅受牵较重。</x:v>
      </x:c>
      <x:c r="AL39" s="90" t="str">
        <x:v>两支合便等量扣减。</x:v>
      </x:c>
      <x:c r="AM39" s="82" t="str">
        <x:v>采用</x:v>
      </x:c>
      <x:c r="AN39" s="82" t="str">
        <x:v>初审</x:v>
      </x:c>
      <x:c r="AO39" s="87" t="n">
        <x:v>46255</x:v>
      </x:c>
    </x:row>
    <x:row r="40">
      <x:c r="A40" s="72" t="str">
        <x:f>IF(OR(C40="",D40=""),"",B40&amp;"-"&amp;UPPER(C40)&amp;"-"&amp;TEXT(D40,"0000")&amp;"-"&amp;E40)</x:f>
        <x:v>M06-LIUHE-0034-V1.0</x:v>
      </x:c>
      <x:c r="B40" s="74" t="str">
        <x:v>M06</x:v>
      </x:c>
      <x:c r="C40" s="74" t="str">
        <x:v>LIUHE</x:v>
      </x:c>
      <x:c r="D40" s="79" t="n">
        <x:v>34</x:v>
      </x:c>
      <x:c r="E40" s="74" t="str">
        <x:v>V1.0</x:v>
      </x:c>
      <x:c r="F40" s="68" t="str">
        <x:v>六合双方均强时优先判合绊不判消失</x:v>
      </x:c>
      <x:c r="G40" s="82" t="str">
        <x:v>效应层</x:v>
      </x:c>
      <x:c r="H40" s="68" t="str">
        <x:v>M05-LIUHE-0001-V1.0—M05-LIUHE-0006-V1.0</x:v>
      </x:c>
      <x:c r="I40" s="82" t="str">
        <x:v>六合</x:v>
      </x:c>
      <x:c r="J40" s="68" t="str">
        <x:v>双方均强的六合两支</x:v>
      </x:c>
      <x:c r="K40" s="68" t="str">
        <x:v>参与两支</x:v>
      </x:c>
      <x:c r="L40" s="82" t="str">
        <x:v>逐对象比较得令、得地、得势与相对强弱</x:v>
      </x:c>
      <x:c r="M40" s="68" t="str">
        <x:v>记录参与对象中谁得令、谁受季节支持</x:v>
      </x:c>
      <x:c r="N40" s="68" t="str">
        <x:v>记录明干及相关藏干的透出通道</x:v>
      </x:c>
      <x:c r="O40" s="68" t="str">
        <x:v>记录各对象根气层级、数量及是否唯一根</x:v>
      </x:c>
      <x:c r="P40" s="68" t="str">
        <x:v>检查同节点的合、冲、刑、害、破、会及生克</x:v>
      </x:c>
      <x:c r="Q40" s="82" t="str">
        <x:v>合绊</x:v>
      </x:c>
      <x:c r="R40" s="82" t="str">
        <x:v>冻结</x:v>
      </x:c>
      <x:c r="S40" s="82" t="str">
        <x:v>中</x:v>
      </x:c>
      <x:c r="T40" s="82" t="str">
        <x:v>否</x:v>
      </x:c>
      <x:c r="U40" s="82" t="str">
        <x:v>否</x:v>
      </x:c>
      <x:c r="V40" s="82" t="str">
        <x:v>条件性</x:v>
      </x:c>
      <x:c r="W40" s="82" t="str">
        <x:v>条件性</x:v>
      </x:c>
      <x:c r="X40" s="82" t="str">
        <x:v>条件性</x:v>
      </x:c>
      <x:c r="Y40" s="68" t="str">
        <x:v>可能改变原有生克路径，须在M12复核</x:v>
      </x:c>
      <x:c r="Z40" s="68" t="str">
        <x:v>M04/M05已识别关系，柱位、完整度与参与对象已标准化</x:v>
      </x:c>
      <x:c r="AA40" s="68" t="str">
        <x:v>必须指向具体作用对象，并比较各方力量、根气和通道</x:v>
      </x:c>
      <x:c r="AB40" s="68" t="str">
        <x:v>相邻且无第三关系</x:v>
      </x:c>
      <x:c r="AC40" s="68" t="str">
        <x:v>一方另入更强三合三会或遭强冲</x:v>
      </x:c>
      <x:c r="AD40" s="90" t="str">
        <x:v>仅凭关系名称不得直接判性质改变、归零或固定吉凶</x:v>
      </x:c>
      <x:c r="AE40" s="68" t="str">
        <x:v>特殊格局或岁运动态补齐须另建实例重新裁决</x:v>
      </x:c>
      <x:c r="AF40" s="84" t="str">
        <x:v>双方得令、得地或各成体系时，多表现为相互牵制与功能重排，不宜直接删除任一地支或根气。</x:v>
      </x:c>
      <x:c r="AG40" s="84" t="str">
        <x:v>双方均有实根，六合按相互牵制处理；两支原始存在与根气均保留。</x:v>
      </x:c>
      <x:c r="AH40" s="82" t="str">
        <x:v>较高</x:v>
      </x:c>
      <x:c r="AI40" s="82" t="str">
        <x:v>现代综合</x:v>
      </x:c>
      <x:c r="AJ40" s="68" t="str">
        <x:v>有根有势者不因六合自动失根。参考：https://ctext.org/wiki.pl?chapter=974137&amp;if=gb&amp;remap=gb</x:v>
      </x:c>
      <x:c r="AK40" s="68" t="str">
        <x:v>寅亥均旺有根，先判合绊而非寅亥消失。</x:v>
      </x:c>
      <x:c r="AL40" s="90" t="str">
        <x:v>双方均旺仍把一方合没。</x:v>
      </x:c>
      <x:c r="AM40" s="82" t="str">
        <x:v>采用</x:v>
      </x:c>
      <x:c r="AN40" s="82" t="str">
        <x:v>初审</x:v>
      </x:c>
      <x:c r="AO40" s="87" t="n">
        <x:v>46255</x:v>
      </x:c>
    </x:row>
    <x:row r="41">
      <x:c r="A41" s="72" t="str">
        <x:f>IF(OR(C41="",D41=""),"",B41&amp;"-"&amp;UPPER(C41)&amp;"-"&amp;TEXT(D41,"0000")&amp;"-"&amp;E41)</x:f>
        <x:v>M06-LIUHE-0035-V1.0</x:v>
      </x:c>
      <x:c r="B41" s="74" t="str">
        <x:v>M06</x:v>
      </x:c>
      <x:c r="C41" s="74" t="str">
        <x:v>LIUHE</x:v>
      </x:c>
      <x:c r="D41" s="79" t="n">
        <x:v>35</x:v>
      </x:c>
      <x:c r="E41" s="74" t="str">
        <x:v>V1.0</x:v>
      </x:c>
      <x:c r="F41" s="68" t="str">
        <x:v>子丑合土的效应方向</x:v>
      </x:c>
      <x:c r="G41" s="82" t="str">
        <x:v>效应层</x:v>
      </x:c>
      <x:c r="H41" s="68" t="str">
        <x:v>M05-LIUHE-0001-V1.0</x:v>
      </x:c>
      <x:c r="I41" s="82" t="str">
        <x:v>六合</x:v>
      </x:c>
      <x:c r="J41" s="68" t="str">
        <x:v>子、丑</x:v>
      </x:c>
      <x:c r="K41" s="68" t="str">
        <x:v>子、丑及土</x:v>
      </x:c>
      <x:c r="L41" s="82" t="str">
        <x:v>逐对象比较得令、得地、得势与相对强弱</x:v>
      </x:c>
      <x:c r="M41" s="68" t="str">
        <x:v>记录参与对象中谁得令、谁受季节支持</x:v>
      </x:c>
      <x:c r="N41" s="68" t="str">
        <x:v>记录明干及相关藏干的透出通道</x:v>
      </x:c>
      <x:c r="O41" s="68" t="str">
        <x:v>记录各对象根气层级、数量及是否唯一根</x:v>
      </x:c>
      <x:c r="P41" s="68" t="str">
        <x:v>检查同节点的合、冲、刑、害、破、会及生克</x:v>
      </x:c>
      <x:c r="Q41" s="82" t="str">
        <x:v>合化</x:v>
      </x:c>
      <x:c r="R41" s="82" t="str">
        <x:v>转化</x:v>
      </x:c>
      <x:c r="S41" s="82" t="str">
        <x:v>强</x:v>
      </x:c>
      <x:c r="T41" s="82" t="str">
        <x:v>条件性</x:v>
      </x:c>
      <x:c r="U41" s="82" t="str">
        <x:v>条件性</x:v>
      </x:c>
      <x:c r="V41" s="82" t="str">
        <x:v>条件性</x:v>
      </x:c>
      <x:c r="W41" s="82" t="str">
        <x:v>是</x:v>
      </x:c>
      <x:c r="X41" s="82" t="str">
        <x:v>条件性</x:v>
      </x:c>
      <x:c r="Y41" s="68" t="str">
        <x:v>两支藏干通道向土集中</x:v>
      </x:c>
      <x:c r="Z41" s="68" t="str">
        <x:v>M04/M05已识别关系，柱位、完整度与参与对象已标准化</x:v>
      </x:c>
      <x:c r="AA41" s="68" t="str">
        <x:v>土有真实承载且无强力破坏；只生成方向不自动成化</x:v>
      </x:c>
      <x:c r="AB41" s="68" t="str">
        <x:v>土得令、有戊己透出或火土成势</x:v>
      </x:c>
      <x:c r="AC41" s="68" t="str">
        <x:v>水势强、子得令且壬癸成党</x:v>
      </x:c>
      <x:c r="AD41" s="90" t="str">
        <x:v>土无根无势或同节点受更强冲会牵引</x:v>
      </x:c>
      <x:c r="AE41" s="68" t="str">
        <x:v>仅有趋向时标记合动或合绊，不改写两支全部性质</x:v>
      </x:c>
      <x:c r="AF41" s="84" t="str">
        <x:v>子丑六合只生成土向候选；土得时得地、丑土主导且水势不过强时，才可判土向明显。</x:v>
      </x:c>
      <x:c r="AG41" s="84" t="str">
        <x:v>子丑合的土向条件成立，土的有效作用增强；条件不足时仍按水土相牵。</x:v>
      </x:c>
      <x:c r="AH41" s="82" t="str">
        <x:v>中等</x:v>
      </x:c>
      <x:c r="AI41" s="82" t="str">
        <x:v>现代综合</x:v>
      </x:c>
      <x:c r="AJ41" s="68" t="str">
        <x:v>六合化气在不同流派中条件差异较大，本库只保留条件性方向。参考：https://ctext.org/wiki.pl?chapter=435028&amp;if=gb&amp;remap=gb</x:v>
      </x:c>
      <x:c r="AK41" s="68" t="str">
        <x:v>子丑合的土向条件成立，土的有效作用增强；条件不足时仍按水土相牵。</x:v>
      </x:c>
      <x:c r="AL41" s="90" t="str">
        <x:v>子丑一见即把子水完全化土</x:v>
      </x:c>
      <x:c r="AM41" s="82" t="str">
        <x:v>待验证</x:v>
      </x:c>
      <x:c r="AN41" s="82" t="str">
        <x:v>初审</x:v>
      </x:c>
      <x:c r="AO41" s="87" t="n">
        <x:v>46255</x:v>
      </x:c>
    </x:row>
    <x:row r="42">
      <x:c r="A42" s="72" t="str">
        <x:f>IF(OR(C42="",D42=""),"",B42&amp;"-"&amp;UPPER(C42)&amp;"-"&amp;TEXT(D42,"0000")&amp;"-"&amp;E42)</x:f>
        <x:v>M06-LIUHE-0036-V1.0</x:v>
      </x:c>
      <x:c r="B42" s="74" t="str">
        <x:v>M06</x:v>
      </x:c>
      <x:c r="C42" s="74" t="str">
        <x:v>LIUHE</x:v>
      </x:c>
      <x:c r="D42" s="79" t="n">
        <x:v>36</x:v>
      </x:c>
      <x:c r="E42" s="74" t="str">
        <x:v>V1.0</x:v>
      </x:c>
      <x:c r="F42" s="68" t="str">
        <x:v>寅亥合木的效应方向</x:v>
      </x:c>
      <x:c r="G42" s="82" t="str">
        <x:v>效应层</x:v>
      </x:c>
      <x:c r="H42" s="68" t="str">
        <x:v>M05-LIUHE-0002-V1.0</x:v>
      </x:c>
      <x:c r="I42" s="82" t="str">
        <x:v>六合</x:v>
      </x:c>
      <x:c r="J42" s="68" t="str">
        <x:v>寅、亥</x:v>
      </x:c>
      <x:c r="K42" s="68" t="str">
        <x:v>寅、亥及木</x:v>
      </x:c>
      <x:c r="L42" s="82" t="str">
        <x:v>逐对象比较得令、得地、得势与相对强弱</x:v>
      </x:c>
      <x:c r="M42" s="68" t="str">
        <x:v>记录参与对象中谁得令、谁受季节支持</x:v>
      </x:c>
      <x:c r="N42" s="68" t="str">
        <x:v>记录明干及相关藏干的透出通道</x:v>
      </x:c>
      <x:c r="O42" s="68" t="str">
        <x:v>记录各对象根气层级、数量及是否唯一根</x:v>
      </x:c>
      <x:c r="P42" s="68" t="str">
        <x:v>检查同节点的合、冲、刑、害、破、会及生克</x:v>
      </x:c>
      <x:c r="Q42" s="82" t="str">
        <x:v>合化</x:v>
      </x:c>
      <x:c r="R42" s="82" t="str">
        <x:v>转化</x:v>
      </x:c>
      <x:c r="S42" s="82" t="str">
        <x:v>强</x:v>
      </x:c>
      <x:c r="T42" s="82" t="str">
        <x:v>条件性</x:v>
      </x:c>
      <x:c r="U42" s="82" t="str">
        <x:v>条件性</x:v>
      </x:c>
      <x:c r="V42" s="82" t="str">
        <x:v>条件性</x:v>
      </x:c>
      <x:c r="W42" s="82" t="str">
        <x:v>是</x:v>
      </x:c>
      <x:c r="X42" s="82" t="str">
        <x:v>条件性</x:v>
      </x:c>
      <x:c r="Y42" s="68" t="str">
        <x:v>两支藏干通道向木集中</x:v>
      </x:c>
      <x:c r="Z42" s="68" t="str">
        <x:v>M04/M05已识别关系，柱位、完整度与参与对象已标准化</x:v>
      </x:c>
      <x:c r="AA42" s="68" t="str">
        <x:v>木有真实承载且无强力破坏；只生成方向不自动成化</x:v>
      </x:c>
      <x:c r="AB42" s="68" t="str">
        <x:v>寅卯月、甲乙透出或亥卯未木势相助</x:v>
      </x:c>
      <x:c r="AC42" s="68" t="str">
        <x:v>金旺克木、亥水自成强势或寅受重冲</x:v>
      </x:c>
      <x:c r="AD42" s="90" t="str">
        <x:v>木无根无势或同节点受更强冲会牵引</x:v>
      </x:c>
      <x:c r="AE42" s="68" t="str">
        <x:v>仅有趋向时标记合动或合绊，不改写两支全部性质</x:v>
      </x:c>
      <x:c r="AF42" s="84" t="str">
        <x:v>寅亥六合只生成木向候选；木得令得根、甲乙透出且金势不强时，木向才可明显落实。</x:v>
      </x:c>
      <x:c r="AG42" s="84" t="str">
        <x:v>寅亥合的木向条件成立，木的生发通道增强；条件不足时按合动处理。</x:v>
      </x:c>
      <x:c r="AH42" s="82" t="str">
        <x:v>中等</x:v>
      </x:c>
      <x:c r="AI42" s="82" t="str">
        <x:v>现代综合</x:v>
      </x:c>
      <x:c r="AJ42" s="68" t="str">
        <x:v>六合化气在不同流派中条件差异较大，本库只保留条件性方向。参考：https://ctext.org/wiki.pl?chapter=435028&amp;if=gb&amp;remap=gb</x:v>
      </x:c>
      <x:c r="AK42" s="68" t="str">
        <x:v>寅亥合的木向条件成立，木的生发通道增强；条件不足时按合动处理。</x:v>
      </x:c>
      <x:c r="AL42" s="90" t="str">
        <x:v>寅亥一见即判两支全化木</x:v>
      </x:c>
      <x:c r="AM42" s="82" t="str">
        <x:v>待验证</x:v>
      </x:c>
      <x:c r="AN42" s="82" t="str">
        <x:v>初审</x:v>
      </x:c>
      <x:c r="AO42" s="87" t="n">
        <x:v>46255</x:v>
      </x:c>
    </x:row>
    <x:row r="43">
      <x:c r="A43" s="72" t="str">
        <x:f>IF(OR(C43="",D43=""),"",B43&amp;"-"&amp;UPPER(C43)&amp;"-"&amp;TEXT(D43,"0000")&amp;"-"&amp;E43)</x:f>
        <x:v>M06-LIUHE-0037-V1.0</x:v>
      </x:c>
      <x:c r="B43" s="74" t="str">
        <x:v>M06</x:v>
      </x:c>
      <x:c r="C43" s="74" t="str">
        <x:v>LIUHE</x:v>
      </x:c>
      <x:c r="D43" s="79" t="n">
        <x:v>37</x:v>
      </x:c>
      <x:c r="E43" s="74" t="str">
        <x:v>V1.0</x:v>
      </x:c>
      <x:c r="F43" s="68" t="str">
        <x:v>卯戌合火的效应方向</x:v>
      </x:c>
      <x:c r="G43" s="82" t="str">
        <x:v>效应层</x:v>
      </x:c>
      <x:c r="H43" s="68" t="str">
        <x:v>M05-LIUHE-0003-V1.0</x:v>
      </x:c>
      <x:c r="I43" s="82" t="str">
        <x:v>六合</x:v>
      </x:c>
      <x:c r="J43" s="68" t="str">
        <x:v>卯、戌</x:v>
      </x:c>
      <x:c r="K43" s="68" t="str">
        <x:v>卯、戌及火</x:v>
      </x:c>
      <x:c r="L43" s="82" t="str">
        <x:v>逐对象比较得令、得地、得势与相对强弱</x:v>
      </x:c>
      <x:c r="M43" s="68" t="str">
        <x:v>记录参与对象中谁得令、谁受季节支持</x:v>
      </x:c>
      <x:c r="N43" s="68" t="str">
        <x:v>记录明干及相关藏干的透出通道</x:v>
      </x:c>
      <x:c r="O43" s="68" t="str">
        <x:v>记录各对象根气层级、数量及是否唯一根</x:v>
      </x:c>
      <x:c r="P43" s="68" t="str">
        <x:v>检查同节点的合、冲、刑、害、破、会及生克</x:v>
      </x:c>
      <x:c r="Q43" s="82" t="str">
        <x:v>合化</x:v>
      </x:c>
      <x:c r="R43" s="82" t="str">
        <x:v>转化</x:v>
      </x:c>
      <x:c r="S43" s="82" t="str">
        <x:v>强</x:v>
      </x:c>
      <x:c r="T43" s="82" t="str">
        <x:v>条件性</x:v>
      </x:c>
      <x:c r="U43" s="82" t="str">
        <x:v>条件性</x:v>
      </x:c>
      <x:c r="V43" s="82" t="str">
        <x:v>条件性</x:v>
      </x:c>
      <x:c r="W43" s="82" t="str">
        <x:v>是</x:v>
      </x:c>
      <x:c r="X43" s="82" t="str">
        <x:v>条件性</x:v>
      </x:c>
      <x:c r="Y43" s="68" t="str">
        <x:v>两支藏干通道向火集中</x:v>
      </x:c>
      <x:c r="Z43" s="68" t="str">
        <x:v>M04/M05已识别关系，柱位、完整度与参与对象已标准化</x:v>
      </x:c>
      <x:c r="AA43" s="68" t="str">
        <x:v>火有真实承载且无强力破坏；只生成方向不自动成化</x:v>
      </x:c>
      <x:c r="AB43" s="68" t="str">
        <x:v>巳午火有根、丙丁透出或寅午戌火势相助</x:v>
      </x:c>
      <x:c r="AC43" s="68" t="str">
        <x:v>水旺制火、卯木强而戌受冲</x:v>
      </x:c>
      <x:c r="AD43" s="90" t="str">
        <x:v>火无根无势或同节点受更强冲会牵引</x:v>
      </x:c>
      <x:c r="AE43" s="68" t="str">
        <x:v>仅有趋向时标记合动或合绊，不改写两支全部性质</x:v>
      </x:c>
      <x:c r="AF43" s="84" t="str">
        <x:v>卯戌六合只生成火向候选；火有根有透、木能生火且水势不强时，火向才可明显。</x:v>
      </x:c>
      <x:c r="AG43" s="84" t="str">
        <x:v>卯戌合的火向条件成立，火的有效通道增强；条件不足时按木土相牵。</x:v>
      </x:c>
      <x:c r="AH43" s="82" t="str">
        <x:v>中等</x:v>
      </x:c>
      <x:c r="AI43" s="82" t="str">
        <x:v>现代综合</x:v>
      </x:c>
      <x:c r="AJ43" s="68" t="str">
        <x:v>六合化气在不同流派中条件差异较大，本库只保留条件性方向。参考：https://ctext.org/wiki.pl?chapter=435028&amp;if=gb&amp;remap=gb</x:v>
      </x:c>
      <x:c r="AK43" s="68" t="str">
        <x:v>卯戌合的火向条件成立，火的有效通道增强；条件不足时按木土相牵。</x:v>
      </x:c>
      <x:c r="AL43" s="90" t="str">
        <x:v>卯戌一见即判卯木戌土消失</x:v>
      </x:c>
      <x:c r="AM43" s="82" t="str">
        <x:v>待验证</x:v>
      </x:c>
      <x:c r="AN43" s="82" t="str">
        <x:v>初审</x:v>
      </x:c>
      <x:c r="AO43" s="87" t="n">
        <x:v>46255</x:v>
      </x:c>
    </x:row>
    <x:row r="44">
      <x:c r="A44" s="72" t="str">
        <x:f>IF(OR(C44="",D44=""),"",B44&amp;"-"&amp;UPPER(C44)&amp;"-"&amp;TEXT(D44,"0000")&amp;"-"&amp;E44)</x:f>
        <x:v>M06-LIUHE-0038-V1.0</x:v>
      </x:c>
      <x:c r="B44" s="74" t="str">
        <x:v>M06</x:v>
      </x:c>
      <x:c r="C44" s="74" t="str">
        <x:v>LIUHE</x:v>
      </x:c>
      <x:c r="D44" s="79" t="n">
        <x:v>38</x:v>
      </x:c>
      <x:c r="E44" s="74" t="str">
        <x:v>V1.0</x:v>
      </x:c>
      <x:c r="F44" s="68" t="str">
        <x:v>辰酉合金的效应方向</x:v>
      </x:c>
      <x:c r="G44" s="82" t="str">
        <x:v>效应层</x:v>
      </x:c>
      <x:c r="H44" s="68" t="str">
        <x:v>M05-LIUHE-0004-V1.0</x:v>
      </x:c>
      <x:c r="I44" s="82" t="str">
        <x:v>六合</x:v>
      </x:c>
      <x:c r="J44" s="68" t="str">
        <x:v>辰、酉</x:v>
      </x:c>
      <x:c r="K44" s="68" t="str">
        <x:v>辰、酉及金</x:v>
      </x:c>
      <x:c r="L44" s="82" t="str">
        <x:v>逐对象比较得令、得地、得势与相对强弱</x:v>
      </x:c>
      <x:c r="M44" s="68" t="str">
        <x:v>记录参与对象中谁得令、谁受季节支持</x:v>
      </x:c>
      <x:c r="N44" s="68" t="str">
        <x:v>记录明干及相关藏干的透出通道</x:v>
      </x:c>
      <x:c r="O44" s="68" t="str">
        <x:v>记录各对象根气层级、数量及是否唯一根</x:v>
      </x:c>
      <x:c r="P44" s="68" t="str">
        <x:v>检查同节点的合、冲、刑、害、破、会及生克</x:v>
      </x:c>
      <x:c r="Q44" s="82" t="str">
        <x:v>合化</x:v>
      </x:c>
      <x:c r="R44" s="82" t="str">
        <x:v>转化</x:v>
      </x:c>
      <x:c r="S44" s="82" t="str">
        <x:v>强</x:v>
      </x:c>
      <x:c r="T44" s="82" t="str">
        <x:v>条件性</x:v>
      </x:c>
      <x:c r="U44" s="82" t="str">
        <x:v>条件性</x:v>
      </x:c>
      <x:c r="V44" s="82" t="str">
        <x:v>条件性</x:v>
      </x:c>
      <x:c r="W44" s="82" t="str">
        <x:v>是</x:v>
      </x:c>
      <x:c r="X44" s="82" t="str">
        <x:v>条件性</x:v>
      </x:c>
      <x:c r="Y44" s="68" t="str">
        <x:v>两支藏干通道向金集中</x:v>
      </x:c>
      <x:c r="Z44" s="68" t="str">
        <x:v>M04/M05已识别关系，柱位、完整度与参与对象已标准化</x:v>
      </x:c>
      <x:c r="AA44" s="68" t="str">
        <x:v>金有真实承载且无强力破坏；只生成方向不自动成化</x:v>
      </x:c>
      <x:c r="AB44" s="68" t="str">
        <x:v>申酉月、庚辛透出或巳酉丑金势相助</x:v>
      </x:c>
      <x:c r="AC44" s="68" t="str">
        <x:v>火旺克金、辰湿土水势过重或酉受重冲</x:v>
      </x:c>
      <x:c r="AD44" s="90" t="str">
        <x:v>金无根无势或同节点受更强冲会牵引</x:v>
      </x:c>
      <x:c r="AE44" s="68" t="str">
        <x:v>仅有趋向时标记合动或合绊，不改写两支全部性质</x:v>
      </x:c>
      <x:c r="AF44" s="84" t="str">
        <x:v>辰酉六合只生成金向候选；金得令得地、庚辛透出且火势不强时，金向才可明显。</x:v>
      </x:c>
      <x:c r="AG44" s="84" t="str">
        <x:v>辰酉合的金向条件成立，金的有效作用增强；条件不足时按合绊处理。</x:v>
      </x:c>
      <x:c r="AH44" s="82" t="str">
        <x:v>中等</x:v>
      </x:c>
      <x:c r="AI44" s="82" t="str">
        <x:v>现代综合</x:v>
      </x:c>
      <x:c r="AJ44" s="68" t="str">
        <x:v>六合化气在不同流派中条件差异较大，本库只保留条件性方向。参考：https://ctext.org/wiki.pl?chapter=435028&amp;if=gb&amp;remap=gb</x:v>
      </x:c>
      <x:c r="AK44" s="68" t="str">
        <x:v>辰酉合的金向条件成立，金的有效作用增强；条件不足时按合绊处理。</x:v>
      </x:c>
      <x:c r="AL44" s="90" t="str">
        <x:v>辰酉一见即判辰土全化金</x:v>
      </x:c>
      <x:c r="AM44" s="82" t="str">
        <x:v>待验证</x:v>
      </x:c>
      <x:c r="AN44" s="82" t="str">
        <x:v>初审</x:v>
      </x:c>
      <x:c r="AO44" s="87" t="n">
        <x:v>46255</x:v>
      </x:c>
    </x:row>
    <x:row r="45">
      <x:c r="A45" s="72" t="str">
        <x:f>IF(OR(C45="",D45=""),"",B45&amp;"-"&amp;UPPER(C45)&amp;"-"&amp;TEXT(D45,"0000")&amp;"-"&amp;E45)</x:f>
        <x:v>M06-LIUHE-0039-V1.0</x:v>
      </x:c>
      <x:c r="B45" s="74" t="str">
        <x:v>M06</x:v>
      </x:c>
      <x:c r="C45" s="74" t="str">
        <x:v>LIUHE</x:v>
      </x:c>
      <x:c r="D45" s="79" t="n">
        <x:v>39</x:v>
      </x:c>
      <x:c r="E45" s="74" t="str">
        <x:v>V1.0</x:v>
      </x:c>
      <x:c r="F45" s="68" t="str">
        <x:v>巳申合水的效应方向</x:v>
      </x:c>
      <x:c r="G45" s="82" t="str">
        <x:v>效应层</x:v>
      </x:c>
      <x:c r="H45" s="68" t="str">
        <x:v>M05-LIUHE-0005-V1.0</x:v>
      </x:c>
      <x:c r="I45" s="82" t="str">
        <x:v>六合</x:v>
      </x:c>
      <x:c r="J45" s="68" t="str">
        <x:v>巳、申</x:v>
      </x:c>
      <x:c r="K45" s="68" t="str">
        <x:v>巳、申及水</x:v>
      </x:c>
      <x:c r="L45" s="82" t="str">
        <x:v>逐对象比较得令、得地、得势与相对强弱</x:v>
      </x:c>
      <x:c r="M45" s="68" t="str">
        <x:v>记录参与对象中谁得令、谁受季节支持</x:v>
      </x:c>
      <x:c r="N45" s="68" t="str">
        <x:v>记录明干及相关藏干的透出通道</x:v>
      </x:c>
      <x:c r="O45" s="68" t="str">
        <x:v>记录各对象根气层级、数量及是否唯一根</x:v>
      </x:c>
      <x:c r="P45" s="68" t="str">
        <x:v>检查同节点的合、冲、刑、害、破、会及生克</x:v>
      </x:c>
      <x:c r="Q45" s="82" t="str">
        <x:v>合化</x:v>
      </x:c>
      <x:c r="R45" s="82" t="str">
        <x:v>转化</x:v>
      </x:c>
      <x:c r="S45" s="82" t="str">
        <x:v>强</x:v>
      </x:c>
      <x:c r="T45" s="82" t="str">
        <x:v>条件性</x:v>
      </x:c>
      <x:c r="U45" s="82" t="str">
        <x:v>条件性</x:v>
      </x:c>
      <x:c r="V45" s="82" t="str">
        <x:v>条件性</x:v>
      </x:c>
      <x:c r="W45" s="82" t="str">
        <x:v>是</x:v>
      </x:c>
      <x:c r="X45" s="82" t="str">
        <x:v>条件性</x:v>
      </x:c>
      <x:c r="Y45" s="68" t="str">
        <x:v>两支藏干通道向水集中</x:v>
      </x:c>
      <x:c r="Z45" s="68" t="str">
        <x:v>M04/M05已识别关系，柱位、完整度与参与对象已标准化</x:v>
      </x:c>
      <x:c r="AA45" s="68" t="str">
        <x:v>水有真实承载且无强力破坏；只生成方向不自动成化</x:v>
      </x:c>
      <x:c r="AB45" s="68" t="str">
        <x:v>亥子月、壬癸透出或申子辰水势相助</x:v>
      </x:c>
      <x:c r="AC45" s="68" t="str">
        <x:v>火土强、巳得令或巳申刑破作用占主导</x:v>
      </x:c>
      <x:c r="AD45" s="90" t="str">
        <x:v>水无根无势或同节点受更强冲会牵引</x:v>
      </x:c>
      <x:c r="AE45" s="68" t="str">
        <x:v>仅有趋向时标记合动或合绊，不改写两支全部性质</x:v>
      </x:c>
      <x:c r="AF45" s="84" t="str">
        <x:v>巳申六合只生成水向候选；水得令有根、壬癸透出且火土不过强时，水向才可明显。</x:v>
      </x:c>
      <x:c r="AG45" s="84" t="str">
        <x:v>巳申合的水向条件成立，水的有效通道增强；条件不足时须同时保留刑与破的叠加作用。</x:v>
      </x:c>
      <x:c r="AH45" s="82" t="str">
        <x:v>中等</x:v>
      </x:c>
      <x:c r="AI45" s="82" t="str">
        <x:v>现代综合</x:v>
      </x:c>
      <x:c r="AJ45" s="68" t="str">
        <x:v>六合化气在不同流派中条件差异较大，本库只保留条件性方向。参考：https://ctext.org/wiki.pl?chapter=435028&amp;if=gb&amp;remap=gb</x:v>
      </x:c>
      <x:c r="AK45" s="68" t="str">
        <x:v>巳申合的水向条件成立，水的有效通道增强；条件不足时须同时保留刑与破的叠加作用。</x:v>
      </x:c>
      <x:c r="AL45" s="90" t="str">
        <x:v>巳申同时见便只判化水而删除刑破</x:v>
      </x:c>
      <x:c r="AM45" s="82" t="str">
        <x:v>待验证</x:v>
      </x:c>
      <x:c r="AN45" s="82" t="str">
        <x:v>初审</x:v>
      </x:c>
      <x:c r="AO45" s="87" t="n">
        <x:v>46255</x:v>
      </x:c>
    </x:row>
    <x:row r="46">
      <x:c r="A46" s="72" t="str">
        <x:f>IF(OR(C46="",D46=""),"",B46&amp;"-"&amp;UPPER(C46)&amp;"-"&amp;TEXT(D46,"0000")&amp;"-"&amp;E46)</x:f>
        <x:v>M06-LIUHE-0040-V1.0</x:v>
      </x:c>
      <x:c r="B46" s="74" t="str">
        <x:v>M06</x:v>
      </x:c>
      <x:c r="C46" s="74" t="str">
        <x:v>LIUHE</x:v>
      </x:c>
      <x:c r="D46" s="79" t="n">
        <x:v>40</x:v>
      </x:c>
      <x:c r="E46" s="74" t="str">
        <x:v>V1.0</x:v>
      </x:c>
      <x:c r="F46" s="68" t="str">
        <x:v>午未合土的效应方向</x:v>
      </x:c>
      <x:c r="G46" s="82" t="str">
        <x:v>效应层</x:v>
      </x:c>
      <x:c r="H46" s="68" t="str">
        <x:v>M05-LIUHE-0006-V1.0</x:v>
      </x:c>
      <x:c r="I46" s="82" t="str">
        <x:v>六合</x:v>
      </x:c>
      <x:c r="J46" s="68" t="str">
        <x:v>午、未</x:v>
      </x:c>
      <x:c r="K46" s="68" t="str">
        <x:v>午、未及土</x:v>
      </x:c>
      <x:c r="L46" s="82" t="str">
        <x:v>逐对象比较得令、得地、得势与相对强弱</x:v>
      </x:c>
      <x:c r="M46" s="68" t="str">
        <x:v>记录参与对象中谁得令、谁受季节支持</x:v>
      </x:c>
      <x:c r="N46" s="68" t="str">
        <x:v>记录明干及相关藏干的透出通道</x:v>
      </x:c>
      <x:c r="O46" s="68" t="str">
        <x:v>记录各对象根气层级、数量及是否唯一根</x:v>
      </x:c>
      <x:c r="P46" s="68" t="str">
        <x:v>检查同节点的合、冲、刑、害、破、会及生克</x:v>
      </x:c>
      <x:c r="Q46" s="82" t="str">
        <x:v>合化</x:v>
      </x:c>
      <x:c r="R46" s="82" t="str">
        <x:v>转化</x:v>
      </x:c>
      <x:c r="S46" s="82" t="str">
        <x:v>强</x:v>
      </x:c>
      <x:c r="T46" s="82" t="str">
        <x:v>条件性</x:v>
      </x:c>
      <x:c r="U46" s="82" t="str">
        <x:v>条件性</x:v>
      </x:c>
      <x:c r="V46" s="82" t="str">
        <x:v>条件性</x:v>
      </x:c>
      <x:c r="W46" s="82" t="str">
        <x:v>是</x:v>
      </x:c>
      <x:c r="X46" s="82" t="str">
        <x:v>条件性</x:v>
      </x:c>
      <x:c r="Y46" s="68" t="str">
        <x:v>两支藏干通道向土集中</x:v>
      </x:c>
      <x:c r="Z46" s="68" t="str">
        <x:v>M04/M05已识别关系，柱位、完整度与参与对象已标准化</x:v>
      </x:c>
      <x:c r="AA46" s="68" t="str">
        <x:v>土有真实承载且无强力破坏；只生成方向不自动成化</x:v>
      </x:c>
      <x:c r="AB46" s="68" t="str">
        <x:v>火土得令、戊己透出或未土有根承接</x:v>
      </x:c>
      <x:c r="AC46" s="68" t="str">
        <x:v>水旺灭火、木旺克土或午未同时入更强会局</x:v>
      </x:c>
      <x:c r="AD46" s="90" t="str">
        <x:v>土无根无势或同节点受更强冲会牵引</x:v>
      </x:c>
      <x:c r="AE46" s="68" t="str">
        <x:v>仅有趋向时标记合动或合绊，不改写两支全部性质</x:v>
      </x:c>
      <x:c r="AF46" s="84" t="str">
        <x:v>午未六合只生成土向候选；火能生土、土得根透出且水木不过强时，土向才可明显。</x:v>
      </x:c>
      <x:c r="AG46" s="84" t="str">
        <x:v>午未合的土向条件成立，火土连续通道增强；条件不足时按合绊处理。</x:v>
      </x:c>
      <x:c r="AH46" s="82" t="str">
        <x:v>中等</x:v>
      </x:c>
      <x:c r="AI46" s="82" t="str">
        <x:v>现代综合</x:v>
      </x:c>
      <x:c r="AJ46" s="68" t="str">
        <x:v>六合化气在不同流派中条件差异较大，本库只保留条件性方向。参考：https://ctext.org/wiki.pl?chapter=435028&amp;if=gb&amp;remap=gb</x:v>
      </x:c>
      <x:c r="AK46" s="68" t="str">
        <x:v>午未合的土向条件成立，火土连续通道增强；条件不足时按合绊处理。</x:v>
      </x:c>
      <x:c r="AL46" s="90" t="str">
        <x:v>午未一见即把午火完全化土</x:v>
      </x:c>
      <x:c r="AM46" s="82" t="str">
        <x:v>待验证</x:v>
      </x:c>
      <x:c r="AN46" s="82" t="str">
        <x:v>初审</x:v>
      </x:c>
      <x:c r="AO46" s="87" t="n">
        <x:v>46255</x:v>
      </x:c>
    </x:row>
    <x:row r="47">
      <x:c r="A47" s="72" t="str">
        <x:f>IF(OR(C47="",D47=""),"",B47&amp;"-"&amp;UPPER(C47)&amp;"-"&amp;TEXT(D47,"0000")&amp;"-"&amp;E47)</x:f>
        <x:v>M06-LIUHE-0041-V1.0</x:v>
      </x:c>
      <x:c r="B47" s="74" t="str">
        <x:v>M06</x:v>
      </x:c>
      <x:c r="C47" s="74" t="str">
        <x:v>LIUHE</x:v>
      </x:c>
      <x:c r="D47" s="79" t="n">
        <x:v>41</x:v>
      </x:c>
      <x:c r="E47" s="74" t="str">
        <x:v>V1.0</x:v>
      </x:c>
      <x:c r="F47" s="68" t="str">
        <x:v>六合可缓冲相冲但必须比较节点归属</x:v>
      </x:c>
      <x:c r="G47" s="82" t="str">
        <x:v>效应层</x:v>
      </x:c>
      <x:c r="H47" s="68" t="str">
        <x:v>M05-OVER-0068-V1.0—M05-OVER-0069-V1.0；M05-CHONG-0027-V1.0—M05-CHONG-0032-V1.0</x:v>
      </x:c>
      <x:c r="I47" s="82" t="str">
        <x:v>其他</x:v>
      </x:c>
      <x:c r="J47" s="68" t="str">
        <x:v>同一地支同时参与六合与六冲</x:v>
      </x:c>
      <x:c r="K47" s="68" t="str">
        <x:v>共享地支</x:v>
      </x:c>
      <x:c r="L47" s="82" t="str">
        <x:v>逐对象比较得令、得地、得势与相对强弱</x:v>
      </x:c>
      <x:c r="M47" s="68" t="str">
        <x:v>记录参与对象中谁得令、谁受季节支持</x:v>
      </x:c>
      <x:c r="N47" s="68" t="str">
        <x:v>记录明干及相关藏干的透出通道</x:v>
      </x:c>
      <x:c r="O47" s="68" t="str">
        <x:v>记录各对象根气层级、数量及是否唯一根</x:v>
      </x:c>
      <x:c r="P47" s="68" t="str">
        <x:v>必须同时列出合、冲并比较月令、位置、成势与第三支</x:v>
      </x:c>
      <x:c r="Q47" s="82" t="str">
        <x:v>阻断</x:v>
      </x:c>
      <x:c r="R47" s="82" t="str">
        <x:v>条件性</x:v>
      </x:c>
      <x:c r="S47" s="82" t="str">
        <x:v>中</x:v>
      </x:c>
      <x:c r="T47" s="82" t="str">
        <x:v>否</x:v>
      </x:c>
      <x:c r="U47" s="82" t="str">
        <x:v>条件性</x:v>
      </x:c>
      <x:c r="V47" s="82" t="str">
        <x:v>条件性</x:v>
      </x:c>
      <x:c r="W47" s="82" t="str">
        <x:v>条件性</x:v>
      </x:c>
      <x:c r="X47" s="82" t="str">
        <x:v>条件性</x:v>
      </x:c>
      <x:c r="Y47" s="68" t="str">
        <x:v>可能改变原有生克路径，须在M12复核</x:v>
      </x:c>
      <x:c r="Z47" s="68" t="str">
        <x:v>M04/M05已识别关系，柱位、完整度与参与对象已标准化</x:v>
      </x:c>
      <x:c r="AA47" s="68" t="str">
        <x:v>共享节点只能有一个主导归属，需明确主关系</x:v>
      </x:c>
      <x:c r="AB47" s="68" t="str">
        <x:v>关系相邻、得令、得地、成势且无强力反制</x:v>
      </x:c>
      <x:c r="AC47" s="68" t="str">
        <x:v>遥隔、争合、节点被其他关系牵制或双方各有强根</x:v>
      </x:c>
      <x:c r="AD47" s="90" t="str">
        <x:v>仅凭关系名称不得直接判性质改变、归零或固定吉凶</x:v>
      </x:c>
      <x:c r="AE47" s="68" t="str">
        <x:v>特殊格局或岁运动态补齐须另建实例重新裁决</x:v>
      </x:c>
      <x:c r="AF47" s="84" t="str">
        <x:v>六合可能牵住冲的一方而缓冲冲势，但只有合关系更强且共享节点确实转入合局时才成立。</x:v>
      </x:c>
      <x:c r="AG47" s="84" t="str">
        <x:v>合与冲并见：若合强于冲，可缓冲冲势；若冲强或节点另有主局，则不能视为解冲。</x:v>
      </x:c>
      <x:c r="AH47" s="82" t="str">
        <x:v>中等</x:v>
      </x:c>
      <x:c r="AI47" s="82" t="str">
        <x:v>现代综合</x:v>
      </x:c>
      <x:c r="AJ47" s="68" t="str">
        <x:v>会合能否解刑冲是条件性问题。参考：https://ctext.org/wiki.pl?chapter=974137&amp;if=gb&amp;remap=gb</x:v>
      </x:c>
      <x:c r="AK47" s="68" t="str">
        <x:v>子午冲同时丑合子，丑子合强且无巳酉会丑时，子午冲可缓冲。</x:v>
      </x:c>
      <x:c r="AL47" s="90" t="str">
        <x:v>只要有六合就一律删除同节点的六冲。</x:v>
      </x:c>
      <x:c r="AM47" s="82" t="str">
        <x:v>采用</x:v>
      </x:c>
      <x:c r="AN47" s="82" t="str">
        <x:v>初审</x:v>
      </x:c>
      <x:c r="AO47" s="87" t="n">
        <x:v>46255</x:v>
      </x:c>
    </x:row>
    <x:row r="48">
      <x:c r="A48" s="72" t="str">
        <x:f>IF(OR(C48="",D48=""),"",B48&amp;"-"&amp;UPPER(C48)&amp;"-"&amp;TEXT(D48,"0000")&amp;"-"&amp;E48)</x:f>
        <x:v>M06-LIUHE-0042-V1.0</x:v>
      </x:c>
      <x:c r="B48" s="74" t="str">
        <x:v>M06</x:v>
      </x:c>
      <x:c r="C48" s="74" t="str">
        <x:v>LIUHE</x:v>
      </x:c>
      <x:c r="D48" s="79" t="n">
        <x:v>42</x:v>
      </x:c>
      <x:c r="E48" s="74" t="str">
        <x:v>V1.0</x:v>
      </x:c>
      <x:c r="F48" s="68" t="str">
        <x:v>强冲或强会可松解原有六合</x:v>
      </x:c>
      <x:c r="G48" s="82" t="str">
        <x:v>效应层</x:v>
      </x:c>
      <x:c r="H48" s="68" t="str">
        <x:v>M05-LIUHE-0001-V1.0—M05-LIUHE-0006-V1.0；M05-OVER-0068-V1.0</x:v>
      </x:c>
      <x:c r="I48" s="82" t="str">
        <x:v>其他</x:v>
      </x:c>
      <x:c r="J48" s="68" t="str">
        <x:v>六合节点及其冲会关系</x:v>
      </x:c>
      <x:c r="K48" s="68" t="str">
        <x:v>原六合稳定性</x:v>
      </x:c>
      <x:c r="L48" s="82" t="str">
        <x:v>逐对象比较得令、得地、得势与相对强弱</x:v>
      </x:c>
      <x:c r="M48" s="68" t="str">
        <x:v>记录参与对象中谁得令、谁受季节支持</x:v>
      </x:c>
      <x:c r="N48" s="68" t="str">
        <x:v>记录明干及相关藏干的透出通道</x:v>
      </x:c>
      <x:c r="O48" s="68" t="str">
        <x:v>记录各对象根气层级、数量及是否唯一根</x:v>
      </x:c>
      <x:c r="P48" s="68" t="str">
        <x:v>检查同节点的合、冲、刑、害、破、会及生克</x:v>
      </x:c>
      <x:c r="Q48" s="82" t="str">
        <x:v>冲散</x:v>
      </x:c>
      <x:c r="R48" s="82" t="str">
        <x:v>减弱</x:v>
      </x:c>
      <x:c r="S48" s="82" t="str">
        <x:v>强</x:v>
      </x:c>
      <x:c r="T48" s="82" t="str">
        <x:v>条件性</x:v>
      </x:c>
      <x:c r="U48" s="82" t="str">
        <x:v>条件性</x:v>
      </x:c>
      <x:c r="V48" s="82" t="str">
        <x:v>条件性</x:v>
      </x:c>
      <x:c r="W48" s="82" t="str">
        <x:v>否</x:v>
      </x:c>
      <x:c r="X48" s="82" t="str">
        <x:v>是</x:v>
      </x:c>
      <x:c r="Y48" s="68" t="str">
        <x:v>可能改变原有生克路径，须在M12复核</x:v>
      </x:c>
      <x:c r="Z48" s="68" t="str">
        <x:v>M04/M05已识别关系，柱位、完整度与参与对象已标准化</x:v>
      </x:c>
      <x:c r="AA48" s="68" t="str">
        <x:v>冲会关系须真实成势并直接作用共享节点</x:v>
      </x:c>
      <x:c r="AB48" s="68" t="str">
        <x:v>关系相邻、得令、得地、成势且无强力反制</x:v>
      </x:c>
      <x:c r="AC48" s="68" t="str">
        <x:v>遥隔、争合、节点被其他关系牵制或双方各有强根</x:v>
      </x:c>
      <x:c r="AD48" s="90" t="str">
        <x:v>仅凭关系名称不得直接判性质改变、归零或固定吉凶</x:v>
      </x:c>
      <x:c r="AE48" s="68" t="str">
        <x:v>特殊格局或岁运动态补齐须另建实例重新裁决</x:v>
      </x:c>
      <x:c r="AF48" s="84" t="str">
        <x:v>六合一方被更强冲击、三合或三会牵走时，原六合可能松解、降级或暂时失效。</x:v>
      </x:c>
      <x:c r="AG48" s="84" t="str">
        <x:v>原六合受到更强关系争夺，合的稳定性下降；需按主导关系重算。</x:v>
      </x:c>
      <x:c r="AH48" s="82" t="str">
        <x:v>较高</x:v>
      </x:c>
      <x:c r="AI48" s="82" t="str">
        <x:v>现代综合</x:v>
      </x:c>
      <x:c r="AJ48" s="68" t="str">
        <x:v>关系优先级不能预设，须看具体结构。参考：https://ctext.org/wiki.pl?chapter=974137&amp;if=gb&amp;remap=gb</x:v>
      </x:c>
      <x:c r="AK48" s="68" t="str">
        <x:v>丑与子合，但丑同时被巳酉会金强牵，子丑合可被削弱。</x:v>
      </x:c>
      <x:c r="AL48" s="90" t="str">
        <x:v>六合已见便永久有效，后续任何冲会都不影响。</x:v>
      </x:c>
      <x:c r="AM48" s="82" t="str">
        <x:v>采用</x:v>
      </x:c>
      <x:c r="AN48" s="82" t="str">
        <x:v>初审</x:v>
      </x:c>
      <x:c r="AO48" s="87" t="n">
        <x:v>46255</x:v>
      </x:c>
    </x:row>
    <x:row r="49">
      <x:c r="A49" s="72" t="str">
        <x:f>IF(OR(C49="",D49=""),"",B49&amp;"-"&amp;UPPER(C49)&amp;"-"&amp;TEXT(D49,"0000")&amp;"-"&amp;E49)</x:f>
        <x:v>M06-SANHE-0043-V1.0</x:v>
      </x:c>
      <x:c r="B49" s="74" t="str">
        <x:v>M06</x:v>
      </x:c>
      <x:c r="C49" s="74" t="str">
        <x:v>SANHE</x:v>
      </x:c>
      <x:c r="D49" s="79" t="n">
        <x:v>43</x:v>
      </x:c>
      <x:c r="E49" s="74" t="str">
        <x:v>V1.0</x:v>
      </x:c>
      <x:c r="F49" s="68" t="str">
        <x:v>三合三支齐全不等于成局</x:v>
      </x:c>
      <x:c r="G49" s="82" t="str">
        <x:v>效应层</x:v>
      </x:c>
      <x:c r="H49" s="68" t="str">
        <x:v>M05-SANHE-0007-V1.0—M05-SANHE-0010-V1.0；M05-BOUND-0075-V1.0</x:v>
      </x:c>
      <x:c r="I49" s="82" t="str">
        <x:v>三合</x:v>
      </x:c>
      <x:c r="J49" s="68" t="str">
        <x:v>任一完整三合组</x:v>
      </x:c>
      <x:c r="K49" s="68" t="str">
        <x:v>三支与候选局气</x:v>
      </x:c>
      <x:c r="L49" s="82" t="str">
        <x:v>逐对象比较得令、得地、得势与相对强弱</x:v>
      </x:c>
      <x:c r="M49" s="68" t="str">
        <x:v>记录参与对象中谁得令、谁受季节支持</x:v>
      </x:c>
      <x:c r="N49" s="68" t="str">
        <x:v>记录明干及相关藏干的透出通道</x:v>
      </x:c>
      <x:c r="O49" s="68" t="str">
        <x:v>记录各对象根气层级、数量及是否唯一根</x:v>
      </x:c>
      <x:c r="P49" s="68" t="str">
        <x:v>检查同节点的合、冲、刑、害、破、会及生克</x:v>
      </x:c>
      <x:c r="Q49" s="82" t="str">
        <x:v>合动</x:v>
      </x:c>
      <x:c r="R49" s="82" t="str">
        <x:v>条件性</x:v>
      </x:c>
      <x:c r="S49" s="82" t="str">
        <x:v>中</x:v>
      </x:c>
      <x:c r="T49" s="82" t="str">
        <x:v>条件性</x:v>
      </x:c>
      <x:c r="U49" s="82" t="str">
        <x:v>条件性</x:v>
      </x:c>
      <x:c r="V49" s="82" t="str">
        <x:v>条件性</x:v>
      </x:c>
      <x:c r="W49" s="82" t="str">
        <x:v>条件性</x:v>
      </x:c>
      <x:c r="X49" s="82" t="str">
        <x:v>条件性</x:v>
      </x:c>
      <x:c r="Y49" s="68" t="str">
        <x:v>三支可能形成连续生旺墓通道</x:v>
      </x:c>
      <x:c r="Z49" s="68" t="str">
        <x:v>M04/M05已识别关系，柱位、完整度与参与对象已标准化</x:v>
      </x:c>
      <x:c r="AA49" s="68" t="str">
        <x:v>M05确认三支齐全；中神与局气有实际承载</x:v>
      </x:c>
      <x:c r="AB49" s="68" t="str">
        <x:v>关系相邻、得令、得地、成势且无强力反制</x:v>
      </x:c>
      <x:c r="AC49" s="68" t="str">
        <x:v>遥隔、争合、节点被其他关系牵制或双方各有强根</x:v>
      </x:c>
      <x:c r="AD49" s="90" t="str">
        <x:v>仅凭关系名称不得直接判性质改变、归零或固定吉凶</x:v>
      </x:c>
      <x:c r="AE49" s="68" t="str">
        <x:v>特殊格局或岁运动态补齐须另建实例重新裁决</x:v>
      </x:c>
      <x:c r="AF49" s="84" t="str">
        <x:v>三支齐全只满足结构完整；成局还须中神、月令、透干、根气与反制条件。</x:v>
      </x:c>
      <x:c r="AG49" s="84" t="str">
        <x:v>三合结构完整，当前生成成局候选；未验证条件前不改写三支性质。</x:v>
      </x:c>
      <x:c r="AH49" s="82" t="str">
        <x:v>较高</x:v>
      </x:c>
      <x:c r="AI49" s="82" t="str">
        <x:v>现代综合</x:v>
      </x:c>
      <x:c r="AJ49" s="68" t="str">
        <x:v>三合配对事实与成局需分层。参考：https://zh.wikisource.org/zh-hans/淵海子平；https://zh.wikisource.org/wiki/三命通會/卷二</x:v>
      </x:c>
      <x:c r="AK49" s="68" t="str">
        <x:v>申子辰齐全但火土强、水弱，先记候选而不判水局。</x:v>
      </x:c>
      <x:c r="AL49" s="90" t="str">
        <x:v>三支齐全即无条件成局。</x:v>
      </x:c>
      <x:c r="AM49" s="82" t="str">
        <x:v>采用</x:v>
      </x:c>
      <x:c r="AN49" s="82" t="str">
        <x:v>初审</x:v>
      </x:c>
      <x:c r="AO49" s="87" t="n">
        <x:v>46255</x:v>
      </x:c>
    </x:row>
    <x:row r="50">
      <x:c r="A50" s="72" t="str">
        <x:f>IF(OR(C50="",D50=""),"",B50&amp;"-"&amp;UPPER(C50)&amp;"-"&amp;TEXT(D50,"0000")&amp;"-"&amp;E50)</x:f>
        <x:v>M06-SANHE-0044-V1.0</x:v>
      </x:c>
      <x:c r="B50" s="74" t="str">
        <x:v>M06</x:v>
      </x:c>
      <x:c r="C50" s="74" t="str">
        <x:v>SANHE</x:v>
      </x:c>
      <x:c r="D50" s="79" t="n">
        <x:v>44</x:v>
      </x:c>
      <x:c r="E50" s="74" t="str">
        <x:v>V1.0</x:v>
      </x:c>
      <x:c r="F50" s="68" t="str">
        <x:v>申子辰三合水局的成立方向</x:v>
      </x:c>
      <x:c r="G50" s="82" t="str">
        <x:v>效应层</x:v>
      </x:c>
      <x:c r="H50" s="68" t="str">
        <x:v>M05-SANHE-0007-V1.0</x:v>
      </x:c>
      <x:c r="I50" s="82" t="str">
        <x:v>三合</x:v>
      </x:c>
      <x:c r="J50" s="68" t="str">
        <x:v>申、子、辰</x:v>
      </x:c>
      <x:c r="K50" s="68" t="str">
        <x:v>三支及水局</x:v>
      </x:c>
      <x:c r="L50" s="82" t="str">
        <x:v>逐对象比较得令、得地、得势与相对强弱</x:v>
      </x:c>
      <x:c r="M50" s="68" t="str">
        <x:v>记录参与对象中谁得令、谁受季节支持</x:v>
      </x:c>
      <x:c r="N50" s="68" t="str">
        <x:v>记录明干及相关藏干的透出通道</x:v>
      </x:c>
      <x:c r="O50" s="68" t="str">
        <x:v>记录各对象根气层级、数量及是否唯一根</x:v>
      </x:c>
      <x:c r="P50" s="68" t="str">
        <x:v>检查同节点的合、冲、刑、害、破、会及生克</x:v>
      </x:c>
      <x:c r="Q50" s="82" t="str">
        <x:v>合化</x:v>
      </x:c>
      <x:c r="R50" s="82" t="str">
        <x:v>转化</x:v>
      </x:c>
      <x:c r="S50" s="82" t="str">
        <x:v>决定性</x:v>
      </x:c>
      <x:c r="T50" s="82" t="str">
        <x:v>条件性</x:v>
      </x:c>
      <x:c r="U50" s="82" t="str">
        <x:v>条件性</x:v>
      </x:c>
      <x:c r="V50" s="82" t="str">
        <x:v>条件性</x:v>
      </x:c>
      <x:c r="W50" s="82" t="str">
        <x:v>是</x:v>
      </x:c>
      <x:c r="X50" s="82" t="str">
        <x:v>条件性</x:v>
      </x:c>
      <x:c r="Y50" s="68" t="str">
        <x:v>三支生旺墓路径向水汇聚</x:v>
      </x:c>
      <x:c r="Z50" s="68" t="str">
        <x:v>M04/M05已识别关系，柱位、完整度与参与对象已标准化</x:v>
      </x:c>
      <x:c r="AA50" s="68" t="str">
        <x:v>三支齐全；中神子有效；水得时得地或成势</x:v>
      </x:c>
      <x:c r="AB50" s="68" t="str">
        <x:v>子得令或壬癸透出，申生水、辰蓄水且无强土火</x:v>
      </x:c>
      <x:c r="AC50" s="68" t="str">
        <x:v>土火强、子受重冲或三支之一被强合会牵走</x:v>
      </x:c>
      <x:c r="AD50" s="90" t="str">
        <x:v>中神子被重冲或水受强力反制且无救</x:v>
      </x:c>
      <x:c r="AE50" s="68" t="str">
        <x:v>成局不足时保留局气趋向，不把三支全部改性</x:v>
      </x:c>
      <x:c r="AF50" s="84" t="str">
        <x:v>申子辰齐全且水得令、子中神有力、壬癸透出或水根成势时，水局效应明显。</x:v>
      </x:c>
      <x:c r="AG50" s="84" t="str">
        <x:v>申子辰水局条件成立，三支主要有效通道向水集中。</x:v>
      </x:c>
      <x:c r="AH50" s="82" t="str">
        <x:v>较高</x:v>
      </x:c>
      <x:c r="AI50" s="82" t="str">
        <x:v>子平格局</x:v>
      </x:c>
      <x:c r="AJ50" s="68" t="str">
        <x:v>三合以生、旺、墓三支围绕中神成局，仍需结合月令与气势。参考：https://zh.wikisource.org/zh-hans/淵海子平；https://zh.wikisource.org/wiki/三命通會/卷二</x:v>
      </x:c>
      <x:c r="AK50" s="68" t="str">
        <x:v>申子辰水局条件成立，三支主要有效通道向水集中。</x:v>
      </x:c>
      <x:c r="AL50" s="90" t="str">
        <x:v>申、子、辰齐全但水无势仍直接判完整水局。</x:v>
      </x:c>
      <x:c r="AM50" s="82" t="str">
        <x:v>采用</x:v>
      </x:c>
      <x:c r="AN50" s="82" t="str">
        <x:v>初审</x:v>
      </x:c>
      <x:c r="AO50" s="87" t="n">
        <x:v>46255</x:v>
      </x:c>
    </x:row>
    <x:row r="51">
      <x:c r="A51" s="72" t="str">
        <x:f>IF(OR(C51="",D51=""),"",B51&amp;"-"&amp;UPPER(C51)&amp;"-"&amp;TEXT(D51,"0000")&amp;"-"&amp;E51)</x:f>
        <x:v>M06-SANHE-0045-V1.0</x:v>
      </x:c>
      <x:c r="B51" s="74" t="str">
        <x:v>M06</x:v>
      </x:c>
      <x:c r="C51" s="74" t="str">
        <x:v>SANHE</x:v>
      </x:c>
      <x:c r="D51" s="79" t="n">
        <x:v>45</x:v>
      </x:c>
      <x:c r="E51" s="74" t="str">
        <x:v>V1.0</x:v>
      </x:c>
      <x:c r="F51" s="68" t="str">
        <x:v>亥卯未三合木局的成立方向</x:v>
      </x:c>
      <x:c r="G51" s="82" t="str">
        <x:v>效应层</x:v>
      </x:c>
      <x:c r="H51" s="68" t="str">
        <x:v>M05-SANHE-0008-V1.0</x:v>
      </x:c>
      <x:c r="I51" s="82" t="str">
        <x:v>三合</x:v>
      </x:c>
      <x:c r="J51" s="68" t="str">
        <x:v>亥、卯、未</x:v>
      </x:c>
      <x:c r="K51" s="68" t="str">
        <x:v>三支及木局</x:v>
      </x:c>
      <x:c r="L51" s="82" t="str">
        <x:v>逐对象比较得令、得地、得势与相对强弱</x:v>
      </x:c>
      <x:c r="M51" s="68" t="str">
        <x:v>记录参与对象中谁得令、谁受季节支持</x:v>
      </x:c>
      <x:c r="N51" s="68" t="str">
        <x:v>记录明干及相关藏干的透出通道</x:v>
      </x:c>
      <x:c r="O51" s="68" t="str">
        <x:v>记录各对象根气层级、数量及是否唯一根</x:v>
      </x:c>
      <x:c r="P51" s="68" t="str">
        <x:v>检查同节点的合、冲、刑、害、破、会及生克</x:v>
      </x:c>
      <x:c r="Q51" s="82" t="str">
        <x:v>合化</x:v>
      </x:c>
      <x:c r="R51" s="82" t="str">
        <x:v>转化</x:v>
      </x:c>
      <x:c r="S51" s="82" t="str">
        <x:v>决定性</x:v>
      </x:c>
      <x:c r="T51" s="82" t="str">
        <x:v>条件性</x:v>
      </x:c>
      <x:c r="U51" s="82" t="str">
        <x:v>条件性</x:v>
      </x:c>
      <x:c r="V51" s="82" t="str">
        <x:v>条件性</x:v>
      </x:c>
      <x:c r="W51" s="82" t="str">
        <x:v>是</x:v>
      </x:c>
      <x:c r="X51" s="82" t="str">
        <x:v>条件性</x:v>
      </x:c>
      <x:c r="Y51" s="68" t="str">
        <x:v>三支生旺墓路径向木汇聚</x:v>
      </x:c>
      <x:c r="Z51" s="68" t="str">
        <x:v>M04/M05已识别关系，柱位、完整度与参与对象已标准化</x:v>
      </x:c>
      <x:c r="AA51" s="68" t="str">
        <x:v>三支齐全；中神卯有效；木得时得地或成势</x:v>
      </x:c>
      <x:c r="AB51" s="68" t="str">
        <x:v>卯得令或甲乙透出，亥生木、未藏木且无强金</x:v>
      </x:c>
      <x:c r="AC51" s="68" t="str">
        <x:v>金强、卯受重冲或三支之一被强关系牵走</x:v>
      </x:c>
      <x:c r="AD51" s="90" t="str">
        <x:v>中神卯被重冲或木受强力反制且无救</x:v>
      </x:c>
      <x:c r="AE51" s="68" t="str">
        <x:v>成局不足时保留局气趋向，不把三支全部改性</x:v>
      </x:c>
      <x:c r="AF51" s="84" t="str">
        <x:v>亥卯未齐全且木得令、卯中神有力、甲乙透出或木根成势时，木局效应明显。</x:v>
      </x:c>
      <x:c r="AG51" s="84" t="str">
        <x:v>亥卯未木局条件成立，三支主要有效通道向木集中。</x:v>
      </x:c>
      <x:c r="AH51" s="82" t="str">
        <x:v>较高</x:v>
      </x:c>
      <x:c r="AI51" s="82" t="str">
        <x:v>子平格局</x:v>
      </x:c>
      <x:c r="AJ51" s="68" t="str">
        <x:v>三合以生、旺、墓三支围绕中神成局，仍需结合月令与气势。参考：https://zh.wikisource.org/zh-hans/淵海子平；https://zh.wikisource.org/wiki/三命通會/卷二</x:v>
      </x:c>
      <x:c r="AK51" s="68" t="str">
        <x:v>亥卯未木局条件成立，三支主要有效通道向木集中。</x:v>
      </x:c>
      <x:c r="AL51" s="90" t="str">
        <x:v>亥、卯、未齐全但木无势仍直接判完整木局。</x:v>
      </x:c>
      <x:c r="AM51" s="82" t="str">
        <x:v>采用</x:v>
      </x:c>
      <x:c r="AN51" s="82" t="str">
        <x:v>初审</x:v>
      </x:c>
      <x:c r="AO51" s="87" t="n">
        <x:v>46255</x:v>
      </x:c>
    </x:row>
    <x:row r="52">
      <x:c r="A52" s="72" t="str">
        <x:f>IF(OR(C52="",D52=""),"",B52&amp;"-"&amp;UPPER(C52)&amp;"-"&amp;TEXT(D52,"0000")&amp;"-"&amp;E52)</x:f>
        <x:v>M06-SANHE-0046-V1.0</x:v>
      </x:c>
      <x:c r="B52" s="74" t="str">
        <x:v>M06</x:v>
      </x:c>
      <x:c r="C52" s="74" t="str">
        <x:v>SANHE</x:v>
      </x:c>
      <x:c r="D52" s="79" t="n">
        <x:v>46</x:v>
      </x:c>
      <x:c r="E52" s="74" t="str">
        <x:v>V1.0</x:v>
      </x:c>
      <x:c r="F52" s="68" t="str">
        <x:v>寅午戌三合火局的成立方向</x:v>
      </x:c>
      <x:c r="G52" s="82" t="str">
        <x:v>效应层</x:v>
      </x:c>
      <x:c r="H52" s="68" t="str">
        <x:v>M05-SANHE-0009-V1.0</x:v>
      </x:c>
      <x:c r="I52" s="82" t="str">
        <x:v>三合</x:v>
      </x:c>
      <x:c r="J52" s="68" t="str">
        <x:v>寅、午、戌</x:v>
      </x:c>
      <x:c r="K52" s="68" t="str">
        <x:v>三支及火局</x:v>
      </x:c>
      <x:c r="L52" s="82" t="str">
        <x:v>逐对象比较得令、得地、得势与相对强弱</x:v>
      </x:c>
      <x:c r="M52" s="68" t="str">
        <x:v>记录参与对象中谁得令、谁受季节支持</x:v>
      </x:c>
      <x:c r="N52" s="68" t="str">
        <x:v>记录明干及相关藏干的透出通道</x:v>
      </x:c>
      <x:c r="O52" s="68" t="str">
        <x:v>记录各对象根气层级、数量及是否唯一根</x:v>
      </x:c>
      <x:c r="P52" s="68" t="str">
        <x:v>检查同节点的合、冲、刑、害、破、会及生克</x:v>
      </x:c>
      <x:c r="Q52" s="82" t="str">
        <x:v>合化</x:v>
      </x:c>
      <x:c r="R52" s="82" t="str">
        <x:v>转化</x:v>
      </x:c>
      <x:c r="S52" s="82" t="str">
        <x:v>决定性</x:v>
      </x:c>
      <x:c r="T52" s="82" t="str">
        <x:v>条件性</x:v>
      </x:c>
      <x:c r="U52" s="82" t="str">
        <x:v>条件性</x:v>
      </x:c>
      <x:c r="V52" s="82" t="str">
        <x:v>条件性</x:v>
      </x:c>
      <x:c r="W52" s="82" t="str">
        <x:v>是</x:v>
      </x:c>
      <x:c r="X52" s="82" t="str">
        <x:v>条件性</x:v>
      </x:c>
      <x:c r="Y52" s="68" t="str">
        <x:v>三支生旺墓路径向火汇聚</x:v>
      </x:c>
      <x:c r="Z52" s="68" t="str">
        <x:v>M04/M05已识别关系，柱位、完整度与参与对象已标准化</x:v>
      </x:c>
      <x:c r="AA52" s="68" t="str">
        <x:v>三支齐全；中神午有效；火得时得地或成势</x:v>
      </x:c>
      <x:c r="AB52" s="68" t="str">
        <x:v>午得令或丙丁透出，寅生火、戌藏火且无强水</x:v>
      </x:c>
      <x:c r="AC52" s="68" t="str">
        <x:v>水强、午受重冲或三支之一被强关系牵走</x:v>
      </x:c>
      <x:c r="AD52" s="90" t="str">
        <x:v>中神午被重冲或火受强力反制且无救</x:v>
      </x:c>
      <x:c r="AE52" s="68" t="str">
        <x:v>成局不足时保留局气趋向，不把三支全部改性</x:v>
      </x:c>
      <x:c r="AF52" s="84" t="str">
        <x:v>寅午戌齐全且火得令、午中神有力、丙丁透出或火根成势时，火局效应明显。</x:v>
      </x:c>
      <x:c r="AG52" s="84" t="str">
        <x:v>寅午戌火局条件成立，三支主要有效通道向火集中。</x:v>
      </x:c>
      <x:c r="AH52" s="82" t="str">
        <x:v>较高</x:v>
      </x:c>
      <x:c r="AI52" s="82" t="str">
        <x:v>子平格局</x:v>
      </x:c>
      <x:c r="AJ52" s="68" t="str">
        <x:v>三合以生、旺、墓三支围绕中神成局，仍需结合月令与气势。参考：https://zh.wikisource.org/zh-hans/淵海子平；https://zh.wikisource.org/wiki/三命通會/卷二</x:v>
      </x:c>
      <x:c r="AK52" s="68" t="str">
        <x:v>寅午戌火局条件成立，三支主要有效通道向火集中。</x:v>
      </x:c>
      <x:c r="AL52" s="90" t="str">
        <x:v>寅、午、戌齐全但火无势仍直接判完整火局。</x:v>
      </x:c>
      <x:c r="AM52" s="82" t="str">
        <x:v>采用</x:v>
      </x:c>
      <x:c r="AN52" s="82" t="str">
        <x:v>初审</x:v>
      </x:c>
      <x:c r="AO52" s="87" t="n">
        <x:v>46255</x:v>
      </x:c>
    </x:row>
    <x:row r="53">
      <x:c r="A53" s="72" t="str">
        <x:f>IF(OR(C53="",D53=""),"",B53&amp;"-"&amp;UPPER(C53)&amp;"-"&amp;TEXT(D53,"0000")&amp;"-"&amp;E53)</x:f>
        <x:v>M06-SANHE-0047-V1.0</x:v>
      </x:c>
      <x:c r="B53" s="74" t="str">
        <x:v>M06</x:v>
      </x:c>
      <x:c r="C53" s="74" t="str">
        <x:v>SANHE</x:v>
      </x:c>
      <x:c r="D53" s="79" t="n">
        <x:v>47</x:v>
      </x:c>
      <x:c r="E53" s="74" t="str">
        <x:v>V1.0</x:v>
      </x:c>
      <x:c r="F53" s="68" t="str">
        <x:v>巳酉丑三合金局的成立方向</x:v>
      </x:c>
      <x:c r="G53" s="82" t="str">
        <x:v>效应层</x:v>
      </x:c>
      <x:c r="H53" s="68" t="str">
        <x:v>M05-SANHE-0010-V1.0</x:v>
      </x:c>
      <x:c r="I53" s="82" t="str">
        <x:v>三合</x:v>
      </x:c>
      <x:c r="J53" s="68" t="str">
        <x:v>巳、酉、丑</x:v>
      </x:c>
      <x:c r="K53" s="68" t="str">
        <x:v>三支及金局</x:v>
      </x:c>
      <x:c r="L53" s="82" t="str">
        <x:v>逐对象比较得令、得地、得势与相对强弱</x:v>
      </x:c>
      <x:c r="M53" s="68" t="str">
        <x:v>记录参与对象中谁得令、谁受季节支持</x:v>
      </x:c>
      <x:c r="N53" s="68" t="str">
        <x:v>记录明干及相关藏干的透出通道</x:v>
      </x:c>
      <x:c r="O53" s="68" t="str">
        <x:v>记录各对象根气层级、数量及是否唯一根</x:v>
      </x:c>
      <x:c r="P53" s="68" t="str">
        <x:v>检查同节点的合、冲、刑、害、破、会及生克</x:v>
      </x:c>
      <x:c r="Q53" s="82" t="str">
        <x:v>合化</x:v>
      </x:c>
      <x:c r="R53" s="82" t="str">
        <x:v>转化</x:v>
      </x:c>
      <x:c r="S53" s="82" t="str">
        <x:v>决定性</x:v>
      </x:c>
      <x:c r="T53" s="82" t="str">
        <x:v>条件性</x:v>
      </x:c>
      <x:c r="U53" s="82" t="str">
        <x:v>条件性</x:v>
      </x:c>
      <x:c r="V53" s="82" t="str">
        <x:v>条件性</x:v>
      </x:c>
      <x:c r="W53" s="82" t="str">
        <x:v>是</x:v>
      </x:c>
      <x:c r="X53" s="82" t="str">
        <x:v>条件性</x:v>
      </x:c>
      <x:c r="Y53" s="68" t="str">
        <x:v>三支生旺墓路径向金汇聚</x:v>
      </x:c>
      <x:c r="Z53" s="68" t="str">
        <x:v>M04/M05已识别关系，柱位、完整度与参与对象已标准化</x:v>
      </x:c>
      <x:c r="AA53" s="68" t="str">
        <x:v>三支齐全；中神酉有效；金得时得地或成势</x:v>
      </x:c>
      <x:c r="AB53" s="68" t="str">
        <x:v>酉得令或庚辛透出，丑生藏金且无强火</x:v>
      </x:c>
      <x:c r="AC53" s="68" t="str">
        <x:v>火强、酉受重冲或三支之一被强关系牵走</x:v>
      </x:c>
      <x:c r="AD53" s="90" t="str">
        <x:v>中神酉被重冲或金受强力反制且无救</x:v>
      </x:c>
      <x:c r="AE53" s="68" t="str">
        <x:v>成局不足时保留局气趋向，不把三支全部改性</x:v>
      </x:c>
      <x:c r="AF53" s="84" t="str">
        <x:v>巳酉丑齐全且金得令、酉中神有力、庚辛透出或金根成势时，金局效应明显。</x:v>
      </x:c>
      <x:c r="AG53" s="84" t="str">
        <x:v>巳酉丑金局条件成立，三支主要有效通道向金集中。</x:v>
      </x:c>
      <x:c r="AH53" s="82" t="str">
        <x:v>较高</x:v>
      </x:c>
      <x:c r="AI53" s="82" t="str">
        <x:v>子平格局</x:v>
      </x:c>
      <x:c r="AJ53" s="68" t="str">
        <x:v>三合以生、旺、墓三支围绕中神成局，仍需结合月令与气势。参考：https://zh.wikisource.org/zh-hans/淵海子平；https://zh.wikisource.org/wiki/三命通會/卷二</x:v>
      </x:c>
      <x:c r="AK53" s="68" t="str">
        <x:v>巳酉丑金局条件成立，三支主要有效通道向金集中。</x:v>
      </x:c>
      <x:c r="AL53" s="90" t="str">
        <x:v>巳、酉、丑齐全但金无势仍直接判完整金局。</x:v>
      </x:c>
      <x:c r="AM53" s="82" t="str">
        <x:v>采用</x:v>
      </x:c>
      <x:c r="AN53" s="82" t="str">
        <x:v>初审</x:v>
      </x:c>
      <x:c r="AO53" s="87" t="n">
        <x:v>46255</x:v>
      </x:c>
    </x:row>
    <x:row r="54">
      <x:c r="A54" s="72" t="str">
        <x:f>IF(OR(C54="",D54=""),"",B54&amp;"-"&amp;UPPER(C54)&amp;"-"&amp;TEXT(D54,"0000")&amp;"-"&amp;E54)</x:f>
        <x:v>M06-SANHE-0048-V1.0</x:v>
      </x:c>
      <x:c r="B54" s="74" t="str">
        <x:v>M06</x:v>
      </x:c>
      <x:c r="C54" s="74" t="str">
        <x:v>SANHE</x:v>
      </x:c>
      <x:c r="D54" s="79" t="n">
        <x:v>48</x:v>
      </x:c>
      <x:c r="E54" s="74" t="str">
        <x:v>V1.0</x:v>
      </x:c>
      <x:c r="F54" s="68" t="str">
        <x:v>三合中神得令是成局强证据</x:v>
      </x:c>
      <x:c r="G54" s="82" t="str">
        <x:v>效应层</x:v>
      </x:c>
      <x:c r="H54" s="68" t="str">
        <x:v>M05-SANHE-0007-V1.0—M05-SANHE-0010-V1.0</x:v>
      </x:c>
      <x:c r="I54" s="82" t="str">
        <x:v>三合</x:v>
      </x:c>
      <x:c r="J54" s="68" t="str">
        <x:v>完整三合组</x:v>
      </x:c>
      <x:c r="K54" s="68" t="str">
        <x:v>中神</x:v>
      </x:c>
      <x:c r="L54" s="82" t="str">
        <x:v>逐对象比较得令、得地、得势与相对强弱</x:v>
      </x:c>
      <x:c r="M54" s="68" t="str">
        <x:v>记录参与对象中谁得令、谁受季节支持</x:v>
      </x:c>
      <x:c r="N54" s="68" t="str">
        <x:v>记录明干及相关藏干的透出通道</x:v>
      </x:c>
      <x:c r="O54" s="68" t="str">
        <x:v>记录各对象根气层级、数量及是否唯一根</x:v>
      </x:c>
      <x:c r="P54" s="68" t="str">
        <x:v>检查同节点的合、冲、刑、害、破、会及生克</x:v>
      </x:c>
      <x:c r="Q54" s="82" t="str">
        <x:v>激活</x:v>
      </x:c>
      <x:c r="R54" s="82" t="str">
        <x:v>增强</x:v>
      </x:c>
      <x:c r="S54" s="82" t="str">
        <x:v>强</x:v>
      </x:c>
      <x:c r="T54" s="82" t="str">
        <x:v>否</x:v>
      </x:c>
      <x:c r="U54" s="82" t="str">
        <x:v>条件性</x:v>
      </x:c>
      <x:c r="V54" s="82" t="str">
        <x:v>条件性</x:v>
      </x:c>
      <x:c r="W54" s="82" t="str">
        <x:v>是</x:v>
      </x:c>
      <x:c r="X54" s="82" t="str">
        <x:v>否</x:v>
      </x:c>
      <x:c r="Y54" s="68" t="str">
        <x:v>可能改变原有生克路径，须在M12复核</x:v>
      </x:c>
      <x:c r="Z54" s="68" t="str">
        <x:v>M04/M05已识别关系，柱位、完整度与参与对象已标准化</x:v>
      </x:c>
      <x:c r="AA54" s="68" t="str">
        <x:v>中神确为月支或获得等效强势支持</x:v>
      </x:c>
      <x:c r="AB54" s="68" t="str">
        <x:v>关系相邻、得令、得地、成势且无强力反制</x:v>
      </x:c>
      <x:c r="AC54" s="68" t="str">
        <x:v>遥隔、争合、节点被其他关系牵制或双方各有强根</x:v>
      </x:c>
      <x:c r="AD54" s="90" t="str">
        <x:v>仅凭关系名称不得直接判性质改变、归零或固定吉凶</x:v>
      </x:c>
      <x:c r="AE54" s="68" t="str">
        <x:v>特殊格局或岁运动态补齐须另建实例重新裁决</x:v>
      </x:c>
      <x:c r="AF54" s="84" t="str">
        <x:v>中神临月令或得强根时，局气获得核心支点，三合效应显著增强。</x:v>
      </x:c>
      <x:c r="AG54" s="84" t="str">
        <x:v>三合中神得令，成局证据显著增强；仍需检查反制和节点被牵走。</x:v>
      </x:c>
      <x:c r="AH54" s="82" t="str">
        <x:v>较高</x:v>
      </x:c>
      <x:c r="AI54" s="82" t="str">
        <x:v>现代综合</x:v>
      </x:c>
      <x:c r="AJ54" s="68" t="str">
        <x:v>中神是三合局的核心旺点。参考：https://zh.wikisource.org/zh-hans/淵海子平；https://zh.wikisource.org/wiki/三命通會/卷二</x:v>
      </x:c>
      <x:c r="AK54" s="68" t="str">
        <x:v>申子辰中子临月令，水局强度上调。</x:v>
      </x:c>
      <x:c r="AL54" s="90" t="str">
        <x:v>中神被重冲且无根仍只因三支齐全判强局。</x:v>
      </x:c>
      <x:c r="AM54" s="82" t="str">
        <x:v>采用</x:v>
      </x:c>
      <x:c r="AN54" s="82" t="str">
        <x:v>初审</x:v>
      </x:c>
      <x:c r="AO54" s="87" t="n">
        <x:v>46255</x:v>
      </x:c>
    </x:row>
    <x:row r="55">
      <x:c r="A55" s="72" t="str">
        <x:f>IF(OR(C55="",D55=""),"",B55&amp;"-"&amp;UPPER(C55)&amp;"-"&amp;TEXT(D55,"0000")&amp;"-"&amp;E55)</x:f>
        <x:v>M06-SANHE-0049-V1.0</x:v>
      </x:c>
      <x:c r="B55" s="74" t="str">
        <x:v>M06</x:v>
      </x:c>
      <x:c r="C55" s="74" t="str">
        <x:v>SANHE</x:v>
      </x:c>
      <x:c r="D55" s="79" t="n">
        <x:v>49</x:v>
      </x:c>
      <x:c r="E55" s="74" t="str">
        <x:v>V1.0</x:v>
      </x:c>
      <x:c r="F55" s="68" t="str">
        <x:v>局气透干与同党使三合由支内走向全局</x:v>
      </x:c>
      <x:c r="G55" s="82" t="str">
        <x:v>效应层</x:v>
      </x:c>
      <x:c r="H55" s="68" t="str">
        <x:v>M05-SANHE-0007-V1.0—M05-SANHE-0010-V1.0</x:v>
      </x:c>
      <x:c r="I55" s="82" t="str">
        <x:v>三合</x:v>
      </x:c>
      <x:c r="J55" s="68" t="str">
        <x:v>完整三合组及局气天干</x:v>
      </x:c>
      <x:c r="K55" s="68" t="str">
        <x:v>候选局气</x:v>
      </x:c>
      <x:c r="L55" s="82" t="str">
        <x:v>逐对象比较得令、得地、得势与相对强弱</x:v>
      </x:c>
      <x:c r="M55" s="68" t="str">
        <x:v>记录参与对象中谁得令、谁受季节支持</x:v>
      </x:c>
      <x:c r="N55" s="68" t="str">
        <x:v>局气天干明透且有根</x:v>
      </x:c>
      <x:c r="O55" s="68" t="str">
        <x:v>记录各对象根气层级、数量及是否唯一根</x:v>
      </x:c>
      <x:c r="P55" s="68" t="str">
        <x:v>检查同节点的合、冲、刑、害、破、会及生克</x:v>
      </x:c>
      <x:c r="Q55" s="82" t="str">
        <x:v>激活</x:v>
      </x:c>
      <x:c r="R55" s="82" t="str">
        <x:v>增强</x:v>
      </x:c>
      <x:c r="S55" s="82" t="str">
        <x:v>强</x:v>
      </x:c>
      <x:c r="T55" s="82" t="str">
        <x:v>否</x:v>
      </x:c>
      <x:c r="U55" s="82" t="str">
        <x:v>条件性</x:v>
      </x:c>
      <x:c r="V55" s="82" t="str">
        <x:v>条件性</x:v>
      </x:c>
      <x:c r="W55" s="82" t="str">
        <x:v>是</x:v>
      </x:c>
      <x:c r="X55" s="82" t="str">
        <x:v>否</x:v>
      </x:c>
      <x:c r="Y55" s="68" t="str">
        <x:v>可能改变原有生克路径，须在M12复核</x:v>
      </x:c>
      <x:c r="Z55" s="68" t="str">
        <x:v>M04/M05已识别关系，柱位、完整度与参与对象已标准化</x:v>
      </x:c>
      <x:c r="AA55" s="68" t="str">
        <x:v>必须指向具体作用对象，并比较各方力量、根气和通道</x:v>
      </x:c>
      <x:c r="AB55" s="68" t="str">
        <x:v>关系相邻、得令、得地、成势且无强力反制</x:v>
      </x:c>
      <x:c r="AC55" s="68" t="str">
        <x:v>遥隔、争合、节点被其他关系牵制或双方各有强根</x:v>
      </x:c>
      <x:c r="AD55" s="90" t="str">
        <x:v>仅凭关系名称不得直接判性质改变、归零或固定吉凶</x:v>
      </x:c>
      <x:c r="AE55" s="68" t="str">
        <x:v>特殊格局或岁运动态补齐须另建实例重新裁决</x:v>
      </x:c>
      <x:c r="AF55" s="84" t="str">
        <x:v>局气透出天干并有同党时，地支集合获得外显通道，成局与功能输出更稳定。</x:v>
      </x:c>
      <x:c r="AG55" s="84" t="str">
        <x:v>局气透干有根，三合从支内趋向全局发挥。</x:v>
      </x:c>
      <x:c r="AH55" s="82" t="str">
        <x:v>较高</x:v>
      </x:c>
      <x:c r="AI55" s="82" t="str">
        <x:v>现代综合</x:v>
      </x:c>
      <x:c r="AJ55" s="68" t="str">
        <x:v>透干使支内局气有明确作用通道。参考：https://zh.wikisource.org/zh-hans/淵海子平；https://zh.wikisource.org/wiki/三命通會/卷二</x:v>
      </x:c>
      <x:c r="AK55" s="68" t="str">
        <x:v>亥卯未齐全且甲乙透出有根，木局功能更明确。</x:v>
      </x:c>
      <x:c r="AL55" s="90" t="str">
        <x:v>局气未透未成势却按全局决定性处理。</x:v>
      </x:c>
      <x:c r="AM55" s="82" t="str">
        <x:v>采用</x:v>
      </x:c>
      <x:c r="AN55" s="82" t="str">
        <x:v>初审</x:v>
      </x:c>
      <x:c r="AO55" s="87" t="n">
        <x:v>46255</x:v>
      </x:c>
    </x:row>
    <x:row r="56">
      <x:c r="A56" s="72" t="str">
        <x:f>IF(OR(C56="",D56=""),"",B56&amp;"-"&amp;UPPER(C56)&amp;"-"&amp;TEXT(D56,"0000")&amp;"-"&amp;E56)</x:f>
        <x:v>M06-SANHE-0050-V1.0</x:v>
      </x:c>
      <x:c r="B56" s="74" t="str">
        <x:v>M06</x:v>
      </x:c>
      <x:c r="C56" s="74" t="str">
        <x:v>SANHE</x:v>
      </x:c>
      <x:c r="D56" s="79" t="n">
        <x:v>50</x:v>
      </x:c>
      <x:c r="E56" s="74" t="str">
        <x:v>V1.0</x:v>
      </x:c>
      <x:c r="F56" s="68" t="str">
        <x:v>三合成员被强冲强合牵走会破坏局气连续性</x:v>
      </x:c>
      <x:c r="G56" s="82" t="str">
        <x:v>效应层</x:v>
      </x:c>
      <x:c r="H56" s="68" t="str">
        <x:v>M05-SANHE-0007-V1.0—M05-SANHE-0010-V1.0；M05-OVER-0068-V1.0</x:v>
      </x:c>
      <x:c r="I56" s="82" t="str">
        <x:v>其他</x:v>
      </x:c>
      <x:c r="J56" s="68" t="str">
        <x:v>三合成员及竞争关系</x:v>
      </x:c>
      <x:c r="K56" s="68" t="str">
        <x:v>三合局连续性</x:v>
      </x:c>
      <x:c r="L56" s="82" t="str">
        <x:v>逐对象比较得令、得地、得势与相对强弱</x:v>
      </x:c>
      <x:c r="M56" s="68" t="str">
        <x:v>记录参与对象中谁得令、谁受季节支持</x:v>
      </x:c>
      <x:c r="N56" s="68" t="str">
        <x:v>记录明干及相关藏干的透出通道</x:v>
      </x:c>
      <x:c r="O56" s="68" t="str">
        <x:v>记录各对象根气层级、数量及是否唯一根</x:v>
      </x:c>
      <x:c r="P56" s="68" t="str">
        <x:v>检查同节点的合、冲、刑、害、破、会及生克</x:v>
      </x:c>
      <x:c r="Q56" s="82" t="str">
        <x:v>阻断</x:v>
      </x:c>
      <x:c r="R56" s="82" t="str">
        <x:v>减弱</x:v>
      </x:c>
      <x:c r="S56" s="82" t="str">
        <x:v>强</x:v>
      </x:c>
      <x:c r="T56" s="82" t="str">
        <x:v>条件性</x:v>
      </x:c>
      <x:c r="U56" s="82" t="str">
        <x:v>条件性</x:v>
      </x:c>
      <x:c r="V56" s="82" t="str">
        <x:v>条件性</x:v>
      </x:c>
      <x:c r="W56" s="82" t="str">
        <x:v>否</x:v>
      </x:c>
      <x:c r="X56" s="82" t="str">
        <x:v>是</x:v>
      </x:c>
      <x:c r="Y56" s="68" t="str">
        <x:v>可能改变原有生克路径，须在M12复核</x:v>
      </x:c>
      <x:c r="Z56" s="68" t="str">
        <x:v>M04/M05已识别关系，柱位、完整度与参与对象已标准化</x:v>
      </x:c>
      <x:c r="AA56" s="68" t="str">
        <x:v>竞争关系真实成势并作用于关键成员</x:v>
      </x:c>
      <x:c r="AB56" s="68" t="str">
        <x:v>关系相邻、得令、得地、成势且无强力反制</x:v>
      </x:c>
      <x:c r="AC56" s="68" t="str">
        <x:v>遥隔、争合、节点被其他关系牵制或双方各有强根</x:v>
      </x:c>
      <x:c r="AD56" s="90" t="str">
        <x:v>仅凭关系名称不得直接判性质改变、归零或固定吉凶</x:v>
      </x:c>
      <x:c r="AE56" s="68" t="str">
        <x:v>特殊格局或岁运动态补齐须另建实例重新裁决</x:v>
      </x:c>
      <x:c r="AF56" s="84" t="str">
        <x:v>三合任一关键成员，尤其中神，被强冲、强合或更强三会牵走时，生旺墓链中断，成局降级。</x:v>
      </x:c>
      <x:c r="AG56" s="84" t="str">
        <x:v>三合成员被更强关系牵制，局气连续性下降；完整成局暂不成立或降级。</x:v>
      </x:c>
      <x:c r="AH56" s="82" t="str">
        <x:v>较高</x:v>
      </x:c>
      <x:c r="AI56" s="82" t="str">
        <x:v>现代综合</x:v>
      </x:c>
      <x:c r="AJ56" s="68" t="str">
        <x:v>会合能否解冲或被冲破必须比较结构。参考：https://ctext.org/wiki.pl?chapter=974137&amp;if=gb&amp;remap=gb</x:v>
      </x:c>
      <x:c r="AK56" s="68" t="str">
        <x:v>申子辰中子受午强冲且无救，水局明显受损。</x:v>
      </x:c>
      <x:c r="AL56" s="90" t="str">
        <x:v>中神被重冲仍把三合局视为完全不变。</x:v>
      </x:c>
      <x:c r="AM56" s="82" t="str">
        <x:v>采用</x:v>
      </x:c>
      <x:c r="AN56" s="82" t="str">
        <x:v>初审</x:v>
      </x:c>
      <x:c r="AO56" s="87" t="n">
        <x:v>46255</x:v>
      </x:c>
    </x:row>
    <x:row r="57">
      <x:c r="A57" s="72" t="str">
        <x:f>IF(OR(C57="",D57=""),"",B57&amp;"-"&amp;UPPER(C57)&amp;"-"&amp;TEXT(D57,"0000")&amp;"-"&amp;E57)</x:f>
        <x:v>M06-SANHE-0051-V1.0</x:v>
      </x:c>
      <x:c r="B57" s="74" t="str">
        <x:v>M06</x:v>
      </x:c>
      <x:c r="C57" s="74" t="str">
        <x:v>SANHE</x:v>
      </x:c>
      <x:c r="D57" s="79" t="n">
        <x:v>51</x:v>
      </x:c>
      <x:c r="E57" s="74" t="str">
        <x:v>V1.0</x:v>
      </x:c>
      <x:c r="F57" s="68" t="str">
        <x:v>三合成局后原支本气不必全部归零</x:v>
      </x:c>
      <x:c r="G57" s="82" t="str">
        <x:v>效应层</x:v>
      </x:c>
      <x:c r="H57" s="68" t="str">
        <x:v>M05-SANHE-0007-V1.0—M05-SANHE-0010-V1.0</x:v>
      </x:c>
      <x:c r="I57" s="82" t="str">
        <x:v>三合</x:v>
      </x:c>
      <x:c r="J57" s="68" t="str">
        <x:v>已验证成局的三支</x:v>
      </x:c>
      <x:c r="K57" s="68" t="str">
        <x:v>各支原始本气与藏干</x:v>
      </x:c>
      <x:c r="L57" s="82" t="str">
        <x:v>逐对象比较得令、得地、得势与相对强弱</x:v>
      </x:c>
      <x:c r="M57" s="68" t="str">
        <x:v>记录参与对象中谁得令、谁受季节支持</x:v>
      </x:c>
      <x:c r="N57" s="68" t="str">
        <x:v>记录明干及相关藏干的透出通道</x:v>
      </x:c>
      <x:c r="O57" s="68" t="str">
        <x:v>记录各对象根气层级、数量及是否唯一根</x:v>
      </x:c>
      <x:c r="P57" s="68" t="str">
        <x:v>检查同节点的合、冲、刑、害、破、会及生克</x:v>
      </x:c>
      <x:c r="Q57" s="82" t="str">
        <x:v>合化</x:v>
      </x:c>
      <x:c r="R57" s="82" t="str">
        <x:v>转化</x:v>
      </x:c>
      <x:c r="S57" s="82" t="str">
        <x:v>决定性</x:v>
      </x:c>
      <x:c r="T57" s="82" t="str">
        <x:v>条件性</x:v>
      </x:c>
      <x:c r="U57" s="82" t="str">
        <x:v>条件性</x:v>
      </x:c>
      <x:c r="V57" s="82" t="str">
        <x:v>条件性</x:v>
      </x:c>
      <x:c r="W57" s="82" t="str">
        <x:v>是</x:v>
      </x:c>
      <x:c r="X57" s="82" t="str">
        <x:v>条件性</x:v>
      </x:c>
      <x:c r="Y57" s="68" t="str">
        <x:v>主通道改按局气处理，原始节点保留</x:v>
      </x:c>
      <x:c r="Z57" s="68" t="str">
        <x:v>M04/M05已识别关系，柱位、完整度与参与对象已标准化</x:v>
      </x:c>
      <x:c r="AA57" s="68" t="str">
        <x:v>必须指向具体作用对象，并比较各方力量、根气和通道</x:v>
      </x:c>
      <x:c r="AB57" s="68" t="str">
        <x:v>关系相邻、得令、得地、成势且无强力反制</x:v>
      </x:c>
      <x:c r="AC57" s="68" t="str">
        <x:v>遥隔、争合、节点被其他关系牵制或双方各有强根</x:v>
      </x:c>
      <x:c r="AD57" s="90" t="str">
        <x:v>仅凭关系名称不得直接判性质改变、归零或固定吉凶</x:v>
      </x:c>
      <x:c r="AE57" s="68" t="str">
        <x:v>特殊格局或岁运动态补齐须另建实例重新裁决</x:v>
      </x:c>
      <x:c r="AF57" s="84" t="str">
        <x:v>成局表示主要有效力量向局气集中；原支本气与藏干的原始存在仍保留，只有在严格从化时才大幅降级。</x:v>
      </x:c>
      <x:c r="AG57" s="84" t="str">
        <x:v>三合成局：有效力量以局气为主，同时保留各支原始节点供破局与岁运复核。</x:v>
      </x:c>
      <x:c r="AH57" s="82" t="str">
        <x:v>较高</x:v>
      </x:c>
      <x:c r="AI57" s="82" t="str">
        <x:v>现代综合</x:v>
      </x:c>
      <x:c r="AJ57" s="68" t="str">
        <x:v>区分原始存在与有效作用，避免把地支物理删除。参考：https://zh.wikisource.org/zh-hans/滴天髓</x:v>
      </x:c>
      <x:c r="AK57" s="68" t="str">
        <x:v>巳酉丑成金局，主要计金，但巳中丙戊原始信息仍保留。</x:v>
      </x:c>
      <x:c r="AL57" s="90" t="str">
        <x:v>成局后删除三支全部原藏干。</x:v>
      </x:c>
      <x:c r="AM57" s="82" t="str">
        <x:v>采用</x:v>
      </x:c>
      <x:c r="AN57" s="82" t="str">
        <x:v>初审</x:v>
      </x:c>
      <x:c r="AO57" s="87" t="n">
        <x:v>46255</x:v>
      </x:c>
    </x:row>
    <x:row r="58">
      <x:c r="A58" s="72" t="str">
        <x:f>IF(OR(C58="",D58=""),"",B58&amp;"-"&amp;UPPER(C58)&amp;"-"&amp;TEXT(D58,"0000")&amp;"-"&amp;E58)</x:f>
        <x:v>M06-SANHE-0052-V1.0</x:v>
      </x:c>
      <x:c r="B58" s="74" t="str">
        <x:v>M06</x:v>
      </x:c>
      <x:c r="C58" s="74" t="str">
        <x:v>SANHE</x:v>
      </x:c>
      <x:c r="D58" s="79" t="n">
        <x:v>52</x:v>
      </x:c>
      <x:c r="E58" s="74" t="str">
        <x:v>V1.0</x:v>
      </x:c>
      <x:c r="F58" s="68" t="str">
        <x:v>三合局气失令但成势时可条件成立</x:v>
      </x:c>
      <x:c r="G58" s="82" t="str">
        <x:v>效应层</x:v>
      </x:c>
      <x:c r="H58" s="68" t="str">
        <x:v>M05-SANHE-0007-V1.0—M05-SANHE-0010-V1.0</x:v>
      </x:c>
      <x:c r="I58" s="82" t="str">
        <x:v>三合</x:v>
      </x:c>
      <x:c r="J58" s="68" t="str">
        <x:v>完整三合组及失令局气</x:v>
      </x:c>
      <x:c r="K58" s="68" t="str">
        <x:v>候选局气</x:v>
      </x:c>
      <x:c r="L58" s="82" t="str">
        <x:v>逐对象比较得令、得地、得势与相对强弱</x:v>
      </x:c>
      <x:c r="M58" s="68" t="str">
        <x:v>记录参与对象中谁得令、谁受季节支持</x:v>
      </x:c>
      <x:c r="N58" s="68" t="str">
        <x:v>记录明干及相关藏干的透出通道</x:v>
      </x:c>
      <x:c r="O58" s="68" t="str">
        <x:v>记录各对象根气层级、数量及是否唯一根</x:v>
      </x:c>
      <x:c r="P58" s="68" t="str">
        <x:v>检查同节点的合、冲、刑、害、破、会及生克</x:v>
      </x:c>
      <x:c r="Q58" s="82" t="str">
        <x:v>合化</x:v>
      </x:c>
      <x:c r="R58" s="82" t="str">
        <x:v>转化</x:v>
      </x:c>
      <x:c r="S58" s="82" t="str">
        <x:v>强</x:v>
      </x:c>
      <x:c r="T58" s="82" t="str">
        <x:v>条件性</x:v>
      </x:c>
      <x:c r="U58" s="82" t="str">
        <x:v>条件性</x:v>
      </x:c>
      <x:c r="V58" s="82" t="str">
        <x:v>条件性</x:v>
      </x:c>
      <x:c r="W58" s="82" t="str">
        <x:v>是</x:v>
      </x:c>
      <x:c r="X58" s="82" t="str">
        <x:v>条件性</x:v>
      </x:c>
      <x:c r="Y58" s="68" t="str">
        <x:v>可能改变原有生克路径，须在M12复核</x:v>
      </x:c>
      <x:c r="Z58" s="68" t="str">
        <x:v>M04/M05已识别关系，柱位、完整度与参与对象已标准化</x:v>
      </x:c>
      <x:c r="AA58" s="68" t="str">
        <x:v>局气虽失令但有根、透干、同党与连续生扶，且无强反制</x:v>
      </x:c>
      <x:c r="AB58" s="68" t="str">
        <x:v>局气多根透干、三支均未受损</x:v>
      </x:c>
      <x:c r="AC58" s="68" t="str">
        <x:v>月令强烈反制局气或中神被冲</x:v>
      </x:c>
      <x:c r="AD58" s="90" t="str">
        <x:v>仅凭关系名称不得直接判性质改变、归零或固定吉凶</x:v>
      </x:c>
      <x:c r="AE58" s="68" t="str">
        <x:v>特殊格局或岁运动态补齐须另建实例重新裁决</x:v>
      </x:c>
      <x:c r="AF58" s="84" t="str">
        <x:v>局气虽不临月令，但三支齐全、局气透干有根并获连续生扶时，可条件性成局；强度低于得令成局。</x:v>
      </x:c>
      <x:c r="AG58" s="84" t="str">
        <x:v>三合局气失令但得地得势，判条件性成局；需明确其强度低于得令成局。</x:v>
      </x:c>
      <x:c r="AH58" s="82" t="str">
        <x:v>中等</x:v>
      </x:c>
      <x:c r="AI58" s="82" t="str">
        <x:v>现代综合</x:v>
      </x:c>
      <x:c r="AJ58" s="68" t="str">
        <x:v>月令是强证据而非唯一条件，仍须看全局气势。参考：https://zh.wikisource.org/zh-hans/滴天髓</x:v>
      </x:c>
      <x:c r="AK58" s="68" t="str">
        <x:v>亥卯未在非春月，但甲乙多透有根、金弱，可判条件性木局。</x:v>
      </x:c>
      <x:c r="AL58" s="90" t="str">
        <x:v>局气失令且无根无透，仅因三支齐全仍判强局。</x:v>
      </x:c>
      <x:c r="AM58" s="82" t="str">
        <x:v>采用</x:v>
      </x:c>
      <x:c r="AN58" s="82" t="str">
        <x:v>初审</x:v>
      </x:c>
      <x:c r="AO58" s="87" t="n">
        <x:v>46255</x:v>
      </x:c>
    </x:row>
    <x:row r="59">
      <x:c r="A59" s="72" t="str">
        <x:f>IF(OR(C59="",D59=""),"",B59&amp;"-"&amp;UPPER(C59)&amp;"-"&amp;TEXT(D59,"0000")&amp;"-"&amp;E59)</x:f>
        <x:v>M06-SANHUI-0053-V1.0</x:v>
      </x:c>
      <x:c r="B59" s="74" t="str">
        <x:v>M06</x:v>
      </x:c>
      <x:c r="C59" s="74" t="str">
        <x:v>SANHUI</x:v>
      </x:c>
      <x:c r="D59" s="79" t="n">
        <x:v>53</x:v>
      </x:c>
      <x:c r="E59" s="74" t="str">
        <x:v>V1.0</x:v>
      </x:c>
      <x:c r="F59" s="68" t="str">
        <x:v>三会三支齐全不等于会局完成</x:v>
      </x:c>
      <x:c r="G59" s="82" t="str">
        <x:v>效应层</x:v>
      </x:c>
      <x:c r="H59" s="68" t="str">
        <x:v>M05-SANHUI-0023-V1.0—M05-SANHUI-0026-V1.0；M05-BOUND-0076-V1.0</x:v>
      </x:c>
      <x:c r="I59" s="82" t="str">
        <x:v>三会</x:v>
      </x:c>
      <x:c r="J59" s="68" t="str">
        <x:v>任一完整三会组</x:v>
      </x:c>
      <x:c r="K59" s="68" t="str">
        <x:v>三支与方气</x:v>
      </x:c>
      <x:c r="L59" s="82" t="str">
        <x:v>逐对象比较得令、得地、得势与相对强弱</x:v>
      </x:c>
      <x:c r="M59" s="68" t="str">
        <x:v>记录参与对象中谁得令、谁受季节支持</x:v>
      </x:c>
      <x:c r="N59" s="68" t="str">
        <x:v>记录明干及相关藏干的透出通道</x:v>
      </x:c>
      <x:c r="O59" s="68" t="str">
        <x:v>记录各对象根气层级、数量及是否唯一根</x:v>
      </x:c>
      <x:c r="P59" s="68" t="str">
        <x:v>检查同节点的合、冲、刑、害、破、会及生克</x:v>
      </x:c>
      <x:c r="Q59" s="82" t="str">
        <x:v>合动</x:v>
      </x:c>
      <x:c r="R59" s="82" t="str">
        <x:v>条件性</x:v>
      </x:c>
      <x:c r="S59" s="82" t="str">
        <x:v>中</x:v>
      </x:c>
      <x:c r="T59" s="82" t="str">
        <x:v>条件性</x:v>
      </x:c>
      <x:c r="U59" s="82" t="str">
        <x:v>条件性</x:v>
      </x:c>
      <x:c r="V59" s="82" t="str">
        <x:v>条件性</x:v>
      </x:c>
      <x:c r="W59" s="82" t="str">
        <x:v>条件性</x:v>
      </x:c>
      <x:c r="X59" s="82" t="str">
        <x:v>条件性</x:v>
      </x:c>
      <x:c r="Y59" s="68" t="str">
        <x:v>相邻方位气可能形成连续成势</x:v>
      </x:c>
      <x:c r="Z59" s="68" t="str">
        <x:v>M04/M05已识别关系，柱位、完整度与参与对象已标准化</x:v>
      </x:c>
      <x:c r="AA59" s="68" t="str">
        <x:v>必须指向具体作用对象，并比较各方力量、根气和通道</x:v>
      </x:c>
      <x:c r="AB59" s="68" t="str">
        <x:v>关系相邻、得令、得地、成势且无强力反制</x:v>
      </x:c>
      <x:c r="AC59" s="68" t="str">
        <x:v>遥隔、争合、节点被其他关系牵制或双方各有强根</x:v>
      </x:c>
      <x:c r="AD59" s="90" t="str">
        <x:v>仅凭关系名称不得直接判性质改变、归零或固定吉凶</x:v>
      </x:c>
      <x:c r="AE59" s="68" t="str">
        <x:v>特殊格局或岁运动态补齐须另建实例重新裁决</x:v>
      </x:c>
      <x:c r="AF59" s="84" t="str">
        <x:v>三支齐全只确认方位集合；会局完成仍须方气得令、成势、透干且关键支未被强力牵走。</x:v>
      </x:c>
      <x:c r="AG59" s="84" t="str">
        <x:v>三会结构完整，生成方局候选；未验证气势前不改写三支全部性质。</x:v>
      </x:c>
      <x:c r="AH59" s="82" t="str">
        <x:v>较高</x:v>
      </x:c>
      <x:c r="AI59" s="82" t="str">
        <x:v>现代综合</x:v>
      </x:c>
      <x:c r="AJ59" s="68" t="str">
        <x:v>三会以方位季节气势为核心，结构完整与成局分开。参考：https://zh.wikisource.org/zh-hans/淵海子平；https://zh.wikisource.org/wiki/三命通會/卷二</x:v>
      </x:c>
      <x:c r="AK59" s="68" t="str">
        <x:v>寅卯辰齐全但金强木弱，先记候选。</x:v>
      </x:c>
      <x:c r="AL59" s="90" t="str">
        <x:v>三支齐全即无条件会成木局。</x:v>
      </x:c>
      <x:c r="AM59" s="82" t="str">
        <x:v>采用</x:v>
      </x:c>
      <x:c r="AN59" s="82" t="str">
        <x:v>初审</x:v>
      </x:c>
      <x:c r="AO59" s="87" t="n">
        <x:v>46255</x:v>
      </x:c>
    </x:row>
    <x:row r="60">
      <x:c r="A60" s="72" t="str">
        <x:f>IF(OR(C60="",D60=""),"",B60&amp;"-"&amp;UPPER(C60)&amp;"-"&amp;TEXT(D60,"0000")&amp;"-"&amp;E60)</x:f>
        <x:v>M06-SANHUI-0054-V1.0</x:v>
      </x:c>
      <x:c r="B60" s="74" t="str">
        <x:v>M06</x:v>
      </x:c>
      <x:c r="C60" s="74" t="str">
        <x:v>SANHUI</x:v>
      </x:c>
      <x:c r="D60" s="79" t="n">
        <x:v>54</x:v>
      </x:c>
      <x:c r="E60" s="74" t="str">
        <x:v>V1.0</x:v>
      </x:c>
      <x:c r="F60" s="68" t="str">
        <x:v>亥子丑三会水方的成立方向</x:v>
      </x:c>
      <x:c r="G60" s="82" t="str">
        <x:v>效应层</x:v>
      </x:c>
      <x:c r="H60" s="68" t="str">
        <x:v>M05-SANHUI-0023-V1.0</x:v>
      </x:c>
      <x:c r="I60" s="82" t="str">
        <x:v>三会</x:v>
      </x:c>
      <x:c r="J60" s="68" t="str">
        <x:v>亥、子、丑</x:v>
      </x:c>
      <x:c r="K60" s="68" t="str">
        <x:v>三支及水方局</x:v>
      </x:c>
      <x:c r="L60" s="82" t="str">
        <x:v>逐对象比较得令、得地、得势与相对强弱</x:v>
      </x:c>
      <x:c r="M60" s="68" t="str">
        <x:v>记录参与对象中谁得令、谁受季节支持</x:v>
      </x:c>
      <x:c r="N60" s="68" t="str">
        <x:v>记录明干及相关藏干的透出通道</x:v>
      </x:c>
      <x:c r="O60" s="68" t="str">
        <x:v>记录各对象根气层级、数量及是否唯一根</x:v>
      </x:c>
      <x:c r="P60" s="68" t="str">
        <x:v>检查同节点的合、冲、刑、害、破、会及生克</x:v>
      </x:c>
      <x:c r="Q60" s="82" t="str">
        <x:v>合化</x:v>
      </x:c>
      <x:c r="R60" s="82" t="str">
        <x:v>转化</x:v>
      </x:c>
      <x:c r="S60" s="82" t="str">
        <x:v>决定性</x:v>
      </x:c>
      <x:c r="T60" s="82" t="str">
        <x:v>条件性</x:v>
      </x:c>
      <x:c r="U60" s="82" t="str">
        <x:v>条件性</x:v>
      </x:c>
      <x:c r="V60" s="82" t="str">
        <x:v>条件性</x:v>
      </x:c>
      <x:c r="W60" s="82" t="str">
        <x:v>是</x:v>
      </x:c>
      <x:c r="X60" s="82" t="str">
        <x:v>条件性</x:v>
      </x:c>
      <x:c r="Y60" s="68" t="str">
        <x:v>三支连续方气向水集中</x:v>
      </x:c>
      <x:c r="Z60" s="68" t="str">
        <x:v>M04/M05已识别关系，柱位、完整度与参与对象已标准化</x:v>
      </x:c>
      <x:c r="AA60" s="68" t="str">
        <x:v>三支齐全，水得令成势并有透达通道</x:v>
      </x:c>
      <x:c r="AB60" s="68" t="str">
        <x:v>冬令、水透根强且无厚土阻断</x:v>
      </x:c>
      <x:c r="AC60" s="68" t="str">
        <x:v>水失令无根、关键支受重冲或被更强关系牵走</x:v>
      </x:c>
      <x:c r="AD60" s="90" t="str">
        <x:v>水被强力反制且无救；三支虽齐但方气不成势</x:v>
      </x:c>
      <x:c r="AE60" s="68" t="str">
        <x:v>仅有方气趋向时不改写三支全部性质</x:v>
      </x:c>
      <x:c r="AF60" s="84" t="str">
        <x:v>亥、子、丑齐全且冬令、水透根强且无厚土阻断时，水方局效应明显；否则只保留方气趋向。</x:v>
      </x:c>
      <x:c r="AG60" s="84" t="str">
        <x:v>亥、子、丑三会水方条件成立，三支主要有效力量向水集中。</x:v>
      </x:c>
      <x:c r="AH60" s="82" t="str">
        <x:v>较高</x:v>
      </x:c>
      <x:c r="AI60" s="82" t="str">
        <x:v>现代综合</x:v>
      </x:c>
      <x:c r="AJ60" s="68" t="str">
        <x:v>三会的核心是季节方气连续成势。参考：https://zh.wikisource.org/zh-hans/淵海子平；https://zh.wikisource.org/wiki/三命通會/卷二</x:v>
      </x:c>
      <x:c r="AK60" s="68" t="str">
        <x:v>亥、子、丑齐全并满足冬令、水透根强且无厚土阻断，可判水方局明显。</x:v>
      </x:c>
      <x:c r="AL60" s="90" t="str">
        <x:v>亥、子、丑齐全但水失令无势仍判决定性会局。</x:v>
      </x:c>
      <x:c r="AM60" s="82" t="str">
        <x:v>采用</x:v>
      </x:c>
      <x:c r="AN60" s="82" t="str">
        <x:v>初审</x:v>
      </x:c>
      <x:c r="AO60" s="87" t="n">
        <x:v>46255</x:v>
      </x:c>
    </x:row>
    <x:row r="61">
      <x:c r="A61" s="72" t="str">
        <x:f>IF(OR(C61="",D61=""),"",B61&amp;"-"&amp;UPPER(C61)&amp;"-"&amp;TEXT(D61,"0000")&amp;"-"&amp;E61)</x:f>
        <x:v>M06-SANHUI-0055-V1.0</x:v>
      </x:c>
      <x:c r="B61" s="74" t="str">
        <x:v>M06</x:v>
      </x:c>
      <x:c r="C61" s="74" t="str">
        <x:v>SANHUI</x:v>
      </x:c>
      <x:c r="D61" s="79" t="n">
        <x:v>55</x:v>
      </x:c>
      <x:c r="E61" s="74" t="str">
        <x:v>V1.0</x:v>
      </x:c>
      <x:c r="F61" s="68" t="str">
        <x:v>寅卯辰三会木方的成立方向</x:v>
      </x:c>
      <x:c r="G61" s="82" t="str">
        <x:v>效应层</x:v>
      </x:c>
      <x:c r="H61" s="68" t="str">
        <x:v>M05-SANHUI-0024-V1.0</x:v>
      </x:c>
      <x:c r="I61" s="82" t="str">
        <x:v>三会</x:v>
      </x:c>
      <x:c r="J61" s="68" t="str">
        <x:v>寅、卯、辰</x:v>
      </x:c>
      <x:c r="K61" s="68" t="str">
        <x:v>三支及木方局</x:v>
      </x:c>
      <x:c r="L61" s="82" t="str">
        <x:v>逐对象比较得令、得地、得势与相对强弱</x:v>
      </x:c>
      <x:c r="M61" s="68" t="str">
        <x:v>记录参与对象中谁得令、谁受季节支持</x:v>
      </x:c>
      <x:c r="N61" s="68" t="str">
        <x:v>记录明干及相关藏干的透出通道</x:v>
      </x:c>
      <x:c r="O61" s="68" t="str">
        <x:v>记录各对象根气层级、数量及是否唯一根</x:v>
      </x:c>
      <x:c r="P61" s="68" t="str">
        <x:v>检查同节点的合、冲、刑、害、破、会及生克</x:v>
      </x:c>
      <x:c r="Q61" s="82" t="str">
        <x:v>合化</x:v>
      </x:c>
      <x:c r="R61" s="82" t="str">
        <x:v>转化</x:v>
      </x:c>
      <x:c r="S61" s="82" t="str">
        <x:v>决定性</x:v>
      </x:c>
      <x:c r="T61" s="82" t="str">
        <x:v>条件性</x:v>
      </x:c>
      <x:c r="U61" s="82" t="str">
        <x:v>条件性</x:v>
      </x:c>
      <x:c r="V61" s="82" t="str">
        <x:v>条件性</x:v>
      </x:c>
      <x:c r="W61" s="82" t="str">
        <x:v>是</x:v>
      </x:c>
      <x:c r="X61" s="82" t="str">
        <x:v>条件性</x:v>
      </x:c>
      <x:c r="Y61" s="68" t="str">
        <x:v>三支连续方气向木集中</x:v>
      </x:c>
      <x:c r="Z61" s="68" t="str">
        <x:v>M04/M05已识别关系，柱位、完整度与参与对象已标准化</x:v>
      </x:c>
      <x:c r="AA61" s="68" t="str">
        <x:v>三支齐全，木得令成势并有透达通道</x:v>
      </x:c>
      <x:c r="AB61" s="68" t="str">
        <x:v>春令、木透根强且无强金伐木</x:v>
      </x:c>
      <x:c r="AC61" s="68" t="str">
        <x:v>木失令无根、关键支受重冲或被更强关系牵走</x:v>
      </x:c>
      <x:c r="AD61" s="90" t="str">
        <x:v>木被强力反制且无救；三支虽齐但方气不成势</x:v>
      </x:c>
      <x:c r="AE61" s="68" t="str">
        <x:v>仅有方气趋向时不改写三支全部性质</x:v>
      </x:c>
      <x:c r="AF61" s="84" t="str">
        <x:v>寅、卯、辰齐全且春令、木透根强且无强金伐木时，木方局效应明显；否则只保留方气趋向。</x:v>
      </x:c>
      <x:c r="AG61" s="84" t="str">
        <x:v>寅、卯、辰三会木方条件成立，三支主要有效力量向木集中。</x:v>
      </x:c>
      <x:c r="AH61" s="82" t="str">
        <x:v>较高</x:v>
      </x:c>
      <x:c r="AI61" s="82" t="str">
        <x:v>现代综合</x:v>
      </x:c>
      <x:c r="AJ61" s="68" t="str">
        <x:v>三会的核心是季节方气连续成势。参考：https://zh.wikisource.org/zh-hans/淵海子平；https://zh.wikisource.org/wiki/三命通會/卷二</x:v>
      </x:c>
      <x:c r="AK61" s="68" t="str">
        <x:v>寅、卯、辰齐全并满足春令、木透根强且无强金伐木，可判木方局明显。</x:v>
      </x:c>
      <x:c r="AL61" s="90" t="str">
        <x:v>寅、卯、辰齐全但木失令无势仍判决定性会局。</x:v>
      </x:c>
      <x:c r="AM61" s="82" t="str">
        <x:v>采用</x:v>
      </x:c>
      <x:c r="AN61" s="82" t="str">
        <x:v>初审</x:v>
      </x:c>
      <x:c r="AO61" s="87" t="n">
        <x:v>46255</x:v>
      </x:c>
    </x:row>
    <x:row r="62">
      <x:c r="A62" s="72" t="str">
        <x:f>IF(OR(C62="",D62=""),"",B62&amp;"-"&amp;UPPER(C62)&amp;"-"&amp;TEXT(D62,"0000")&amp;"-"&amp;E62)</x:f>
        <x:v>M06-SANHUI-0056-V1.0</x:v>
      </x:c>
      <x:c r="B62" s="74" t="str">
        <x:v>M06</x:v>
      </x:c>
      <x:c r="C62" s="74" t="str">
        <x:v>SANHUI</x:v>
      </x:c>
      <x:c r="D62" s="79" t="n">
        <x:v>56</x:v>
      </x:c>
      <x:c r="E62" s="74" t="str">
        <x:v>V1.0</x:v>
      </x:c>
      <x:c r="F62" s="68" t="str">
        <x:v>巳午未三会火方的成立方向</x:v>
      </x:c>
      <x:c r="G62" s="82" t="str">
        <x:v>效应层</x:v>
      </x:c>
      <x:c r="H62" s="68" t="str">
        <x:v>M05-SANHUI-0025-V1.0</x:v>
      </x:c>
      <x:c r="I62" s="82" t="str">
        <x:v>三会</x:v>
      </x:c>
      <x:c r="J62" s="68" t="str">
        <x:v>巳、午、未</x:v>
      </x:c>
      <x:c r="K62" s="68" t="str">
        <x:v>三支及火方局</x:v>
      </x:c>
      <x:c r="L62" s="82" t="str">
        <x:v>逐对象比较得令、得地、得势与相对强弱</x:v>
      </x:c>
      <x:c r="M62" s="68" t="str">
        <x:v>记录参与对象中谁得令、谁受季节支持</x:v>
      </x:c>
      <x:c r="N62" s="68" t="str">
        <x:v>记录明干及相关藏干的透出通道</x:v>
      </x:c>
      <x:c r="O62" s="68" t="str">
        <x:v>记录各对象根气层级、数量及是否唯一根</x:v>
      </x:c>
      <x:c r="P62" s="68" t="str">
        <x:v>检查同节点的合、冲、刑、害、破、会及生克</x:v>
      </x:c>
      <x:c r="Q62" s="82" t="str">
        <x:v>合化</x:v>
      </x:c>
      <x:c r="R62" s="82" t="str">
        <x:v>转化</x:v>
      </x:c>
      <x:c r="S62" s="82" t="str">
        <x:v>决定性</x:v>
      </x:c>
      <x:c r="T62" s="82" t="str">
        <x:v>条件性</x:v>
      </x:c>
      <x:c r="U62" s="82" t="str">
        <x:v>条件性</x:v>
      </x:c>
      <x:c r="V62" s="82" t="str">
        <x:v>条件性</x:v>
      </x:c>
      <x:c r="W62" s="82" t="str">
        <x:v>是</x:v>
      </x:c>
      <x:c r="X62" s="82" t="str">
        <x:v>条件性</x:v>
      </x:c>
      <x:c r="Y62" s="68" t="str">
        <x:v>三支连续方气向火集中</x:v>
      </x:c>
      <x:c r="Z62" s="68" t="str">
        <x:v>M04/M05已识别关系，柱位、完整度与参与对象已标准化</x:v>
      </x:c>
      <x:c r="AA62" s="68" t="str">
        <x:v>三支齐全，火得令成势并有透达通道</x:v>
      </x:c>
      <x:c r="AB62" s="68" t="str">
        <x:v>夏令、火透根强且无强水制火</x:v>
      </x:c>
      <x:c r="AC62" s="68" t="str">
        <x:v>火失令无根、关键支受重冲或被更强关系牵走</x:v>
      </x:c>
      <x:c r="AD62" s="90" t="str">
        <x:v>火被强力反制且无救；三支虽齐但方气不成势</x:v>
      </x:c>
      <x:c r="AE62" s="68" t="str">
        <x:v>仅有方气趋向时不改写三支全部性质</x:v>
      </x:c>
      <x:c r="AF62" s="84" t="str">
        <x:v>巳、午、未齐全且夏令、火透根强且无强水制火时，火方局效应明显；否则只保留方气趋向。</x:v>
      </x:c>
      <x:c r="AG62" s="84" t="str">
        <x:v>巳、午、未三会火方条件成立，三支主要有效力量向火集中。</x:v>
      </x:c>
      <x:c r="AH62" s="82" t="str">
        <x:v>较高</x:v>
      </x:c>
      <x:c r="AI62" s="82" t="str">
        <x:v>现代综合</x:v>
      </x:c>
      <x:c r="AJ62" s="68" t="str">
        <x:v>三会的核心是季节方气连续成势。参考：https://zh.wikisource.org/zh-hans/淵海子平；https://zh.wikisource.org/wiki/三命通會/卷二</x:v>
      </x:c>
      <x:c r="AK62" s="68" t="str">
        <x:v>巳、午、未齐全并满足夏令、火透根强且无强水制火，可判火方局明显。</x:v>
      </x:c>
      <x:c r="AL62" s="90" t="str">
        <x:v>巳、午、未齐全但火失令无势仍判决定性会局。</x:v>
      </x:c>
      <x:c r="AM62" s="82" t="str">
        <x:v>采用</x:v>
      </x:c>
      <x:c r="AN62" s="82" t="str">
        <x:v>初审</x:v>
      </x:c>
      <x:c r="AO62" s="87" t="n">
        <x:v>46255</x:v>
      </x:c>
    </x:row>
    <x:row r="63">
      <x:c r="A63" s="72" t="str">
        <x:f>IF(OR(C63="",D63=""),"",B63&amp;"-"&amp;UPPER(C63)&amp;"-"&amp;TEXT(D63,"0000")&amp;"-"&amp;E63)</x:f>
        <x:v>M06-SANHUI-0057-V1.0</x:v>
      </x:c>
      <x:c r="B63" s="74" t="str">
        <x:v>M06</x:v>
      </x:c>
      <x:c r="C63" s="74" t="str">
        <x:v>SANHUI</x:v>
      </x:c>
      <x:c r="D63" s="79" t="n">
        <x:v>57</x:v>
      </x:c>
      <x:c r="E63" s="74" t="str">
        <x:v>V1.0</x:v>
      </x:c>
      <x:c r="F63" s="68" t="str">
        <x:v>申酉戌三会金方的成立方向</x:v>
      </x:c>
      <x:c r="G63" s="82" t="str">
        <x:v>效应层</x:v>
      </x:c>
      <x:c r="H63" s="68" t="str">
        <x:v>M05-SANHUI-0026-V1.0</x:v>
      </x:c>
      <x:c r="I63" s="82" t="str">
        <x:v>三会</x:v>
      </x:c>
      <x:c r="J63" s="68" t="str">
        <x:v>申、酉、戌</x:v>
      </x:c>
      <x:c r="K63" s="68" t="str">
        <x:v>三支及金方局</x:v>
      </x:c>
      <x:c r="L63" s="82" t="str">
        <x:v>逐对象比较得令、得地、得势与相对强弱</x:v>
      </x:c>
      <x:c r="M63" s="68" t="str">
        <x:v>记录参与对象中谁得令、谁受季节支持</x:v>
      </x:c>
      <x:c r="N63" s="68" t="str">
        <x:v>记录明干及相关藏干的透出通道</x:v>
      </x:c>
      <x:c r="O63" s="68" t="str">
        <x:v>记录各对象根气层级、数量及是否唯一根</x:v>
      </x:c>
      <x:c r="P63" s="68" t="str">
        <x:v>检查同节点的合、冲、刑、害、破、会及生克</x:v>
      </x:c>
      <x:c r="Q63" s="82" t="str">
        <x:v>合化</x:v>
      </x:c>
      <x:c r="R63" s="82" t="str">
        <x:v>转化</x:v>
      </x:c>
      <x:c r="S63" s="82" t="str">
        <x:v>决定性</x:v>
      </x:c>
      <x:c r="T63" s="82" t="str">
        <x:v>条件性</x:v>
      </x:c>
      <x:c r="U63" s="82" t="str">
        <x:v>条件性</x:v>
      </x:c>
      <x:c r="V63" s="82" t="str">
        <x:v>条件性</x:v>
      </x:c>
      <x:c r="W63" s="82" t="str">
        <x:v>是</x:v>
      </x:c>
      <x:c r="X63" s="82" t="str">
        <x:v>条件性</x:v>
      </x:c>
      <x:c r="Y63" s="68" t="str">
        <x:v>三支连续方气向金集中</x:v>
      </x:c>
      <x:c r="Z63" s="68" t="str">
        <x:v>M04/M05已识别关系，柱位、完整度与参与对象已标准化</x:v>
      </x:c>
      <x:c r="AA63" s="68" t="str">
        <x:v>三支齐全，金得令成势并有透达通道</x:v>
      </x:c>
      <x:c r="AB63" s="68" t="str">
        <x:v>秋令、金透根强且无强火制金</x:v>
      </x:c>
      <x:c r="AC63" s="68" t="str">
        <x:v>金失令无根、关键支受重冲或被更强关系牵走</x:v>
      </x:c>
      <x:c r="AD63" s="90" t="str">
        <x:v>金被强力反制且无救；三支虽齐但方气不成势</x:v>
      </x:c>
      <x:c r="AE63" s="68" t="str">
        <x:v>仅有方气趋向时不改写三支全部性质</x:v>
      </x:c>
      <x:c r="AF63" s="84" t="str">
        <x:v>申、酉、戌齐全且秋令、金透根强且无强火制金时，金方局效应明显；否则只保留方气趋向。</x:v>
      </x:c>
      <x:c r="AG63" s="84" t="str">
        <x:v>申、酉、戌三会金方条件成立，三支主要有效力量向金集中。</x:v>
      </x:c>
      <x:c r="AH63" s="82" t="str">
        <x:v>较高</x:v>
      </x:c>
      <x:c r="AI63" s="82" t="str">
        <x:v>现代综合</x:v>
      </x:c>
      <x:c r="AJ63" s="68" t="str">
        <x:v>三会的核心是季节方气连续成势。参考：https://zh.wikisource.org/zh-hans/淵海子平；https://zh.wikisource.org/wiki/三命通會/卷二</x:v>
      </x:c>
      <x:c r="AK63" s="68" t="str">
        <x:v>申、酉、戌齐全并满足秋令、金透根强且无强火制金，可判金方局明显。</x:v>
      </x:c>
      <x:c r="AL63" s="90" t="str">
        <x:v>申、酉、戌齐全但金失令无势仍判决定性会局。</x:v>
      </x:c>
      <x:c r="AM63" s="82" t="str">
        <x:v>采用</x:v>
      </x:c>
      <x:c r="AN63" s="82" t="str">
        <x:v>初审</x:v>
      </x:c>
      <x:c r="AO63" s="87" t="n">
        <x:v>46255</x:v>
      </x:c>
    </x:row>
    <x:row r="64">
      <x:c r="A64" s="72" t="str">
        <x:f>IF(OR(C64="",D64=""),"",B64&amp;"-"&amp;UPPER(C64)&amp;"-"&amp;TEXT(D64,"0000")&amp;"-"&amp;E64)</x:f>
        <x:v>M06-SANHUI-0058-V1.0</x:v>
      </x:c>
      <x:c r="B64" s="74" t="str">
        <x:v>M06</x:v>
      </x:c>
      <x:c r="C64" s="74" t="str">
        <x:v>SANHUI</x:v>
      </x:c>
      <x:c r="D64" s="79" t="n">
        <x:v>58</x:v>
      </x:c>
      <x:c r="E64" s="74" t="str">
        <x:v>V1.0</x:v>
      </x:c>
      <x:c r="F64" s="68" t="str">
        <x:v>三会成势通常优先牵引同节点的局部六合半合</x:v>
      </x:c>
      <x:c r="G64" s="82" t="str">
        <x:v>效应层</x:v>
      </x:c>
      <x:c r="H64" s="68" t="str">
        <x:v>M05-SANHUI-0023-V1.0—M05-SANHUI-0026-V1.0；M05-OVER-0068-V1.0</x:v>
      </x:c>
      <x:c r="I64" s="82" t="str">
        <x:v>其他</x:v>
      </x:c>
      <x:c r="J64" s="68" t="str">
        <x:v>三会成员及其六合半合关系</x:v>
      </x:c>
      <x:c r="K64" s="68" t="str">
        <x:v>共享地支归属</x:v>
      </x:c>
      <x:c r="L64" s="82" t="str">
        <x:v>逐对象比较得令、得地、得势与相对强弱</x:v>
      </x:c>
      <x:c r="M64" s="68" t="str">
        <x:v>记录参与对象中谁得令、谁受季节支持</x:v>
      </x:c>
      <x:c r="N64" s="68" t="str">
        <x:v>记录明干及相关藏干的透出通道</x:v>
      </x:c>
      <x:c r="O64" s="68" t="str">
        <x:v>记录各对象根气层级、数量及是否唯一根</x:v>
      </x:c>
      <x:c r="P64" s="68" t="str">
        <x:v>检查同节点的合、冲、刑、害、破、会及生克</x:v>
      </x:c>
      <x:c r="Q64" s="82" t="str">
        <x:v>合化</x:v>
      </x:c>
      <x:c r="R64" s="82" t="str">
        <x:v>转化</x:v>
      </x:c>
      <x:c r="S64" s="82" t="str">
        <x:v>强</x:v>
      </x:c>
      <x:c r="T64" s="82" t="str">
        <x:v>否</x:v>
      </x:c>
      <x:c r="U64" s="82" t="str">
        <x:v>条件性</x:v>
      </x:c>
      <x:c r="V64" s="82" t="str">
        <x:v>条件性</x:v>
      </x:c>
      <x:c r="W64" s="82" t="str">
        <x:v>条件性</x:v>
      </x:c>
      <x:c r="X64" s="82" t="str">
        <x:v>条件性</x:v>
      </x:c>
      <x:c r="Y64" s="68" t="str">
        <x:v>可能改变原有生克路径，须在M12复核</x:v>
      </x:c>
      <x:c r="Z64" s="68" t="str">
        <x:v>M04/M05已识别关系，柱位、完整度与参与对象已标准化</x:v>
      </x:c>
      <x:c r="AA64" s="68" t="str">
        <x:v>三会已通过成势条件，局部关系未另有更强证据</x:v>
      </x:c>
      <x:c r="AB64" s="68" t="str">
        <x:v>关系相邻、得令、得地、成势且无强力反制</x:v>
      </x:c>
      <x:c r="AC64" s="68" t="str">
        <x:v>遥隔、争合、节点被其他关系牵制或双方各有强根</x:v>
      </x:c>
      <x:c r="AD64" s="90" t="str">
        <x:v>仅凭关系名称不得直接判性质改变、归零或固定吉凶</x:v>
      </x:c>
      <x:c r="AE64" s="68" t="str">
        <x:v>特殊格局或岁运动态补齐须另建实例重新裁决</x:v>
      </x:c>
      <x:c r="AF64" s="84" t="str">
        <x:v>三会若得令成势，连续方气通常比单一六合、半合更能主导共享节点；但不得预设，仍需比较冲破与月令。</x:v>
      </x:c>
      <x:c r="AG64" s="84" t="str">
        <x:v>三会方气成势，共享节点优先归入方局；其他合关系降为次级。</x:v>
      </x:c>
      <x:c r="AH64" s="82" t="str">
        <x:v>中等</x:v>
      </x:c>
      <x:c r="AI64" s="82" t="str">
        <x:v>现代综合</x:v>
      </x:c>
      <x:c r="AJ64" s="68" t="str">
        <x:v>多重会合须按气势与完整性裁决。参考：https://ctext.org/wiki.pl?chapter=974137&amp;if=gb&amp;remap=gb</x:v>
      </x:c>
      <x:c r="AK64" s="68" t="str">
        <x:v>巳午未会火成势时，午未六合可并入火方解释而不独立主导。</x:v>
      </x:c>
      <x:c r="AL64" s="90" t="str">
        <x:v>三会未成势却无条件压过所有六合。</x:v>
      </x:c>
      <x:c r="AM64" s="82" t="str">
        <x:v>采用</x:v>
      </x:c>
      <x:c r="AN64" s="82" t="str">
        <x:v>初审</x:v>
      </x:c>
      <x:c r="AO64" s="87" t="n">
        <x:v>46255</x:v>
      </x:c>
    </x:row>
    <x:row r="65">
      <x:c r="A65" s="72" t="str">
        <x:f>IF(OR(C65="",D65=""),"",B65&amp;"-"&amp;UPPER(C65)&amp;"-"&amp;TEXT(D65,"0000")&amp;"-"&amp;E65)</x:f>
        <x:v>M06-BANGONG-0059-V1.0</x:v>
      </x:c>
      <x:c r="B65" s="74" t="str">
        <x:v>M06</x:v>
      </x:c>
      <x:c r="C65" s="74" t="str">
        <x:v>BANGONG</x:v>
      </x:c>
      <x:c r="D65" s="79" t="n">
        <x:v>59</x:v>
      </x:c>
      <x:c r="E65" s="74" t="str">
        <x:v>V1.0</x:v>
      </x:c>
      <x:c r="F65" s="68" t="str">
        <x:v>含中神的半合通常强于缺中神的拱合</x:v>
      </x:c>
      <x:c r="G65" s="82" t="str">
        <x:v>效应层</x:v>
      </x:c>
      <x:c r="H65" s="68" t="str">
        <x:v>M05-BANHE-0011-V1.0—M05-BANHE-0018-V1.0；M05-GONGHE-0019-V1.0—M05-GONGHE-0022-V1.0</x:v>
      </x:c>
      <x:c r="I65" s="82" t="str">
        <x:v>其他</x:v>
      </x:c>
      <x:c r="J65" s="68" t="str">
        <x:v>同一三合体系的半合与拱合</x:v>
      </x:c>
      <x:c r="K65" s="68" t="str">
        <x:v>局气趋向</x:v>
      </x:c>
      <x:c r="L65" s="82" t="str">
        <x:v>逐对象比较得令、得地、得势与相对强弱</x:v>
      </x:c>
      <x:c r="M65" s="68" t="str">
        <x:v>记录参与对象中谁得令、谁受季节支持</x:v>
      </x:c>
      <x:c r="N65" s="68" t="str">
        <x:v>记录明干及相关藏干的透出通道</x:v>
      </x:c>
      <x:c r="O65" s="68" t="str">
        <x:v>记录各对象根气层级、数量及是否唯一根</x:v>
      </x:c>
      <x:c r="P65" s="68" t="str">
        <x:v>检查同节点的合、冲、刑、害、破、会及生克</x:v>
      </x:c>
      <x:c r="Q65" s="82" t="str">
        <x:v>合动</x:v>
      </x:c>
      <x:c r="R65" s="82" t="str">
        <x:v>增强</x:v>
      </x:c>
      <x:c r="S65" s="82" t="str">
        <x:v>中</x:v>
      </x:c>
      <x:c r="T65" s="82" t="str">
        <x:v>否</x:v>
      </x:c>
      <x:c r="U65" s="82" t="str">
        <x:v>否</x:v>
      </x:c>
      <x:c r="V65" s="82" t="str">
        <x:v>条件性</x:v>
      </x:c>
      <x:c r="W65" s="82" t="str">
        <x:v>条件性</x:v>
      </x:c>
      <x:c r="X65" s="82" t="str">
        <x:v>条件性</x:v>
      </x:c>
      <x:c r="Y65" s="68" t="str">
        <x:v>可能改变原有生克路径，须在M12复核</x:v>
      </x:c>
      <x:c r="Z65" s="68" t="str">
        <x:v>M04/M05已识别关系，柱位、完整度与参与对象已标准化</x:v>
      </x:c>
      <x:c r="AA65" s="68" t="str">
        <x:v>必须指向具体作用对象，并比较各方力量、根气和通道</x:v>
      </x:c>
      <x:c r="AB65" s="68" t="str">
        <x:v>关系相邻、得令、得地、成势且无强力反制</x:v>
      </x:c>
      <x:c r="AC65" s="68" t="str">
        <x:v>遥隔、争合、节点被其他关系牵制或双方各有强根</x:v>
      </x:c>
      <x:c r="AD65" s="90" t="str">
        <x:v>仅凭关系名称不得直接判性质改变、归零或固定吉凶</x:v>
      </x:c>
      <x:c r="AE65" s="68" t="str">
        <x:v>特殊格局或岁运动态补齐须另建实例重新裁决</x:v>
      </x:c>
      <x:c r="AF65" s="84" t="str">
        <x:v>半合包含中神，局气支点较明确；拱合缺中神，通常只能作为较弱趋向。两者均不等于完整三合。</x:v>
      </x:c>
      <x:c r="AG65" s="84" t="str">
        <x:v>该两支关系按半合或拱合分级：含中神者作用较强，缺中神者只记弱趋向。</x:v>
      </x:c>
      <x:c r="AH65" s="82" t="str">
        <x:v>较高</x:v>
      </x:c>
      <x:c r="AI65" s="82" t="str">
        <x:v>现代综合</x:v>
      </x:c>
      <x:c r="AJ65" s="68" t="str">
        <x:v>中神是三合局的核心，不应把拱合与半合等量处理。参考：https://zh.wikisource.org/zh-hans/淵海子平；https://zh.wikisource.org/wiki/三命通會/卷二</x:v>
      </x:c>
      <x:c r="AK65" s="68" t="str">
        <x:v>申子半合水通常比申辰拱水更有直接水意。</x:v>
      </x:c>
      <x:c r="AL65" s="90" t="str">
        <x:v>申子与申辰一律判同等水局。</x:v>
      </x:c>
      <x:c r="AM65" s="82" t="str">
        <x:v>采用</x:v>
      </x:c>
      <x:c r="AN65" s="82" t="str">
        <x:v>初审</x:v>
      </x:c>
      <x:c r="AO65" s="87" t="n">
        <x:v>46255</x:v>
      </x:c>
    </x:row>
    <x:row r="66">
      <x:c r="A66" s="72" t="str">
        <x:f>IF(OR(C66="",D66=""),"",B66&amp;"-"&amp;UPPER(C66)&amp;"-"&amp;TEXT(D66,"0000")&amp;"-"&amp;E66)</x:f>
        <x:v>M06-BANGONG-0060-V1.0</x:v>
      </x:c>
      <x:c r="B66" s="74" t="str">
        <x:v>M06</x:v>
      </x:c>
      <x:c r="C66" s="74" t="str">
        <x:v>BANGONG</x:v>
      </x:c>
      <x:c r="D66" s="79" t="n">
        <x:v>60</x:v>
      </x:c>
      <x:c r="E66" s="74" t="str">
        <x:v>V1.0</x:v>
      </x:c>
      <x:c r="F66" s="68" t="str">
        <x:v>半合中神得令可形成明显局气</x:v>
      </x:c>
      <x:c r="G66" s="82" t="str">
        <x:v>效应层</x:v>
      </x:c>
      <x:c r="H66" s="68" t="str">
        <x:v>M05-BANHE-0011-V1.0—M05-BANHE-0018-V1.0</x:v>
      </x:c>
      <x:c r="I66" s="82" t="str">
        <x:v>半合</x:v>
      </x:c>
      <x:c r="J66" s="68" t="str">
        <x:v>含中神的两支</x:v>
      </x:c>
      <x:c r="K66" s="68" t="str">
        <x:v>中神与候选局气</x:v>
      </x:c>
      <x:c r="L66" s="82" t="str">
        <x:v>逐对象比较得令、得地、得势与相对强弱</x:v>
      </x:c>
      <x:c r="M66" s="68" t="str">
        <x:v>记录参与对象中谁得令、谁受季节支持</x:v>
      </x:c>
      <x:c r="N66" s="68" t="str">
        <x:v>记录明干及相关藏干的透出通道</x:v>
      </x:c>
      <x:c r="O66" s="68" t="str">
        <x:v>记录各对象根气层级、数量及是否唯一根</x:v>
      </x:c>
      <x:c r="P66" s="68" t="str">
        <x:v>检查同节点的合、冲、刑、害、破、会及生克</x:v>
      </x:c>
      <x:c r="Q66" s="82" t="str">
        <x:v>激活</x:v>
      </x:c>
      <x:c r="R66" s="82" t="str">
        <x:v>增强</x:v>
      </x:c>
      <x:c r="S66" s="82" t="str">
        <x:v>强</x:v>
      </x:c>
      <x:c r="T66" s="82" t="str">
        <x:v>条件性</x:v>
      </x:c>
      <x:c r="U66" s="82" t="str">
        <x:v>条件性</x:v>
      </x:c>
      <x:c r="V66" s="82" t="str">
        <x:v>条件性</x:v>
      </x:c>
      <x:c r="W66" s="82" t="str">
        <x:v>是</x:v>
      </x:c>
      <x:c r="X66" s="82" t="str">
        <x:v>条件性</x:v>
      </x:c>
      <x:c r="Y66" s="68" t="str">
        <x:v>可能改变原有生克路径，须在M12复核</x:v>
      </x:c>
      <x:c r="Z66" s="68" t="str">
        <x:v>M04/M05已识别关系，柱位、完整度与参与对象已标准化</x:v>
      </x:c>
      <x:c r="AA66" s="68" t="str">
        <x:v>中神有效且局气有透达通道</x:v>
      </x:c>
      <x:c r="AB66" s="68" t="str">
        <x:v>关系相邻、得令、得地、成势且无强力反制</x:v>
      </x:c>
      <x:c r="AC66" s="68" t="str">
        <x:v>遥隔、争合、节点被其他关系牵制或双方各有强根</x:v>
      </x:c>
      <x:c r="AD66" s="90" t="str">
        <x:v>仅凭关系名称不得直接判性质改变、归零或固定吉凶</x:v>
      </x:c>
      <x:c r="AE66" s="68" t="str">
        <x:v>特殊格局或岁运动态补齐须另建实例重新裁决</x:v>
      </x:c>
      <x:c r="AF66" s="84" t="str">
        <x:v>半合中的中神临月令、局气透干有根时，可形成明显的局部成势，但仍不能自动等同完整三合。</x:v>
      </x:c>
      <x:c r="AG66" s="84" t="str">
        <x:v>半合中神得令，局气明显增强；输出为强半合或局部成势，不标完整三合。</x:v>
      </x:c>
      <x:c r="AH66" s="82" t="str">
        <x:v>较高</x:v>
      </x:c>
      <x:c r="AI66" s="82" t="str">
        <x:v>现代综合</x:v>
      </x:c>
      <x:c r="AJ66" s="68" t="str">
        <x:v>半合强弱由中神与局气承载决定。参考：https://zh.wikisource.org/zh-hans/淵海子平；https://zh.wikisource.org/wiki/三命通會/卷二</x:v>
      </x:c>
      <x:c r="AK66" s="68" t="str">
        <x:v>申子半合且子临月令、壬透有根，水意明显。</x:v>
      </x:c>
      <x:c r="AL66" s="90" t="str">
        <x:v>中神失令受冲仍按完整三合局。</x:v>
      </x:c>
      <x:c r="AM66" s="82" t="str">
        <x:v>采用</x:v>
      </x:c>
      <x:c r="AN66" s="82" t="str">
        <x:v>初审</x:v>
      </x:c>
      <x:c r="AO66" s="87" t="n">
        <x:v>46255</x:v>
      </x:c>
    </x:row>
    <x:row r="67">
      <x:c r="A67" s="72" t="str">
        <x:f>IF(OR(C67="",D67=""),"",B67&amp;"-"&amp;UPPER(C67)&amp;"-"&amp;TEXT(D67,"0000")&amp;"-"&amp;E67)</x:f>
        <x:v>M06-BANGONG-0061-V1.0</x:v>
      </x:c>
      <x:c r="B67" s="74" t="str">
        <x:v>M06</x:v>
      </x:c>
      <x:c r="C67" s="74" t="str">
        <x:v>BANGONG</x:v>
      </x:c>
      <x:c r="D67" s="79" t="n">
        <x:v>61</x:v>
      </x:c>
      <x:c r="E67" s="74" t="str">
        <x:v>V1.0</x:v>
      </x:c>
      <x:c r="F67" s="68" t="str">
        <x:v>半合无中神支持或受强克时只保留弱趋向</x:v>
      </x:c>
      <x:c r="G67" s="82" t="str">
        <x:v>效应层</x:v>
      </x:c>
      <x:c r="H67" s="68" t="str">
        <x:v>M05-BANHE-0011-V1.0—M05-BANHE-0018-V1.0</x:v>
      </x:c>
      <x:c r="I67" s="82" t="str">
        <x:v>半合</x:v>
      </x:c>
      <x:c r="J67" s="68" t="str">
        <x:v>半合两支</x:v>
      </x:c>
      <x:c r="K67" s="68" t="str">
        <x:v>候选局气</x:v>
      </x:c>
      <x:c r="L67" s="82" t="str">
        <x:v>逐对象比较得令、得地、得势与相对强弱</x:v>
      </x:c>
      <x:c r="M67" s="68" t="str">
        <x:v>记录参与对象中谁得令、谁受季节支持</x:v>
      </x:c>
      <x:c r="N67" s="68" t="str">
        <x:v>记录明干及相关藏干的透出通道</x:v>
      </x:c>
      <x:c r="O67" s="68" t="str">
        <x:v>记录各对象根气层级、数量及是否唯一根</x:v>
      </x:c>
      <x:c r="P67" s="68" t="str">
        <x:v>检查同节点的合、冲、刑、害、破、会及生克</x:v>
      </x:c>
      <x:c r="Q67" s="82" t="str">
        <x:v>合动</x:v>
      </x:c>
      <x:c r="R67" s="82" t="str">
        <x:v>条件性</x:v>
      </x:c>
      <x:c r="S67" s="82" t="str">
        <x:v>弱</x:v>
      </x:c>
      <x:c r="T67" s="82" t="str">
        <x:v>否</x:v>
      </x:c>
      <x:c r="U67" s="82" t="str">
        <x:v>否</x:v>
      </x:c>
      <x:c r="V67" s="82" t="str">
        <x:v>条件性</x:v>
      </x:c>
      <x:c r="W67" s="82" t="str">
        <x:v>条件性</x:v>
      </x:c>
      <x:c r="X67" s="82" t="str">
        <x:v>否</x:v>
      </x:c>
      <x:c r="Y67" s="68" t="str">
        <x:v>可能改变原有生克路径，须在M12复核</x:v>
      </x:c>
      <x:c r="Z67" s="68" t="str">
        <x:v>M04/M05已识别关系，柱位、完整度与参与对象已标准化</x:v>
      </x:c>
      <x:c r="AA67" s="68" t="str">
        <x:v>必须指向具体作用对象，并比较各方力量、根气和通道</x:v>
      </x:c>
      <x:c r="AB67" s="68" t="str">
        <x:v>关系相邻、得令、得地、成势且无强力反制</x:v>
      </x:c>
      <x:c r="AC67" s="68" t="str">
        <x:v>遥隔、争合、节点被其他关系牵制或双方各有强根</x:v>
      </x:c>
      <x:c r="AD67" s="90" t="str">
        <x:v>仅凭关系名称不得直接判性质改变、归零或固定吉凶</x:v>
      </x:c>
      <x:c r="AE67" s="68" t="str">
        <x:v>特殊格局或岁运动态补齐须另建实例重新裁决</x:v>
      </x:c>
      <x:c r="AF67" s="84" t="str">
        <x:v>中神虽在组合中，但失令受冲、局气无根无透且受强克时，半合仅保留弱牵引。</x:v>
      </x:c>
      <x:c r="AG67" s="84" t="str">
        <x:v>该半合缺乏局气承载，降级为弱合意；不按成局计。</x:v>
      </x:c>
      <x:c r="AH67" s="82" t="str">
        <x:v>较高</x:v>
      </x:c>
      <x:c r="AI67" s="82" t="str">
        <x:v>现代综合</x:v>
      </x:c>
      <x:c r="AJ67" s="68" t="str">
        <x:v>两支出现不保证局气能输出。参考：https://ctext.org/wiki.pl?chapter=435028&amp;if=gb&amp;remap=gb</x:v>
      </x:c>
      <x:c r="AK67" s="68" t="str">
        <x:v>午戌半合火但午受子冲、火无根，火意有限。</x:v>
      </x:c>
      <x:c r="AL67" s="90" t="str">
        <x:v>半合一见便按强局。</x:v>
      </x:c>
      <x:c r="AM67" s="82" t="str">
        <x:v>采用</x:v>
      </x:c>
      <x:c r="AN67" s="82" t="str">
        <x:v>初审</x:v>
      </x:c>
      <x:c r="AO67" s="87" t="n">
        <x:v>46255</x:v>
      </x:c>
    </x:row>
    <x:row r="68">
      <x:c r="A68" s="72" t="str">
        <x:f>IF(OR(C68="",D68=""),"",B68&amp;"-"&amp;UPPER(C68)&amp;"-"&amp;TEXT(D68,"0000")&amp;"-"&amp;E68)</x:f>
        <x:v>M06-BANGONG-0062-V1.0</x:v>
      </x:c>
      <x:c r="B68" s="74" t="str">
        <x:v>M06</x:v>
      </x:c>
      <x:c r="C68" s="74" t="str">
        <x:v>BANGONG</x:v>
      </x:c>
      <x:c r="D68" s="79" t="n">
        <x:v>62</x:v>
      </x:c>
      <x:c r="E68" s="74" t="str">
        <x:v>V1.0</x:v>
      </x:c>
      <x:c r="F68" s="68" t="str">
        <x:v>拱合缺中神不得直接成局</x:v>
      </x:c>
      <x:c r="G68" s="82" t="str">
        <x:v>效应层</x:v>
      </x:c>
      <x:c r="H68" s="68" t="str">
        <x:v>M05-GONGHE-0019-V1.0—M05-GONGHE-0022-V1.0；M05-BOUND-0087-V1.0</x:v>
      </x:c>
      <x:c r="I68" s="82" t="str">
        <x:v>拱合</x:v>
      </x:c>
      <x:c r="J68" s="68" t="str">
        <x:v>三合两端支</x:v>
      </x:c>
      <x:c r="K68" s="68" t="str">
        <x:v>缺失的中神与候选局气</x:v>
      </x:c>
      <x:c r="L68" s="82" t="str">
        <x:v>逐对象比较得令、得地、得势与相对强弱</x:v>
      </x:c>
      <x:c r="M68" s="68" t="str">
        <x:v>记录参与对象中谁得令、谁受季节支持</x:v>
      </x:c>
      <x:c r="N68" s="68" t="str">
        <x:v>记录明干及相关藏干的透出通道</x:v>
      </x:c>
      <x:c r="O68" s="68" t="str">
        <x:v>记录各对象根气层级、数量及是否唯一根</x:v>
      </x:c>
      <x:c r="P68" s="68" t="str">
        <x:v>检查同节点的合、冲、刑、害、破、会及生克</x:v>
      </x:c>
      <x:c r="Q68" s="82" t="str">
        <x:v>合动</x:v>
      </x:c>
      <x:c r="R68" s="82" t="str">
        <x:v>条件性</x:v>
      </x:c>
      <x:c r="S68" s="82" t="str">
        <x:v>弱</x:v>
      </x:c>
      <x:c r="T68" s="82" t="str">
        <x:v>否</x:v>
      </x:c>
      <x:c r="U68" s="82" t="str">
        <x:v>否</x:v>
      </x:c>
      <x:c r="V68" s="82" t="str">
        <x:v>否</x:v>
      </x:c>
      <x:c r="W68" s="82" t="str">
        <x:v>条件性</x:v>
      </x:c>
      <x:c r="X68" s="82" t="str">
        <x:v>否</x:v>
      </x:c>
      <x:c r="Y68" s="68" t="str">
        <x:v>可能改变原有生克路径，须在M12复核</x:v>
      </x:c>
      <x:c r="Z68" s="68" t="str">
        <x:v>M04/M05已识别关系，柱位、完整度与参与对象已标准化</x:v>
      </x:c>
      <x:c r="AA68" s="68" t="str">
        <x:v>两端支齐且中神确实缺失</x:v>
      </x:c>
      <x:c r="AB68" s="68" t="str">
        <x:v>关系相邻、得令、得地、成势且无强力反制</x:v>
      </x:c>
      <x:c r="AC68" s="68" t="str">
        <x:v>遥隔、争合、节点被其他关系牵制或双方各有强根</x:v>
      </x:c>
      <x:c r="AD68" s="90" t="str">
        <x:v>仅凭关系名称不得直接判性质改变、归零或固定吉凶</x:v>
      </x:c>
      <x:c r="AE68" s="68" t="str">
        <x:v>特殊格局或岁运动态补齐须另建实例重新裁决</x:v>
      </x:c>
      <x:c r="AF68" s="84" t="str">
        <x:v>拱合缺少中神，只能记录向缺失中神与局气的弱趋向；原局静态层不得标成完整三合。</x:v>
      </x:c>
      <x:c r="AG68" s="84" t="str">
        <x:v>该结构为拱合，中神缺失；只保留弱局气候选，不判成局。</x:v>
      </x:c>
      <x:c r="AH68" s="82" t="str">
        <x:v>较高</x:v>
      </x:c>
      <x:c r="AI68" s="82" t="str">
        <x:v>现代综合</x:v>
      </x:c>
      <x:c r="AJ68" s="68" t="str">
        <x:v>拱合与完整三合必须保持分类边界。参考：https://ctext.org/wiki.pl?chapter=435028&amp;if=gb&amp;remap=gb</x:v>
      </x:c>
      <x:c r="AK68" s="68" t="str">
        <x:v>申辰齐而无子，只记拱水。</x:v>
      </x:c>
      <x:c r="AL68" s="90" t="str">
        <x:v>申辰直接按申子辰完整水局。</x:v>
      </x:c>
      <x:c r="AM68" s="82" t="str">
        <x:v>采用</x:v>
      </x:c>
      <x:c r="AN68" s="82" t="str">
        <x:v>初审</x:v>
      </x:c>
      <x:c r="AO68" s="87" t="n">
        <x:v>46255</x:v>
      </x:c>
    </x:row>
    <x:row r="69">
      <x:c r="A69" s="72" t="str">
        <x:f>IF(OR(C69="",D69=""),"",B69&amp;"-"&amp;UPPER(C69)&amp;"-"&amp;TEXT(D69,"0000")&amp;"-"&amp;E69)</x:f>
        <x:v>M06-BANGONG-0063-V1.0</x:v>
      </x:c>
      <x:c r="B69" s="74" t="str">
        <x:v>M06</x:v>
      </x:c>
      <x:c r="C69" s="74" t="str">
        <x:v>BANGONG</x:v>
      </x:c>
      <x:c r="D69" s="79" t="n">
        <x:v>63</x:v>
      </x:c>
      <x:c r="E69" s="74" t="str">
        <x:v>V1.0</x:v>
      </x:c>
      <x:c r="F69" s="68" t="str">
        <x:v>岁运补入中神时拱合转动态完整候选</x:v>
      </x:c>
      <x:c r="G69" s="82" t="str">
        <x:v>效应层</x:v>
      </x:c>
      <x:c r="H69" s="68" t="str">
        <x:v>M05-SUIYUN-0071-V1.0；M05-GONGHE-0019-V1.0—M05-GONGHE-0022-V1.0</x:v>
      </x:c>
      <x:c r="I69" s="82" t="str">
        <x:v>拱合</x:v>
      </x:c>
      <x:c r="J69" s="68" t="str">
        <x:v>原局两端支与岁运中神</x:v>
      </x:c>
      <x:c r="K69" s="68" t="str">
        <x:v>动态三合结构</x:v>
      </x:c>
      <x:c r="L69" s="82" t="str">
        <x:v>逐对象比较得令、得地、得势与相对强弱</x:v>
      </x:c>
      <x:c r="M69" s="68" t="str">
        <x:v>记录参与对象中谁得令、谁受季节支持</x:v>
      </x:c>
      <x:c r="N69" s="68" t="str">
        <x:v>记录明干及相关藏干的透出通道</x:v>
      </x:c>
      <x:c r="O69" s="68" t="str">
        <x:v>记录各对象根气层级、数量及是否唯一根</x:v>
      </x:c>
      <x:c r="P69" s="68" t="str">
        <x:v>检查同节点的合、冲、刑、害、破、会及生克</x:v>
      </x:c>
      <x:c r="Q69" s="82" t="str">
        <x:v>激活</x:v>
      </x:c>
      <x:c r="R69" s="82" t="str">
        <x:v>增强</x:v>
      </x:c>
      <x:c r="S69" s="82" t="str">
        <x:v>强</x:v>
      </x:c>
      <x:c r="T69" s="82" t="str">
        <x:v>条件性</x:v>
      </x:c>
      <x:c r="U69" s="82" t="str">
        <x:v>条件性</x:v>
      </x:c>
      <x:c r="V69" s="82" t="str">
        <x:v>条件性</x:v>
      </x:c>
      <x:c r="W69" s="82" t="str">
        <x:v>是</x:v>
      </x:c>
      <x:c r="X69" s="82" t="str">
        <x:v>条件性</x:v>
      </x:c>
      <x:c r="Y69" s="68" t="str">
        <x:v>可能改变原有生克路径，须在M12复核</x:v>
      </x:c>
      <x:c r="Z69" s="68" t="str">
        <x:v>M04/M05已识别关系，柱位、完整度与参与对象已标准化</x:v>
      </x:c>
      <x:c r="AA69" s="68" t="str">
        <x:v>时间层级分开记录，补入中神在该运年有效</x:v>
      </x:c>
      <x:c r="AB69" s="68" t="str">
        <x:v>关系相邻、得令、得地、成势且无强力反制</x:v>
      </x:c>
      <x:c r="AC69" s="68" t="str">
        <x:v>遥隔、争合、节点被其他关系牵制或双方各有强根</x:v>
      </x:c>
      <x:c r="AD69" s="90" t="str">
        <x:v>仅凭关系名称不得直接判性质改变、归零或固定吉凶</x:v>
      </x:c>
      <x:c r="AE69" s="68" t="str">
        <x:v>特殊格局或岁运动态补齐须另建实例重新裁决</x:v>
      </x:c>
      <x:c r="AF69" s="84" t="str">
        <x:v>岁运补入缺失中神时，原拱合可在对应时段升级为动态三合候选，但不能倒写为原局静态完整。</x:v>
      </x:c>
      <x:c r="AG69" s="84" t="str">
        <x:v>岁运补中神，拱合在该时段升级为动态三合候选；原局仍记部分结构。</x:v>
      </x:c>
      <x:c r="AH69" s="82" t="str">
        <x:v>较高</x:v>
      </x:c>
      <x:c r="AI69" s="82" t="str">
        <x:v>现代综合</x:v>
      </x:c>
      <x:c r="AJ69" s="68" t="str">
        <x:v>静态原局与动态补齐必须分层。参考：https://ctext.org/wiki.pl?chapter=435028&amp;if=gb&amp;remap=gb</x:v>
      </x:c>
      <x:c r="AK69" s="68" t="str">
        <x:v>原局申辰，流年子到，流年内生成申子辰动态候选。</x:v>
      </x:c>
      <x:c r="AL69" s="90" t="str">
        <x:v>因未来可能遇子便把原局申辰永久记成水局。</x:v>
      </x:c>
      <x:c r="AM69" s="82" t="str">
        <x:v>采用</x:v>
      </x:c>
      <x:c r="AN69" s="82" t="str">
        <x:v>初审</x:v>
      </x:c>
      <x:c r="AO69" s="87" t="n">
        <x:v>46255</x:v>
      </x:c>
    </x:row>
    <x:row r="70">
      <x:c r="A70" s="72" t="str">
        <x:f>IF(OR(C70="",D70=""),"",B70&amp;"-"&amp;UPPER(C70)&amp;"-"&amp;TEXT(D70,"0000")&amp;"-"&amp;E70)</x:f>
        <x:v>M06-BANGONG-0064-V1.0</x:v>
      </x:c>
      <x:c r="B70" s="74" t="str">
        <x:v>M06</x:v>
      </x:c>
      <x:c r="C70" s="74" t="str">
        <x:v>BANGONG</x:v>
      </x:c>
      <x:c r="D70" s="79" t="n">
        <x:v>64</x:v>
      </x:c>
      <x:c r="E70" s="74" t="str">
        <x:v>V1.0</x:v>
      </x:c>
      <x:c r="F70" s="68" t="str">
        <x:v>半合拱合均不得自动改写两支全部性质</x:v>
      </x:c>
      <x:c r="G70" s="82" t="str">
        <x:v>效应层</x:v>
      </x:c>
      <x:c r="H70" s="68" t="str">
        <x:v>M05-BANHE-0011-V1.0—M05-GONGHE-0022-V1.0</x:v>
      </x:c>
      <x:c r="I70" s="82" t="str">
        <x:v>其他</x:v>
      </x:c>
      <x:c r="J70" s="68" t="str">
        <x:v>任一半合或拱合</x:v>
      </x:c>
      <x:c r="K70" s="68" t="str">
        <x:v>参与两支</x:v>
      </x:c>
      <x:c r="L70" s="82" t="str">
        <x:v>逐对象比较得令、得地、得势与相对强弱</x:v>
      </x:c>
      <x:c r="M70" s="68" t="str">
        <x:v>记录参与对象中谁得令、谁受季节支持</x:v>
      </x:c>
      <x:c r="N70" s="68" t="str">
        <x:v>记录明干及相关藏干的透出通道</x:v>
      </x:c>
      <x:c r="O70" s="68" t="str">
        <x:v>记录各对象根气层级、数量及是否唯一根</x:v>
      </x:c>
      <x:c r="P70" s="68" t="str">
        <x:v>检查同节点的合、冲、刑、害、破、会及生克</x:v>
      </x:c>
      <x:c r="Q70" s="82" t="str">
        <x:v>合动</x:v>
      </x:c>
      <x:c r="R70" s="82" t="str">
        <x:v>条件性</x:v>
      </x:c>
      <x:c r="S70" s="82" t="str">
        <x:v>中</x:v>
      </x:c>
      <x:c r="T70" s="82" t="str">
        <x:v>否</x:v>
      </x:c>
      <x:c r="U70" s="82" t="str">
        <x:v>否</x:v>
      </x:c>
      <x:c r="V70" s="82" t="str">
        <x:v>条件性</x:v>
      </x:c>
      <x:c r="W70" s="82" t="str">
        <x:v>条件性</x:v>
      </x:c>
      <x:c r="X70" s="82" t="str">
        <x:v>条件性</x:v>
      </x:c>
      <x:c r="Y70" s="68" t="str">
        <x:v>可能改变原有生克路径，须在M12复核</x:v>
      </x:c>
      <x:c r="Z70" s="68" t="str">
        <x:v>M04/M05已识别关系，柱位、完整度与参与对象已标准化</x:v>
      </x:c>
      <x:c r="AA70" s="68" t="str">
        <x:v>必须指向具体作用对象，并比较各方力量、根气和通道</x:v>
      </x:c>
      <x:c r="AB70" s="68" t="str">
        <x:v>关系相邻、得令、得地、成势且无强力反制</x:v>
      </x:c>
      <x:c r="AC70" s="68" t="str">
        <x:v>遥隔、争合、节点被其他关系牵制或双方各有强根</x:v>
      </x:c>
      <x:c r="AD70" s="90" t="str">
        <x:v>仅凭关系名称不得直接判性质改变、归零或固定吉凶</x:v>
      </x:c>
      <x:c r="AE70" s="68" t="str">
        <x:v>特殊格局或岁运动态补齐须另建实例重新裁决</x:v>
      </x:c>
      <x:c r="AF70" s="84" t="str">
        <x:v>部分结构通常只调整局气倾向和流通，不足以把两支原始五行与全部藏干改为候选局气。</x:v>
      </x:c>
      <x:c r="AG70" s="84" t="str">
        <x:v>半合或拱合只修正局气倾向；两支原始性质和根气继续保留。</x:v>
      </x:c>
      <x:c r="AH70" s="82" t="str">
        <x:v>较高</x:v>
      </x:c>
      <x:c r="AI70" s="82" t="str">
        <x:v>现代综合</x:v>
      </x:c>
      <x:c r="AJ70" s="68" t="str">
        <x:v>部分结构不能套用完整合化结果。参考：https://ctext.org/wiki.pl?chapter=435028&amp;if=gb&amp;remap=gb</x:v>
      </x:c>
      <x:c r="AK70" s="68" t="str">
        <x:v>亥卯半合木，木意增强但亥水原始作用仍保留。</x:v>
      </x:c>
      <x:c r="AL70" s="90" t="str">
        <x:v>亥卯半合后把亥水完全删除。</x:v>
      </x:c>
      <x:c r="AM70" s="82" t="str">
        <x:v>采用</x:v>
      </x:c>
      <x:c r="AN70" s="82" t="str">
        <x:v>初审</x:v>
      </x:c>
      <x:c r="AO70" s="87" t="n">
        <x:v>46255</x:v>
      </x:c>
    </x:row>
    <x:row r="71">
      <x:c r="A71" s="72" t="str">
        <x:f>IF(OR(C71="",D71=""),"",B71&amp;"-"&amp;UPPER(C71)&amp;"-"&amp;TEXT(D71,"0000")&amp;"-"&amp;E71)</x:f>
        <x:v>M06-CHONG-0065-V1.0</x:v>
      </x:c>
      <x:c r="B71" s="74" t="str">
        <x:v>M06</x:v>
      </x:c>
      <x:c r="C71" s="74" t="str">
        <x:v>CHONG</x:v>
      </x:c>
      <x:c r="D71" s="79" t="n">
        <x:v>65</x:v>
      </x:c>
      <x:c r="E71" s="74" t="str">
        <x:v>V1.0</x:v>
      </x:c>
      <x:c r="F71" s="68" t="str">
        <x:v>六冲至少产生冲动但不自动减力</x:v>
      </x:c>
      <x:c r="G71" s="82" t="str">
        <x:v>效应层</x:v>
      </x:c>
      <x:c r="H71" s="68" t="str">
        <x:v>M05-CHONG-0027-V1.0—M05-CHONG-0032-V1.0；M05-BOUND-0077-V1.0</x:v>
      </x:c>
      <x:c r="I71" s="82" t="str">
        <x:v>六冲</x:v>
      </x:c>
      <x:c r="J71" s="68" t="str">
        <x:v>任一六冲配对</x:v>
      </x:c>
      <x:c r="K71" s="68" t="str">
        <x:v>参与两支</x:v>
      </x:c>
      <x:c r="L71" s="82" t="str">
        <x:v>逐对象比较得令、得地、得势与相对强弱</x:v>
      </x:c>
      <x:c r="M71" s="68" t="str">
        <x:v>记录参与对象中谁得令、谁受季节支持</x:v>
      </x:c>
      <x:c r="N71" s="68" t="str">
        <x:v>记录明干及相关藏干的透出通道</x:v>
      </x:c>
      <x:c r="O71" s="68" t="str">
        <x:v>记录各对象根气层级、数量及是否唯一根</x:v>
      </x:c>
      <x:c r="P71" s="68" t="str">
        <x:v>检查同节点的合、冲、刑、害、破、会及生克</x:v>
      </x:c>
      <x:c r="Q71" s="82" t="str">
        <x:v>冲动</x:v>
      </x:c>
      <x:c r="R71" s="82" t="str">
        <x:v>激活</x:v>
      </x:c>
      <x:c r="S71" s="82" t="str">
        <x:v>中</x:v>
      </x:c>
      <x:c r="T71" s="82" t="str">
        <x:v>否</x:v>
      </x:c>
      <x:c r="U71" s="82" t="str">
        <x:v>条件性</x:v>
      </x:c>
      <x:c r="V71" s="82" t="str">
        <x:v>条件性</x:v>
      </x:c>
      <x:c r="W71" s="82" t="str">
        <x:v>条件性</x:v>
      </x:c>
      <x:c r="X71" s="82" t="str">
        <x:v>条件性</x:v>
      </x:c>
      <x:c r="Y71" s="68" t="str">
        <x:v>可能打断原路径、释放被合节点或引动藏干</x:v>
      </x:c>
      <x:c r="Z71" s="68" t="str">
        <x:v>M04/M05已识别关系，柱位、完整度与参与对象已标准化</x:v>
      </x:c>
      <x:c r="AA71" s="68" t="str">
        <x:v>M05已识别具体六冲配对并保留柱位</x:v>
      </x:c>
      <x:c r="AB71" s="68" t="str">
        <x:v>关系相邻、得令、得地、成势且无强力反制</x:v>
      </x:c>
      <x:c r="AC71" s="68" t="str">
        <x:v>遥隔、争合、节点被其他关系牵制或双方各有强根</x:v>
      </x:c>
      <x:c r="AD71" s="90" t="str">
        <x:v>仅凭关系名称不得直接判性质改变、归零或固定吉凶</x:v>
      </x:c>
      <x:c r="AE71" s="68" t="str">
        <x:v>特殊格局或岁运动态补齐须另建实例重新裁决</x:v>
      </x:c>
      <x:c r="AF71" s="84" t="str">
        <x:v>六冲的最低效应是节点被引动、原状态发生变化；是否冲弱、冲散、冲开或冲去须另验。</x:v>
      </x:c>
      <x:c r="AG71" s="84" t="str">
        <x:v>六冲关系使双方被引动；当前不直接判任何一支归零或必然减力。</x:v>
      </x:c>
      <x:c r="AH71" s="82" t="str">
        <x:v>较高</x:v>
      </x:c>
      <x:c r="AI71" s="82" t="str">
        <x:v>现代综合</x:v>
      </x:c>
      <x:c r="AJ71" s="68" t="str">
        <x:v>传统地支论以冲为动，但动后的强弱结果须细裁。参考：https://zh.wikisource.org/zh-hans/滴天髓</x:v>
      </x:c>
      <x:c r="AK71" s="68" t="str">
        <x:v>子午冲先记双方被引动，再比较谁旺谁衰。</x:v>
      </x:c>
      <x:c r="AL71" s="90" t="str">
        <x:v>见冲便把双方一律减半。</x:v>
      </x:c>
      <x:c r="AM71" s="82" t="str">
        <x:v>采用</x:v>
      </x:c>
      <x:c r="AN71" s="82" t="str">
        <x:v>初审</x:v>
      </x:c>
      <x:c r="AO71" s="87" t="n">
        <x:v>46255</x:v>
      </x:c>
    </x:row>
    <x:row r="72">
      <x:c r="A72" s="72" t="str">
        <x:f>IF(OR(C72="",D72=""),"",B72&amp;"-"&amp;UPPER(C72)&amp;"-"&amp;TEXT(D72,"0000")&amp;"-"&amp;E72)</x:f>
        <x:v>M06-CHONG-0066-V1.0</x:v>
      </x:c>
      <x:c r="B72" s="74" t="str">
        <x:v>M06</x:v>
      </x:c>
      <x:c r="C72" s="74" t="str">
        <x:v>CHONG</x:v>
      </x:c>
      <x:c r="D72" s="79" t="n">
        <x:v>66</x:v>
      </x:c>
      <x:c r="E72" s="74" t="str">
        <x:v>V1.0</x:v>
      </x:c>
      <x:c r="F72" s="68" t="str">
        <x:v>旺支冲衰支时衰支可被冲拔</x:v>
      </x:c>
      <x:c r="G72" s="82" t="str">
        <x:v>效应层</x:v>
      </x:c>
      <x:c r="H72" s="68" t="str">
        <x:v>M05-CHONG-0027-V1.0—M05-CHONG-0032-V1.0</x:v>
      </x:c>
      <x:c r="I72" s="82" t="str">
        <x:v>六冲</x:v>
      </x:c>
      <x:c r="J72" s="68" t="str">
        <x:v>旺支与衰支</x:v>
      </x:c>
      <x:c r="K72" s="68" t="str">
        <x:v>衰支</x:v>
      </x:c>
      <x:c r="L72" s="82" t="str">
        <x:v>一支旺或极旺，另一支弱或极弱</x:v>
      </x:c>
      <x:c r="M72" s="68" t="str">
        <x:v>记录参与对象中谁得令、谁受季节支持</x:v>
      </x:c>
      <x:c r="N72" s="68" t="str">
        <x:v>记录明干及相关藏干的透出通道</x:v>
      </x:c>
      <x:c r="O72" s="68" t="str">
        <x:v>记录各对象根气层级、数量及是否唯一根</x:v>
      </x:c>
      <x:c r="P72" s="68" t="str">
        <x:v>检查同节点的合、冲、刑、害、破、会及生克</x:v>
      </x:c>
      <x:c r="Q72" s="82" t="str">
        <x:v>冲去</x:v>
      </x:c>
      <x:c r="R72" s="82" t="str">
        <x:v>减弱</x:v>
      </x:c>
      <x:c r="S72" s="82" t="str">
        <x:v>强</x:v>
      </x:c>
      <x:c r="T72" s="82" t="str">
        <x:v>否</x:v>
      </x:c>
      <x:c r="U72" s="82" t="str">
        <x:v>是</x:v>
      </x:c>
      <x:c r="V72" s="82" t="str">
        <x:v>条件性</x:v>
      </x:c>
      <x:c r="W72" s="82" t="str">
        <x:v>否</x:v>
      </x:c>
      <x:c r="X72" s="82" t="str">
        <x:v>是</x:v>
      </x:c>
      <x:c r="Y72" s="68" t="str">
        <x:v>弱支原通道可能被切断</x:v>
      </x:c>
      <x:c r="Z72" s="68" t="str">
        <x:v>M04/M05已识别关系，柱位、完整度与参与对象已标准化</x:v>
      </x:c>
      <x:c r="AA72" s="68" t="str">
        <x:v>强弱悬殊且弱支的具体根气确实受作用</x:v>
      </x:c>
      <x:c r="AB72" s="68" t="str">
        <x:v>旺支临月令、多党；弱支无援、唯一根且同节点再受刑害</x:v>
      </x:c>
      <x:c r="AC72" s="68" t="str">
        <x:v>弱支另有同党、透干承接或合会救应</x:v>
      </x:c>
      <x:c r="AD72" s="90" t="str">
        <x:v>仅凭关系名称不得直接判性质改变、归零或固定吉凶</x:v>
      </x:c>
      <x:c r="AE72" s="68" t="str">
        <x:v>特殊格局或岁运动态补齐须另建实例重新裁决</x:v>
      </x:c>
      <x:c r="AF72" s="84" t="str">
        <x:v>一方得令成势，另一方为孤弱唯一根且无援时，弱支可能被冲散、冲去或失去主要根功能。</x:v>
      </x:c>
      <x:c r="AG72" s="84" t="str">
        <x:v>强冲弱成立，弱支明显受损；若为唯一根，可判该根功能大幅下降。</x:v>
      </x:c>
      <x:c r="AH72" s="82" t="str">
        <x:v>较高</x:v>
      </x:c>
      <x:c r="AI72" s="82" t="str">
        <x:v>现代综合</x:v>
      </x:c>
      <x:c r="AJ72" s="68" t="str">
        <x:v>“旺者冲衰，衰者拔”强调强弱悬殊时的结果。参考：https://zh.wikisource.org/zh-hans/滴天髓</x:v>
      </x:c>
      <x:c r="AK72" s="68" t="str">
        <x:v>子旺成势冲孤弱午，午为丙唯一根且无援，可判午根重损。</x:v>
      </x:c>
      <x:c r="AL72" s="90" t="str">
        <x:v>双方力量接近仍判一方被拔。</x:v>
      </x:c>
      <x:c r="AM72" s="82" t="str">
        <x:v>采用</x:v>
      </x:c>
      <x:c r="AN72" s="82" t="str">
        <x:v>初审</x:v>
      </x:c>
      <x:c r="AO72" s="87" t="n">
        <x:v>46255</x:v>
      </x:c>
    </x:row>
    <x:row r="73">
      <x:c r="A73" s="72" t="str">
        <x:f>IF(OR(C73="",D73=""),"",B73&amp;"-"&amp;UPPER(C73)&amp;"-"&amp;TEXT(D73,"0000")&amp;"-"&amp;E73)</x:f>
        <x:v>M06-CHONG-0067-V1.0</x:v>
      </x:c>
      <x:c r="B73" s="74" t="str">
        <x:v>M06</x:v>
      </x:c>
      <x:c r="C73" s="74" t="str">
        <x:v>CHONG</x:v>
      </x:c>
      <x:c r="D73" s="79" t="n">
        <x:v>67</x:v>
      </x:c>
      <x:c r="E73" s="74" t="str">
        <x:v>V1.0</x:v>
      </x:c>
      <x:c r="F73" s="68" t="str">
        <x:v>衰支冲旺支时旺支多被激发</x:v>
      </x:c>
      <x:c r="G73" s="82" t="str">
        <x:v>效应层</x:v>
      </x:c>
      <x:c r="H73" s="68" t="str">
        <x:v>M05-CHONG-0027-V1.0—M05-CHONG-0032-V1.0</x:v>
      </x:c>
      <x:c r="I73" s="82" t="str">
        <x:v>六冲</x:v>
      </x:c>
      <x:c r="J73" s="68" t="str">
        <x:v>衰支与旺支</x:v>
      </x:c>
      <x:c r="K73" s="68" t="str">
        <x:v>旺支</x:v>
      </x:c>
      <x:c r="L73" s="82" t="str">
        <x:v>冲者弱或极弱，被冲者旺或极旺</x:v>
      </x:c>
      <x:c r="M73" s="68" t="str">
        <x:v>记录参与对象中谁得令、谁受季节支持</x:v>
      </x:c>
      <x:c r="N73" s="68" t="str">
        <x:v>记录明干及相关藏干的透出通道</x:v>
      </x:c>
      <x:c r="O73" s="68" t="str">
        <x:v>记录各对象根气层级、数量及是否唯一根</x:v>
      </x:c>
      <x:c r="P73" s="68" t="str">
        <x:v>检查同节点的合、冲、刑、害、破、会及生克</x:v>
      </x:c>
      <x:c r="Q73" s="82" t="str">
        <x:v>冲旺</x:v>
      </x:c>
      <x:c r="R73" s="82" t="str">
        <x:v>增强</x:v>
      </x:c>
      <x:c r="S73" s="82" t="str">
        <x:v>强</x:v>
      </x:c>
      <x:c r="T73" s="82" t="str">
        <x:v>否</x:v>
      </x:c>
      <x:c r="U73" s="82" t="str">
        <x:v>否</x:v>
      </x:c>
      <x:c r="V73" s="82" t="str">
        <x:v>是</x:v>
      </x:c>
      <x:c r="W73" s="82" t="str">
        <x:v>是</x:v>
      </x:c>
      <x:c r="X73" s="82" t="str">
        <x:v>否</x:v>
      </x:c>
      <x:c r="Y73" s="68" t="str">
        <x:v>旺支藏干与功能被加速引动</x:v>
      </x:c>
      <x:c r="Z73" s="68" t="str">
        <x:v>M04/M05已识别关系，柱位、完整度与参与对象已标准化</x:v>
      </x:c>
      <x:c r="AA73" s="68" t="str">
        <x:v>必须指向具体作用对象，并比较各方力量、根气和通道</x:v>
      </x:c>
      <x:c r="AB73" s="68" t="str">
        <x:v>旺支得令多根，弱支孤立</x:v>
      </x:c>
      <x:c r="AC73" s="68" t="str">
        <x:v>旺支同时受多方围冲或根气已损</x:v>
      </x:c>
      <x:c r="AD73" s="90" t="str">
        <x:v>仅凭关系名称不得直接判性质改变、归零或固定吉凶</x:v>
      </x:c>
      <x:c r="AE73" s="68" t="str">
        <x:v>特殊格局或岁运动态补齐须另建实例重新裁决</x:v>
      </x:c>
      <x:c r="AF73" s="84" t="str">
        <x:v>弱支冲击旺支时，旺支通常难被冲散，反而因引动而加速发挥；弱支自身承担更大耗损。</x:v>
      </x:c>
      <x:c r="AG73" s="84" t="str">
        <x:v>弱冲强：旺支被激活或冲旺，弱支耗损；不判旺支明显减力。</x:v>
      </x:c>
      <x:c r="AH73" s="82" t="str">
        <x:v>较高</x:v>
      </x:c>
      <x:c r="AI73" s="82" t="str">
        <x:v>现代综合</x:v>
      </x:c>
      <x:c r="AJ73" s="68" t="str">
        <x:v>“衰者冲旺，旺神发”用于区分冲旺与冲弱。参考：https://zh.wikisource.org/zh-hans/滴天髓</x:v>
      </x:c>
      <x:c r="AK73" s="68" t="str">
        <x:v>弱子冲旺午，午火得令有党，可判午被激发。</x:v>
      </x:c>
      <x:c r="AL73" s="90" t="str">
        <x:v>弱冲强仍把强支判为被冲散。</x:v>
      </x:c>
      <x:c r="AM73" s="82" t="str">
        <x:v>采用</x:v>
      </x:c>
      <x:c r="AN73" s="82" t="str">
        <x:v>初审</x:v>
      </x:c>
      <x:c r="AO73" s="87" t="n">
        <x:v>46255</x:v>
      </x:c>
    </x:row>
    <x:row r="74">
      <x:c r="A74" s="72" t="str">
        <x:f>IF(OR(C74="",D74=""),"",B74&amp;"-"&amp;UPPER(C74)&amp;"-"&amp;TEXT(D74,"0000")&amp;"-"&amp;E74)</x:f>
        <x:v>M06-CHONG-0068-V1.0</x:v>
      </x:c>
      <x:c r="B74" s="74" t="str">
        <x:v>M06</x:v>
      </x:c>
      <x:c r="C74" s="74" t="str">
        <x:v>CHONG</x:v>
      </x:c>
      <x:c r="D74" s="79" t="n">
        <x:v>68</x:v>
      </x:c>
      <x:c r="E74" s="74" t="str">
        <x:v>V1.0</x:v>
      </x:c>
      <x:c r="F74" s="68" t="str">
        <x:v>双方皆旺时六冲形成持续对战互耗</x:v>
      </x:c>
      <x:c r="G74" s="82" t="str">
        <x:v>效应层</x:v>
      </x:c>
      <x:c r="H74" s="68" t="str">
        <x:v>M05-CHONG-0027-V1.0—M05-CHONG-0032-V1.0</x:v>
      </x:c>
      <x:c r="I74" s="82" t="str">
        <x:v>六冲</x:v>
      </x:c>
      <x:c r="J74" s="68" t="str">
        <x:v>双方均旺的相冲两支</x:v>
      </x:c>
      <x:c r="K74" s="68" t="str">
        <x:v>双方</x:v>
      </x:c>
      <x:c r="L74" s="82" t="str">
        <x:v>逐对象比较得令、得地、得势与相对强弱</x:v>
      </x:c>
      <x:c r="M74" s="68" t="str">
        <x:v>记录参与对象中谁得令、谁受季节支持</x:v>
      </x:c>
      <x:c r="N74" s="68" t="str">
        <x:v>记录明干及相关藏干的透出通道</x:v>
      </x:c>
      <x:c r="O74" s="68" t="str">
        <x:v>记录各对象根气层级、数量及是否唯一根</x:v>
      </x:c>
      <x:c r="P74" s="68" t="str">
        <x:v>检查同节点的合、冲、刑、害、破、会及生克</x:v>
      </x:c>
      <x:c r="Q74" s="82" t="str">
        <x:v>冲动</x:v>
      </x:c>
      <x:c r="R74" s="82" t="str">
        <x:v>减弱</x:v>
      </x:c>
      <x:c r="S74" s="82" t="str">
        <x:v>强</x:v>
      </x:c>
      <x:c r="T74" s="82" t="str">
        <x:v>否</x:v>
      </x:c>
      <x:c r="U74" s="82" t="str">
        <x:v>条件性</x:v>
      </x:c>
      <x:c r="V74" s="82" t="str">
        <x:v>是</x:v>
      </x:c>
      <x:c r="W74" s="82" t="str">
        <x:v>条件性</x:v>
      </x:c>
      <x:c r="X74" s="82" t="str">
        <x:v>是</x:v>
      </x:c>
      <x:c r="Y74" s="68" t="str">
        <x:v>形成两强相战或反复引动</x:v>
      </x:c>
      <x:c r="Z74" s="68" t="str">
        <x:v>M04/M05已识别关系，柱位、完整度与参与对象已标准化</x:v>
      </x:c>
      <x:c r="AA74" s="68" t="str">
        <x:v>必须指向具体作用对象，并比较各方力量、根气和通道</x:v>
      </x:c>
      <x:c r="AB74" s="68" t="str">
        <x:v>关系相邻、得令、得地、成势且无强力反制</x:v>
      </x:c>
      <x:c r="AC74" s="68" t="str">
        <x:v>遥隔、争合、节点被其他关系牵制或双方各有强根</x:v>
      </x:c>
      <x:c r="AD74" s="90" t="str">
        <x:v>仅凭关系名称不得直接判性质改变、归零或固定吉凶</x:v>
      </x:c>
      <x:c r="AE74" s="68" t="str">
        <x:v>特殊格局或岁运动态补齐须另建实例重新裁决</x:v>
      </x:c>
      <x:c r="AF74" s="84" t="str">
        <x:v>双方均有根有援时，六冲多形成持续对抗与互耗，未必有一方被拔；流通层面常见卡点。</x:v>
      </x:c>
      <x:c r="AG74" s="84" t="str">
        <x:v>双方皆旺，判为强冲对战与互耗；不指定一方被冲去。</x:v>
      </x:c>
      <x:c r="AH74" s="82" t="str">
        <x:v>较高</x:v>
      </x:c>
      <x:c r="AI74" s="82" t="str">
        <x:v>现代综合</x:v>
      </x:c>
      <x:c r="AJ74" s="68" t="str">
        <x:v>强强相冲需进入通关与病药判断。参考：https://zh.wikisource.org/zh-hans/滴天髓</x:v>
      </x:c>
      <x:c r="AK74" s="68" t="str">
        <x:v>寅申两支均得势，判金木强冲互耗。</x:v>
      </x:c>
      <x:c r="AL74" s="90" t="str">
        <x:v>强强相冲仍机械认定其中一支消失。</x:v>
      </x:c>
      <x:c r="AM74" s="82" t="str">
        <x:v>采用</x:v>
      </x:c>
      <x:c r="AN74" s="82" t="str">
        <x:v>初审</x:v>
      </x:c>
      <x:c r="AO74" s="87" t="n">
        <x:v>46255</x:v>
      </x:c>
    </x:row>
    <x:row r="75">
      <x:c r="A75" s="72" t="str">
        <x:f>IF(OR(C75="",D75=""),"",B75&amp;"-"&amp;UPPER(C75)&amp;"-"&amp;TEXT(D75,"0000")&amp;"-"&amp;E75)</x:f>
        <x:v>M06-CHONG-0069-V1.0</x:v>
      </x:c>
      <x:c r="B75" s="74" t="str">
        <x:v>M06</x:v>
      </x:c>
      <x:c r="C75" s="74" t="str">
        <x:v>CHONG</x:v>
      </x:c>
      <x:c r="D75" s="79" t="n">
        <x:v>69</x:v>
      </x:c>
      <x:c r="E75" s="74" t="str">
        <x:v>V1.0</x:v>
      </x:c>
      <x:c r="F75" s="68" t="str">
        <x:v>双方皆弱时六冲以扰动为主</x:v>
      </x:c>
      <x:c r="G75" s="82" t="str">
        <x:v>效应层</x:v>
      </x:c>
      <x:c r="H75" s="68" t="str">
        <x:v>M05-CHONG-0027-V1.0—M05-CHONG-0032-V1.0</x:v>
      </x:c>
      <x:c r="I75" s="82" t="str">
        <x:v>六冲</x:v>
      </x:c>
      <x:c r="J75" s="68" t="str">
        <x:v>双方均弱的相冲两支</x:v>
      </x:c>
      <x:c r="K75" s="68" t="str">
        <x:v>双方</x:v>
      </x:c>
      <x:c r="L75" s="82" t="str">
        <x:v>逐对象比较得令、得地、得势与相对强弱</x:v>
      </x:c>
      <x:c r="M75" s="68" t="str">
        <x:v>记录参与对象中谁得令、谁受季节支持</x:v>
      </x:c>
      <x:c r="N75" s="68" t="str">
        <x:v>记录明干及相关藏干的透出通道</x:v>
      </x:c>
      <x:c r="O75" s="68" t="str">
        <x:v>记录各对象根气层级、数量及是否唯一根</x:v>
      </x:c>
      <x:c r="P75" s="68" t="str">
        <x:v>检查同节点的合、冲、刑、害、破、会及生克</x:v>
      </x:c>
      <x:c r="Q75" s="82" t="str">
        <x:v>冲动</x:v>
      </x:c>
      <x:c r="R75" s="82" t="str">
        <x:v>激活</x:v>
      </x:c>
      <x:c r="S75" s="82" t="str">
        <x:v>弱</x:v>
      </x:c>
      <x:c r="T75" s="82" t="str">
        <x:v>否</x:v>
      </x:c>
      <x:c r="U75" s="82" t="str">
        <x:v>条件性</x:v>
      </x:c>
      <x:c r="V75" s="82" t="str">
        <x:v>条件性</x:v>
      </x:c>
      <x:c r="W75" s="82" t="str">
        <x:v>条件性</x:v>
      </x:c>
      <x:c r="X75" s="82" t="str">
        <x:v>条件性</x:v>
      </x:c>
      <x:c r="Y75" s="68" t="str">
        <x:v>可能改变原有生克路径，须在M12复核</x:v>
      </x:c>
      <x:c r="Z75" s="68" t="str">
        <x:v>M04/M05已识别关系，柱位、完整度与参与对象已标准化</x:v>
      </x:c>
      <x:c r="AA75" s="68" t="str">
        <x:v>必须指向具体作用对象，并比较各方力量、根气和通道</x:v>
      </x:c>
      <x:c r="AB75" s="68" t="str">
        <x:v>岁运补入一方同党或使一方得势</x:v>
      </x:c>
      <x:c r="AC75" s="68" t="str">
        <x:v>双方均无透干、无同党且遥隔</x:v>
      </x:c>
      <x:c r="AD75" s="90" t="str">
        <x:v>仅凭关系名称不得直接判性质改变、归零或固定吉凶</x:v>
      </x:c>
      <x:c r="AE75" s="68" t="str">
        <x:v>特殊格局或岁运动态补齐须另建实例重新裁决</x:v>
      </x:c>
      <x:c r="AF75" s="84" t="str">
        <x:v>双方均失令无根时，冲仍产生动象，但实际破坏力有限，不宜夸大为冲散或拔根。</x:v>
      </x:c>
      <x:c r="AG75" s="84" t="str">
        <x:v>双方皆弱，六冲以弱扰动为主；力量修正从轻。</x:v>
      </x:c>
      <x:c r="AH75" s="82" t="str">
        <x:v>较高</x:v>
      </x:c>
      <x:c r="AI75" s="82" t="str">
        <x:v>现代综合</x:v>
      </x:c>
      <x:c r="AJ75" s="68" t="str">
        <x:v>关系存在不代表作用等级固定。参考：https://zh.wikisource.org/zh-hans/滴天髓</x:v>
      </x:c>
      <x:c r="AK75" s="68" t="str">
        <x:v>卯酉均弱无根，先记轻度冲动。</x:v>
      </x:c>
      <x:c r="AL75" s="90" t="str">
        <x:v>两弱相冲仍判决定性破坏。</x:v>
      </x:c>
      <x:c r="AM75" s="82" t="str">
        <x:v>采用</x:v>
      </x:c>
      <x:c r="AN75" s="82" t="str">
        <x:v>初审</x:v>
      </x:c>
      <x:c r="AO75" s="87" t="n">
        <x:v>46255</x:v>
      </x:c>
    </x:row>
    <x:row r="76">
      <x:c r="A76" s="72" t="str">
        <x:f>IF(OR(C76="",D76=""),"",B76&amp;"-"&amp;UPPER(C76)&amp;"-"&amp;TEXT(D76,"0000")&amp;"-"&amp;E76)</x:f>
        <x:v>M06-CHONG-0070-V1.0</x:v>
      </x:c>
      <x:c r="B76" s="74" t="str">
        <x:v>M06</x:v>
      </x:c>
      <x:c r="C76" s="74" t="str">
        <x:v>CHONG</x:v>
      </x:c>
      <x:c r="D76" s="79" t="n">
        <x:v>70</x:v>
      </x:c>
      <x:c r="E76" s="74" t="str">
        <x:v>V1.0</x:v>
      </x:c>
      <x:c r="F76" s="68" t="str">
        <x:v>月支参与六冲提高结构权重</x:v>
      </x:c>
      <x:c r="G76" s="82" t="str">
        <x:v>效应层</x:v>
      </x:c>
      <x:c r="H76" s="68" t="str">
        <x:v>M05-BOUND-0064-V1.0；M05-CHONG-0027-V1.0—M05-CHONG-0032-V1.0</x:v>
      </x:c>
      <x:c r="I76" s="82" t="str">
        <x:v>六冲</x:v>
      </x:c>
      <x:c r="J76" s="68" t="str">
        <x:v>月支与其他地支</x:v>
      </x:c>
      <x:c r="K76" s="68" t="str">
        <x:v>月令及被冲对象</x:v>
      </x:c>
      <x:c r="L76" s="82" t="str">
        <x:v>逐对象比较得令、得地、得势与相对强弱</x:v>
      </x:c>
      <x:c r="M76" s="68" t="str">
        <x:v>一方为月支，必须明确月令是否支持其本气</x:v>
      </x:c>
      <x:c r="N76" s="68" t="str">
        <x:v>记录明干及相关藏干的透出通道</x:v>
      </x:c>
      <x:c r="O76" s="68" t="str">
        <x:v>记录各对象根气层级、数量及是否唯一根</x:v>
      </x:c>
      <x:c r="P76" s="68" t="str">
        <x:v>检查同节点的合、冲、刑、害、破、会及生克</x:v>
      </x:c>
      <x:c r="Q76" s="82" t="str">
        <x:v>冲动</x:v>
      </x:c>
      <x:c r="R76" s="82" t="str">
        <x:v>激活</x:v>
      </x:c>
      <x:c r="S76" s="82" t="str">
        <x:v>强</x:v>
      </x:c>
      <x:c r="T76" s="82" t="str">
        <x:v>否</x:v>
      </x:c>
      <x:c r="U76" s="82" t="str">
        <x:v>条件性</x:v>
      </x:c>
      <x:c r="V76" s="82" t="str">
        <x:v>条件性</x:v>
      </x:c>
      <x:c r="W76" s="82" t="str">
        <x:v>条件性</x:v>
      </x:c>
      <x:c r="X76" s="82" t="str">
        <x:v>条件性</x:v>
      </x:c>
      <x:c r="Y76" s="68" t="str">
        <x:v>可能改变原有生克路径，须在M12复核</x:v>
      </x:c>
      <x:c r="Z76" s="68" t="str">
        <x:v>M04/M05已识别关系，柱位、完整度与参与对象已标准化</x:v>
      </x:c>
      <x:c r="AA76" s="68" t="str">
        <x:v>必须指向具体作用对象，并比较各方力量、根气和通道</x:v>
      </x:c>
      <x:c r="AB76" s="68" t="str">
        <x:v>关系相邻、得令、得地、成势且无强力反制</x:v>
      </x:c>
      <x:c r="AC76" s="68" t="str">
        <x:v>遥隔、争合、节点被其他关系牵制或双方各有强根</x:v>
      </x:c>
      <x:c r="AD76" s="90" t="str">
        <x:v>仅凭关系名称不得直接判性质改变、归零或固定吉凶</x:v>
      </x:c>
      <x:c r="AE76" s="68" t="str">
        <x:v>特殊格局或岁运动态补齐须另建实例重新裁决</x:v>
      </x:c>
      <x:c r="AF76" s="84" t="str">
        <x:v>月支代表司令与全局基础气候，其参与六冲时影响通常高于非月令支，但并不保证月支被冲败。</x:v>
      </x:c>
      <x:c r="AG76" s="84" t="str">
        <x:v>月令参与六冲，结构权重上调；仍按双方实际强弱判断冲旺、冲弱或互耗。</x:v>
      </x:c>
      <x:c r="AH76" s="82" t="str">
        <x:v>较高</x:v>
      </x:c>
      <x:c r="AI76" s="82" t="str">
        <x:v>现代综合</x:v>
      </x:c>
      <x:c r="AJ76" s="68" t="str">
        <x:v>月令提升关系的重要性而非自动决定输赢。参考：https://zh.wikisource.org/zh-hans/滴天髓</x:v>
      </x:c>
      <x:c r="AK76" s="68" t="str">
        <x:v>月支午受子冲，需重点评估，但午得令时未必受损。</x:v>
      </x:c>
      <x:c r="AL76" s="90" t="str">
        <x:v>月支被冲便一律判月令失效。</x:v>
      </x:c>
      <x:c r="AM76" s="82" t="str">
        <x:v>采用</x:v>
      </x:c>
      <x:c r="AN76" s="82" t="str">
        <x:v>初审</x:v>
      </x:c>
      <x:c r="AO76" s="87" t="n">
        <x:v>46255</x:v>
      </x:c>
    </x:row>
    <x:row r="77">
      <x:c r="A77" s="72" t="str">
        <x:f>IF(OR(C77="",D77=""),"",B77&amp;"-"&amp;UPPER(C77)&amp;"-"&amp;TEXT(D77,"0000")&amp;"-"&amp;E77)</x:f>
        <x:v>M06-CHONG-0071-V1.0</x:v>
      </x:c>
      <x:c r="B77" s="74" t="str">
        <x:v>M06</x:v>
      </x:c>
      <x:c r="C77" s="74" t="str">
        <x:v>CHONG</x:v>
      </x:c>
      <x:c r="D77" s="79" t="n">
        <x:v>71</x:v>
      </x:c>
      <x:c r="E77" s="74" t="str">
        <x:v>V1.0</x:v>
      </x:c>
      <x:c r="F77" s="68" t="str">
        <x:v>唯一根被强冲时可判根气实质受损</x:v>
      </x:c>
      <x:c r="G77" s="82" t="str">
        <x:v>效应层</x:v>
      </x:c>
      <x:c r="H77" s="68" t="str">
        <x:v>M05-CHONG-0027-V1.0—M05-CHONG-0032-V1.0；M03-RTCT-0040-V1.0—M03-RTCT-0045-V1.0；M03-RTEF-0046-V1.0—M03-RTEF-0052-V1.0</x:v>
      </x:c>
      <x:c r="I77" s="82" t="str">
        <x:v>六冲</x:v>
      </x:c>
      <x:c r="J77" s="68" t="str">
        <x:v>相冲支及依附其上的天干</x:v>
      </x:c>
      <x:c r="K77" s="68" t="str">
        <x:v>被冲支所承载的唯一根</x:v>
      </x:c>
      <x:c r="L77" s="82" t="str">
        <x:v>逐对象比较得令、得地、得势与相对强弱</x:v>
      </x:c>
      <x:c r="M77" s="68" t="str">
        <x:v>记录参与对象中谁得令、谁受季节支持</x:v>
      </x:c>
      <x:c r="N77" s="68" t="str">
        <x:v>记录明干及相关藏干的透出通道</x:v>
      </x:c>
      <x:c r="O77" s="68" t="str">
        <x:v>记录各对象根气层级、数量及是否唯一根</x:v>
      </x:c>
      <x:c r="P77" s="68" t="str">
        <x:v>检查同节点的合、冲、刑、害、破、会及生克</x:v>
      </x:c>
      <x:c r="Q77" s="82" t="str">
        <x:v>破坏根气</x:v>
      </x:c>
      <x:c r="R77" s="82" t="str">
        <x:v>减弱</x:v>
      </x:c>
      <x:c r="S77" s="82" t="str">
        <x:v>强</x:v>
      </x:c>
      <x:c r="T77" s="82" t="str">
        <x:v>否</x:v>
      </x:c>
      <x:c r="U77" s="82" t="str">
        <x:v>是</x:v>
      </x:c>
      <x:c r="V77" s="82" t="str">
        <x:v>是</x:v>
      </x:c>
      <x:c r="W77" s="82" t="str">
        <x:v>否</x:v>
      </x:c>
      <x:c r="X77" s="82" t="str">
        <x:v>是</x:v>
      </x:c>
      <x:c r="Y77" s="68" t="str">
        <x:v>可能改变原有生克路径，须在M12复核</x:v>
      </x:c>
      <x:c r="Z77" s="68" t="str">
        <x:v>M04/M05已识别关系，柱位、完整度与参与对象已标准化</x:v>
      </x:c>
      <x:c r="AA77" s="68" t="str">
        <x:v>先确认是唯一根、根层级较低且冲方显著更强</x:v>
      </x:c>
      <x:c r="AB77" s="68" t="str">
        <x:v>关系相邻、得令、得地、成势且无强力反制</x:v>
      </x:c>
      <x:c r="AC77" s="68" t="str">
        <x:v>遥隔、争合、节点被其他关系牵制或双方各有强根</x:v>
      </x:c>
      <x:c r="AD77" s="90" t="str">
        <x:v>仅凭关系名称不得直接判性质改变、归零或固定吉凶</x:v>
      </x:c>
      <x:c r="AE77" s="68" t="str">
        <x:v>特殊格局或岁运动态补齐须另建实例重新裁决</x:v>
      </x:c>
      <x:c r="AF77" s="84" t="str">
        <x:v>某天干仅有一处弱根，而该支被强势对冲且无合会救应时，根气可从有效降为受损或近无根。</x:v>
      </x:c>
      <x:c r="AG77" s="84" t="str">
        <x:v>被冲支承载唯一弱根，且强冲落实；该根有效性显著下降。</x:v>
      </x:c>
      <x:c r="AH77" s="82" t="str">
        <x:v>较高</x:v>
      </x:c>
      <x:c r="AI77" s="82" t="str">
        <x:v>现代综合</x:v>
      </x:c>
      <x:c r="AJ77" s="68" t="str">
        <x:v>拔根必须落实到具体根位，不能由“有冲”直接推出。参考：https://zh.wikisource.org/zh-hans/滴天髓</x:v>
      </x:c>
      <x:c r="AK77" s="68" t="str">
        <x:v>甲仅根寅，寅弱受旺申冲且无援，可判甲根重损。</x:v>
      </x:c>
      <x:c r="AL77" s="90" t="str">
        <x:v>甲另有卯亥多根仍因寅申冲判甲完全无根。</x:v>
      </x:c>
      <x:c r="AM77" s="82" t="str">
        <x:v>采用</x:v>
      </x:c>
      <x:c r="AN77" s="82" t="str">
        <x:v>初审</x:v>
      </x:c>
      <x:c r="AO77" s="87" t="n">
        <x:v>46255</x:v>
      </x:c>
    </x:row>
    <x:row r="78">
      <x:c r="A78" s="72" t="str">
        <x:f>IF(OR(C78="",D78=""),"",B78&amp;"-"&amp;UPPER(C78)&amp;"-"&amp;TEXT(D78,"0000")&amp;"-"&amp;E78)</x:f>
        <x:v>M06-CHONG-0072-V1.0</x:v>
      </x:c>
      <x:c r="B78" s="74" t="str">
        <x:v>M06</x:v>
      </x:c>
      <x:c r="C78" s="74" t="str">
        <x:v>CHONG</x:v>
      </x:c>
      <x:c r="D78" s="79" t="n">
        <x:v>72</x:v>
      </x:c>
      <x:c r="E78" s="74" t="str">
        <x:v>V1.0</x:v>
      </x:c>
      <x:c r="F78" s="68" t="str">
        <x:v>多根或强根结构不因单点受冲而无根</x:v>
      </x:c>
      <x:c r="G78" s="82" t="str">
        <x:v>效应层</x:v>
      </x:c>
      <x:c r="H78" s="68" t="str">
        <x:v>M05-CHONG-0027-V1.0—M05-CHONG-0032-V1.0；M03-RTCT-0040-V1.0—M03-RTCT-0045-V1.0；M03-RTEF-0046-V1.0—M03-RTEF-0052-V1.0</x:v>
      </x:c>
      <x:c r="I78" s="82" t="str">
        <x:v>六冲</x:v>
      </x:c>
      <x:c r="J78" s="68" t="str">
        <x:v>被冲支及同五行其他根</x:v>
      </x:c>
      <x:c r="K78" s="68" t="str">
        <x:v>整体根系</x:v>
      </x:c>
      <x:c r="L78" s="82" t="str">
        <x:v>逐对象比较得令、得地、得势与相对强弱</x:v>
      </x:c>
      <x:c r="M78" s="68" t="str">
        <x:v>记录参与对象中谁得令、谁受季节支持</x:v>
      </x:c>
      <x:c r="N78" s="68" t="str">
        <x:v>记录明干及相关藏干的透出通道</x:v>
      </x:c>
      <x:c r="O78" s="68" t="str">
        <x:v>记录各对象根气层级、数量及是否唯一根</x:v>
      </x:c>
      <x:c r="P78" s="68" t="str">
        <x:v>检查同节点的合、冲、刑、害、破、会及生克</x:v>
      </x:c>
      <x:c r="Q78" s="82" t="str">
        <x:v>冲弱</x:v>
      </x:c>
      <x:c r="R78" s="82" t="str">
        <x:v>减弱</x:v>
      </x:c>
      <x:c r="S78" s="82" t="str">
        <x:v>中</x:v>
      </x:c>
      <x:c r="T78" s="82" t="str">
        <x:v>否</x:v>
      </x:c>
      <x:c r="U78" s="82" t="str">
        <x:v>条件性</x:v>
      </x:c>
      <x:c r="V78" s="82" t="str">
        <x:v>条件性</x:v>
      </x:c>
      <x:c r="W78" s="82" t="str">
        <x:v>否</x:v>
      </x:c>
      <x:c r="X78" s="82" t="str">
        <x:v>是</x:v>
      </x:c>
      <x:c r="Y78" s="68" t="str">
        <x:v>可能改变原有生克路径，须在M12复核</x:v>
      </x:c>
      <x:c r="Z78" s="68" t="str">
        <x:v>M04/M05已识别关系，柱位、完整度与参与对象已标准化</x:v>
      </x:c>
      <x:c r="AA78" s="68" t="str">
        <x:v>明确列出其他根位及其有效性</x:v>
      </x:c>
      <x:c r="AB78" s="68" t="str">
        <x:v>关系相邻、得令、得地、成势且无强力反制</x:v>
      </x:c>
      <x:c r="AC78" s="68" t="str">
        <x:v>遥隔、争合、节点被其他关系牵制或双方各有强根</x:v>
      </x:c>
      <x:c r="AD78" s="90" t="str">
        <x:v>仅凭关系名称不得直接判性质改变、归零或固定吉凶</x:v>
      </x:c>
      <x:c r="AE78" s="68" t="str">
        <x:v>特殊格局或岁运动态补齐须另建实例重新裁决</x:v>
      </x:c>
      <x:c r="AF78" s="84" t="str">
        <x:v>天干有多处根或被冲支本身得令有党时，单点六冲只能修正该根，不得把整体根系判为消失。</x:v>
      </x:c>
      <x:c r="AG78" s="84" t="str">
        <x:v>一处根受冲，但其他根仍在；整体仍有根，只下调有效根力。</x:v>
      </x:c>
      <x:c r="AH78" s="82" t="str">
        <x:v>较高</x:v>
      </x:c>
      <x:c r="AI78" s="82" t="str">
        <x:v>现代综合</x:v>
      </x:c>
      <x:c r="AJ78" s="68" t="str">
        <x:v>根气判断必须区分单点与整体。参考：https://zh.wikisource.org/zh-hans/滴天髓</x:v>
      </x:c>
      <x:c r="AK78" s="68" t="str">
        <x:v>甲有寅卯两根，寅受申冲后仍有卯根。</x:v>
      </x:c>
      <x:c r="AL78" s="90" t="str">
        <x:v>一根受冲便把所有同类根全部删除。</x:v>
      </x:c>
      <x:c r="AM78" s="82" t="str">
        <x:v>采用</x:v>
      </x:c>
      <x:c r="AN78" s="82" t="str">
        <x:v>初审</x:v>
      </x:c>
      <x:c r="AO78" s="87" t="n">
        <x:v>46255</x:v>
      </x:c>
    </x:row>
    <x:row r="79">
      <x:c r="A79" s="72" t="str">
        <x:f>IF(OR(C79="",D79=""),"",B79&amp;"-"&amp;UPPER(C79)&amp;"-"&amp;TEXT(D79,"0000")&amp;"-"&amp;E79)</x:f>
        <x:v>M06-CHONG-0073-V1.0</x:v>
      </x:c>
      <x:c r="B79" s="74" t="str">
        <x:v>M06</x:v>
      </x:c>
      <x:c r="C79" s="74" t="str">
        <x:v>CHONG</x:v>
      </x:c>
      <x:c r="D79" s="79" t="n">
        <x:v>73</x:v>
      </x:c>
      <x:c r="E79" s="74" t="str">
        <x:v>V1.0</x:v>
      </x:c>
      <x:c r="F79" s="68" t="str">
        <x:v>六冲可引动双方藏干进入作用层</x:v>
      </x:c>
      <x:c r="G79" s="82" t="str">
        <x:v>效应层</x:v>
      </x:c>
      <x:c r="H79" s="68" t="str">
        <x:v>M05-CHONG-0027-V1.0—M05-CHONG-0032-V1.0</x:v>
      </x:c>
      <x:c r="I79" s="82" t="str">
        <x:v>六冲</x:v>
      </x:c>
      <x:c r="J79" s="68" t="str">
        <x:v>相冲两支</x:v>
      </x:c>
      <x:c r="K79" s="68" t="str">
        <x:v>双方藏干</x:v>
      </x:c>
      <x:c r="L79" s="82" t="str">
        <x:v>逐对象比较得令、得地、得势与相对强弱</x:v>
      </x:c>
      <x:c r="M79" s="68" t="str">
        <x:v>记录参与对象中谁得令、谁受季节支持</x:v>
      </x:c>
      <x:c r="N79" s="68" t="str">
        <x:v>记录明干及相关藏干的透出通道</x:v>
      </x:c>
      <x:c r="O79" s="68" t="str">
        <x:v>记录各对象根气层级、数量及是否唯一根</x:v>
      </x:c>
      <x:c r="P79" s="68" t="str">
        <x:v>检查同节点的合、冲、刑、害、破、会及生克</x:v>
      </x:c>
      <x:c r="Q79" s="82" t="str">
        <x:v>引动藏干</x:v>
      </x:c>
      <x:c r="R79" s="82" t="str">
        <x:v>激活</x:v>
      </x:c>
      <x:c r="S79" s="82" t="str">
        <x:v>中</x:v>
      </x:c>
      <x:c r="T79" s="82" t="str">
        <x:v>否</x:v>
      </x:c>
      <x:c r="U79" s="82" t="str">
        <x:v>条件性</x:v>
      </x:c>
      <x:c r="V79" s="82" t="str">
        <x:v>是</x:v>
      </x:c>
      <x:c r="W79" s="82" t="str">
        <x:v>条件性</x:v>
      </x:c>
      <x:c r="X79" s="82" t="str">
        <x:v>条件性</x:v>
      </x:c>
      <x:c r="Y79" s="68" t="str">
        <x:v>支内潜在生克通道被打开或加速</x:v>
      </x:c>
      <x:c r="Z79" s="68" t="str">
        <x:v>M04/M05已识别关系，柱位、完整度与参与对象已标准化</x:v>
      </x:c>
      <x:c r="AA79" s="68" t="str">
        <x:v>必须指向具体作用对象，并比较各方力量、根气和通道</x:v>
      </x:c>
      <x:c r="AB79" s="68" t="str">
        <x:v>关系相邻、得令、得地、成势且无强力反制</x:v>
      </x:c>
      <x:c r="AC79" s="68" t="str">
        <x:v>遥隔、争合、节点被其他关系牵制或双方各有强根</x:v>
      </x:c>
      <x:c r="AD79" s="90" t="str">
        <x:v>仅凭关系名称不得直接判性质改变、归零或固定吉凶</x:v>
      </x:c>
      <x:c r="AE79" s="68" t="str">
        <x:v>特殊格局或岁运动态补齐须另建实例重新裁决</x:v>
      </x:c>
      <x:c r="AF79" s="84" t="str">
        <x:v>六冲使支内藏干由潜伏转为较活跃，但活跃程度仍受透干、根气和强弱控制。</x:v>
      </x:c>
      <x:c r="AG79" s="84" t="str">
        <x:v>六冲引动相关藏干；哪些藏干有效输出须逐项评估。</x:v>
      </x:c>
      <x:c r="AH79" s="82" t="str">
        <x:v>较高</x:v>
      </x:c>
      <x:c r="AI79" s="82" t="str">
        <x:v>现代综合</x:v>
      </x:c>
      <x:c r="AJ79" s="68" t="str">
        <x:v>冲的核心之一是动，动可使藏干参与。参考：https://zh.wikisource.org/zh-hans/滴天髓</x:v>
      </x:c>
      <x:c r="AK79" s="68" t="str">
        <x:v>辰戌冲可引动两支戊、乙、癸、辛、丁等藏干，但不等于全部同强。</x:v>
      </x:c>
      <x:c r="AL79" s="90" t="str">
        <x:v>冲后把所有藏干一律视为透干。</x:v>
      </x:c>
      <x:c r="AM79" s="82" t="str">
        <x:v>采用</x:v>
      </x:c>
      <x:c r="AN79" s="82" t="str">
        <x:v>初审</x:v>
      </x:c>
      <x:c r="AO79" s="87" t="n">
        <x:v>46255</x:v>
      </x:c>
    </x:row>
    <x:row r="80">
      <x:c r="A80" s="72" t="str">
        <x:f>IF(OR(C80="",D80=""),"",B80&amp;"-"&amp;UPPER(C80)&amp;"-"&amp;TEXT(D80,"0000")&amp;"-"&amp;E80)</x:f>
        <x:v>M06-CHONG-0074-V1.0</x:v>
      </x:c>
      <x:c r="B80" s="74" t="str">
        <x:v>M06</x:v>
      </x:c>
      <x:c r="C80" s="74" t="str">
        <x:v>CHONG</x:v>
      </x:c>
      <x:c r="D80" s="79" t="n">
        <x:v>74</x:v>
      </x:c>
      <x:c r="E80" s="74" t="str">
        <x:v>V1.0</x:v>
      </x:c>
      <x:c r="F80" s="68" t="str">
        <x:v>六冲可破坏共享节点的六合或半合稳定性</x:v>
      </x:c>
      <x:c r="G80" s="82" t="str">
        <x:v>效应层</x:v>
      </x:c>
      <x:c r="H80" s="68" t="str">
        <x:v>M05-OVER-0068-V1.0；M05-CHONG-0027-V1.0—M05-CHONG-0032-V1.0</x:v>
      </x:c>
      <x:c r="I80" s="82" t="str">
        <x:v>其他</x:v>
      </x:c>
      <x:c r="J80" s="68" t="str">
        <x:v>冲、合共享的地支节点</x:v>
      </x:c>
      <x:c r="K80" s="68" t="str">
        <x:v>原合关系</x:v>
      </x:c>
      <x:c r="L80" s="82" t="str">
        <x:v>逐对象比较得令、得地、得势与相对强弱</x:v>
      </x:c>
      <x:c r="M80" s="68" t="str">
        <x:v>记录参与对象中谁得令、谁受季节支持</x:v>
      </x:c>
      <x:c r="N80" s="68" t="str">
        <x:v>记录明干及相关藏干的透出通道</x:v>
      </x:c>
      <x:c r="O80" s="68" t="str">
        <x:v>记录各对象根气层级、数量及是否唯一根</x:v>
      </x:c>
      <x:c r="P80" s="68" t="str">
        <x:v>检查同节点的合、冲、刑、害、破、会及生克</x:v>
      </x:c>
      <x:c r="Q80" s="82" t="str">
        <x:v>冲散</x:v>
      </x:c>
      <x:c r="R80" s="82" t="str">
        <x:v>阻断</x:v>
      </x:c>
      <x:c r="S80" s="82" t="str">
        <x:v>强</x:v>
      </x:c>
      <x:c r="T80" s="82" t="str">
        <x:v>条件性</x:v>
      </x:c>
      <x:c r="U80" s="82" t="str">
        <x:v>条件性</x:v>
      </x:c>
      <x:c r="V80" s="82" t="str">
        <x:v>是</x:v>
      </x:c>
      <x:c r="W80" s="82" t="str">
        <x:v>条件性</x:v>
      </x:c>
      <x:c r="X80" s="82" t="str">
        <x:v>条件性</x:v>
      </x:c>
      <x:c r="Y80" s="68" t="str">
        <x:v>可能改变原有生克路径，须在M12复核</x:v>
      </x:c>
      <x:c r="Z80" s="68" t="str">
        <x:v>M04/M05已识别关系，柱位、完整度与参与对象已标准化</x:v>
      </x:c>
      <x:c r="AA80" s="68" t="str">
        <x:v>冲关系真实强于原合，并非弱冲强合</x:v>
      </x:c>
      <x:c r="AB80" s="68" t="str">
        <x:v>关系相邻、得令、得地、成势且无强力反制</x:v>
      </x:c>
      <x:c r="AC80" s="68" t="str">
        <x:v>遥隔、争合、节点被其他关系牵制或双方各有强根</x:v>
      </x:c>
      <x:c r="AD80" s="90" t="str">
        <x:v>仅凭关系名称不得直接判性质改变、归零或固定吉凶</x:v>
      </x:c>
      <x:c r="AE80" s="68" t="str">
        <x:v>特殊格局或岁运动态补齐须另建实例重新裁决</x:v>
      </x:c>
      <x:c r="AF80" s="84" t="str">
        <x:v>冲方强于原合且直接作用共享节点时，可松解或破坏原六合、半合，使节点恢复原功能或转入冲局。</x:v>
      </x:c>
      <x:c r="AG80" s="84" t="str">
        <x:v>强冲作用于合局节点，原合关系降级或解开；需重算节点有效力量。</x:v>
      </x:c>
      <x:c r="AH80" s="82" t="str">
        <x:v>较高</x:v>
      </x:c>
      <x:c r="AI80" s="82" t="str">
        <x:v>现代综合</x:v>
      </x:c>
      <x:c r="AJ80" s="68" t="str">
        <x:v>刑冲会合之间可相互解构，但非固定优先级。参考：https://ctext.org/wiki.pl?chapter=974137&amp;if=gb&amp;remap=gb</x:v>
      </x:c>
      <x:c r="AK80" s="68" t="str">
        <x:v>子丑合中丑受未强冲，子丑合可松解。</x:v>
      </x:c>
      <x:c r="AL80" s="90" t="str">
        <x:v>任何弱冲都必然破掉强合局。</x:v>
      </x:c>
      <x:c r="AM80" s="82" t="str">
        <x:v>采用</x:v>
      </x:c>
      <x:c r="AN80" s="82" t="str">
        <x:v>初审</x:v>
      </x:c>
      <x:c r="AO80" s="87" t="n">
        <x:v>46255</x:v>
      </x:c>
    </x:row>
    <x:row r="81">
      <x:c r="A81" s="72" t="str">
        <x:f>IF(OR(C81="",D81=""),"",B81&amp;"-"&amp;UPPER(C81)&amp;"-"&amp;TEXT(D81,"0000")&amp;"-"&amp;E81)</x:f>
        <x:v>M06-CHONG-0075-V1.0</x:v>
      </x:c>
      <x:c r="B81" s="74" t="str">
        <x:v>M06</x:v>
      </x:c>
      <x:c r="C81" s="74" t="str">
        <x:v>CHONG</x:v>
      </x:c>
      <x:c r="D81" s="79" t="n">
        <x:v>75</x:v>
      </x:c>
      <x:c r="E81" s="74" t="str">
        <x:v>V1.0</x:v>
      </x:c>
      <x:c r="F81" s="68" t="str">
        <x:v>六冲可释放被合绊对象的原有功能</x:v>
      </x:c>
      <x:c r="G81" s="82" t="str">
        <x:v>效应层</x:v>
      </x:c>
      <x:c r="H81" s="68" t="str">
        <x:v>M05-OVER-0068-V1.0；M05-CHONG-0027-V1.0—M05-CHONG-0032-V1.0</x:v>
      </x:c>
      <x:c r="I81" s="82" t="str">
        <x:v>其他</x:v>
      </x:c>
      <x:c r="J81" s="68" t="str">
        <x:v>被合支及其冲支</x:v>
      </x:c>
      <x:c r="K81" s="68" t="str">
        <x:v>被合支的原功能</x:v>
      </x:c>
      <x:c r="L81" s="82" t="str">
        <x:v>逐对象比较得令、得地、得势与相对强弱</x:v>
      </x:c>
      <x:c r="M81" s="68" t="str">
        <x:v>记录参与对象中谁得令、谁受季节支持</x:v>
      </x:c>
      <x:c r="N81" s="68" t="str">
        <x:v>记录明干及相关藏干的透出通道</x:v>
      </x:c>
      <x:c r="O81" s="68" t="str">
        <x:v>记录各对象根气层级、数量及是否唯一根</x:v>
      </x:c>
      <x:c r="P81" s="68" t="str">
        <x:v>检查同节点的合、冲、刑、害、破、会及生克</x:v>
      </x:c>
      <x:c r="Q81" s="82" t="str">
        <x:v>冲开</x:v>
      </x:c>
      <x:c r="R81" s="82" t="str">
        <x:v>激活</x:v>
      </x:c>
      <x:c r="S81" s="82" t="str">
        <x:v>中</x:v>
      </x:c>
      <x:c r="T81" s="82" t="str">
        <x:v>条件性</x:v>
      </x:c>
      <x:c r="U81" s="82" t="str">
        <x:v>条件性</x:v>
      </x:c>
      <x:c r="V81" s="82" t="str">
        <x:v>是</x:v>
      </x:c>
      <x:c r="W81" s="82" t="str">
        <x:v>是</x:v>
      </x:c>
      <x:c r="X81" s="82" t="str">
        <x:v>条件性</x:v>
      </x:c>
      <x:c r="Y81" s="68" t="str">
        <x:v>可能改变原有生克路径，须在M12复核</x:v>
      </x:c>
      <x:c r="Z81" s="68" t="str">
        <x:v>M04/M05已识别关系，柱位、完整度与参与对象已标准化</x:v>
      </x:c>
      <x:c r="AA81" s="68" t="str">
        <x:v>先确认原合确实形成合绊，冲方足以破合</x:v>
      </x:c>
      <x:c r="AB81" s="68" t="str">
        <x:v>关系相邻、得令、得地、成势且无强力反制</x:v>
      </x:c>
      <x:c r="AC81" s="68" t="str">
        <x:v>遥隔、争合、节点被其他关系牵制或双方各有强根</x:v>
      </x:c>
      <x:c r="AD81" s="90" t="str">
        <x:v>仅凭关系名称不得直接判性质改变、归零或固定吉凶</x:v>
      </x:c>
      <x:c r="AE81" s="68" t="str">
        <x:v>特殊格局或岁运动态补齐须另建实例重新裁决</x:v>
      </x:c>
      <x:c r="AF81" s="84" t="str">
        <x:v>被合支受足够强的冲击时，合绊可能解除，原本被限制的本气与藏干通道重新活跃。</x:v>
      </x:c>
      <x:c r="AG81" s="84" t="str">
        <x:v>冲开原合：被合支的本气和相关藏干重新进入作用层。</x:v>
      </x:c>
      <x:c r="AH81" s="82" t="str">
        <x:v>较高</x:v>
      </x:c>
      <x:c r="AI81" s="82" t="str">
        <x:v>现代综合</x:v>
      </x:c>
      <x:c r="AJ81" s="68" t="str">
        <x:v>冲可解合是条件性释放机制。参考：https://ctext.org/wiki.pl?chapter=974137&amp;if=gb&amp;remap=gb</x:v>
      </x:c>
      <x:c r="AK81" s="68" t="str">
        <x:v>酉被辰合绊，卯强冲酉可使辰酉合松动，酉金重新显作用。</x:v>
      </x:c>
      <x:c r="AL81" s="90" t="str">
        <x:v>原合未成立仍说被冲开。</x:v>
      </x:c>
      <x:c r="AM81" s="82" t="str">
        <x:v>采用</x:v>
      </x:c>
      <x:c r="AN81" s="82" t="str">
        <x:v>初审</x:v>
      </x:c>
      <x:c r="AO81" s="87" t="n">
        <x:v>46255</x:v>
      </x:c>
    </x:row>
    <x:row r="82">
      <x:c r="A82" s="72" t="str">
        <x:f>IF(OR(C82="",D82=""),"",B82&amp;"-"&amp;UPPER(C82)&amp;"-"&amp;TEXT(D82,"0000")&amp;"-"&amp;E82)</x:f>
        <x:v>M06-CHONG-0076-V1.0</x:v>
      </x:c>
      <x:c r="B82" s="74" t="str">
        <x:v>M06</x:v>
      </x:c>
      <x:c r="C82" s="74" t="str">
        <x:v>CHONG</x:v>
      </x:c>
      <x:c r="D82" s="79" t="n">
        <x:v>76</x:v>
      </x:c>
      <x:c r="E82" s="74" t="str">
        <x:v>V1.0</x:v>
      </x:c>
      <x:c r="F82" s="68" t="str">
        <x:v>四生地相冲重在位移与生机受扰</x:v>
      </x:c>
      <x:c r="G82" s="82" t="str">
        <x:v>效应层</x:v>
      </x:c>
      <x:c r="H82" s="68" t="str">
        <x:v>M05-CHONG-0029-V1.0；M05-CHONG-0032-V1.0</x:v>
      </x:c>
      <x:c r="I82" s="82" t="str">
        <x:v>六冲</x:v>
      </x:c>
      <x:c r="J82" s="68" t="str">
        <x:v>寅申或巳亥</x:v>
      </x:c>
      <x:c r="K82" s="68" t="str">
        <x:v>四生地及其藏干</x:v>
      </x:c>
      <x:c r="L82" s="82" t="str">
        <x:v>逐对象比较得令、得地、得势与相对强弱</x:v>
      </x:c>
      <x:c r="M82" s="68" t="str">
        <x:v>记录参与对象中谁得令、谁受季节支持</x:v>
      </x:c>
      <x:c r="N82" s="68" t="str">
        <x:v>记录明干及相关藏干的透出通道</x:v>
      </x:c>
      <x:c r="O82" s="68" t="str">
        <x:v>记录各对象根气层级、数量及是否唯一根</x:v>
      </x:c>
      <x:c r="P82" s="68" t="str">
        <x:v>检查同节点的合、冲、刑、害、破、会及生克</x:v>
      </x:c>
      <x:c r="Q82" s="82" t="str">
        <x:v>冲动</x:v>
      </x:c>
      <x:c r="R82" s="82" t="str">
        <x:v>激活</x:v>
      </x:c>
      <x:c r="S82" s="82" t="str">
        <x:v>强</x:v>
      </x:c>
      <x:c r="T82" s="82" t="str">
        <x:v>否</x:v>
      </x:c>
      <x:c r="U82" s="82" t="str">
        <x:v>条件性</x:v>
      </x:c>
      <x:c r="V82" s="82" t="str">
        <x:v>是</x:v>
      </x:c>
      <x:c r="W82" s="82" t="str">
        <x:v>条件性</x:v>
      </x:c>
      <x:c r="X82" s="82" t="str">
        <x:v>条件性</x:v>
      </x:c>
      <x:c r="Y82" s="68" t="str">
        <x:v>多层藏干和生源路径被强烈引动</x:v>
      </x:c>
      <x:c r="Z82" s="68" t="str">
        <x:v>M04/M05已识别关系，柱位、完整度与参与对象已标准化</x:v>
      </x:c>
      <x:c r="AA82" s="68" t="str">
        <x:v>必须指向具体作用对象，并比较各方力量、根气和通道</x:v>
      </x:c>
      <x:c r="AB82" s="68" t="str">
        <x:v>关系相邻、得令、得地、成势且无强力反制</x:v>
      </x:c>
      <x:c r="AC82" s="68" t="str">
        <x:v>遥隔、争合、节点被其他关系牵制或双方各有强根</x:v>
      </x:c>
      <x:c r="AD82" s="90" t="str">
        <x:v>仅凭关系名称不得直接判性质改变、归零或固定吉凶</x:v>
      </x:c>
      <x:c r="AE82" s="68" t="str">
        <x:v>特殊格局或岁运动态补齐须另建实例重新裁决</x:v>
      </x:c>
      <x:c r="AF82" s="84" t="str">
        <x:v>寅申、巳亥为四生地相冲，常引动多层藏干与生发路径；是否伤根仍看强弱，不作统一凶断。</x:v>
      </x:c>
      <x:c r="AG82" s="84" t="str">
        <x:v>四生地相冲，重点记录位移、藏干引动与生发路径受扰；不直接判一方消失。</x:v>
      </x:c>
      <x:c r="AH82" s="82" t="str">
        <x:v>较高</x:v>
      </x:c>
      <x:c r="AI82" s="82" t="str">
        <x:v>现代综合</x:v>
      </x:c>
      <x:c r="AJ82" s="68" t="str">
        <x:v>生方怕动强调生发节点受冲需细察。参考：https://zh.wikisource.org/zh-hans/滴天髓</x:v>
      </x:c>
      <x:c r="AK82" s="68" t="str">
        <x:v>寅申冲同时引动甲丙戊与庚壬戊等藏干通道。</x:v>
      </x:c>
      <x:c r="AL82" s="90" t="str">
        <x:v>四生地一冲便固定判某支死亡。</x:v>
      </x:c>
      <x:c r="AM82" s="82" t="str">
        <x:v>采用</x:v>
      </x:c>
      <x:c r="AN82" s="82" t="str">
        <x:v>初审</x:v>
      </x:c>
      <x:c r="AO82" s="87" t="n">
        <x:v>46255</x:v>
      </x:c>
    </x:row>
    <x:row r="83">
      <x:c r="A83" s="72" t="str">
        <x:f>IF(OR(C83="",D83=""),"",B83&amp;"-"&amp;UPPER(C83)&amp;"-"&amp;TEXT(D83,"0000")&amp;"-"&amp;E83)</x:f>
        <x:v>M06-CHONG-0077-V1.0</x:v>
      </x:c>
      <x:c r="B83" s="74" t="str">
        <x:v>M06</x:v>
      </x:c>
      <x:c r="C83" s="74" t="str">
        <x:v>CHONG</x:v>
      </x:c>
      <x:c r="D83" s="79" t="n">
        <x:v>77</x:v>
      </x:c>
      <x:c r="E83" s="74" t="str">
        <x:v>V1.0</x:v>
      </x:c>
      <x:c r="F83" s="68" t="str">
        <x:v>四正地相冲直接性高但仍须比较旺衰</x:v>
      </x:c>
      <x:c r="G83" s="82" t="str">
        <x:v>效应层</x:v>
      </x:c>
      <x:c r="H83" s="68" t="str">
        <x:v>M05-CHONG-0027-V1.0；M05-CHONG-0030-V1.0</x:v>
      </x:c>
      <x:c r="I83" s="82" t="str">
        <x:v>六冲</x:v>
      </x:c>
      <x:c r="J83" s="68" t="str">
        <x:v>子午或卯酉</x:v>
      </x:c>
      <x:c r="K83" s="68" t="str">
        <x:v>四正地</x:v>
      </x:c>
      <x:c r="L83" s="82" t="str">
        <x:v>逐对象比较得令、得地、得势与相对强弱</x:v>
      </x:c>
      <x:c r="M83" s="68" t="str">
        <x:v>记录参与对象中谁得令、谁受季节支持</x:v>
      </x:c>
      <x:c r="N83" s="68" t="str">
        <x:v>记录明干及相关藏干的透出通道</x:v>
      </x:c>
      <x:c r="O83" s="68" t="str">
        <x:v>记录各对象根气层级、数量及是否唯一根</x:v>
      </x:c>
      <x:c r="P83" s="68" t="str">
        <x:v>检查同节点的合、冲、刑、害、破、会及生克</x:v>
      </x:c>
      <x:c r="Q83" s="82" t="str">
        <x:v>冲动</x:v>
      </x:c>
      <x:c r="R83" s="82" t="str">
        <x:v>减弱</x:v>
      </x:c>
      <x:c r="S83" s="82" t="str">
        <x:v>强</x:v>
      </x:c>
      <x:c r="T83" s="82" t="str">
        <x:v>否</x:v>
      </x:c>
      <x:c r="U83" s="82" t="str">
        <x:v>条件性</x:v>
      </x:c>
      <x:c r="V83" s="82" t="str">
        <x:v>条件性</x:v>
      </x:c>
      <x:c r="W83" s="82" t="str">
        <x:v>条件性</x:v>
      </x:c>
      <x:c r="X83" s="82" t="str">
        <x:v>条件性</x:v>
      </x:c>
      <x:c r="Y83" s="68" t="str">
        <x:v>可能改变原有生克路径，须在M12复核</x:v>
      </x:c>
      <x:c r="Z83" s="68" t="str">
        <x:v>M04/M05已识别关系，柱位、完整度与参与对象已标准化</x:v>
      </x:c>
      <x:c r="AA83" s="68" t="str">
        <x:v>必须指向具体作用对象，并比较各方力量、根气和通道</x:v>
      </x:c>
      <x:c r="AB83" s="68" t="str">
        <x:v>关系相邻、得令、得地、成势且无强力反制</x:v>
      </x:c>
      <x:c r="AC83" s="68" t="str">
        <x:v>遥隔、争合、节点被其他关系牵制或双方各有强根</x:v>
      </x:c>
      <x:c r="AD83" s="90" t="str">
        <x:v>仅凭关系名称不得直接判性质改变、归零或固定吉凶</x:v>
      </x:c>
      <x:c r="AE83" s="68" t="str">
        <x:v>特殊格局或岁运动态补齐须另建实例重新裁决</x:v>
      </x:c>
      <x:c r="AF83" s="84" t="str">
        <x:v>子午、卯酉本气较专，相冲路径直接；但结果仍按旺衰判冲旺、冲弱或互耗。</x:v>
      </x:c>
      <x:c r="AG83" s="84" t="str">
        <x:v>四正之冲作用直接，强度上调；输赢仍由月令、根气和成势决定。</x:v>
      </x:c>
      <x:c r="AH83" s="82" t="str">
        <x:v>较高</x:v>
      </x:c>
      <x:c r="AI83" s="82" t="str">
        <x:v>现代综合</x:v>
      </x:c>
      <x:c r="AJ83" s="68" t="str">
        <x:v>败地逢冲须细裁，不能仅凭类别定吉凶。参考：https://zh.wikisource.org/zh-hans/滴天髓</x:v>
      </x:c>
      <x:c r="AK83" s="68" t="str">
        <x:v>子午均旺则强冲互耗，午旺子弱则午被激活。</x:v>
      </x:c>
      <x:c r="AL83" s="90" t="str">
        <x:v>四正冲一律判两支同等受损。</x:v>
      </x:c>
      <x:c r="AM83" s="82" t="str">
        <x:v>采用</x:v>
      </x:c>
      <x:c r="AN83" s="82" t="str">
        <x:v>初审</x:v>
      </x:c>
      <x:c r="AO83" s="87" t="n">
        <x:v>46255</x:v>
      </x:c>
    </x:row>
    <x:row r="84">
      <x:c r="A84" s="72" t="str">
        <x:f>IF(OR(C84="",D84=""),"",B84&amp;"-"&amp;UPPER(C84)&amp;"-"&amp;TEXT(D84,"0000")&amp;"-"&amp;E84)</x:f>
        <x:v>M06-CHONG-0078-V1.0</x:v>
      </x:c>
      <x:c r="B84" s="74" t="str">
        <x:v>M06</x:v>
      </x:c>
      <x:c r="C84" s="74" t="str">
        <x:v>CHONG</x:v>
      </x:c>
      <x:c r="D84" s="79" t="n">
        <x:v>78</x:v>
      </x:c>
      <x:c r="E84" s="74" t="str">
        <x:v>V1.0</x:v>
      </x:c>
      <x:c r="F84" s="68" t="str">
        <x:v>四库地相冲生成开库候选而非自动开库</x:v>
      </x:c>
      <x:c r="G84" s="82" t="str">
        <x:v>效应层</x:v>
      </x:c>
      <x:c r="H84" s="68" t="str">
        <x:v>M05-CHONG-0028-V1.0；M05-CHONG-0031-V1.0</x:v>
      </x:c>
      <x:c r="I84" s="82" t="str">
        <x:v>六冲</x:v>
      </x:c>
      <x:c r="J84" s="68" t="str">
        <x:v>丑未或辰戌</x:v>
      </x:c>
      <x:c r="K84" s="68" t="str">
        <x:v>四库支及库中藏干</x:v>
      </x:c>
      <x:c r="L84" s="82" t="str">
        <x:v>逐对象比较得令、得地、得势与相对强弱</x:v>
      </x:c>
      <x:c r="M84" s="68" t="str">
        <x:v>记录参与对象中谁得令、谁受季节支持</x:v>
      </x:c>
      <x:c r="N84" s="68" t="str">
        <x:v>记录明干及相关藏干的透出通道</x:v>
      </x:c>
      <x:c r="O84" s="68" t="str">
        <x:v>记录各对象根气层级、数量及是否唯一根</x:v>
      </x:c>
      <x:c r="P84" s="68" t="str">
        <x:v>检查同节点的合、冲、刑、害、破、会及生克</x:v>
      </x:c>
      <x:c r="Q84" s="82" t="str">
        <x:v>开库</x:v>
      </x:c>
      <x:c r="R84" s="82" t="str">
        <x:v>激活</x:v>
      </x:c>
      <x:c r="S84" s="82" t="str">
        <x:v>强</x:v>
      </x:c>
      <x:c r="T84" s="82" t="str">
        <x:v>否</x:v>
      </x:c>
      <x:c r="U84" s="82" t="str">
        <x:v>条件性</x:v>
      </x:c>
      <x:c r="V84" s="82" t="str">
        <x:v>是</x:v>
      </x:c>
      <x:c r="W84" s="82" t="str">
        <x:v>条件性</x:v>
      </x:c>
      <x:c r="X84" s="82" t="str">
        <x:v>条件性</x:v>
      </x:c>
      <x:c r="Y84" s="68" t="str">
        <x:v>库中藏干可能被释放，也可能形成土战与阻塞</x:v>
      </x:c>
      <x:c r="Z84" s="68" t="str">
        <x:v>M04/M05已识别关系，柱位、完整度与参与对象已标准化</x:v>
      </x:c>
      <x:c r="AA84" s="68" t="str">
        <x:v>必须指向具体作用对象，并比较各方力量、根气和通道</x:v>
      </x:c>
      <x:c r="AB84" s="68" t="str">
        <x:v>关系相邻、得令、得地、成势且无强力反制</x:v>
      </x:c>
      <x:c r="AC84" s="68" t="str">
        <x:v>遥隔、争合、节点被其他关系牵制或双方各有强根</x:v>
      </x:c>
      <x:c r="AD84" s="90" t="str">
        <x:v>仅凭关系名称不得直接判性质改变、归零或固定吉凶</x:v>
      </x:c>
      <x:c r="AE84" s="68" t="str">
        <x:v>特殊格局或岁运动态补齐须另建实例重新裁决</x:v>
      </x:c>
      <x:c r="AF84" s="84" t="str">
        <x:v>辰戌、丑未相冲可扰动库气并生成开库候选；是否真正释放某藏干须看库中有物、力量与承接。</x:v>
      </x:c>
      <x:c r="AG84" s="84" t="str">
        <x:v>四库相冲，生成开库与藏干引动候选；未验证前不直接判库中全部透出。</x:v>
      </x:c>
      <x:c r="AH84" s="82" t="str">
        <x:v>较高</x:v>
      </x:c>
      <x:c r="AI84" s="82" t="str">
        <x:v>现代综合</x:v>
      </x:c>
      <x:c r="AJ84" s="68" t="str">
        <x:v>库宜开只是方向，仍需详细裁定。参考：https://zh.wikisource.org/zh-hans/滴天髓</x:v>
      </x:c>
      <x:c r="AK84" s="68" t="str">
        <x:v>辰戌冲且壬癸有承接，可评估辰中癸水被引动。</x:v>
      </x:c>
      <x:c r="AL84" s="90" t="str">
        <x:v>辰戌一冲就把所有库中藏干按透干计。</x:v>
      </x:c>
      <x:c r="AM84" s="82" t="str">
        <x:v>采用</x:v>
      </x:c>
      <x:c r="AN84" s="82" t="str">
        <x:v>初审</x:v>
      </x:c>
      <x:c r="AO84" s="87" t="n">
        <x:v>46255</x:v>
      </x:c>
    </x:row>
    <x:row r="85">
      <x:c r="A85" s="72" t="str">
        <x:f>IF(OR(C85="",D85=""),"",B85&amp;"-"&amp;UPPER(C85)&amp;"-"&amp;TEXT(D85,"0000")&amp;"-"&amp;E85)</x:f>
        <x:v>M06-CHONG-0079-V1.0</x:v>
      </x:c>
      <x:c r="B85" s="74" t="str">
        <x:v>M06</x:v>
      </x:c>
      <x:c r="C85" s="74" t="str">
        <x:v>CHONG</x:v>
      </x:c>
      <x:c r="D85" s="79" t="n">
        <x:v>79</x:v>
      </x:c>
      <x:c r="E85" s="74" t="str">
        <x:v>V1.0</x:v>
      </x:c>
      <x:c r="F85" s="68" t="str">
        <x:v>开库成立需有库物、承接与非毁损条件</x:v>
      </x:c>
      <x:c r="G85" s="82" t="str">
        <x:v>效应层</x:v>
      </x:c>
      <x:c r="H85" s="68" t="str">
        <x:v>M05-CHONG-0028-V1.0；M05-CHONG-0031-V1.0</x:v>
      </x:c>
      <x:c r="I85" s="82" t="str">
        <x:v>六冲</x:v>
      </x:c>
      <x:c r="J85" s="68" t="str">
        <x:v>四库相冲及库内藏干</x:v>
      </x:c>
      <x:c r="K85" s="68" t="str">
        <x:v>拟释放的具体藏干</x:v>
      </x:c>
      <x:c r="L85" s="82" t="str">
        <x:v>逐对象比较得令、得地、得势与相对强弱</x:v>
      </x:c>
      <x:c r="M85" s="68" t="str">
        <x:v>记录参与对象中谁得令、谁受季节支持</x:v>
      </x:c>
      <x:c r="N85" s="68" t="str">
        <x:v>记录明干及相关藏干的透出通道</x:v>
      </x:c>
      <x:c r="O85" s="68" t="str">
        <x:v>记录各对象根气层级、数量及是否唯一根</x:v>
      </x:c>
      <x:c r="P85" s="68" t="str">
        <x:v>检查同节点的合、冲、刑、害、破、会及生克</x:v>
      </x:c>
      <x:c r="Q85" s="82" t="str">
        <x:v>开库</x:v>
      </x:c>
      <x:c r="R85" s="82" t="str">
        <x:v>激活</x:v>
      </x:c>
      <x:c r="S85" s="82" t="str">
        <x:v>中</x:v>
      </x:c>
      <x:c r="T85" s="82" t="str">
        <x:v>否</x:v>
      </x:c>
      <x:c r="U85" s="82" t="str">
        <x:v>条件性</x:v>
      </x:c>
      <x:c r="V85" s="82" t="str">
        <x:v>是</x:v>
      </x:c>
      <x:c r="W85" s="82" t="str">
        <x:v>条件性</x:v>
      </x:c>
      <x:c r="X85" s="82" t="str">
        <x:v>条件性</x:v>
      </x:c>
      <x:c r="Y85" s="68" t="str">
        <x:v>可能改变原有生克路径，须在M12复核</x:v>
      </x:c>
      <x:c r="Z85" s="68" t="str">
        <x:v>M04/M05已识别关系，柱位、完整度与参与对象已标准化</x:v>
      </x:c>
      <x:c r="AA85" s="68" t="str">
        <x:v>指定库物；确认其有承接通道；比较土势与克制</x:v>
      </x:c>
      <x:c r="AB85" s="68" t="str">
        <x:v>库物透干、有同党或为全局所需通道</x:v>
      </x:c>
      <x:c r="AC85" s="68" t="str">
        <x:v>库物无根无透、被强克或土战壅塞</x:v>
      </x:c>
      <x:c r="AD85" s="90" t="str">
        <x:v>未指定库物便直接判全部开库</x:v>
      </x:c>
      <x:c r="AE85" s="68" t="str">
        <x:v>特殊格局或岁运动态补齐须另建实例重新裁决</x:v>
      </x:c>
      <x:c r="AF85" s="84" t="str">
        <x:v>开库必须明确释放对象，且该藏干在局中有根源、透达或承接；若土战过重、藏干受克，可能是库损而非有效释放。</x:v>
      </x:c>
      <x:c r="AG85" s="84" t="str">
        <x:v>本次库冲对指定藏干形成有效释放/仅引动/受损，三者择一，不可笼统写“开库”。</x:v>
      </x:c>
      <x:c r="AH85" s="82" t="str">
        <x:v>较高</x:v>
      </x:c>
      <x:c r="AI85" s="82" t="str">
        <x:v>现代综合</x:v>
      </x:c>
      <x:c r="AJ85" s="68" t="str">
        <x:v>库冲的结果可能是释放、扰动或毁损。参考：https://zh.wikisource.org/zh-hans/滴天髓</x:v>
      </x:c>
      <x:c r="AK85" s="68" t="str">
        <x:v>辰戌冲后只评估辰中癸水是否有壬癸承接，不泛化全部藏干。</x:v>
      </x:c>
      <x:c r="AL85" s="90" t="str">
        <x:v>只写“墓库被冲开”，不说明开出什么、是否可用。</x:v>
      </x:c>
      <x:c r="AM85" s="82" t="str">
        <x:v>采用</x:v>
      </x:c>
      <x:c r="AN85" s="82" t="str">
        <x:v>初审</x:v>
      </x:c>
      <x:c r="AO85" s="87" t="n">
        <x:v>46255</x:v>
      </x:c>
    </x:row>
    <x:row r="86">
      <x:c r="A86" s="72" t="str">
        <x:f>IF(OR(C86="",D86=""),"",B86&amp;"-"&amp;UPPER(C86)&amp;"-"&amp;TEXT(D86,"0000")&amp;"-"&amp;E86)</x:f>
        <x:v>M06-CHONG-0080-V1.0</x:v>
      </x:c>
      <x:c r="B86" s="74" t="str">
        <x:v>M06</x:v>
      </x:c>
      <x:c r="C86" s="74" t="str">
        <x:v>CHONG</x:v>
      </x:c>
      <x:c r="D86" s="79" t="n">
        <x:v>80</x:v>
      </x:c>
      <x:c r="E86" s="74" t="str">
        <x:v>V1.0</x:v>
      </x:c>
      <x:c r="F86" s="68" t="str">
        <x:v>一支受多方冲击时冲效应可累积升级</x:v>
      </x:c>
      <x:c r="G86" s="82" t="str">
        <x:v>效应层</x:v>
      </x:c>
      <x:c r="H86" s="68" t="str">
        <x:v>M05-OVER-0068-V1.0—M05-OVER-0069-V1.0；M05-CHONG-0027-V1.0—M05-CHONG-0032-V1.0</x:v>
      </x:c>
      <x:c r="I86" s="82" t="str">
        <x:v>六冲</x:v>
      </x:c>
      <x:c r="J86" s="68" t="str">
        <x:v>重复冲方或同一支受多次冲</x:v>
      </x:c>
      <x:c r="K86" s="68" t="str">
        <x:v>被集中冲击的地支</x:v>
      </x:c>
      <x:c r="L86" s="82" t="str">
        <x:v>逐对象比较得令、得地、得势与相对强弱</x:v>
      </x:c>
      <x:c r="M86" s="68" t="str">
        <x:v>记录参与对象中谁得令、谁受季节支持</x:v>
      </x:c>
      <x:c r="N86" s="68" t="str">
        <x:v>记录明干及相关藏干的透出通道</x:v>
      </x:c>
      <x:c r="O86" s="68" t="str">
        <x:v>记录各对象根气层级、数量及是否唯一根</x:v>
      </x:c>
      <x:c r="P86" s="68" t="str">
        <x:v>检查同节点的合、冲、刑、害、破、会及生克</x:v>
      </x:c>
      <x:c r="Q86" s="82" t="str">
        <x:v>冲散</x:v>
      </x:c>
      <x:c r="R86" s="82" t="str">
        <x:v>减弱</x:v>
      </x:c>
      <x:c r="S86" s="82" t="str">
        <x:v>强</x:v>
      </x:c>
      <x:c r="T86" s="82" t="str">
        <x:v>否</x:v>
      </x:c>
      <x:c r="U86" s="82" t="str">
        <x:v>条件性</x:v>
      </x:c>
      <x:c r="V86" s="82" t="str">
        <x:v>是</x:v>
      </x:c>
      <x:c r="W86" s="82" t="str">
        <x:v>条件性</x:v>
      </x:c>
      <x:c r="X86" s="82" t="str">
        <x:v>是</x:v>
      </x:c>
      <x:c r="Y86" s="68" t="str">
        <x:v>可能改变原有生克路径，须在M12复核</x:v>
      </x:c>
      <x:c r="Z86" s="68" t="str">
        <x:v>M04/M05已识别关系，柱位、完整度与参与对象已标准化</x:v>
      </x:c>
      <x:c r="AA86" s="68" t="str">
        <x:v>冲击来自独立节点或不同时间层级，不是同一关系重复登记</x:v>
      </x:c>
      <x:c r="AB86" s="68" t="str">
        <x:v>关系相邻、得令、得地、成势且无强力反制</x:v>
      </x:c>
      <x:c r="AC86" s="68" t="str">
        <x:v>遥隔、争合、节点被其他关系牵制或双方各有强根</x:v>
      </x:c>
      <x:c r="AD86" s="90" t="str">
        <x:v>仅凭关系名称不得直接判性质改变、归零或固定吉凶</x:v>
      </x:c>
      <x:c r="AE86" s="68" t="str">
        <x:v>特殊格局或岁运动态补齐须另建实例重新裁决</x:v>
      </x:c>
      <x:c r="AF86" s="84" t="str">
        <x:v>同一弱支在不同柱位被多次冲击，或岁运再叠加冲时，效应可由冲动升级为冲弱、冲散；但需防止重复计算同一关系。</x:v>
      </x:c>
      <x:c r="AG86" s="84" t="str">
        <x:v>该支受多重独立冲击，冲效应升级；已去重后再评估根气与藏干。</x:v>
      </x:c>
      <x:c r="AH86" s="82" t="str">
        <x:v>较高</x:v>
      </x:c>
      <x:c r="AI86" s="82" t="str">
        <x:v>现代综合</x:v>
      </x:c>
      <x:c r="AJ86" s="68" t="str">
        <x:v>多重关系需按实例计数再综合。参考：https://ctext.org/wiki.pl?chapter=435028&amp;if=gb&amp;remap=gb</x:v>
      </x:c>
      <x:c r="AK86" s="68" t="str">
        <x:v>两申分别冲一寅，且寅弱无援，可提高寅受损等级。</x:v>
      </x:c>
      <x:c r="AL86" s="90" t="str">
        <x:v>同一寅申冲被重复登记三次后虚增权重。</x:v>
      </x:c>
      <x:c r="AM86" s="82" t="str">
        <x:v>采用</x:v>
      </x:c>
      <x:c r="AN86" s="82" t="str">
        <x:v>初审</x:v>
      </x:c>
      <x:c r="AO86" s="87" t="n">
        <x:v>46255</x:v>
      </x:c>
    </x:row>
    <x:row r="87">
      <x:c r="A87" s="72" t="str">
        <x:f>IF(OR(C87="",D87=""),"",B87&amp;"-"&amp;UPPER(C87)&amp;"-"&amp;TEXT(D87,"0000")&amp;"-"&amp;E87)</x:f>
        <x:v>M06-CHONG-0081-V1.0</x:v>
      </x:c>
      <x:c r="B87" s="74" t="str">
        <x:v>M06</x:v>
      </x:c>
      <x:c r="C87" s="74" t="str">
        <x:v>CHONG</x:v>
      </x:c>
      <x:c r="D87" s="79" t="n">
        <x:v>81</x:v>
      </x:c>
      <x:c r="E87" s="74" t="str">
        <x:v>V1.0</x:v>
      </x:c>
      <x:c r="F87" s="68" t="str">
        <x:v>六冲结论必须按对象选择具体效应标签</x:v>
      </x:c>
      <x:c r="G87" s="82" t="str">
        <x:v>效应层</x:v>
      </x:c>
      <x:c r="H87" s="68" t="str">
        <x:v>M05-BOUND-0077-V1.0；M05-BOUND-0090-V1.0</x:v>
      </x:c>
      <x:c r="I87" s="82" t="str">
        <x:v>六冲</x:v>
      </x:c>
      <x:c r="J87" s="68" t="str">
        <x:v>任一六冲配对</x:v>
      </x:c>
      <x:c r="K87" s="68" t="str">
        <x:v>双方分别输出</x:v>
      </x:c>
      <x:c r="L87" s="82" t="str">
        <x:v>逐对象比较得令、得地、得势与相对强弱</x:v>
      </x:c>
      <x:c r="M87" s="68" t="str">
        <x:v>记录参与对象中谁得令、谁受季节支持</x:v>
      </x:c>
      <x:c r="N87" s="68" t="str">
        <x:v>记录明干及相关藏干的透出通道</x:v>
      </x:c>
      <x:c r="O87" s="68" t="str">
        <x:v>记录各对象根气层级、数量及是否唯一根</x:v>
      </x:c>
      <x:c r="P87" s="68" t="str">
        <x:v>检查同节点的合、冲、刑、害、破、会及生克</x:v>
      </x:c>
      <x:c r="Q87" s="82" t="str">
        <x:v>其他</x:v>
      </x:c>
      <x:c r="R87" s="82" t="str">
        <x:v>条件性</x:v>
      </x:c>
      <x:c r="S87" s="82" t="str">
        <x:v>待定</x:v>
      </x:c>
      <x:c r="T87" s="82" t="str">
        <x:v>否</x:v>
      </x:c>
      <x:c r="U87" s="82" t="str">
        <x:v>条件性</x:v>
      </x:c>
      <x:c r="V87" s="82" t="str">
        <x:v>条件性</x:v>
      </x:c>
      <x:c r="W87" s="82" t="str">
        <x:v>条件性</x:v>
      </x:c>
      <x:c r="X87" s="82" t="str">
        <x:v>条件性</x:v>
      </x:c>
      <x:c r="Y87" s="68" t="str">
        <x:v>输出结果转入M08有效旺衰与M12流通</x:v>
      </x:c>
      <x:c r="Z87" s="68" t="str">
        <x:v>M04/M05已识别关系，柱位、完整度与参与对象已标准化</x:v>
      </x:c>
      <x:c r="AA87" s="68" t="str">
        <x:v>双方分别给出支持证据与反向证据</x:v>
      </x:c>
      <x:c r="AB87" s="68" t="str">
        <x:v>关系相邻、得令、得地、成势且无强力反制</x:v>
      </x:c>
      <x:c r="AC87" s="68" t="str">
        <x:v>遥隔、争合、节点被其他关系牵制或双方各有强根</x:v>
      </x:c>
      <x:c r="AD87" s="90" t="str">
        <x:v>用一个统一结论覆盖双方</x:v>
      </x:c>
      <x:c r="AE87" s="68" t="str">
        <x:v>特殊格局或岁运动态补齐须另建实例重新裁决</x:v>
      </x:c>
      <x:c r="AF87" s="84" t="str">
        <x:v>M06不得只写“有冲”；每一方至少在冲动、冲旺、冲弱、冲散、冲开、冲去中选择适用标签并说明条件。</x:v>
      </x:c>
      <x:c r="AG87" s="84" t="str">
        <x:v>对象A：____；对象B：____；依据为月令、根气、成势及叠加关系。</x:v>
      </x:c>
      <x:c r="AH87" s="82" t="str">
        <x:v>较高</x:v>
      </x:c>
      <x:c r="AI87" s="82" t="str">
        <x:v>现代综合</x:v>
      </x:c>
      <x:c r="AJ87" s="68" t="str">
        <x:v>冲的结果是对象依赖的，不是关系名自带的。参考：https://zh.wikisource.org/zh-hans/滴天髓</x:v>
      </x:c>
      <x:c r="AK87" s="68" t="str">
        <x:v>寅申冲：寅冲弱、申冲旺，分别记录。</x:v>
      </x:c>
      <x:c r="AL87" s="90" t="str">
        <x:v>只写“寅申冲，双方减力”。</x:v>
      </x:c>
      <x:c r="AM87" s="82" t="str">
        <x:v>采用</x:v>
      </x:c>
      <x:c r="AN87" s="82" t="str">
        <x:v>初审</x:v>
      </x:c>
      <x:c r="AO87" s="87" t="n">
        <x:v>46255</x:v>
      </x:c>
    </x:row>
    <x:row r="88">
      <x:c r="A88" s="72" t="str">
        <x:f>IF(OR(C88="",D88=""),"",B88&amp;"-"&amp;UPPER(C88)&amp;"-"&amp;TEXT(D88,"0000")&amp;"-"&amp;E88)</x:f>
        <x:v>M06-CHONG-0082-V1.0</x:v>
      </x:c>
      <x:c r="B88" s="74" t="str">
        <x:v>M06</x:v>
      </x:c>
      <x:c r="C88" s="74" t="str">
        <x:v>CHONG</x:v>
      </x:c>
      <x:c r="D88" s="79" t="n">
        <x:v>82</x:v>
      </x:c>
      <x:c r="E88" s="74" t="str">
        <x:v>V1.0</x:v>
      </x:c>
      <x:c r="F88" s="68" t="str">
        <x:v>冲去必须满足极端强弱与唯一根门槛</x:v>
      </x:c>
      <x:c r="G88" s="82" t="str">
        <x:v>效应层</x:v>
      </x:c>
      <x:c r="H88" s="68" t="str">
        <x:v>M05-CHONG-0027-V1.0—M05-CHONG-0032-V1.0</x:v>
      </x:c>
      <x:c r="I88" s="82" t="str">
        <x:v>六冲</x:v>
      </x:c>
      <x:c r="J88" s="68" t="str">
        <x:v>强冲方与孤弱被冲支</x:v>
      </x:c>
      <x:c r="K88" s="68" t="str">
        <x:v>拟被冲去的地支</x:v>
      </x:c>
      <x:c r="L88" s="82" t="str">
        <x:v>冲方旺极或成局，被冲支极弱孤立</x:v>
      </x:c>
      <x:c r="M88" s="68" t="str">
        <x:v>记录参与对象中谁得令、谁受季节支持</x:v>
      </x:c>
      <x:c r="N88" s="68" t="str">
        <x:v>记录明干及相关藏干的透出通道</x:v>
      </x:c>
      <x:c r="O88" s="68" t="str">
        <x:v>记录各对象根气层级、数量及是否唯一根</x:v>
      </x:c>
      <x:c r="P88" s="68" t="str">
        <x:v>检查同节点的合、冲、刑、害、破、会及生克</x:v>
      </x:c>
      <x:c r="Q88" s="82" t="str">
        <x:v>冲去</x:v>
      </x:c>
      <x:c r="R88" s="82" t="str">
        <x:v>减弱</x:v>
      </x:c>
      <x:c r="S88" s="82" t="str">
        <x:v>决定性</x:v>
      </x:c>
      <x:c r="T88" s="82" t="str">
        <x:v>否</x:v>
      </x:c>
      <x:c r="U88" s="82" t="str">
        <x:v>是</x:v>
      </x:c>
      <x:c r="V88" s="82" t="str">
        <x:v>是</x:v>
      </x:c>
      <x:c r="W88" s="82" t="str">
        <x:v>否</x:v>
      </x:c>
      <x:c r="X88" s="82" t="str">
        <x:v>是</x:v>
      </x:c>
      <x:c r="Y88" s="68" t="str">
        <x:v>被冲支原有通道近乎中断</x:v>
      </x:c>
      <x:c r="Z88" s="68" t="str">
        <x:v>M04/M05已识别关系，柱位、完整度与参与对象已标准化</x:v>
      </x:c>
      <x:c r="AA88" s="68" t="str">
        <x:v>四项同时满足：强弱悬殊、无援、唯一弱根、无救应</x:v>
      </x:c>
      <x:c r="AB88" s="68" t="str">
        <x:v>同节点再受刑害破或岁运重复冲</x:v>
      </x:c>
      <x:c r="AC88" s="68" t="str">
        <x:v>存在任何有效同党、强根或解冲结构</x:v>
      </x:c>
      <x:c r="AD88" s="90" t="str">
        <x:v>只凭相冲配对使用“冲去”</x:v>
      </x:c>
      <x:c r="AE88" s="68" t="str">
        <x:v>冲去是当前有效状态，不从原始四柱数据删除该支</x:v>
      </x:c>
      <x:c r="AF88" s="84" t="str">
        <x:v>只有强弱极悬殊、被冲支无援、为唯一弱根且无合会救应时，才可使用“冲去”；一般六冲不得采用该标签。</x:v>
      </x:c>
      <x:c r="AG88" s="84" t="str">
        <x:v>满足冲去门槛：该支主要有效功能近乎退出；原始节点仍保留供岁运复核。</x:v>
      </x:c>
      <x:c r="AH88" s="82" t="str">
        <x:v>较高</x:v>
      </x:c>
      <x:c r="AI88" s="82" t="str">
        <x:v>现代综合</x:v>
      </x:c>
      <x:c r="AJ88" s="68" t="str">
        <x:v>把“冲去”设为高门槛可防止将一般冲动夸大。参考：https://zh.wikisource.org/zh-hans/滴天髓</x:v>
      </x:c>
      <x:c r="AK88" s="68" t="str">
        <x:v>旺申多党冲孤弱寅，寅为甲唯一余气根且无救，可判近冲去。</x:v>
      </x:c>
      <x:c r="AL88" s="90" t="str">
        <x:v>寅申力量相近仍写寅被冲去。</x:v>
      </x:c>
      <x:c r="AM88" s="82" t="str">
        <x:v>采用</x:v>
      </x:c>
      <x:c r="AN88" s="82" t="str">
        <x:v>初审</x:v>
      </x:c>
      <x:c r="AO88" s="87" t="n">
        <x:v>46255</x:v>
      </x:c>
    </x:row>
    <x:row r="89">
      <x:c r="A89" s="72" t="str">
        <x:f>IF(OR(C89="",D89=""),"",B89&amp;"-"&amp;UPPER(C89)&amp;"-"&amp;TEXT(D89,"0000")&amp;"-"&amp;E89)</x:f>
        <x:v>M06-XING-0083-V1.0</x:v>
      </x:c>
      <x:c r="B89" s="74" t="str">
        <x:v>M06</x:v>
      </x:c>
      <x:c r="C89" s="74" t="str">
        <x:v>XING</x:v>
      </x:c>
      <x:c r="D89" s="79" t="n">
        <x:v>83</x:v>
      </x:c>
      <x:c r="E89" s="74" t="str">
        <x:v>V1.0</x:v>
      </x:c>
      <x:c r="F89" s="68" t="str">
        <x:v>三刑只生成刑动刑伤候选不固定减力</x:v>
      </x:c>
      <x:c r="G89" s="82" t="str">
        <x:v>效应层</x:v>
      </x:c>
      <x:c r="H89" s="68" t="str">
        <x:v>M05-XING-0033-V1.0—M05-XING-0041-V1.0；M05-BOUND-0078-V1.0</x:v>
      </x:c>
      <x:c r="I89" s="82" t="str">
        <x:v>三刑</x:v>
      </x:c>
      <x:c r="J89" s="68" t="str">
        <x:v>任一局部或完整刑关系</x:v>
      </x:c>
      <x:c r="K89" s="68" t="str">
        <x:v>参与各支</x:v>
      </x:c>
      <x:c r="L89" s="82" t="str">
        <x:v>逐对象比较得令、得地、得势与相对强弱</x:v>
      </x:c>
      <x:c r="M89" s="68" t="str">
        <x:v>记录参与对象中谁得令、谁受季节支持</x:v>
      </x:c>
      <x:c r="N89" s="68" t="str">
        <x:v>记录明干及相关藏干的透出通道</x:v>
      </x:c>
      <x:c r="O89" s="68" t="str">
        <x:v>记录各对象根气层级、数量及是否唯一根</x:v>
      </x:c>
      <x:c r="P89" s="68" t="str">
        <x:v>检查同节点的合、冲、刑、害、破、会及生克</x:v>
      </x:c>
      <x:c r="Q89" s="82" t="str">
        <x:v>刑动</x:v>
      </x:c>
      <x:c r="R89" s="82" t="str">
        <x:v>激活</x:v>
      </x:c>
      <x:c r="S89" s="82" t="str">
        <x:v>中</x:v>
      </x:c>
      <x:c r="T89" s="82" t="str">
        <x:v>否</x:v>
      </x:c>
      <x:c r="U89" s="82" t="str">
        <x:v>条件性</x:v>
      </x:c>
      <x:c r="V89" s="82" t="str">
        <x:v>条件性</x:v>
      </x:c>
      <x:c r="W89" s="82" t="str">
        <x:v>条件性</x:v>
      </x:c>
      <x:c r="X89" s="82" t="str">
        <x:v>条件性</x:v>
      </x:c>
      <x:c r="Y89" s="68" t="str">
        <x:v>可能形成局部阻滞、反复引动或藏干冲突</x:v>
      </x:c>
      <x:c r="Z89" s="68" t="str">
        <x:v>M04/M05已识别关系，柱位、完整度与参与对象已标准化</x:v>
      </x:c>
      <x:c r="AA89" s="68" t="str">
        <x:v>M05已区分局部刑与完整三刑</x:v>
      </x:c>
      <x:c r="AB89" s="68" t="str">
        <x:v>关系相邻、得令、得地、成势且无强力反制</x:v>
      </x:c>
      <x:c r="AC89" s="68" t="str">
        <x:v>遥隔、争合、节点被其他关系牵制或双方各有强根</x:v>
      </x:c>
      <x:c r="AD89" s="90" t="str">
        <x:v>仅凭关系名称不得直接判性质改变、归零或固定吉凶</x:v>
      </x:c>
      <x:c r="AE89" s="68" t="str">
        <x:v>特殊格局或岁运动态补齐须另建实例重新裁决</x:v>
      </x:c>
      <x:c r="AF89" s="84" t="str">
        <x:v>刑关系首先表示内部牵扯、失序或反复引动；是否达到刑伤、根损或流通阻断须看各支强弱与重叠关系。</x:v>
      </x:c>
      <x:c r="AG89" s="84" t="str">
        <x:v>三刑关系成立，先判刑动；是否刑伤及减力程度逐支确认。</x:v>
      </x:c>
      <x:c r="AH89" s="82" t="str">
        <x:v>较高</x:v>
      </x:c>
      <x:c r="AI89" s="82" t="str">
        <x:v>现代综合</x:v>
      </x:c>
      <x:c r="AJ89" s="68" t="str">
        <x:v>刑害有动不动之异，不宜把刑直接换算为统一减力。参考：https://zh.wikisource.org/zh-hans/滴天髓</x:v>
      </x:c>
      <x:c r="AK89" s="68" t="str">
        <x:v>寅巳刑先记刑动，再看寅木、巳火谁得令有根。</x:v>
      </x:c>
      <x:c r="AL89" s="90" t="str">
        <x:v>见刑便把参与支全部扣同等力量。</x:v>
      </x:c>
      <x:c r="AM89" s="82" t="str">
        <x:v>采用</x:v>
      </x:c>
      <x:c r="AN89" s="82" t="str">
        <x:v>初审</x:v>
      </x:c>
      <x:c r="AO89" s="87" t="n">
        <x:v>46255</x:v>
      </x:c>
    </x:row>
    <x:row r="90">
      <x:c r="A90" s="72" t="str">
        <x:f>IF(OR(C90="",D90=""),"",B90&amp;"-"&amp;UPPER(C90)&amp;"-"&amp;TEXT(D90,"0000")&amp;"-"&amp;E90)</x:f>
        <x:v>M06-XING-0084-V1.0</x:v>
      </x:c>
      <x:c r="B90" s="74" t="str">
        <x:v>M06</x:v>
      </x:c>
      <x:c r="C90" s="74" t="str">
        <x:v>XING</x:v>
      </x:c>
      <x:c r="D90" s="79" t="n">
        <x:v>84</x:v>
      </x:c>
      <x:c r="E90" s="74" t="str">
        <x:v>V1.0</x:v>
      </x:c>
      <x:c r="F90" s="68" t="str">
        <x:v>寅巳申完整三刑提高结构复杂度而非全员受伤</x:v>
      </x:c>
      <x:c r="G90" s="82" t="str">
        <x:v>效应层</x:v>
      </x:c>
      <x:c r="H90" s="68" t="str">
        <x:v>M05-XING-0036-V1.0</x:v>
      </x:c>
      <x:c r="I90" s="82" t="str">
        <x:v>三刑</x:v>
      </x:c>
      <x:c r="J90" s="68" t="str">
        <x:v>寅、巳、申</x:v>
      </x:c>
      <x:c r="K90" s="68" t="str">
        <x:v>寅、巳、申分别输出</x:v>
      </x:c>
      <x:c r="L90" s="82" t="str">
        <x:v>逐对象比较得令、得地、得势与相对强弱</x:v>
      </x:c>
      <x:c r="M90" s="68" t="str">
        <x:v>记录参与对象中谁得令、谁受季节支持</x:v>
      </x:c>
      <x:c r="N90" s="68" t="str">
        <x:v>记录明干及相关藏干的透出通道</x:v>
      </x:c>
      <x:c r="O90" s="68" t="str">
        <x:v>记录各对象根气层级、数量及是否唯一根</x:v>
      </x:c>
      <x:c r="P90" s="68" t="str">
        <x:v>检查同节点的合、冲、刑、害、破、会及生克</x:v>
      </x:c>
      <x:c r="Q90" s="82" t="str">
        <x:v>刑动</x:v>
      </x:c>
      <x:c r="R90" s="82" t="str">
        <x:v>激活</x:v>
      </x:c>
      <x:c r="S90" s="82" t="str">
        <x:v>强</x:v>
      </x:c>
      <x:c r="T90" s="82" t="str">
        <x:v>否</x:v>
      </x:c>
      <x:c r="U90" s="82" t="str">
        <x:v>条件性</x:v>
      </x:c>
      <x:c r="V90" s="82" t="str">
        <x:v>是</x:v>
      </x:c>
      <x:c r="W90" s="82" t="str">
        <x:v>条件性</x:v>
      </x:c>
      <x:c r="X90" s="82" t="str">
        <x:v>条件性</x:v>
      </x:c>
      <x:c r="Y90" s="68" t="str">
        <x:v>木火金路径交错，易形成多节点卡点</x:v>
      </x:c>
      <x:c r="Z90" s="68" t="str">
        <x:v>M04/M05已识别关系，柱位、完整度与参与对象已标准化</x:v>
      </x:c>
      <x:c r="AA90" s="68" t="str">
        <x:v>分别比较寅、巳、申的月令、根气、透干和同党</x:v>
      </x:c>
      <x:c r="AB90" s="68" t="str">
        <x:v>关系相邻、得令、得地、成势且无强力反制</x:v>
      </x:c>
      <x:c r="AC90" s="68" t="str">
        <x:v>遥隔、争合、节点被其他关系牵制或双方各有强根</x:v>
      </x:c>
      <x:c r="AD90" s="90" t="str">
        <x:v>仅凭关系名称不得直接判性质改变、归零或固定吉凶</x:v>
      </x:c>
      <x:c r="AE90" s="68" t="str">
        <x:v>特殊格局或岁运动态补齐须另建实例重新裁决</x:v>
      </x:c>
      <x:c r="AF90" s="84" t="str">
        <x:v>三支齐全使木火金及多层藏干同时被引动，但每支结果可能不同：有的受制、有的被激活、有的仅牵制。</x:v>
      </x:c>
      <x:c r="AG90" s="84" t="str">
        <x:v>寅巳申三刑完整，逐支输出刑动、刑伤或作用有限；禁止统一判三支减力。</x:v>
      </x:c>
      <x:c r="AH90" s="82" t="str">
        <x:v>较高</x:v>
      </x:c>
      <x:c r="AI90" s="82" t="str">
        <x:v>现代综合</x:v>
      </x:c>
      <x:c r="AJ90" s="68" t="str">
        <x:v>完整三刑是关系网络，不是统一伤害公式。参考：https://zh.wikisource.org/zh-hans/滴天髓</x:v>
      </x:c>
      <x:c r="AK90" s="68" t="str">
        <x:v>申得令、巳有根、寅弱时，可判寅受损较重、申被激活、巳受牵。</x:v>
      </x:c>
      <x:c r="AL90" s="90" t="str">
        <x:v>寅巳申一齐便认定巳火必然最弱。</x:v>
      </x:c>
      <x:c r="AM90" s="82" t="str">
        <x:v>采用</x:v>
      </x:c>
      <x:c r="AN90" s="82" t="str">
        <x:v>初审</x:v>
      </x:c>
      <x:c r="AO90" s="87" t="n">
        <x:v>46255</x:v>
      </x:c>
    </x:row>
    <x:row r="91">
      <x:c r="A91" s="72" t="str">
        <x:f>IF(OR(C91="",D91=""),"",B91&amp;"-"&amp;UPPER(C91)&amp;"-"&amp;TEXT(D91,"0000")&amp;"-"&amp;E91)</x:f>
        <x:v>M06-XING-0085-V1.0</x:v>
      </x:c>
      <x:c r="B91" s="74" t="str">
        <x:v>M06</x:v>
      </x:c>
      <x:c r="C91" s="74" t="str">
        <x:v>XING</x:v>
      </x:c>
      <x:c r="D91" s="79" t="n">
        <x:v>85</x:v>
      </x:c>
      <x:c r="E91" s="74" t="str">
        <x:v>V1.0</x:v>
      </x:c>
      <x:c r="F91" s="68" t="str">
        <x:v>寅巳申须同时保留冲合害破的叠加效应</x:v>
      </x:c>
      <x:c r="G91" s="82" t="str">
        <x:v>效应层</x:v>
      </x:c>
      <x:c r="H91" s="68" t="str">
        <x:v>M05-OVER-0081-V1.0；M05-OVER-0082-V1.0；M05-OVER-0084-V1.0</x:v>
      </x:c>
      <x:c r="I91" s="82" t="str">
        <x:v>其他</x:v>
      </x:c>
      <x:c r="J91" s="68" t="str">
        <x:v>寅、巳、申及其两两关系</x:v>
      </x:c>
      <x:c r="K91" s="68" t="str">
        <x:v>共享节点与各关系实例</x:v>
      </x:c>
      <x:c r="L91" s="82" t="str">
        <x:v>逐对象比较得令、得地、得势与相对强弱</x:v>
      </x:c>
      <x:c r="M91" s="68" t="str">
        <x:v>记录参与对象中谁得令、谁受季节支持</x:v>
      </x:c>
      <x:c r="N91" s="68" t="str">
        <x:v>记录明干及相关藏干的透出通道</x:v>
      </x:c>
      <x:c r="O91" s="68" t="str">
        <x:v>记录各对象根气层级、数量及是否唯一根</x:v>
      </x:c>
      <x:c r="P91" s="68" t="str">
        <x:v>检查同节点的合、冲、刑、害、破、会及生克</x:v>
      </x:c>
      <x:c r="Q91" s="82" t="str">
        <x:v>其他</x:v>
      </x:c>
      <x:c r="R91" s="82" t="str">
        <x:v>条件性</x:v>
      </x:c>
      <x:c r="S91" s="82" t="str">
        <x:v>强</x:v>
      </x:c>
      <x:c r="T91" s="82" t="str">
        <x:v>条件性</x:v>
      </x:c>
      <x:c r="U91" s="82" t="str">
        <x:v>条件性</x:v>
      </x:c>
      <x:c r="V91" s="82" t="str">
        <x:v>是</x:v>
      </x:c>
      <x:c r="W91" s="82" t="str">
        <x:v>条件性</x:v>
      </x:c>
      <x:c r="X91" s="82" t="str">
        <x:v>条件性</x:v>
      </x:c>
      <x:c r="Y91" s="68" t="str">
        <x:v>多重关系可能相互强化、抵消或改道</x:v>
      </x:c>
      <x:c r="Z91" s="68" t="str">
        <x:v>M04/M05已识别关系，柱位、完整度与参与对象已标准化</x:v>
      </x:c>
      <x:c r="AA91" s="68" t="str">
        <x:v>全部关系实例已去重并指向具体对象</x:v>
      </x:c>
      <x:c r="AB91" s="68" t="str">
        <x:v>关系相邻、得令、得地、成势且无强力反制</x:v>
      </x:c>
      <x:c r="AC91" s="68" t="str">
        <x:v>遥隔、争合、节点被其他关系牵制或双方各有强根</x:v>
      </x:c>
      <x:c r="AD91" s="90" t="str">
        <x:v>仅凭关系名称不得直接判性质改变、归零或固定吉凶</x:v>
      </x:c>
      <x:c r="AE91" s="68" t="str">
        <x:v>特殊格局或岁运动态补齐须另建实例重新裁决</x:v>
      </x:c>
      <x:c r="AF91" s="84" t="str">
        <x:v>寅申同时有冲刑，寅巳有刑害，巳申有合刑破；M06必须先分别判断，再综合主次。</x:v>
      </x:c>
      <x:c r="AG91" s="84" t="str">
        <x:v>寅巳申关系网络已拆分：冲、合、刑、害、破分别评估后再合成，不设固定优先级。</x:v>
      </x:c>
      <x:c r="AH91" s="82" t="str">
        <x:v>中等</x:v>
      </x:c>
      <x:c r="AI91" s="82" t="str">
        <x:v>现代综合</x:v>
      </x:c>
      <x:c r="AJ91" s="68" t="str">
        <x:v>同一节点可同时参与多种关系，效果不能被单一“三刑”覆盖。参考：https://ctext.org/wiki.pl?chapter=974137&amp;if=gb&amp;remap=gb</x:v>
      </x:c>
      <x:c r="AK91" s="68" t="str">
        <x:v>巳申合弱而寅申冲强时，申先按冲刑主导，巳申合列次级。</x:v>
      </x:c>
      <x:c r="AL91" s="90" t="str">
        <x:v>只用“三刑”标签覆盖寅申冲和巳申合。</x:v>
      </x:c>
      <x:c r="AM91" s="82" t="str">
        <x:v>采用</x:v>
      </x:c>
      <x:c r="AN91" s="82" t="str">
        <x:v>初审</x:v>
      </x:c>
      <x:c r="AO91" s="87" t="n">
        <x:v>46255</x:v>
      </x:c>
    </x:row>
    <x:row r="92">
      <x:c r="A92" s="72" t="str">
        <x:f>IF(OR(C92="",D92=""),"",B92&amp;"-"&amp;UPPER(C92)&amp;"-"&amp;TEXT(D92,"0000")&amp;"-"&amp;E92)</x:f>
        <x:v>M06-XING-0086-V1.0</x:v>
      </x:c>
      <x:c r="B92" s="74" t="str">
        <x:v>M06</x:v>
      </x:c>
      <x:c r="C92" s="74" t="str">
        <x:v>XING</x:v>
      </x:c>
      <x:c r="D92" s="79" t="n">
        <x:v>86</x:v>
      </x:c>
      <x:c r="E92" s="74" t="str">
        <x:v>V1.0</x:v>
      </x:c>
      <x:c r="F92" s="68" t="str">
        <x:v>丑未戌完整三刑重在土气交战与库气扰动</x:v>
      </x:c>
      <x:c r="G92" s="82" t="str">
        <x:v>效应层</x:v>
      </x:c>
      <x:c r="H92" s="68" t="str">
        <x:v>M05-XING-0040-V1.0</x:v>
      </x:c>
      <x:c r="I92" s="82" t="str">
        <x:v>三刑</x:v>
      </x:c>
      <x:c r="J92" s="68" t="str">
        <x:v>丑、未、戌</x:v>
      </x:c>
      <x:c r="K92" s="68" t="str">
        <x:v>三土支及库中藏干</x:v>
      </x:c>
      <x:c r="L92" s="82" t="str">
        <x:v>逐对象比较得令、得地、得势与相对强弱</x:v>
      </x:c>
      <x:c r="M92" s="68" t="str">
        <x:v>记录参与对象中谁得令、谁受季节支持</x:v>
      </x:c>
      <x:c r="N92" s="68" t="str">
        <x:v>记录明干及相关藏干的透出通道</x:v>
      </x:c>
      <x:c r="O92" s="68" t="str">
        <x:v>记录各对象根气层级、数量及是否唯一根</x:v>
      </x:c>
      <x:c r="P92" s="68" t="str">
        <x:v>检查同节点的合、冲、刑、害、破、会及生克</x:v>
      </x:c>
      <x:c r="Q92" s="82" t="str">
        <x:v>刑动</x:v>
      </x:c>
      <x:c r="R92" s="82" t="str">
        <x:v>激活</x:v>
      </x:c>
      <x:c r="S92" s="82" t="str">
        <x:v>强</x:v>
      </x:c>
      <x:c r="T92" s="82" t="str">
        <x:v>否</x:v>
      </x:c>
      <x:c r="U92" s="82" t="str">
        <x:v>条件性</x:v>
      </x:c>
      <x:c r="V92" s="82" t="str">
        <x:v>是</x:v>
      </x:c>
      <x:c r="W92" s="82" t="str">
        <x:v>条件性</x:v>
      </x:c>
      <x:c r="X92" s="82" t="str">
        <x:v>条件性</x:v>
      </x:c>
      <x:c r="Y92" s="68" t="str">
        <x:v>土气可能壅塞，也可能释放部分库物</x:v>
      </x:c>
      <x:c r="Z92" s="68" t="str">
        <x:v>M04/M05已识别关系，柱位、完整度与参与对象已标准化</x:v>
      </x:c>
      <x:c r="AA92" s="68" t="str">
        <x:v>分别记录丑湿、未燥、戌燥及各藏干承接</x:v>
      </x:c>
      <x:c r="AB92" s="68" t="str">
        <x:v>关系相邻、得令、得地、成势且无强力反制</x:v>
      </x:c>
      <x:c r="AC92" s="68" t="str">
        <x:v>遥隔、争合、节点被其他关系牵制或双方各有强根</x:v>
      </x:c>
      <x:c r="AD92" s="90" t="str">
        <x:v>仅凭关系名称不得直接判性质改变、归零或固定吉凶</x:v>
      </x:c>
      <x:c r="AE92" s="68" t="str">
        <x:v>特殊格局或岁运动态补齐须另建实例重新裁决</x:v>
      </x:c>
      <x:c r="AF92" s="84" t="str">
        <x:v>丑未戌齐全时，燥湿土与库气多重牵扯，可能引动藏干、形成土战或阻塞；不自动等同开库或三支皆伤。</x:v>
      </x:c>
      <x:c r="AG92" s="84" t="str">
        <x:v>丑未戌三刑完整，重点评估土战、燥湿冲突和库气引动；逐支判断受损与否。</x:v>
      </x:c>
      <x:c r="AH92" s="82" t="str">
        <x:v>较高</x:v>
      </x:c>
      <x:c r="AI92" s="82" t="str">
        <x:v>现代综合</x:v>
      </x:c>
      <x:c r="AJ92" s="68" t="str">
        <x:v>四库关系需区分开库、土战与藏干受损。参考：https://zh.wikisource.org/zh-hans/滴天髓</x:v>
      </x:c>
      <x:c r="AK92" s="68" t="str">
        <x:v>丑未戌齐全而土旺无泄，可判土战壅塞，非简单开库。</x:v>
      </x:c>
      <x:c r="AL92" s="90" t="str">
        <x:v>三土一刑便把所有库中藏干视为透出。</x:v>
      </x:c>
      <x:c r="AM92" s="82" t="str">
        <x:v>采用</x:v>
      </x:c>
      <x:c r="AN92" s="82" t="str">
        <x:v>初审</x:v>
      </x:c>
      <x:c r="AO92" s="87" t="n">
        <x:v>46255</x:v>
      </x:c>
    </x:row>
    <x:row r="93">
      <x:c r="A93" s="72" t="str">
        <x:f>IF(OR(C93="",D93=""),"",B93&amp;"-"&amp;UPPER(C93)&amp;"-"&amp;TEXT(D93,"0000")&amp;"-"&amp;E93)</x:f>
        <x:v>M06-XING-0087-V1.0</x:v>
      </x:c>
      <x:c r="B93" s="74" t="str">
        <x:v>M06</x:v>
      </x:c>
      <x:c r="C93" s="74" t="str">
        <x:v>XING</x:v>
      </x:c>
      <x:c r="D93" s="79" t="n">
        <x:v>87</x:v>
      </x:c>
      <x:c r="E93" s="74" t="str">
        <x:v>V1.0</x:v>
      </x:c>
      <x:c r="F93" s="68" t="str">
        <x:v>子卯刑以关系失调候选为主并需强弱验证</x:v>
      </x:c>
      <x:c r="G93" s="82" t="str">
        <x:v>效应层</x:v>
      </x:c>
      <x:c r="H93" s="68" t="str">
        <x:v>M05-XING-0041-V1.0</x:v>
      </x:c>
      <x:c r="I93" s="82" t="str">
        <x:v>三刑</x:v>
      </x:c>
      <x:c r="J93" s="68" t="str">
        <x:v>子、卯</x:v>
      </x:c>
      <x:c r="K93" s="68" t="str">
        <x:v>子水、卯木及水生木路径</x:v>
      </x:c>
      <x:c r="L93" s="82" t="str">
        <x:v>逐对象比较得令、得地、得势与相对强弱</x:v>
      </x:c>
      <x:c r="M93" s="68" t="str">
        <x:v>记录参与对象中谁得令、谁受季节支持</x:v>
      </x:c>
      <x:c r="N93" s="68" t="str">
        <x:v>记录明干及相关藏干的透出通道</x:v>
      </x:c>
      <x:c r="O93" s="68" t="str">
        <x:v>记录各对象根气层级、数量及是否唯一根</x:v>
      </x:c>
      <x:c r="P93" s="68" t="str">
        <x:v>检查同节点的合、冲、刑、害、破、会及生克</x:v>
      </x:c>
      <x:c r="Q93" s="82" t="str">
        <x:v>刑动</x:v>
      </x:c>
      <x:c r="R93" s="82" t="str">
        <x:v>条件性</x:v>
      </x:c>
      <x:c r="S93" s="82" t="str">
        <x:v>中</x:v>
      </x:c>
      <x:c r="T93" s="82" t="str">
        <x:v>否</x:v>
      </x:c>
      <x:c r="U93" s="82" t="str">
        <x:v>条件性</x:v>
      </x:c>
      <x:c r="V93" s="82" t="str">
        <x:v>条件性</x:v>
      </x:c>
      <x:c r="W93" s="82" t="str">
        <x:v>条件性</x:v>
      </x:c>
      <x:c r="X93" s="82" t="str">
        <x:v>条件性</x:v>
      </x:c>
      <x:c r="Y93" s="68" t="str">
        <x:v>水生木路径可能过度、受阻或失衡</x:v>
      </x:c>
      <x:c r="Z93" s="68" t="str">
        <x:v>M04/M05已识别关系，柱位、完整度与参与对象已标准化</x:v>
      </x:c>
      <x:c r="AA93" s="68" t="str">
        <x:v>必须指向具体作用对象，并比较各方力量、根气和通道</x:v>
      </x:c>
      <x:c r="AB93" s="68" t="str">
        <x:v>关系相邻、得令、得地、成势且无强力反制</x:v>
      </x:c>
      <x:c r="AC93" s="68" t="str">
        <x:v>遥隔、争合、节点被其他关系牵制或双方各有强根</x:v>
      </x:c>
      <x:c r="AD93" s="90" t="str">
        <x:v>仅凭关系名称不得直接判性质改变、归零或固定吉凶</x:v>
      </x:c>
      <x:c r="AE93" s="68" t="str">
        <x:v>特殊格局或岁运动态补齐须另建实例重新裁决</x:v>
      </x:c>
      <x:c r="AF93" s="84" t="str">
        <x:v>子卯有生中带刑的特殊性，可能表现为生化不顺、关系失调或一方过度；不能仅凭相刑判双方受伤。</x:v>
      </x:c>
      <x:c r="AG93" s="84" t="str">
        <x:v>子卯刑成立，先评估水木生化是否顺畅；再决定是刑动、刑伤或作用有限。</x:v>
      </x:c>
      <x:c r="AH93" s="82" t="str">
        <x:v>中等</x:v>
      </x:c>
      <x:c r="AI93" s="82" t="str">
        <x:v>现代综合</x:v>
      </x:c>
      <x:c r="AJ93" s="68" t="str">
        <x:v>刑与害可能同时存在相生关系，故动不动、伤不伤须细察。参考：https://zh.wikisource.org/zh-hans/滴天髓</x:v>
      </x:c>
      <x:c r="AK93" s="68" t="str">
        <x:v>子旺卯弱且水多漂木，可判卯受扰；木旺水弱则结果不同。</x:v>
      </x:c>
      <x:c r="AL93" s="90" t="str">
        <x:v>子卯刑一律判水木同时减力。</x:v>
      </x:c>
      <x:c r="AM93" s="82" t="str">
        <x:v>采用</x:v>
      </x:c>
      <x:c r="AN93" s="82" t="str">
        <x:v>初审</x:v>
      </x:c>
      <x:c r="AO93" s="87" t="n">
        <x:v>46255</x:v>
      </x:c>
    </x:row>
    <x:row r="94">
      <x:c r="A94" s="72" t="str">
        <x:f>IF(OR(C94="",D94=""),"",B94&amp;"-"&amp;UPPER(C94)&amp;"-"&amp;TEXT(D94,"0000")&amp;"-"&amp;E94)</x:f>
        <x:v>M06-XING-0088-V1.0</x:v>
      </x:c>
      <x:c r="B94" s="74" t="str">
        <x:v>M06</x:v>
      </x:c>
      <x:c r="C94" s="74" t="str">
        <x:v>XING</x:v>
      </x:c>
      <x:c r="D94" s="79" t="n">
        <x:v>88</x:v>
      </x:c>
      <x:c r="E94" s="74" t="str">
        <x:v>V1.0</x:v>
      </x:c>
      <x:c r="F94" s="68" t="str">
        <x:v>三刑可引动藏干但不等于全部透出</x:v>
      </x:c>
      <x:c r="G94" s="82" t="str">
        <x:v>效应层</x:v>
      </x:c>
      <x:c r="H94" s="68" t="str">
        <x:v>M05-XING-0033-V1.0—M05-XING-0041-V1.0</x:v>
      </x:c>
      <x:c r="I94" s="82" t="str">
        <x:v>三刑</x:v>
      </x:c>
      <x:c r="J94" s="68" t="str">
        <x:v>参与刑关系的地支</x:v>
      </x:c>
      <x:c r="K94" s="68" t="str">
        <x:v>相关藏干</x:v>
      </x:c>
      <x:c r="L94" s="82" t="str">
        <x:v>逐对象比较得令、得地、得势与相对强弱</x:v>
      </x:c>
      <x:c r="M94" s="68" t="str">
        <x:v>记录参与对象中谁得令、谁受季节支持</x:v>
      </x:c>
      <x:c r="N94" s="68" t="str">
        <x:v>记录明干及相关藏干的透出通道</x:v>
      </x:c>
      <x:c r="O94" s="68" t="str">
        <x:v>记录各对象根气层级、数量及是否唯一根</x:v>
      </x:c>
      <x:c r="P94" s="68" t="str">
        <x:v>检查同节点的合、冲、刑、害、破、会及生克</x:v>
      </x:c>
      <x:c r="Q94" s="82" t="str">
        <x:v>引动藏干</x:v>
      </x:c>
      <x:c r="R94" s="82" t="str">
        <x:v>激活</x:v>
      </x:c>
      <x:c r="S94" s="82" t="str">
        <x:v>中</x:v>
      </x:c>
      <x:c r="T94" s="82" t="str">
        <x:v>否</x:v>
      </x:c>
      <x:c r="U94" s="82" t="str">
        <x:v>条件性</x:v>
      </x:c>
      <x:c r="V94" s="82" t="str">
        <x:v>是</x:v>
      </x:c>
      <x:c r="W94" s="82" t="str">
        <x:v>条件性</x:v>
      </x:c>
      <x:c r="X94" s="82" t="str">
        <x:v>条件性</x:v>
      </x:c>
      <x:c r="Y94" s="68" t="str">
        <x:v>可能改变原有生克路径，须在M12复核</x:v>
      </x:c>
      <x:c r="Z94" s="68" t="str">
        <x:v>M04/M05已识别关系，柱位、完整度与参与对象已标准化</x:v>
      </x:c>
      <x:c r="AA94" s="68" t="str">
        <x:v>必须指向具体作用对象，并比较各方力量、根气和通道</x:v>
      </x:c>
      <x:c r="AB94" s="68" t="str">
        <x:v>关系相邻、得令、得地、成势且无强力反制</x:v>
      </x:c>
      <x:c r="AC94" s="68" t="str">
        <x:v>遥隔、争合、节点被其他关系牵制或双方各有强根</x:v>
      </x:c>
      <x:c r="AD94" s="90" t="str">
        <x:v>仅凭关系名称不得直接判性质改变、归零或固定吉凶</x:v>
      </x:c>
      <x:c r="AE94" s="68" t="str">
        <x:v>特殊格局或岁运动态补齐须另建实例重新裁决</x:v>
      </x:c>
      <x:c r="AF94" s="84" t="str">
        <x:v>刑可使支内潜在矛盾与藏干通道活跃，但各藏干的有效性仍由本中余气、透干和承接决定。</x:v>
      </x:c>
      <x:c r="AG94" s="84" t="str">
        <x:v>三刑引动相关藏干；逐个标记增强、受制或仅被触发，不按透干同级处理。</x:v>
      </x:c>
      <x:c r="AH94" s="82" t="str">
        <x:v>较高</x:v>
      </x:c>
      <x:c r="AI94" s="82" t="str">
        <x:v>现代综合</x:v>
      </x:c>
      <x:c r="AJ94" s="68" t="str">
        <x:v>引动藏干与藏干透出是两个不同结论。参考：https://zh.wikisource.org/zh-hans/滴天髓</x:v>
      </x:c>
      <x:c r="AK94" s="68" t="str">
        <x:v>寅巳申刑可引动甲丙戊庚壬等，但分别评估。</x:v>
      </x:c>
      <x:c r="AL94" s="90" t="str">
        <x:v>刑一成立就把所有藏干都当作明透。</x:v>
      </x:c>
      <x:c r="AM94" s="82" t="str">
        <x:v>采用</x:v>
      </x:c>
      <x:c r="AN94" s="82" t="str">
        <x:v>初审</x:v>
      </x:c>
      <x:c r="AO94" s="87" t="n">
        <x:v>46255</x:v>
      </x:c>
    </x:row>
    <x:row r="95">
      <x:c r="A95" s="72" t="str">
        <x:f>IF(OR(C95="",D95=""),"",B95&amp;"-"&amp;UPPER(C95)&amp;"-"&amp;TEXT(D95,"0000")&amp;"-"&amp;E95)</x:f>
        <x:v>M06-XING-0089-V1.0</x:v>
      </x:c>
      <x:c r="B95" s="74" t="str">
        <x:v>M06</x:v>
      </x:c>
      <x:c r="C95" s="74" t="str">
        <x:v>XING</x:v>
      </x:c>
      <x:c r="D95" s="79" t="n">
        <x:v>89</x:v>
      </x:c>
      <x:c r="E95" s="74" t="str">
        <x:v>V1.0</x:v>
      </x:c>
      <x:c r="F95" s="68" t="str">
        <x:v>弱支唯一根叠加刑伤时可下调根气</x:v>
      </x:c>
      <x:c r="G95" s="82" t="str">
        <x:v>效应层</x:v>
      </x:c>
      <x:c r="H95" s="68" t="str">
        <x:v>M05-XING-0033-V1.0—M05-XING-0041-V1.0；M03-RTCT-0040-V1.0—M03-RTCT-0045-V1.0；M03-RTEF-0046-V1.0—M03-RTEF-0052-V1.0</x:v>
      </x:c>
      <x:c r="I95" s="82" t="str">
        <x:v>三刑</x:v>
      </x:c>
      <x:c r="J95" s="68" t="str">
        <x:v>刑关系中的孤弱地支</x:v>
      </x:c>
      <x:c r="K95" s="68" t="str">
        <x:v>该支承载的唯一根</x:v>
      </x:c>
      <x:c r="L95" s="82" t="str">
        <x:v>逐对象比较得令、得地、得势与相对强弱</x:v>
      </x:c>
      <x:c r="M95" s="68" t="str">
        <x:v>记录参与对象中谁得令、谁受季节支持</x:v>
      </x:c>
      <x:c r="N95" s="68" t="str">
        <x:v>记录明干及相关藏干的透出通道</x:v>
      </x:c>
      <x:c r="O95" s="68" t="str">
        <x:v>记录各对象根气层级、数量及是否唯一根</x:v>
      </x:c>
      <x:c r="P95" s="68" t="str">
        <x:v>检查同节点的合、冲、刑、害、破、会及生克</x:v>
      </x:c>
      <x:c r="Q95" s="82" t="str">
        <x:v>刑伤</x:v>
      </x:c>
      <x:c r="R95" s="82" t="str">
        <x:v>减弱</x:v>
      </x:c>
      <x:c r="S95" s="82" t="str">
        <x:v>强</x:v>
      </x:c>
      <x:c r="T95" s="82" t="str">
        <x:v>否</x:v>
      </x:c>
      <x:c r="U95" s="82" t="str">
        <x:v>是</x:v>
      </x:c>
      <x:c r="V95" s="82" t="str">
        <x:v>条件性</x:v>
      </x:c>
      <x:c r="W95" s="82" t="str">
        <x:v>否</x:v>
      </x:c>
      <x:c r="X95" s="82" t="str">
        <x:v>是</x:v>
      </x:c>
      <x:c r="Y95" s="68" t="str">
        <x:v>可能改变原有生克路径，须在M12复核</x:v>
      </x:c>
      <x:c r="Z95" s="68" t="str">
        <x:v>M04/M05已识别关系，柱位、完整度与参与对象已标准化</x:v>
      </x:c>
      <x:c r="AA95" s="68" t="str">
        <x:v>唯一根、弱支、刑方有势、无救四项同时具备</x:v>
      </x:c>
      <x:c r="AB95" s="68" t="str">
        <x:v>关系相邻、得令、得地、成势且无强力反制</x:v>
      </x:c>
      <x:c r="AC95" s="68" t="str">
        <x:v>遥隔、争合、节点被其他关系牵制或双方各有强根</x:v>
      </x:c>
      <x:c r="AD95" s="90" t="str">
        <x:v>仅凭关系名称不得直接判性质改变、归零或固定吉凶</x:v>
      </x:c>
      <x:c r="AE95" s="68" t="str">
        <x:v>特殊格局或岁运动态补齐须另建实例重新裁决</x:v>
      </x:c>
      <x:c r="AF95" s="84" t="str">
        <x:v>孤弱支既是某天干唯一根，又被得势刑方持续作用且无援时，根气可实质下降；仅有刑名不足。</x:v>
      </x:c>
      <x:c r="AG95" s="84" t="str">
        <x:v>该支为唯一弱根且刑伤落实，根气有效性下调；仍保留原始根记录。</x:v>
      </x:c>
      <x:c r="AH95" s="82" t="str">
        <x:v>较高</x:v>
      </x:c>
      <x:c r="AI95" s="82" t="str">
        <x:v>现代综合</x:v>
      </x:c>
      <x:c r="AJ95" s="68" t="str">
        <x:v>刑伤根气必须落实到具体根位和强弱。参考：https://zh.wikisource.org/zh-hans/滴天髓</x:v>
      </x:c>
      <x:c r="AK95" s="68" t="str">
        <x:v>甲仅根寅，寅弱而巳申成势夹刑，可下调甲根。</x:v>
      </x:c>
      <x:c r="AL95" s="90" t="str">
        <x:v>甲另有卯亥根仍因寅受刑判甲无根。</x:v>
      </x:c>
      <x:c r="AM95" s="82" t="str">
        <x:v>采用</x:v>
      </x:c>
      <x:c r="AN95" s="82" t="str">
        <x:v>初审</x:v>
      </x:c>
      <x:c r="AO95" s="87" t="n">
        <x:v>46255</x:v>
      </x:c>
    </x:row>
    <x:row r="96">
      <x:c r="A96" s="72" t="str">
        <x:f>IF(OR(C96="",D96=""),"",B96&amp;"-"&amp;UPPER(C96)&amp;"-"&amp;TEXT(D96,"0000")&amp;"-"&amp;E96)</x:f>
        <x:v>M06-XING-0090-V1.0</x:v>
      </x:c>
      <x:c r="B96" s="74" t="str">
        <x:v>M06</x:v>
      </x:c>
      <x:c r="C96" s="74" t="str">
        <x:v>XING</x:v>
      </x:c>
      <x:c r="D96" s="79" t="n">
        <x:v>90</x:v>
      </x:c>
      <x:c r="E96" s="74" t="str">
        <x:v>V1.0</x:v>
      </x:c>
      <x:c r="F96" s="68" t="str">
        <x:v>参与支均强时三刑可表现为激烈运作而非衰减</x:v>
      </x:c>
      <x:c r="G96" s="82" t="str">
        <x:v>效应层</x:v>
      </x:c>
      <x:c r="H96" s="68" t="str">
        <x:v>M05-XING-0036-V1.0；M05-XING-0040-V1.0</x:v>
      </x:c>
      <x:c r="I96" s="82" t="str">
        <x:v>三刑</x:v>
      </x:c>
      <x:c r="J96" s="68" t="str">
        <x:v>完整三刑且各支有力</x:v>
      </x:c>
      <x:c r="K96" s="68" t="str">
        <x:v>参与各支</x:v>
      </x:c>
      <x:c r="L96" s="82" t="str">
        <x:v>逐对象比较得令、得地、得势与相对强弱</x:v>
      </x:c>
      <x:c r="M96" s="68" t="str">
        <x:v>记录参与对象中谁得令、谁受季节支持</x:v>
      </x:c>
      <x:c r="N96" s="68" t="str">
        <x:v>记录明干及相关藏干的透出通道</x:v>
      </x:c>
      <x:c r="O96" s="68" t="str">
        <x:v>记录各对象根气层级、数量及是否唯一根</x:v>
      </x:c>
      <x:c r="P96" s="68" t="str">
        <x:v>检查同节点的合、冲、刑、害、破、会及生克</x:v>
      </x:c>
      <x:c r="Q96" s="82" t="str">
        <x:v>刑动</x:v>
      </x:c>
      <x:c r="R96" s="82" t="str">
        <x:v>激活</x:v>
      </x:c>
      <x:c r="S96" s="82" t="str">
        <x:v>强</x:v>
      </x:c>
      <x:c r="T96" s="82" t="str">
        <x:v>否</x:v>
      </x:c>
      <x:c r="U96" s="82" t="str">
        <x:v>否</x:v>
      </x:c>
      <x:c r="V96" s="82" t="str">
        <x:v>是</x:v>
      </x:c>
      <x:c r="W96" s="82" t="str">
        <x:v>条件性</x:v>
      </x:c>
      <x:c r="X96" s="82" t="str">
        <x:v>条件性</x:v>
      </x:c>
      <x:c r="Y96" s="68" t="str">
        <x:v>多节点高频作用，易造成流通不稳</x:v>
      </x:c>
      <x:c r="Z96" s="68" t="str">
        <x:v>M04/M05已识别关系，柱位、完整度与参与对象已标准化</x:v>
      </x:c>
      <x:c r="AA96" s="68" t="str">
        <x:v>必须指向具体作用对象，并比较各方力量、根气和通道</x:v>
      </x:c>
      <x:c r="AB96" s="68" t="str">
        <x:v>关系相邻、得令、得地、成势且无强力反制</x:v>
      </x:c>
      <x:c r="AC96" s="68" t="str">
        <x:v>遥隔、争合、节点被其他关系牵制或双方各有强根</x:v>
      </x:c>
      <x:c r="AD96" s="90" t="str">
        <x:v>仅凭关系名称不得直接判性质改变、归零或固定吉凶</x:v>
      </x:c>
      <x:c r="AE96" s="68" t="str">
        <x:v>特殊格局或岁运动态补齐须另建实例重新裁决</x:v>
      </x:c>
      <x:c r="AF96" s="84" t="str">
        <x:v>各支均得根有党时，三刑更可能表现为反复运作、牵扯与结构不稳，而不是把各方都打弱。</x:v>
      </x:c>
      <x:c r="AG96" s="84" t="str">
        <x:v>三刑各方均强，判强烈刑动与结构扰动；减力仅作次级条件。</x:v>
      </x:c>
      <x:c r="AH96" s="82" t="str">
        <x:v>较高</x:v>
      </x:c>
      <x:c r="AI96" s="82" t="str">
        <x:v>现代综合</x:v>
      </x:c>
      <x:c r="AJ96" s="68" t="str">
        <x:v>旺者受刑未必衰，可能因动而更显。参考：https://zh.wikisource.org/zh-hans/滴天髓</x:v>
      </x:c>
      <x:c r="AK96" s="68" t="str">
        <x:v>寅巳申各有根有援，三刑可使木火金通道剧烈互动。</x:v>
      </x:c>
      <x:c r="AL96" s="90" t="str">
        <x:v>三支均旺仍统一扣减。</x:v>
      </x:c>
      <x:c r="AM96" s="82" t="str">
        <x:v>采用</x:v>
      </x:c>
      <x:c r="AN96" s="82" t="str">
        <x:v>初审</x:v>
      </x:c>
      <x:c r="AO96" s="87" t="n">
        <x:v>46255</x:v>
      </x:c>
    </x:row>
    <x:row r="97">
      <x:c r="A97" s="72" t="str">
        <x:f>IF(OR(C97="",D97=""),"",B97&amp;"-"&amp;UPPER(C97)&amp;"-"&amp;TEXT(D97,"0000")&amp;"-"&amp;E97)</x:f>
        <x:v>M06-XING-0091-V1.0</x:v>
      </x:c>
      <x:c r="B97" s="74" t="str">
        <x:v>M06</x:v>
      </x:c>
      <x:c r="C97" s="74" t="str">
        <x:v>XING</x:v>
      </x:c>
      <x:c r="D97" s="79" t="n">
        <x:v>91</x:v>
      </x:c>
      <x:c r="E97" s="74" t="str">
        <x:v>V1.0</x:v>
      </x:c>
      <x:c r="F97" s="68" t="str">
        <x:v>局部三刑与岁运补齐必须分层定级</x:v>
      </x:c>
      <x:c r="G97" s="82" t="str">
        <x:v>效应层</x:v>
      </x:c>
      <x:c r="H97" s="68" t="str">
        <x:v>M05-XING-0033-V1.0—M05-XING-0040-V1.0；M05-SUIYUN-0073-V1.0</x:v>
      </x:c>
      <x:c r="I97" s="82" t="str">
        <x:v>三刑</x:v>
      </x:c>
      <x:c r="J97" s="68" t="str">
        <x:v>原局局部刑与岁运补入缺支</x:v>
      </x:c>
      <x:c r="K97" s="68" t="str">
        <x:v>动态三刑结构</x:v>
      </x:c>
      <x:c r="L97" s="82" t="str">
        <x:v>逐对象比较得令、得地、得势与相对强弱</x:v>
      </x:c>
      <x:c r="M97" s="68" t="str">
        <x:v>记录参与对象中谁得令、谁受季节支持</x:v>
      </x:c>
      <x:c r="N97" s="68" t="str">
        <x:v>记录明干及相关藏干的透出通道</x:v>
      </x:c>
      <x:c r="O97" s="68" t="str">
        <x:v>记录各对象根气层级、数量及是否唯一根</x:v>
      </x:c>
      <x:c r="P97" s="68" t="str">
        <x:v>检查同节点的合、冲、刑、害、破、会及生克</x:v>
      </x:c>
      <x:c r="Q97" s="82" t="str">
        <x:v>刑动</x:v>
      </x:c>
      <x:c r="R97" s="82" t="str">
        <x:v>激活</x:v>
      </x:c>
      <x:c r="S97" s="82" t="str">
        <x:v>强</x:v>
      </x:c>
      <x:c r="T97" s="82" t="str">
        <x:v>否</x:v>
      </x:c>
      <x:c r="U97" s="82" t="str">
        <x:v>条件性</x:v>
      </x:c>
      <x:c r="V97" s="82" t="str">
        <x:v>是</x:v>
      </x:c>
      <x:c r="W97" s="82" t="str">
        <x:v>条件性</x:v>
      </x:c>
      <x:c r="X97" s="82" t="str">
        <x:v>条件性</x:v>
      </x:c>
      <x:c r="Y97" s="68" t="str">
        <x:v>可能改变原有生克路径，须在M12复核</x:v>
      </x:c>
      <x:c r="Z97" s="68" t="str">
        <x:v>M04/M05已识别关系，柱位、完整度与参与对象已标准化</x:v>
      </x:c>
      <x:c r="AA97" s="68" t="str">
        <x:v>明确原局、运、年三个时间层级</x:v>
      </x:c>
      <x:c r="AB97" s="68" t="str">
        <x:v>关系相邻、得令、得地、成势且无强力反制</x:v>
      </x:c>
      <x:c r="AC97" s="68" t="str">
        <x:v>遥隔、争合、节点被其他关系牵制或双方各有强根</x:v>
      </x:c>
      <x:c r="AD97" s="90" t="str">
        <x:v>仅凭关系名称不得直接判性质改变、归零或固定吉凶</x:v>
      </x:c>
      <x:c r="AE97" s="68" t="str">
        <x:v>特殊格局或岁运动态补齐须另建实例重新裁决</x:v>
      </x:c>
      <x:c r="AF97" s="84" t="str">
        <x:v>原局只见两支时按局部刑；岁运补齐第三支时，仅在对应时段升级为动态完整三刑，不能倒写原局。</x:v>
      </x:c>
      <x:c r="AG97" s="84" t="str">
        <x:v>原局为局部刑；岁运补齐后在该时段升级为完整三刑并重新逐支评估。</x:v>
      </x:c>
      <x:c r="AH97" s="82" t="str">
        <x:v>较高</x:v>
      </x:c>
      <x:c r="AI97" s="82" t="str">
        <x:v>现代综合</x:v>
      </x:c>
      <x:c r="AJ97" s="68" t="str">
        <x:v>动态补齐是时段效应，不改变原局静态结构。参考：https://ctext.org/wiki.pl?chapter=435028&amp;if=gb&amp;remap=gb</x:v>
      </x:c>
      <x:c r="AK97" s="68" t="str">
        <x:v>原局寅巳，流年申到，流年内形成动态寅巳申三刑。</x:v>
      </x:c>
      <x:c r="AL97" s="90" t="str">
        <x:v>因未来可能来申，原局长期按完整三刑。</x:v>
      </x:c>
      <x:c r="AM97" s="82" t="str">
        <x:v>采用</x:v>
      </x:c>
      <x:c r="AN97" s="82" t="str">
        <x:v>初审</x:v>
      </x:c>
      <x:c r="AO97" s="87" t="n">
        <x:v>46255</x:v>
      </x:c>
    </x:row>
    <x:row r="98">
      <x:c r="A98" s="72" t="str">
        <x:f>IF(OR(C98="",D98=""),"",B98&amp;"-"&amp;UPPER(C98)&amp;"-"&amp;TEXT(D98,"0000")&amp;"-"&amp;E98)</x:f>
        <x:v>M06-ZIXING-0092-V1.0</x:v>
      </x:c>
      <x:c r="B98" s="74" t="str">
        <x:v>M06</x:v>
      </x:c>
      <x:c r="C98" s="74" t="str">
        <x:v>ZIXING</x:v>
      </x:c>
      <x:c r="D98" s="79" t="n">
        <x:v>92</x:v>
      </x:c>
      <x:c r="E98" s="74" t="str">
        <x:v>V1.0</x:v>
      </x:c>
      <x:c r="F98" s="68" t="str">
        <x:v>重复地支只生成自刑候选不自动受伤</x:v>
      </x:c>
      <x:c r="G98" s="82" t="str">
        <x:v>效应层</x:v>
      </x:c>
      <x:c r="H98" s="68" t="str">
        <x:v>M05-ZIXING-0042-V1.0—M05-ZIXING-0045-V1.0</x:v>
      </x:c>
      <x:c r="I98" s="82" t="str">
        <x:v>自刑</x:v>
      </x:c>
      <x:c r="J98" s="68" t="str">
        <x:v>辰辰、午午、酉酉或亥亥</x:v>
      </x:c>
      <x:c r="K98" s="68" t="str">
        <x:v>重复支</x:v>
      </x:c>
      <x:c r="L98" s="82" t="str">
        <x:v>逐对象比较得令、得地、得势与相对强弱</x:v>
      </x:c>
      <x:c r="M98" s="68" t="str">
        <x:v>记录参与对象中谁得令、谁受季节支持</x:v>
      </x:c>
      <x:c r="N98" s="68" t="str">
        <x:v>记录明干及相关藏干的透出通道</x:v>
      </x:c>
      <x:c r="O98" s="68" t="str">
        <x:v>记录各对象根气层级、数量及是否唯一根</x:v>
      </x:c>
      <x:c r="P98" s="68" t="str">
        <x:v>检查同节点的合、冲、刑、害、破、会及生克</x:v>
      </x:c>
      <x:c r="Q98" s="82" t="str">
        <x:v>刑动</x:v>
      </x:c>
      <x:c r="R98" s="82" t="str">
        <x:v>条件性</x:v>
      </x:c>
      <x:c r="S98" s="82" t="str">
        <x:v>中</x:v>
      </x:c>
      <x:c r="T98" s="82" t="str">
        <x:v>否</x:v>
      </x:c>
      <x:c r="U98" s="82" t="str">
        <x:v>条件性</x:v>
      </x:c>
      <x:c r="V98" s="82" t="str">
        <x:v>条件性</x:v>
      </x:c>
      <x:c r="W98" s="82" t="str">
        <x:v>条件性</x:v>
      </x:c>
      <x:c r="X98" s="82" t="str">
        <x:v>条件性</x:v>
      </x:c>
      <x:c r="Y98" s="68" t="str">
        <x:v>可能改变原有生克路径，须在M12复核</x:v>
      </x:c>
      <x:c r="Z98" s="68" t="str">
        <x:v>M04/M05已识别关系，柱位、完整度与参与对象已标准化</x:v>
      </x:c>
      <x:c r="AA98" s="68" t="str">
        <x:v>必须指向具体作用对象，并比较各方力量、根气和通道</x:v>
      </x:c>
      <x:c r="AB98" s="68" t="str">
        <x:v>关系相邻、得令、得地、成势且无强力反制</x:v>
      </x:c>
      <x:c r="AC98" s="68" t="str">
        <x:v>遥隔、争合、节点被其他关系牵制或双方各有强根</x:v>
      </x:c>
      <x:c r="AD98" s="90" t="str">
        <x:v>仅凭关系名称不得直接判性质改变、归零或固定吉凶</x:v>
      </x:c>
      <x:c r="AE98" s="68" t="str">
        <x:v>特殊格局或岁运动态补齐须另建实例重新裁决</x:v>
      </x:c>
      <x:c r="AF98" s="84" t="str">
        <x:v>重复支满足自刑候选，但是否形成内部壅滞、反复或自我消耗，须看该支强弱与其他关系。</x:v>
      </x:c>
      <x:c r="AG98" s="84" t="str">
        <x:v>重复支存在自刑候选，先评估同气叠加与阻塞；不直接判两支互相减力。</x:v>
      </x:c>
      <x:c r="AH98" s="82" t="str">
        <x:v>中等</x:v>
      </x:c>
      <x:c r="AI98" s="82" t="str">
        <x:v>现代综合</x:v>
      </x:c>
      <x:c r="AJ98" s="68" t="str">
        <x:v>自刑的启动与权重存在流派差异，本库采用条件式表达。参考：https://ctext.org/wiki.pl?chapter=435028&amp;if=gb&amp;remap=gb</x:v>
      </x:c>
      <x:c r="AK98" s="68" t="str">
        <x:v>午午并见且火过旺无泄，可判同气壅滞与反复引动。</x:v>
      </x:c>
      <x:c r="AL98" s="90" t="str">
        <x:v>只因两午出现便固定判火减半。</x:v>
      </x:c>
      <x:c r="AM98" s="82" t="str">
        <x:v>待验证</x:v>
      </x:c>
      <x:c r="AN98" s="82" t="str">
        <x:v>初审</x:v>
      </x:c>
      <x:c r="AO98" s="87" t="n">
        <x:v>46255</x:v>
      </x:c>
    </x:row>
    <x:row r="99">
      <x:c r="A99" s="72" t="str">
        <x:f>IF(OR(C99="",D99=""),"",B99&amp;"-"&amp;UPPER(C99)&amp;"-"&amp;TEXT(D99,"0000")&amp;"-"&amp;E99)</x:f>
        <x:v>M06-ZIXING-0093-V1.0</x:v>
      </x:c>
      <x:c r="B99" s="74" t="str">
        <x:v>M06</x:v>
      </x:c>
      <x:c r="C99" s="74" t="str">
        <x:v>ZIXING</x:v>
      </x:c>
      <x:c r="D99" s="79" t="n">
        <x:v>93</x:v>
      </x:c>
      <x:c r="E99" s="74" t="str">
        <x:v>V1.0</x:v>
      </x:c>
      <x:c r="F99" s="68" t="str">
        <x:v>自刑支旺而无泄时偏向回流壅滞</x:v>
      </x:c>
      <x:c r="G99" s="82" t="str">
        <x:v>效应层</x:v>
      </x:c>
      <x:c r="H99" s="68" t="str">
        <x:v>M05-ZIXING-0042-V1.0—M05-ZIXING-0045-V1.0</x:v>
      </x:c>
      <x:c r="I99" s="82" t="str">
        <x:v>自刑</x:v>
      </x:c>
      <x:c r="J99" s="68" t="str">
        <x:v>重复且旺的自刑支</x:v>
      </x:c>
      <x:c r="K99" s="68" t="str">
        <x:v>该五行流通</x:v>
      </x:c>
      <x:c r="L99" s="82" t="str">
        <x:v>逐对象比较得令、得地、得势与相对强弱</x:v>
      </x:c>
      <x:c r="M99" s="68" t="str">
        <x:v>记录参与对象中谁得令、谁受季节支持</x:v>
      </x:c>
      <x:c r="N99" s="68" t="str">
        <x:v>记录明干及相关藏干的透出通道</x:v>
      </x:c>
      <x:c r="O99" s="68" t="str">
        <x:v>记录各对象根气层级、数量及是否唯一根</x:v>
      </x:c>
      <x:c r="P99" s="68" t="str">
        <x:v>检查同节点的合、冲、刑、害、破、会及生克</x:v>
      </x:c>
      <x:c r="Q99" s="82" t="str">
        <x:v>阻断</x:v>
      </x:c>
      <x:c r="R99" s="82" t="str">
        <x:v>阻断</x:v>
      </x:c>
      <x:c r="S99" s="82" t="str">
        <x:v>强</x:v>
      </x:c>
      <x:c r="T99" s="82" t="str">
        <x:v>否</x:v>
      </x:c>
      <x:c r="U99" s="82" t="str">
        <x:v>否</x:v>
      </x:c>
      <x:c r="V99" s="82" t="str">
        <x:v>是</x:v>
      </x:c>
      <x:c r="W99" s="82" t="str">
        <x:v>是</x:v>
      </x:c>
      <x:c r="X99" s="82" t="str">
        <x:v>条件性</x:v>
      </x:c>
      <x:c r="Y99" s="68" t="str">
        <x:v>同气回流壅塞，转M12定位泄化通道</x:v>
      </x:c>
      <x:c r="Z99" s="68" t="str">
        <x:v>M04/M05已识别关系，柱位、完整度与参与对象已标准化</x:v>
      </x:c>
      <x:c r="AA99" s="68" t="str">
        <x:v>重复支真实旺强且缺乏有效泄化</x:v>
      </x:c>
      <x:c r="AB99" s="68" t="str">
        <x:v>关系相邻、得令、得地、成势且无强力反制</x:v>
      </x:c>
      <x:c r="AC99" s="68" t="str">
        <x:v>遥隔、争合、节点被其他关系牵制或双方各有强根</x:v>
      </x:c>
      <x:c r="AD99" s="90" t="str">
        <x:v>仅凭关系名称不得直接判性质改变、归零或固定吉凶</x:v>
      </x:c>
      <x:c r="AE99" s="68" t="str">
        <x:v>特殊格局或岁运动态补齐须另建实例重新裁决</x:v>
      </x:c>
      <x:c r="AF99" s="84" t="str">
        <x:v>重复支得令成势但无泄化通道时，同气反复叠加可形成壅滞或功能过度，而非简单变弱。</x:v>
      </x:c>
      <x:c r="AG99" s="84" t="str">
        <x:v>自刑支旺而无泄，判同气回流与局部阻塞；力量未必下降。</x:v>
      </x:c>
      <x:c r="AH99" s="82" t="str">
        <x:v>较高</x:v>
      </x:c>
      <x:c r="AI99" s="82" t="str">
        <x:v>现代综合</x:v>
      </x:c>
      <x:c r="AJ99" s="68" t="str">
        <x:v>同气过旺的问题常在不流通，而非力量不足。参考：https://zh.wikisource.org/zh-hans/滴天髓</x:v>
      </x:c>
      <x:c r="AK99" s="68" t="str">
        <x:v>酉酉得令、金旺无水泄，判金气壅滞。</x:v>
      </x:c>
      <x:c r="AL99" s="90" t="str">
        <x:v>金旺自刑仍只写金弱。</x:v>
      </x:c>
      <x:c r="AM99" s="82" t="str">
        <x:v>采用</x:v>
      </x:c>
      <x:c r="AN99" s="82" t="str">
        <x:v>初审</x:v>
      </x:c>
      <x:c r="AO99" s="87" t="n">
        <x:v>46255</x:v>
      </x:c>
    </x:row>
    <x:row r="100">
      <x:c r="A100" s="72" t="str">
        <x:f>IF(OR(C100="",D100=""),"",B100&amp;"-"&amp;UPPER(C100)&amp;"-"&amp;TEXT(D100,"0000")&amp;"-"&amp;E100)</x:f>
        <x:v>M06-ZIXING-0094-V1.0</x:v>
      </x:c>
      <x:c r="B100" s="74" t="str">
        <x:v>M06</x:v>
      </x:c>
      <x:c r="C100" s="74" t="str">
        <x:v>ZIXING</x:v>
      </x:c>
      <x:c r="D100" s="79" t="n">
        <x:v>94</x:v>
      </x:c>
      <x:c r="E100" s="74" t="str">
        <x:v>V1.0</x:v>
      </x:c>
      <x:c r="F100" s="68" t="str">
        <x:v>自刑支弱时不得双重扣减</x:v>
      </x:c>
      <x:c r="G100" s="82" t="str">
        <x:v>效应层</x:v>
      </x:c>
      <x:c r="H100" s="68" t="str">
        <x:v>M05-ZIXING-0042-V1.0—M05-ZIXING-0045-V1.0</x:v>
      </x:c>
      <x:c r="I100" s="82" t="str">
        <x:v>自刑</x:v>
      </x:c>
      <x:c r="J100" s="68" t="str">
        <x:v>重复但均弱的自刑支</x:v>
      </x:c>
      <x:c r="K100" s="68" t="str">
        <x:v>重复支</x:v>
      </x:c>
      <x:c r="L100" s="82" t="str">
        <x:v>逐对象比较得令、得地、得势与相对强弱</x:v>
      </x:c>
      <x:c r="M100" s="68" t="str">
        <x:v>记录参与对象中谁得令、谁受季节支持</x:v>
      </x:c>
      <x:c r="N100" s="68" t="str">
        <x:v>记录明干及相关藏干的透出通道</x:v>
      </x:c>
      <x:c r="O100" s="68" t="str">
        <x:v>记录各对象根气层级、数量及是否唯一根</x:v>
      </x:c>
      <x:c r="P100" s="68" t="str">
        <x:v>检查同节点的合、冲、刑、害、破、会及生克</x:v>
      </x:c>
      <x:c r="Q100" s="82" t="str">
        <x:v>刑动</x:v>
      </x:c>
      <x:c r="R100" s="82" t="str">
        <x:v>条件性</x:v>
      </x:c>
      <x:c r="S100" s="82" t="str">
        <x:v>弱</x:v>
      </x:c>
      <x:c r="T100" s="82" t="str">
        <x:v>否</x:v>
      </x:c>
      <x:c r="U100" s="82" t="str">
        <x:v>否</x:v>
      </x:c>
      <x:c r="V100" s="82" t="str">
        <x:v>条件性</x:v>
      </x:c>
      <x:c r="W100" s="82" t="str">
        <x:v>条件性</x:v>
      </x:c>
      <x:c r="X100" s="82" t="str">
        <x:v>否</x:v>
      </x:c>
      <x:c r="Y100" s="68" t="str">
        <x:v>可能改变原有生克路径，须在M12复核</x:v>
      </x:c>
      <x:c r="Z100" s="68" t="str">
        <x:v>M04/M05已识别关系，柱位、完整度与参与对象已标准化</x:v>
      </x:c>
      <x:c r="AA100" s="68" t="str">
        <x:v>必须指向具体作用对象，并比较各方力量、根气和通道</x:v>
      </x:c>
      <x:c r="AB100" s="68" t="str">
        <x:v>关系相邻、得令、得地、成势且无强力反制</x:v>
      </x:c>
      <x:c r="AC100" s="68" t="str">
        <x:v>遥隔、争合、节点被其他关系牵制或双方各有强根</x:v>
      </x:c>
      <x:c r="AD100" s="90" t="str">
        <x:v>仅凭关系名称不得直接判性质改变、归零或固定吉凶</x:v>
      </x:c>
      <x:c r="AE100" s="68" t="str">
        <x:v>特殊格局或岁运动态补齐须另建实例重新裁决</x:v>
      </x:c>
      <x:c r="AF100" s="84" t="str">
        <x:v>两处同支均失令无援时，自刑效应较轻；重复本身可能增加该五行数量，不得同时把每一支重复减损。</x:v>
      </x:c>
      <x:c r="AG100" s="84" t="str">
        <x:v>自刑支均弱，保留轻度反复候选；不作双重减力。</x:v>
      </x:c>
      <x:c r="AH100" s="82" t="str">
        <x:v>较高</x:v>
      </x:c>
      <x:c r="AI100" s="82" t="str">
        <x:v>现代综合</x:v>
      </x:c>
      <x:c r="AJ100" s="68" t="str">
        <x:v>重复节点与自刑效应必须分别计量，避免重复惩罚。参考：https://ctext.org/wiki.pl?chapter=435028&amp;if=gb&amp;remap=gb</x:v>
      </x:c>
      <x:c r="AK100" s="68" t="str">
        <x:v>两亥均弱无援，先计两处水根，再从轻评估自刑。</x:v>
      </x:c>
      <x:c r="AL100" s="90" t="str">
        <x:v>先算两亥力量，再因自刑各扣一次导致重复扣减。</x:v>
      </x:c>
      <x:c r="AM100" s="82" t="str">
        <x:v>采用</x:v>
      </x:c>
      <x:c r="AN100" s="82" t="str">
        <x:v>初审</x:v>
      </x:c>
      <x:c r="AO100" s="87" t="n">
        <x:v>46255</x:v>
      </x:c>
    </x:row>
    <x:row r="101">
      <x:c r="A101" s="72" t="str">
        <x:f>IF(OR(C101="",D101=""),"",B101&amp;"-"&amp;UPPER(C101)&amp;"-"&amp;TEXT(D101,"0000")&amp;"-"&amp;E101)</x:f>
        <x:v>M06-ZIXING-0095-V1.0</x:v>
      </x:c>
      <x:c r="B101" s="74" t="str">
        <x:v>M06</x:v>
      </x:c>
      <x:c r="C101" s="74" t="str">
        <x:v>ZIXING</x:v>
      </x:c>
      <x:c r="D101" s="79" t="n">
        <x:v>95</x:v>
      </x:c>
      <x:c r="E101" s="74" t="str">
        <x:v>V1.0</x:v>
      </x:c>
      <x:c r="F101" s="68" t="str">
        <x:v>强冲强合存在时自刑通常列次级效应</x:v>
      </x:c>
      <x:c r="G101" s="82" t="str">
        <x:v>效应层</x:v>
      </x:c>
      <x:c r="H101" s="68" t="str">
        <x:v>M05-ZIXING-0042-V1.0—M05-ZIXING-0045-V1.0；M05-OVER-0068-V1.0</x:v>
      </x:c>
      <x:c r="I101" s="82" t="str">
        <x:v>其他</x:v>
      </x:c>
      <x:c r="J101" s="68" t="str">
        <x:v>自刑支及其强冲强合关系</x:v>
      </x:c>
      <x:c r="K101" s="68" t="str">
        <x:v>自刑效应权重</x:v>
      </x:c>
      <x:c r="L101" s="82" t="str">
        <x:v>逐对象比较得令、得地、得势与相对强弱</x:v>
      </x:c>
      <x:c r="M101" s="68" t="str">
        <x:v>记录参与对象中谁得令、谁受季节支持</x:v>
      </x:c>
      <x:c r="N101" s="68" t="str">
        <x:v>记录明干及相关藏干的透出通道</x:v>
      </x:c>
      <x:c r="O101" s="68" t="str">
        <x:v>记录各对象根气层级、数量及是否唯一根</x:v>
      </x:c>
      <x:c r="P101" s="68" t="str">
        <x:v>检查同节点的合、冲、刑、害、破、会及生克</x:v>
      </x:c>
      <x:c r="Q101" s="82" t="str">
        <x:v>其他</x:v>
      </x:c>
      <x:c r="R101" s="82" t="str">
        <x:v>条件性</x:v>
      </x:c>
      <x:c r="S101" s="82" t="str">
        <x:v>中</x:v>
      </x:c>
      <x:c r="T101" s="82" t="str">
        <x:v>否</x:v>
      </x:c>
      <x:c r="U101" s="82" t="str">
        <x:v>条件性</x:v>
      </x:c>
      <x:c r="V101" s="82" t="str">
        <x:v>条件性</x:v>
      </x:c>
      <x:c r="W101" s="82" t="str">
        <x:v>条件性</x:v>
      </x:c>
      <x:c r="X101" s="82" t="str">
        <x:v>条件性</x:v>
      </x:c>
      <x:c r="Y101" s="68" t="str">
        <x:v>可能改变原有生克路径，须在M12复核</x:v>
      </x:c>
      <x:c r="Z101" s="68" t="str">
        <x:v>M04/M05已识别关系，柱位、完整度与参与对象已标准化</x:v>
      </x:c>
      <x:c r="AA101" s="68" t="str">
        <x:v>必须指向具体作用对象，并比较各方力量、根气和通道</x:v>
      </x:c>
      <x:c r="AB101" s="68" t="str">
        <x:v>关系相邻、得令、得地、成势且无强力反制</x:v>
      </x:c>
      <x:c r="AC101" s="68" t="str">
        <x:v>遥隔、争合、节点被其他关系牵制或双方各有强根</x:v>
      </x:c>
      <x:c r="AD101" s="90" t="str">
        <x:v>仅凭关系名称不得直接判性质改变、归零或固定吉凶</x:v>
      </x:c>
      <x:c r="AE101" s="68" t="str">
        <x:v>特殊格局或岁运动态补齐须另建实例重新裁决</x:v>
      </x:c>
      <x:c r="AF101" s="84" t="str">
        <x:v>重复支若同时被强冲、强合或三会牵引，主导效应通常来自更直接关系；自刑作为次级反复或壅滞证据。</x:v>
      </x:c>
      <x:c r="AG101" s="84" t="str">
        <x:v>自刑与强关系并见，先裁定强冲强合，自刑列次级修正。</x:v>
      </x:c>
      <x:c r="AH101" s="82" t="str">
        <x:v>中等</x:v>
      </x:c>
      <x:c r="AI101" s="82" t="str">
        <x:v>现代综合</x:v>
      </x:c>
      <x:c r="AJ101" s="68" t="str">
        <x:v>多重关系应按直接性与气势裁决。参考：https://ctext.org/wiki.pl?chapter=974137&amp;if=gb&amp;remap=gb</x:v>
      </x:c>
      <x:c r="AK101" s="68" t="str">
        <x:v>午午自刑同时子强冲午，先评估子午冲，再看火气反复。</x:v>
      </x:c>
      <x:c r="AL101" s="90" t="str">
        <x:v>忽略强冲，只按自刑解释全部结果。</x:v>
      </x:c>
      <x:c r="AM101" s="82" t="str">
        <x:v>待验证</x:v>
      </x:c>
      <x:c r="AN101" s="82" t="str">
        <x:v>初审</x:v>
      </x:c>
      <x:c r="AO101" s="87" t="n">
        <x:v>46255</x:v>
      </x:c>
    </x:row>
    <x:row r="102">
      <x:c r="A102" s="72" t="str">
        <x:f>IF(OR(C102="",D102=""),"",B102&amp;"-"&amp;UPPER(C102)&amp;"-"&amp;TEXT(D102,"0000")&amp;"-"&amp;E102)</x:f>
        <x:v>M06-HAI-0096-V1.0</x:v>
      </x:c>
      <x:c r="B102" s="74" t="str">
        <x:v>M06</x:v>
      </x:c>
      <x:c r="C102" s="74" t="str">
        <x:v>HAI</x:v>
      </x:c>
      <x:c r="D102" s="79" t="n">
        <x:v>96</x:v>
      </x:c>
      <x:c r="E102" s="74" t="str">
        <x:v>V1.0</x:v>
      </x:c>
      <x:c r="F102" s="68" t="str">
        <x:v>六害只生成暗损阻滞候选不自动减力</x:v>
      </x:c>
      <x:c r="G102" s="82" t="str">
        <x:v>效应层</x:v>
      </x:c>
      <x:c r="H102" s="68" t="str">
        <x:v>M05-HAI-0046-V1.0—M05-HAI-0051-V1.0；M05-BOUND-0079-V1.0</x:v>
      </x:c>
      <x:c r="I102" s="82" t="str">
        <x:v>六害</x:v>
      </x:c>
      <x:c r="J102" s="68" t="str">
        <x:v>任一六害配对</x:v>
      </x:c>
      <x:c r="K102" s="68" t="str">
        <x:v>参与两支及其功能连接</x:v>
      </x:c>
      <x:c r="L102" s="82" t="str">
        <x:v>逐对象比较得令、得地、得势与相对强弱</x:v>
      </x:c>
      <x:c r="M102" s="68" t="str">
        <x:v>记录参与对象中谁得令、谁受季节支持</x:v>
      </x:c>
      <x:c r="N102" s="68" t="str">
        <x:v>记录明干及相关藏干的透出通道</x:v>
      </x:c>
      <x:c r="O102" s="68" t="str">
        <x:v>记录各对象根气层级、数量及是否唯一根</x:v>
      </x:c>
      <x:c r="P102" s="68" t="str">
        <x:v>检查同节点的合、冲、刑、害、破、会及生克</x:v>
      </x:c>
      <x:c r="Q102" s="82" t="str">
        <x:v>阻断</x:v>
      </x:c>
      <x:c r="R102" s="82" t="str">
        <x:v>条件性</x:v>
      </x:c>
      <x:c r="S102" s="82" t="str">
        <x:v>弱</x:v>
      </x:c>
      <x:c r="T102" s="82" t="str">
        <x:v>否</x:v>
      </x:c>
      <x:c r="U102" s="82" t="str">
        <x:v>条件性</x:v>
      </x:c>
      <x:c r="V102" s="82" t="str">
        <x:v>条件性</x:v>
      </x:c>
      <x:c r="W102" s="82" t="str">
        <x:v>否</x:v>
      </x:c>
      <x:c r="X102" s="82" t="str">
        <x:v>条件性</x:v>
      </x:c>
      <x:c r="Y102" s="68" t="str">
        <x:v>可能使原本的生合通道不顺</x:v>
      </x:c>
      <x:c r="Z102" s="68" t="str">
        <x:v>M04/M05已识别关系，柱位、完整度与参与对象已标准化</x:v>
      </x:c>
      <x:c r="AA102" s="68" t="str">
        <x:v>必须指向具体作用对象，并比较各方力量、根气和通道</x:v>
      </x:c>
      <x:c r="AB102" s="68" t="str">
        <x:v>关系相邻、得令、得地、成势且无强力反制</x:v>
      </x:c>
      <x:c r="AC102" s="68" t="str">
        <x:v>遥隔、争合、节点被其他关系牵制或双方各有强根</x:v>
      </x:c>
      <x:c r="AD102" s="90" t="str">
        <x:v>仅凭关系名称不得直接判性质改变、归零或固定吉凶</x:v>
      </x:c>
      <x:c r="AE102" s="68" t="str">
        <x:v>特殊格局或岁运动态补齐须另建实例重新裁决</x:v>
      </x:c>
      <x:c r="AF102" s="84" t="str">
        <x:v>六害通常作为隐性牵制、连接不顺或局部暗损候选；是否落实为减力须看双方强弱和结构功能。</x:v>
      </x:c>
      <x:c r="AG102" s="84" t="str">
        <x:v>六害关系存在，先标记潜在阻滞；未见落实条件时不作固定减力。</x:v>
      </x:c>
      <x:c r="AH102" s="82" t="str">
        <x:v>中等</x:v>
      </x:c>
      <x:c r="AI102" s="82" t="str">
        <x:v>现代综合</x:v>
      </x:c>
      <x:c r="AJ102" s="68" t="str">
        <x:v>刑害有动不动之异，害的力量不宜与冲等量。参考：https://zh.wikisource.org/zh-hans/滴天髓</x:v>
      </x:c>
      <x:c r="AK102" s="68" t="str">
        <x:v>卯辰害若正好损及木土关键通道，可列阻滞。</x:v>
      </x:c>
      <x:c r="AL102" s="90" t="str">
        <x:v>六害一见便把双方都判重伤。</x:v>
      </x:c>
      <x:c r="AM102" s="82" t="str">
        <x:v>待验证</x:v>
      </x:c>
      <x:c r="AN102" s="82" t="str">
        <x:v>初审</x:v>
      </x:c>
      <x:c r="AO102" s="87" t="n">
        <x:v>46255</x:v>
      </x:c>
    </x:row>
    <x:row r="103">
      <x:c r="A103" s="72" t="str">
        <x:f>IF(OR(C103="",D103=""),"",B103&amp;"-"&amp;UPPER(C103)&amp;"-"&amp;TEXT(D103,"0000")&amp;"-"&amp;E103)</x:f>
        <x:v>M06-HAI-0097-V1.0</x:v>
      </x:c>
      <x:c r="B103" s="74" t="str">
        <x:v>M06</x:v>
      </x:c>
      <x:c r="C103" s="74" t="str">
        <x:v>HAI</x:v>
      </x:c>
      <x:c r="D103" s="79" t="n">
        <x:v>97</x:v>
      </x:c>
      <x:c r="E103" s="74" t="str">
        <x:v>V1.0</x:v>
      </x:c>
      <x:c r="F103" s="68" t="str">
        <x:v>六害作用于关键桥梁时可形成流通卡点</x:v>
      </x:c>
      <x:c r="G103" s="82" t="str">
        <x:v>效应层</x:v>
      </x:c>
      <x:c r="H103" s="68" t="str">
        <x:v>M05-HAI-0046-V1.0—M05-HAI-0051-V1.0</x:v>
      </x:c>
      <x:c r="I103" s="82" t="str">
        <x:v>六害</x:v>
      </x:c>
      <x:c r="J103" s="68" t="str">
        <x:v>六害两支及其承担的生化桥梁</x:v>
      </x:c>
      <x:c r="K103" s="68" t="str">
        <x:v>关键桥梁支</x:v>
      </x:c>
      <x:c r="L103" s="82" t="str">
        <x:v>逐对象比较得令、得地、得势与相对强弱</x:v>
      </x:c>
      <x:c r="M103" s="68" t="str">
        <x:v>记录参与对象中谁得令、谁受季节支持</x:v>
      </x:c>
      <x:c r="N103" s="68" t="str">
        <x:v>记录明干及相关藏干的透出通道</x:v>
      </x:c>
      <x:c r="O103" s="68" t="str">
        <x:v>记录各对象根气层级、数量及是否唯一根</x:v>
      </x:c>
      <x:c r="P103" s="68" t="str">
        <x:v>检查同节点的合、冲、刑、害、破、会及生克</x:v>
      </x:c>
      <x:c r="Q103" s="82" t="str">
        <x:v>阻断</x:v>
      </x:c>
      <x:c r="R103" s="82" t="str">
        <x:v>阻断</x:v>
      </x:c>
      <x:c r="S103" s="82" t="str">
        <x:v>中</x:v>
      </x:c>
      <x:c r="T103" s="82" t="str">
        <x:v>否</x:v>
      </x:c>
      <x:c r="U103" s="82" t="str">
        <x:v>条件性</x:v>
      </x:c>
      <x:c r="V103" s="82" t="str">
        <x:v>条件性</x:v>
      </x:c>
      <x:c r="W103" s="82" t="str">
        <x:v>否</x:v>
      </x:c>
      <x:c r="X103" s="82" t="str">
        <x:v>条件性</x:v>
      </x:c>
      <x:c r="Y103" s="68" t="str">
        <x:v>可能改变原有生克路径，须在M12复核</x:v>
      </x:c>
      <x:c r="Z103" s="68" t="str">
        <x:v>M04/M05已识别关系，柱位、完整度与参与对象已标准化</x:v>
      </x:c>
      <x:c r="AA103" s="68" t="str">
        <x:v>桥梁唯一、支弱且害关系与该功能直接相关</x:v>
      </x:c>
      <x:c r="AB103" s="68" t="str">
        <x:v>关系相邻、得令、得地、成势且无强力反制</x:v>
      </x:c>
      <x:c r="AC103" s="68" t="str">
        <x:v>遥隔、争合、节点被其他关系牵制或双方各有强根</x:v>
      </x:c>
      <x:c r="AD103" s="90" t="str">
        <x:v>仅凭关系名称不得直接判性质改变、归零或固定吉凶</x:v>
      </x:c>
      <x:c r="AE103" s="68" t="str">
        <x:v>特殊格局或岁运动态补齐须另建实例重新裁决</x:v>
      </x:c>
      <x:c r="AF103" s="84" t="str">
        <x:v>若被害支正承担全局唯一生化桥梁，且本身弱、无替代通道，六害可作为桥梁受限的辅助证据。</x:v>
      </x:c>
      <x:c r="AG103" s="84" t="str">
        <x:v>六害落在唯一桥梁，流通受限；转M12验证是否存在替代路径。</x:v>
      </x:c>
      <x:c r="AH103" s="82" t="str">
        <x:v>较高</x:v>
      </x:c>
      <x:c r="AI103" s="82" t="str">
        <x:v>现代综合</x:v>
      </x:c>
      <x:c r="AJ103" s="68" t="str">
        <x:v>害是否重要取决于它是否命中关键功能节点。参考：https://ctext.org/wiki.pl?chapter=435028&amp;if=gb&amp;remap=gb</x:v>
      </x:c>
      <x:c r="AK103" s="68" t="str">
        <x:v>唯一木桥卯弱又受辰害，可下调水生火的传递效率。</x:v>
      </x:c>
      <x:c r="AL103" s="90" t="str">
        <x:v>害不在关键路径仍夸大为全局阻断。</x:v>
      </x:c>
      <x:c r="AM103" s="82" t="str">
        <x:v>采用</x:v>
      </x:c>
      <x:c r="AN103" s="82" t="str">
        <x:v>初审</x:v>
      </x:c>
      <x:c r="AO103" s="87" t="n">
        <x:v>46255</x:v>
      </x:c>
    </x:row>
    <x:row r="104">
      <x:c r="A104" s="72" t="str">
        <x:f>IF(OR(C104="",D104=""),"",B104&amp;"-"&amp;UPPER(C104)&amp;"-"&amp;TEXT(D104,"0000")&amp;"-"&amp;E104)</x:f>
        <x:v>M06-HAI-0098-V1.0</x:v>
      </x:c>
      <x:c r="B104" s="74" t="str">
        <x:v>M06</x:v>
      </x:c>
      <x:c r="C104" s="74" t="str">
        <x:v>HAI</x:v>
      </x:c>
      <x:c r="D104" s="79" t="n">
        <x:v>98</x:v>
      </x:c>
      <x:c r="E104" s="74" t="str">
        <x:v>V1.0</x:v>
      </x:c>
      <x:c r="F104" s="68" t="str">
        <x:v>强害弱且命中唯一根时可下调有效根气</x:v>
      </x:c>
      <x:c r="G104" s="82" t="str">
        <x:v>效应层</x:v>
      </x:c>
      <x:c r="H104" s="68" t="str">
        <x:v>M05-HAI-0046-V1.0—M05-HAI-0051-V1.0；M03-RTCT-0040-V1.0—M03-RTCT-0045-V1.0；M03-RTEF-0046-V1.0—M03-RTEF-0052-V1.0</x:v>
      </x:c>
      <x:c r="I104" s="82" t="str">
        <x:v>六害</x:v>
      </x:c>
      <x:c r="J104" s="68" t="str">
        <x:v>强势害方与孤弱被害支</x:v>
      </x:c>
      <x:c r="K104" s="68" t="str">
        <x:v>被害支承载的唯一根</x:v>
      </x:c>
      <x:c r="L104" s="82" t="str">
        <x:v>逐对象比较得令、得地、得势与相对强弱</x:v>
      </x:c>
      <x:c r="M104" s="68" t="str">
        <x:v>记录参与对象中谁得令、谁受季节支持</x:v>
      </x:c>
      <x:c r="N104" s="68" t="str">
        <x:v>记录明干及相关藏干的透出通道</x:v>
      </x:c>
      <x:c r="O104" s="68" t="str">
        <x:v>记录各对象根气层级、数量及是否唯一根</x:v>
      </x:c>
      <x:c r="P104" s="68" t="str">
        <x:v>检查同节点的合、冲、刑、害、破、会及生克</x:v>
      </x:c>
      <x:c r="Q104" s="82" t="str">
        <x:v>刑伤</x:v>
      </x:c>
      <x:c r="R104" s="82" t="str">
        <x:v>减弱</x:v>
      </x:c>
      <x:c r="S104" s="82" t="str">
        <x:v>中</x:v>
      </x:c>
      <x:c r="T104" s="82" t="str">
        <x:v>否</x:v>
      </x:c>
      <x:c r="U104" s="82" t="str">
        <x:v>条件性</x:v>
      </x:c>
      <x:c r="V104" s="82" t="str">
        <x:v>条件性</x:v>
      </x:c>
      <x:c r="W104" s="82" t="str">
        <x:v>否</x:v>
      </x:c>
      <x:c r="X104" s="82" t="str">
        <x:v>是</x:v>
      </x:c>
      <x:c r="Y104" s="68" t="str">
        <x:v>可能改变原有生克路径，须在M12复核</x:v>
      </x:c>
      <x:c r="Z104" s="68" t="str">
        <x:v>M04/M05已识别关系，柱位、完整度与参与对象已标准化</x:v>
      </x:c>
      <x:c r="AA104" s="68" t="str">
        <x:v>强弱悬殊、唯一根、无替代路径</x:v>
      </x:c>
      <x:c r="AB104" s="68" t="str">
        <x:v>关系相邻、得令、得地、成势且无强力反制</x:v>
      </x:c>
      <x:c r="AC104" s="68" t="str">
        <x:v>遥隔、争合、节点被其他关系牵制或双方各有强根</x:v>
      </x:c>
      <x:c r="AD104" s="90" t="str">
        <x:v>仅凭关系名称不得直接判性质改变、归零或固定吉凶</x:v>
      </x:c>
      <x:c r="AE104" s="68" t="str">
        <x:v>特殊格局或岁运动态补齐须另建实例重新裁决</x:v>
      </x:c>
      <x:c r="AF104" s="84" t="str">
        <x:v>害方有势、被害支孤弱且为唯一根时，可把六害从弱候选升级为根气受限；仍低于同等级强冲的权重。</x:v>
      </x:c>
      <x:c r="AG104" s="84" t="str">
        <x:v>六害命中唯一弱根，根气有效性下调；不直接判根被拔。</x:v>
      </x:c>
      <x:c r="AH104" s="82" t="str">
        <x:v>低</x:v>
      </x:c>
      <x:c r="AI104" s="82" t="str">
        <x:v>现代综合</x:v>
      </x:c>
      <x:c r="AJ104" s="68" t="str">
        <x:v>六害的力量权重存在争议，本条仅作为条件性辅助规则。参考：https://ctext.org/wiki.pl?chapter=435028&amp;if=gb&amp;remap=gb</x:v>
      </x:c>
      <x:c r="AK104" s="68" t="str">
        <x:v>卯为甲唯一弱根且受强辰害，可从弱根下调为受限根。</x:v>
      </x:c>
      <x:c r="AL104" s="90" t="str">
        <x:v>任意六害都按拔根处理。</x:v>
      </x:c>
      <x:c r="AM104" s="82" t="str">
        <x:v>待验证</x:v>
      </x:c>
      <x:c r="AN104" s="82" t="str">
        <x:v>未审核</x:v>
      </x:c>
      <x:c r="AO104" s="87" t="n">
        <x:v>46255</x:v>
      </x:c>
    </x:row>
    <x:row r="105">
      <x:c r="A105" s="72" t="str">
        <x:f>IF(OR(C105="",D105=""),"",B105&amp;"-"&amp;UPPER(C105)&amp;"-"&amp;TEXT(D105,"0000")&amp;"-"&amp;E105)</x:f>
        <x:v>M06-HAI-0099-V1.0</x:v>
      </x:c>
      <x:c r="B105" s="74" t="str">
        <x:v>M06</x:v>
      </x:c>
      <x:c r="C105" s="74" t="str">
        <x:v>HAI</x:v>
      </x:c>
      <x:c r="D105" s="79" t="n">
        <x:v>99</x:v>
      </x:c>
      <x:c r="E105" s="74" t="str">
        <x:v>V1.0</x:v>
      </x:c>
      <x:c r="F105" s="68" t="str">
        <x:v>六害与冲刑合并见时通常作为次级修正</x:v>
      </x:c>
      <x:c r="G105" s="82" t="str">
        <x:v>效应层</x:v>
      </x:c>
      <x:c r="H105" s="68" t="str">
        <x:v>M05-OVER-0084-V1.0；M05-OVER-0068-V1.0</x:v>
      </x:c>
      <x:c r="I105" s="82" t="str">
        <x:v>其他</x:v>
      </x:c>
      <x:c r="J105" s="68" t="str">
        <x:v>同节点的害、冲、刑、合关系</x:v>
      </x:c>
      <x:c r="K105" s="68" t="str">
        <x:v>六害权重</x:v>
      </x:c>
      <x:c r="L105" s="82" t="str">
        <x:v>逐对象比较得令、得地、得势与相对强弱</x:v>
      </x:c>
      <x:c r="M105" s="68" t="str">
        <x:v>记录参与对象中谁得令、谁受季节支持</x:v>
      </x:c>
      <x:c r="N105" s="68" t="str">
        <x:v>记录明干及相关藏干的透出通道</x:v>
      </x:c>
      <x:c r="O105" s="68" t="str">
        <x:v>记录各对象根气层级、数量及是否唯一根</x:v>
      </x:c>
      <x:c r="P105" s="68" t="str">
        <x:v>检查同节点的合、冲、刑、害、破、会及生克</x:v>
      </x:c>
      <x:c r="Q105" s="82" t="str">
        <x:v>其他</x:v>
      </x:c>
      <x:c r="R105" s="82" t="str">
        <x:v>条件性</x:v>
      </x:c>
      <x:c r="S105" s="82" t="str">
        <x:v>中</x:v>
      </x:c>
      <x:c r="T105" s="82" t="str">
        <x:v>否</x:v>
      </x:c>
      <x:c r="U105" s="82" t="str">
        <x:v>条件性</x:v>
      </x:c>
      <x:c r="V105" s="82" t="str">
        <x:v>条件性</x:v>
      </x:c>
      <x:c r="W105" s="82" t="str">
        <x:v>条件性</x:v>
      </x:c>
      <x:c r="X105" s="82" t="str">
        <x:v>条件性</x:v>
      </x:c>
      <x:c r="Y105" s="68" t="str">
        <x:v>可能改变原有生克路径，须在M12复核</x:v>
      </x:c>
      <x:c r="Z105" s="68" t="str">
        <x:v>M04/M05已识别关系，柱位、完整度与参与对象已标准化</x:v>
      </x:c>
      <x:c r="AA105" s="68" t="str">
        <x:v>必须指向具体作用对象，并比较各方力量、根气和通道</x:v>
      </x:c>
      <x:c r="AB105" s="68" t="str">
        <x:v>关系相邻、得令、得地、成势且无强力反制</x:v>
      </x:c>
      <x:c r="AC105" s="68" t="str">
        <x:v>遥隔、争合、节点被其他关系牵制或双方各有强根</x:v>
      </x:c>
      <x:c r="AD105" s="90" t="str">
        <x:v>仅凭关系名称不得直接判性质改变、归零或固定吉凶</x:v>
      </x:c>
      <x:c r="AE105" s="68" t="str">
        <x:v>特殊格局或岁运动态补齐须另建实例重新裁决</x:v>
      </x:c>
      <x:c r="AF105" s="84" t="str">
        <x:v>同一节点存在更直接的冲、刑或强合时，先判断主关系；六害只补充隐性阻滞，不单独覆盖主效应。</x:v>
      </x:c>
      <x:c r="AG105" s="84" t="str">
        <x:v>六害与强关系并见，列为次级阻滞证据；主效应由冲、刑、合的实际强度决定。</x:v>
      </x:c>
      <x:c r="AH105" s="82" t="str">
        <x:v>中等</x:v>
      </x:c>
      <x:c r="AI105" s="82" t="str">
        <x:v>现代综合</x:v>
      </x:c>
      <x:c r="AJ105" s="68" t="str">
        <x:v>多重关系不能机械叠加，需指定主次。参考：https://ctext.org/wiki.pl?chapter=974137&amp;if=gb&amp;remap=gb</x:v>
      </x:c>
      <x:c r="AK105" s="68" t="str">
        <x:v>寅巳既刑又害，先评估刑与火木强弱，害列次级。</x:v>
      </x:c>
      <x:c r="AL105" s="90" t="str">
        <x:v>寅巳刑害各独立重扣一次。</x:v>
      </x:c>
      <x:c r="AM105" s="82" t="str">
        <x:v>待验证</x:v>
      </x:c>
      <x:c r="AN105" s="82" t="str">
        <x:v>初审</x:v>
      </x:c>
      <x:c r="AO105" s="87" t="n">
        <x:v>46255</x:v>
      </x:c>
    </x:row>
    <x:row r="106">
      <x:c r="A106" t="str">
        <x:f>IF(OR(C106="",D106=""),"",B106&amp;"-"&amp;UPPER(C106)&amp;"-"&amp;TEXT(D106,"0000")&amp;"-"&amp;E106)</x:f>
        <x:v>M06-PO-0100-V1.0</x:v>
      </x:c>
      <x:c r="B106" t="str">
        <x:v>M06</x:v>
      </x:c>
      <x:c r="C106" t="str">
        <x:v>PO</x:v>
      </x:c>
      <x:c r="D106" t="n">
        <x:v>100</x:v>
      </x:c>
      <x:c r="E106" t="str">
        <x:v>V1.0</x:v>
      </x:c>
      <x:c r="F106" t="str">
        <x:v>六破只生成连接松动候选不自动破根</x:v>
      </x:c>
      <x:c r="G106" t="str">
        <x:v>效应层</x:v>
      </x:c>
      <x:c r="H106" t="str">
        <x:v>M05-PO-0052-V1.0—M05-PO-0057-V1.0；M05-BOUND-0080-V1.0</x:v>
      </x:c>
      <x:c r="I106" t="str">
        <x:v>六破</x:v>
      </x:c>
      <x:c r="J106" t="str">
        <x:v>任一六破配对</x:v>
      </x:c>
      <x:c r="K106" t="str">
        <x:v>参与两支及其连接</x:v>
      </x:c>
      <x:c r="L106" t="str">
        <x:v>逐对象比较得令、得地、得势与相对强弱</x:v>
      </x:c>
      <x:c r="M106" t="str">
        <x:v>记录参与对象中谁得令、谁受季节支持</x:v>
      </x:c>
      <x:c r="N106" t="str">
        <x:v>记录明干及相关藏干的透出通道</x:v>
      </x:c>
      <x:c r="O106" t="str">
        <x:v>记录各对象根气层级、数量及是否唯一根</x:v>
      </x:c>
      <x:c r="P106" t="str">
        <x:v>检查同节点的合、冲、刑、害、破、会及生克</x:v>
      </x:c>
      <x:c r="Q106" t="str">
        <x:v>阻断</x:v>
      </x:c>
      <x:c r="R106" t="str">
        <x:v>条件性</x:v>
      </x:c>
      <x:c r="S106" t="str">
        <x:v>弱</x:v>
      </x:c>
      <x:c r="T106" t="str">
        <x:v>否</x:v>
      </x:c>
      <x:c r="U106" t="str">
        <x:v>条件性</x:v>
      </x:c>
      <x:c r="V106" t="str">
        <x:v>条件性</x:v>
      </x:c>
      <x:c r="W106" t="str">
        <x:v>否</x:v>
      </x:c>
      <x:c r="X106" t="str">
        <x:v>条件性</x:v>
      </x:c>
      <x:c r="Y106" t="str">
        <x:v>可能改变原有生克路径，须在M12复核</x:v>
      </x:c>
      <x:c r="Z106" t="str">
        <x:v>M04/M05已识别关系，柱位、完整度与参与对象已标准化</x:v>
      </x:c>
      <x:c r="AA106" t="str">
        <x:v>必须指向具体作用对象，并比较各方力量、根气和通道</x:v>
      </x:c>
      <x:c r="AB106" t="str">
        <x:v>关系相邻、得令、得地、成势且无强力反制</x:v>
      </x:c>
      <x:c r="AC106" t="str">
        <x:v>遥隔、争合、节点被其他关系牵制或双方各有强根</x:v>
      </x:c>
      <x:c r="AD106" t="str">
        <x:v>仅凭关系名称不得直接判性质改变、归零或固定吉凶</x:v>
      </x:c>
      <x:c r="AE106" t="str">
        <x:v>特殊格局或岁运动态补齐须另建实例重新裁决</x:v>
      </x:c>
      <x:c r="AF106" t="str">
        <x:v>六破可作为关系松动、连接不稳或局部破坏候选；不得仅凭“破”字判根气被毁。</x:v>
      </x:c>
      <x:c r="AG106" t="str">
        <x:v>六破关系存在，先标记连接不稳；是否影响根气和流通须另验。</x:v>
      </x:c>
      <x:c r="AH106" t="str">
        <x:v>低</x:v>
      </x:c>
      <x:c r="AI106" t="str">
        <x:v>现代综合</x:v>
      </x:c>
      <x:c r="AJ106" t="str">
        <x:v>六破的具体权重流派分歧较大，本库从低权重条件规则处理。参考：https://ctext.org/wiki.pl?chapter=435028&amp;if=gb&amp;remap=gb</x:v>
      </x:c>
      <x:c r="AK106" t="str">
        <x:v>未戌破可作为土气连接不稳的辅助证据。</x:v>
      </x:c>
      <x:c r="AL106" t="str">
        <x:v>六破一见即判某支完全失根。</x:v>
      </x:c>
      <x:c r="AM106" t="str">
        <x:v>待验证</x:v>
      </x:c>
      <x:c r="AN106" t="str">
        <x:v>未审核</x:v>
      </x:c>
      <x:c r="AO106" s="213" t="n">
        <x:v>46255</x:v>
      </x:c>
    </x:row>
    <x:row r="107">
      <x:c r="A107" t="str">
        <x:f>IF(OR(C107="",D107=""),"",B107&amp;"-"&amp;UPPER(C107)&amp;"-"&amp;TEXT(D107,"0000")&amp;"-"&amp;E107)</x:f>
        <x:v>M06-PO-0101-V1.0</x:v>
      </x:c>
      <x:c r="B107" t="str">
        <x:v>M06</x:v>
      </x:c>
      <x:c r="C107" t="str">
        <x:v>PO</x:v>
      </x:c>
      <x:c r="D107" t="n">
        <x:v>101</x:v>
      </x:c>
      <x:c r="E107" t="str">
        <x:v>V1.0</x:v>
      </x:c>
      <x:c r="F107" t="str">
        <x:v>六破命中弱合局节点时可使合关系松解</x:v>
      </x:c>
      <x:c r="G107" t="str">
        <x:v>效应层</x:v>
      </x:c>
      <x:c r="H107" t="str">
        <x:v>M05-PO-0052-V1.0—M05-PO-0057-V1.0；M05-OVER-0068-V1.0</x:v>
      </x:c>
      <x:c r="I107" t="str">
        <x:v>六破</x:v>
      </x:c>
      <x:c r="J107" t="str">
        <x:v>六破两支及既有弱合关系</x:v>
      </x:c>
      <x:c r="K107" t="str">
        <x:v>原合关系</x:v>
      </x:c>
      <x:c r="L107" t="str">
        <x:v>逐对象比较得令、得地、得势与相对强弱</x:v>
      </x:c>
      <x:c r="M107" t="str">
        <x:v>记录参与对象中谁得令、谁受季节支持</x:v>
      </x:c>
      <x:c r="N107" t="str">
        <x:v>记录明干及相关藏干的透出通道</x:v>
      </x:c>
      <x:c r="O107" t="str">
        <x:v>记录各对象根气层级、数量及是否唯一根</x:v>
      </x:c>
      <x:c r="P107" t="str">
        <x:v>检查同节点的合、冲、刑、害、破、会及生克</x:v>
      </x:c>
      <x:c r="Q107" t="str">
        <x:v>冲散</x:v>
      </x:c>
      <x:c r="R107" t="str">
        <x:v>减弱</x:v>
      </x:c>
      <x:c r="S107" t="str">
        <x:v>中</x:v>
      </x:c>
      <x:c r="T107" t="str">
        <x:v>条件性</x:v>
      </x:c>
      <x:c r="U107" t="str">
        <x:v>条件性</x:v>
      </x:c>
      <x:c r="V107" t="str">
        <x:v>条件性</x:v>
      </x:c>
      <x:c r="W107" t="str">
        <x:v>否</x:v>
      </x:c>
      <x:c r="X107" t="str">
        <x:v>条件性</x:v>
      </x:c>
      <x:c r="Y107" t="str">
        <x:v>可能改变原有生克路径，须在M12复核</x:v>
      </x:c>
      <x:c r="Z107" t="str">
        <x:v>M04/M05已识别关系，柱位、完整度与参与对象已标准化</x:v>
      </x:c>
      <x:c r="AA107" t="str">
        <x:v>原合本就弱、共享节点被破且无其他维系</x:v>
      </x:c>
      <x:c r="AB107" t="str">
        <x:v>关系相邻、得令、得地、成势且无强力反制</x:v>
      </x:c>
      <x:c r="AC107" t="str">
        <x:v>遥隔、争合、节点被其他关系牵制或双方各有强根</x:v>
      </x:c>
      <x:c r="AD107" t="str">
        <x:v>仅凭关系名称不得直接判性质改变、归零或固定吉凶</x:v>
      </x:c>
      <x:c r="AE107" t="str">
        <x:v>特殊格局或岁运动态补齐须另建实例重新裁决</x:v>
      </x:c>
      <x:c r="AF107" t="str">
        <x:v>若六破直接作用于本就不稳的六合、半合节点，可作为合局松解的辅助证据；强合成局不因一破自动解体。</x:v>
      </x:c>
      <x:c r="AG107" t="str">
        <x:v>六破命中弱合节点，原合稳定性下调；强合局仍需更强破坏条件。</x:v>
      </x:c>
      <x:c r="AH107" t="str">
        <x:v>低</x:v>
      </x:c>
      <x:c r="AI107" t="str">
        <x:v>现代综合</x:v>
      </x:c>
      <x:c r="AJ107" t="str">
        <x:v>破更适合作为稳定性修正，而非决定性关系。参考：https://ctext.org/wiki.pl?chapter=435028&amp;if=gb&amp;remap=gb</x:v>
      </x:c>
      <x:c r="AK107" t="str">
        <x:v>寅亥弱合同时寅亥又属破，可把合稳定性降级。</x:v>
      </x:c>
      <x:c r="AL107" t="str">
        <x:v>任何六破都自动破掉强三合局。</x:v>
      </x:c>
      <x:c r="AM107" t="str">
        <x:v>待验证</x:v>
      </x:c>
      <x:c r="AN107" t="str">
        <x:v>初审</x:v>
      </x:c>
      <x:c r="AO107" s="213" t="n">
        <x:v>46255</x:v>
      </x:c>
    </x:row>
    <x:row r="108">
      <x:c r="A108" t="str">
        <x:f>IF(OR(C108="",D108=""),"",B108&amp;"-"&amp;UPPER(C108)&amp;"-"&amp;TEXT(D108,"0000")&amp;"-"&amp;E108)</x:f>
        <x:v>M06-PO-0102-V1.0</x:v>
      </x:c>
      <x:c r="B108" t="str">
        <x:v>M06</x:v>
      </x:c>
      <x:c r="C108" t="str">
        <x:v>PO</x:v>
      </x:c>
      <x:c r="D108" t="n">
        <x:v>102</x:v>
      </x:c>
      <x:c r="E108" t="str">
        <x:v>V1.0</x:v>
      </x:c>
      <x:c r="F108" t="str">
        <x:v>六破双方强根时通常只记不稳定不记减力</x:v>
      </x:c>
      <x:c r="G108" t="str">
        <x:v>效应层</x:v>
      </x:c>
      <x:c r="H108" t="str">
        <x:v>M05-PO-0052-V1.0—M05-PO-0057-V1.0</x:v>
      </x:c>
      <x:c r="I108" t="str">
        <x:v>六破</x:v>
      </x:c>
      <x:c r="J108" t="str">
        <x:v>双方均强的六破两支</x:v>
      </x:c>
      <x:c r="K108" t="str">
        <x:v>参与两支</x:v>
      </x:c>
      <x:c r="L108" t="str">
        <x:v>逐对象比较得令、得地、得势与相对强弱</x:v>
      </x:c>
      <x:c r="M108" t="str">
        <x:v>记录参与对象中谁得令、谁受季节支持</x:v>
      </x:c>
      <x:c r="N108" t="str">
        <x:v>记录明干及相关藏干的透出通道</x:v>
      </x:c>
      <x:c r="O108" t="str">
        <x:v>记录各对象根气层级、数量及是否唯一根</x:v>
      </x:c>
      <x:c r="P108" t="str">
        <x:v>检查同节点的合、冲、刑、害、破、会及生克</x:v>
      </x:c>
      <x:c r="Q108" t="str">
        <x:v>其他</x:v>
      </x:c>
      <x:c r="R108" t="str">
        <x:v>不变</x:v>
      </x:c>
      <x:c r="S108" t="str">
        <x:v>弱</x:v>
      </x:c>
      <x:c r="T108" t="str">
        <x:v>否</x:v>
      </x:c>
      <x:c r="U108" t="str">
        <x:v>否</x:v>
      </x:c>
      <x:c r="V108" t="str">
        <x:v>否</x:v>
      </x:c>
      <x:c r="W108" t="str">
        <x:v>否</x:v>
      </x:c>
      <x:c r="X108" t="str">
        <x:v>否</x:v>
      </x:c>
      <x:c r="Y108" t="str">
        <x:v>可能改变原有生克路径，须在M12复核</x:v>
      </x:c>
      <x:c r="Z108" t="str">
        <x:v>M04/M05已识别关系，柱位、完整度与参与对象已标准化</x:v>
      </x:c>
      <x:c r="AA108" t="str">
        <x:v>必须指向具体作用对象，并比较各方力量、根气和通道</x:v>
      </x:c>
      <x:c r="AB108" t="str">
        <x:v>关系相邻、得令、得地、成势且无强力反制</x:v>
      </x:c>
      <x:c r="AC108" t="str">
        <x:v>遥隔、争合、节点被其他关系牵制或双方各有强根</x:v>
      </x:c>
      <x:c r="AD108" t="str">
        <x:v>仅凭关系名称不得直接判性质改变、归零或固定吉凶</x:v>
      </x:c>
      <x:c r="AE108" t="str">
        <x:v>特殊格局或岁运动态补齐须另建实例重新裁决</x:v>
      </x:c>
      <x:c r="AF108" t="str">
        <x:v>双方得令有根时，六破通常不足以单独造成显著减力，只保留关系不稳与潜在松动标签。</x:v>
      </x:c>
      <x:c r="AG108" t="str">
        <x:v>六破双方均强，力量暂不下调；仅标记连接不稳定。</x:v>
      </x:c>
      <x:c r="AH108" t="str">
        <x:v>低</x:v>
      </x:c>
      <x:c r="AI108" t="str">
        <x:v>现代综合</x:v>
      </x:c>
      <x:c r="AJ108" t="str">
        <x:v>低权重关系须有落实条件才进入旺衰修正。参考：https://ctext.org/wiki.pl?chapter=435028&amp;if=gb&amp;remap=gb</x:v>
      </x:c>
      <x:c r="AK108" t="str">
        <x:v>巳申双方强根时，六破本身不单独扣力，另看合刑。</x:v>
      </x:c>
      <x:c r="AL108" t="str">
        <x:v>双方均旺仍仅凭六破重扣。</x:v>
      </x:c>
      <x:c r="AM108" t="str">
        <x:v>待验证</x:v>
      </x:c>
      <x:c r="AN108" t="str">
        <x:v>初审</x:v>
      </x:c>
      <x:c r="AO108" s="213" t="n">
        <x:v>46255</x:v>
      </x:c>
    </x:row>
    <x:row r="109">
      <x:c r="A109" t="str">
        <x:f>IF(OR(C109="",D109=""),"",B109&amp;"-"&amp;UPPER(C109)&amp;"-"&amp;TEXT(D109,"0000")&amp;"-"&amp;E109)</x:f>
        <x:v>M06-PO-0103-V1.0</x:v>
      </x:c>
      <x:c r="B109" t="str">
        <x:v>M06</x:v>
      </x:c>
      <x:c r="C109" t="str">
        <x:v>PO</x:v>
      </x:c>
      <x:c r="D109" t="n">
        <x:v>103</x:v>
      </x:c>
      <x:c r="E109" t="str">
        <x:v>V1.0</x:v>
      </x:c>
      <x:c r="F109" t="str">
        <x:v>六破与强冲刑合并见时列最次级证据</x:v>
      </x:c>
      <x:c r="G109" t="str">
        <x:v>效应层</x:v>
      </x:c>
      <x:c r="H109" t="str">
        <x:v>M05-OVER-0081-V1.0；M05-OVER-0085-V1.0；M05-OVER-0086-V1.0</x:v>
      </x:c>
      <x:c r="I109" t="str">
        <x:v>其他</x:v>
      </x:c>
      <x:c r="J109" t="str">
        <x:v>同节点的破、冲、刑、合关系</x:v>
      </x:c>
      <x:c r="K109" t="str">
        <x:v>六破权重</x:v>
      </x:c>
      <x:c r="L109" t="str">
        <x:v>逐对象比较得令、得地、得势与相对强弱</x:v>
      </x:c>
      <x:c r="M109" t="str">
        <x:v>记录参与对象中谁得令、谁受季节支持</x:v>
      </x:c>
      <x:c r="N109" t="str">
        <x:v>记录明干及相关藏干的透出通道</x:v>
      </x:c>
      <x:c r="O109" t="str">
        <x:v>记录各对象根气层级、数量及是否唯一根</x:v>
      </x:c>
      <x:c r="P109" t="str">
        <x:v>检查同节点的合、冲、刑、害、破、会及生克</x:v>
      </x:c>
      <x:c r="Q109" t="str">
        <x:v>其他</x:v>
      </x:c>
      <x:c r="R109" t="str">
        <x:v>条件性</x:v>
      </x:c>
      <x:c r="S109" t="str">
        <x:v>弱</x:v>
      </x:c>
      <x:c r="T109" t="str">
        <x:v>否</x:v>
      </x:c>
      <x:c r="U109" t="str">
        <x:v>条件性</x:v>
      </x:c>
      <x:c r="V109" t="str">
        <x:v>条件性</x:v>
      </x:c>
      <x:c r="W109" t="str">
        <x:v>条件性</x:v>
      </x:c>
      <x:c r="X109" t="str">
        <x:v>条件性</x:v>
      </x:c>
      <x:c r="Y109" t="str">
        <x:v>可能改变原有生克路径，须在M12复核</x:v>
      </x:c>
      <x:c r="Z109" t="str">
        <x:v>M04/M05已识别关系，柱位、完整度与参与对象已标准化</x:v>
      </x:c>
      <x:c r="AA109" t="str">
        <x:v>必须指向具体作用对象，并比较各方力量、根气和通道</x:v>
      </x:c>
      <x:c r="AB109" t="str">
        <x:v>关系相邻、得令、得地、成势且无强力反制</x:v>
      </x:c>
      <x:c r="AC109" t="str">
        <x:v>遥隔、争合、节点被其他关系牵制或双方各有强根</x:v>
      </x:c>
      <x:c r="AD109" t="str">
        <x:v>仅凭关系名称不得直接判性质改变、归零或固定吉凶</x:v>
      </x:c>
      <x:c r="AE109" t="str">
        <x:v>特殊格局或岁运动态补齐须另建实例重新裁决</x:v>
      </x:c>
      <x:c r="AF109" t="str">
        <x:v>同一对支同时有冲、刑、合或害时，六破通常只作补充标签，不能与强关系等量叠加。</x:v>
      </x:c>
      <x:c r="AG109" t="str">
        <x:v>六破列次级证据；主效应由冲、刑、合及实际强弱决定。</x:v>
      </x:c>
      <x:c r="AH109" t="str">
        <x:v>低</x:v>
      </x:c>
      <x:c r="AI109" t="str">
        <x:v>现代综合</x:v>
      </x:c>
      <x:c r="AJ109" t="str">
        <x:v>多重关系需要去重和权重分层。参考：https://ctext.org/wiki.pl?chapter=974137&amp;if=gb&amp;remap=gb</x:v>
      </x:c>
      <x:c r="AK109" t="str">
        <x:v>巳申合刑破并见，破列次级，不另作决定性扣减。</x:v>
      </x:c>
      <x:c r="AL109" t="str">
        <x:v>合、刑、破各重扣一次造成重复计算。</x:v>
      </x:c>
      <x:c r="AM109" t="str">
        <x:v>待验证</x:v>
      </x:c>
      <x:c r="AN109" t="str">
        <x:v>初审</x:v>
      </x:c>
      <x:c r="AO109" s="213" t="n">
        <x:v>46255</x:v>
      </x:c>
    </x:row>
    <x:row r="110">
      <x:c r="A110" t="str">
        <x:f>IF(OR(C110="",D110=""),"",B110&amp;"-"&amp;UPPER(C110)&amp;"-"&amp;TEXT(D110,"0000")&amp;"-"&amp;E110)</x:f>
        <x:v>M06-OVER-0104-V1.0</x:v>
      </x:c>
      <x:c r="B110" t="str">
        <x:v>M06</x:v>
      </x:c>
      <x:c r="C110" t="str">
        <x:v>OVER</x:v>
      </x:c>
      <x:c r="D110" t="n">
        <x:v>104</x:v>
      </x:c>
      <x:c r="E110" t="str">
        <x:v>V1.0</x:v>
      </x:c>
      <x:c r="F110" t="str">
        <x:v>多重关系全部保留候选后再判主次</x:v>
      </x:c>
      <x:c r="G110" t="str">
        <x:v>效应层</x:v>
      </x:c>
      <x:c r="H110" t="str">
        <x:v>M04-OVER-0046-V1.0；M05-OVER-0068-V1.0—M05-OVER-0069-V1.0</x:v>
      </x:c>
      <x:c r="I110" t="str">
        <x:v>其他</x:v>
      </x:c>
      <x:c r="J110" t="str">
        <x:v>共享天干或地支的全部关系</x:v>
      </x:c>
      <x:c r="K110" t="str">
        <x:v>共享节点</x:v>
      </x:c>
      <x:c r="L110" t="str">
        <x:v>逐对象比较得令、得地、得势与相对强弱</x:v>
      </x:c>
      <x:c r="M110" t="str">
        <x:v>记录参与对象中谁得令、谁受季节支持</x:v>
      </x:c>
      <x:c r="N110" t="str">
        <x:v>记录明干及相关藏干的透出通道</x:v>
      </x:c>
      <x:c r="O110" t="str">
        <x:v>记录各对象根气层级、数量及是否唯一根</x:v>
      </x:c>
      <x:c r="P110" t="str">
        <x:v>检查同节点的合、冲、刑、害、破、会及生克</x:v>
      </x:c>
      <x:c r="Q110" t="str">
        <x:v>其他</x:v>
      </x:c>
      <x:c r="R110" t="str">
        <x:v>条件性</x:v>
      </x:c>
      <x:c r="S110" t="str">
        <x:v>强</x:v>
      </x:c>
      <x:c r="T110" t="str">
        <x:v>条件性</x:v>
      </x:c>
      <x:c r="U110" t="str">
        <x:v>条件性</x:v>
      </x:c>
      <x:c r="V110" t="str">
        <x:v>条件性</x:v>
      </x:c>
      <x:c r="W110" t="str">
        <x:v>条件性</x:v>
      </x:c>
      <x:c r="X110" t="str">
        <x:v>条件性</x:v>
      </x:c>
      <x:c r="Y110" t="str">
        <x:v>主关系决定主要通道，次关系作为修正</x:v>
      </x:c>
      <x:c r="Z110" t="str">
        <x:v>M04/M05已识别关系，柱位、完整度与参与对象已标准化</x:v>
      </x:c>
      <x:c r="AA110" t="str">
        <x:v>每个关系实例有唯一ID并已去重</x:v>
      </x:c>
      <x:c r="AB110" t="str">
        <x:v>关系相邻、得令、得地、成势且无强力反制</x:v>
      </x:c>
      <x:c r="AC110" t="str">
        <x:v>遥隔、争合、节点被其他关系牵制或双方各有强根</x:v>
      </x:c>
      <x:c r="AD110" t="str">
        <x:v>仅凭关系名称不得直接判性质改变、归零或固定吉凶</x:v>
      </x:c>
      <x:c r="AE110" t="str">
        <x:v>特殊格局或岁运动态补齐须另建实例重新裁决</x:v>
      </x:c>
      <x:c r="AF110" t="str">
        <x:v>识别层发现的关系不得因先见某一关系而删除；M06先逐条求效应，再按完整度、月令、强弱、位置与成势裁定主次。</x:v>
      </x:c>
      <x:c r="AG110" t="str">
        <x:v>共享节点存在多重关系：全部保留，已指定主关系、次关系及被抑制关系。</x:v>
      </x:c>
      <x:c r="AH110" t="str">
        <x:v>较高</x:v>
      </x:c>
      <x:c r="AI110" t="str">
        <x:v>现代综合</x:v>
      </x:c>
      <x:c r="AJ110" t="str">
        <x:v>会合刑冲的解法取决于具体结构，不可预设一刀切优先级。参考：https://ctext.org/wiki.pl?chapter=974137&amp;if=gb&amp;remap=gb</x:v>
      </x:c>
      <x:c r="AK110" t="str">
        <x:v>巳申合刑破并见，三条关系均保留后裁定。</x:v>
      </x:c>
      <x:c r="AL110" t="str">
        <x:v>先看到六合便删除刑破。</x:v>
      </x:c>
      <x:c r="AM110" t="str">
        <x:v>采用</x:v>
      </x:c>
      <x:c r="AN110" t="str">
        <x:v>初审</x:v>
      </x:c>
      <x:c r="AO110" s="213" t="n">
        <x:v>46255</x:v>
      </x:c>
    </x:row>
    <x:row r="111">
      <x:c r="A111" t="str">
        <x:f>IF(OR(C111="",D111=""),"",B111&amp;"-"&amp;UPPER(C111)&amp;"-"&amp;TEXT(D111,"0000")&amp;"-"&amp;E111)</x:f>
        <x:v>M06-OVER-0105-V1.0</x:v>
      </x:c>
      <x:c r="B111" t="str">
        <x:v>M06</x:v>
      </x:c>
      <x:c r="C111" t="str">
        <x:v>OVER</x:v>
      </x:c>
      <x:c r="D111" t="n">
        <x:v>105</x:v>
      </x:c>
      <x:c r="E111" t="str">
        <x:v>V1.0</x:v>
      </x:c>
      <x:c r="F111" t="str">
        <x:v>巳申合刑破并见必须拆分三种效应</x:v>
      </x:c>
      <x:c r="G111" t="str">
        <x:v>效应层</x:v>
      </x:c>
      <x:c r="H111" t="str">
        <x:v>M05-OVER-0081-V1.0</x:v>
      </x:c>
      <x:c r="I111" t="str">
        <x:v>其他</x:v>
      </x:c>
      <x:c r="J111" t="str">
        <x:v>巳、申</x:v>
      </x:c>
      <x:c r="K111" t="str">
        <x:v>巳与申分别输出</x:v>
      </x:c>
      <x:c r="L111" t="str">
        <x:v>逐对象比较得令、得地、得势与相对强弱</x:v>
      </x:c>
      <x:c r="M111" t="str">
        <x:v>记录参与对象中谁得令、谁受季节支持</x:v>
      </x:c>
      <x:c r="N111" t="str">
        <x:v>记录明干及相关藏干的透出通道</x:v>
      </x:c>
      <x:c r="O111" t="str">
        <x:v>记录各对象根气层级、数量及是否唯一根</x:v>
      </x:c>
      <x:c r="P111" t="str">
        <x:v>检查同节点的合、冲、刑、害、破、会及生克</x:v>
      </x:c>
      <x:c r="Q111" t="str">
        <x:v>其他</x:v>
      </x:c>
      <x:c r="R111" t="str">
        <x:v>条件性</x:v>
      </x:c>
      <x:c r="S111" t="str">
        <x:v>强</x:v>
      </x:c>
      <x:c r="T111" t="str">
        <x:v>条件性</x:v>
      </x:c>
      <x:c r="U111" t="str">
        <x:v>条件性</x:v>
      </x:c>
      <x:c r="V111" t="str">
        <x:v>是</x:v>
      </x:c>
      <x:c r="W111" t="str">
        <x:v>条件性</x:v>
      </x:c>
      <x:c r="X111" t="str">
        <x:v>条件性</x:v>
      </x:c>
      <x:c r="Y111" t="str">
        <x:v>可能改变原有生克路径，须在M12复核</x:v>
      </x:c>
      <x:c r="Z111" t="str">
        <x:v>M04/M05已识别关系，柱位、完整度与参与对象已标准化</x:v>
      </x:c>
      <x:c r="AA111" t="str">
        <x:v>必须指向具体作用对象，并比较各方力量、根气和通道</x:v>
      </x:c>
      <x:c r="AB111" t="str">
        <x:v>关系相邻、得令、得地、成势且无强力反制</x:v>
      </x:c>
      <x:c r="AC111" t="str">
        <x:v>遥隔、争合、节点被其他关系牵制或双方各有强根</x:v>
      </x:c>
      <x:c r="AD111" t="str">
        <x:v>仅凭关系名称不得直接判性质改变、归零或固定吉凶</x:v>
      </x:c>
      <x:c r="AE111" t="str">
        <x:v>特殊格局或岁运动态补齐须另建实例重新裁决</x:v>
      </x:c>
      <x:c r="AF111" t="str">
        <x:v>巳申同时具六合、刑与破；合可能牵引，刑可能扰动，破只作稳定性修正，三者不得互相替代。</x:v>
      </x:c>
      <x:c r="AG111" t="str">
        <x:v>巳申已分别评估合、刑、破：主效应____，次效应____，六破仅作____修正。</x:v>
      </x:c>
      <x:c r="AH111" t="str">
        <x:v>中等</x:v>
      </x:c>
      <x:c r="AI111" t="str">
        <x:v>现代综合</x:v>
      </x:c>
      <x:c r="AJ111" t="str">
        <x:v>同一对支多关系并存是测试规则去重能力的关键案例。参考：https://ctext.org/wiki.pl?chapter=974137&amp;if=gb&amp;remap=gb</x:v>
      </x:c>
      <x:c r="AK111" t="str">
        <x:v>水势强时巳申合水可主导，刑动次之，破为稳定性修正。</x:v>
      </x:c>
      <x:c r="AL111" t="str">
        <x:v>巳申只按六合或只按三刑。</x:v>
      </x:c>
      <x:c r="AM111" t="str">
        <x:v>采用</x:v>
      </x:c>
      <x:c r="AN111" t="str">
        <x:v>初审</x:v>
      </x:c>
      <x:c r="AO111" s="213" t="n">
        <x:v>46255</x:v>
      </x:c>
    </x:row>
    <x:row r="112">
      <x:c r="A112" t="str">
        <x:f>IF(OR(C112="",D112=""),"",B112&amp;"-"&amp;UPPER(C112)&amp;"-"&amp;TEXT(D112,"0000")&amp;"-"&amp;E112)</x:f>
        <x:v>M06-OVER-0106-V1.0</x:v>
      </x:c>
      <x:c r="B112" t="str">
        <x:v>M06</x:v>
      </x:c>
      <x:c r="C112" t="str">
        <x:v>OVER</x:v>
      </x:c>
      <x:c r="D112" t="n">
        <x:v>106</x:v>
      </x:c>
      <x:c r="E112" t="str">
        <x:v>V1.0</x:v>
      </x:c>
      <x:c r="F112" t="str">
        <x:v>合可解冲属于条件性而非固定优先</x:v>
      </x:c>
      <x:c r="G112" t="str">
        <x:v>效应层</x:v>
      </x:c>
      <x:c r="H112" t="str">
        <x:v>M05-OVER-0068-V1.0；M05-CHONG-0027-V1.0—M05-CHONG-0032-V1.0</x:v>
      </x:c>
      <x:c r="I112" t="str">
        <x:v>其他</x:v>
      </x:c>
      <x:c r="J112" t="str">
        <x:v>共享节点的六合与六冲</x:v>
      </x:c>
      <x:c r="K112" t="str">
        <x:v>冲效应</x:v>
      </x:c>
      <x:c r="L112" t="str">
        <x:v>逐对象比较得令、得地、得势与相对强弱</x:v>
      </x:c>
      <x:c r="M112" t="str">
        <x:v>记录参与对象中谁得令、谁受季节支持</x:v>
      </x:c>
      <x:c r="N112" t="str">
        <x:v>记录明干及相关藏干的透出通道</x:v>
      </x:c>
      <x:c r="O112" t="str">
        <x:v>记录各对象根气层级、数量及是否唯一根</x:v>
      </x:c>
      <x:c r="P112" t="str">
        <x:v>检查同节点的合、冲、刑、害、破、会及生克</x:v>
      </x:c>
      <x:c r="Q112" t="str">
        <x:v>阻断</x:v>
      </x:c>
      <x:c r="R112" t="str">
        <x:v>阻断</x:v>
      </x:c>
      <x:c r="S112" t="str">
        <x:v>中</x:v>
      </x:c>
      <x:c r="T112" t="str">
        <x:v>否</x:v>
      </x:c>
      <x:c r="U112" t="str">
        <x:v>条件性</x:v>
      </x:c>
      <x:c r="V112" t="str">
        <x:v>条件性</x:v>
      </x:c>
      <x:c r="W112" t="str">
        <x:v>条件性</x:v>
      </x:c>
      <x:c r="X112" t="str">
        <x:v>条件性</x:v>
      </x:c>
      <x:c r="Y112" t="str">
        <x:v>可能改变原有生克路径，须在M12复核</x:v>
      </x:c>
      <x:c r="Z112" t="str">
        <x:v>M04/M05已识别关系，柱位、完整度与参与对象已标准化</x:v>
      </x:c>
      <x:c r="AA112" t="str">
        <x:v>明确共享节点主导归属，并比较关系强度</x:v>
      </x:c>
      <x:c r="AB112" t="str">
        <x:v>关系相邻、得令、得地、成势且无强力反制</x:v>
      </x:c>
      <x:c r="AC112" t="str">
        <x:v>遥隔、争合、节点被其他关系牵制或双方各有强根</x:v>
      </x:c>
      <x:c r="AD112" t="str">
        <x:v>仅凭关系名称不得直接判性质改变、归零或固定吉凶</x:v>
      </x:c>
      <x:c r="AE112" t="str">
        <x:v>特殊格局或岁运动态补齐须另建实例重新裁决</x:v>
      </x:c>
      <x:c r="AF112" t="str">
        <x:v>合关系更强、共享节点稳定归入合且无第三关系夺取时，合可缓冲或解除冲；否则冲仍落实。</x:v>
      </x:c>
      <x:c r="AG112" t="str">
        <x:v>合能否解冲已比较：合强则冲降级；冲强或合被夺则不解。</x:v>
      </x:c>
      <x:c r="AH112" t="str">
        <x:v>中等</x:v>
      </x:c>
      <x:c r="AI112" t="str">
        <x:v>现代综合</x:v>
      </x:c>
      <x:c r="AJ112" t="str">
        <x:v>经典案例表明会合有时能解刑冲、有时不能。参考：https://ctext.org/wiki.pl?chapter=974137&amp;if=gb&amp;remap=gb</x:v>
      </x:c>
      <x:c r="AK112" t="str">
        <x:v>子午冲，丑合子且子丑合强时可缓冲；丑又入巳酉会时则未必。</x:v>
      </x:c>
      <x:c r="AL112" t="str">
        <x:v>只要出现六合便自动删除六冲。</x:v>
      </x:c>
      <x:c r="AM112" t="str">
        <x:v>采用</x:v>
      </x:c>
      <x:c r="AN112" t="str">
        <x:v>初审</x:v>
      </x:c>
      <x:c r="AO112" s="213" t="n">
        <x:v>46255</x:v>
      </x:c>
    </x:row>
    <x:row r="113">
      <x:c r="A113" t="str">
        <x:f>IF(OR(C113="",D113=""),"",B113&amp;"-"&amp;UPPER(C113)&amp;"-"&amp;TEXT(D113,"0000")&amp;"-"&amp;E113)</x:f>
        <x:v>M06-OVER-0107-V1.0</x:v>
      </x:c>
      <x:c r="B113" t="str">
        <x:v>M06</x:v>
      </x:c>
      <x:c r="C113" t="str">
        <x:v>OVER</x:v>
      </x:c>
      <x:c r="D113" t="n">
        <x:v>107</x:v>
      </x:c>
      <x:c r="E113" t="str">
        <x:v>V1.0</x:v>
      </x:c>
      <x:c r="F113" t="str">
        <x:v>冲可解合也属于条件性释放</x:v>
      </x:c>
      <x:c r="G113" t="str">
        <x:v>效应层</x:v>
      </x:c>
      <x:c r="H113" t="str">
        <x:v>M05-OVER-0068-V1.0；M05-CHONG-0027-V1.0—M05-CHONG-0032-V1.0</x:v>
      </x:c>
      <x:c r="I113" t="str">
        <x:v>其他</x:v>
      </x:c>
      <x:c r="J113" t="str">
        <x:v>共享节点的合与冲</x:v>
      </x:c>
      <x:c r="K113" t="str">
        <x:v>原合效应</x:v>
      </x:c>
      <x:c r="L113" t="str">
        <x:v>逐对象比较得令、得地、得势与相对强弱</x:v>
      </x:c>
      <x:c r="M113" t="str">
        <x:v>记录参与对象中谁得令、谁受季节支持</x:v>
      </x:c>
      <x:c r="N113" t="str">
        <x:v>记录明干及相关藏干的透出通道</x:v>
      </x:c>
      <x:c r="O113" t="str">
        <x:v>记录各对象根气层级、数量及是否唯一根</x:v>
      </x:c>
      <x:c r="P113" t="str">
        <x:v>检查同节点的合、冲、刑、害、破、会及生克</x:v>
      </x:c>
      <x:c r="Q113" t="str">
        <x:v>冲开</x:v>
      </x:c>
      <x:c r="R113" t="str">
        <x:v>激活</x:v>
      </x:c>
      <x:c r="S113" t="str">
        <x:v>中</x:v>
      </x:c>
      <x:c r="T113" t="str">
        <x:v>否</x:v>
      </x:c>
      <x:c r="U113" t="str">
        <x:v>条件性</x:v>
      </x:c>
      <x:c r="V113" t="str">
        <x:v>条件性</x:v>
      </x:c>
      <x:c r="W113" t="str">
        <x:v>条件性</x:v>
      </x:c>
      <x:c r="X113" t="str">
        <x:v>条件性</x:v>
      </x:c>
      <x:c r="Y113" t="str">
        <x:v>可能改变原有生克路径，须在M12复核</x:v>
      </x:c>
      <x:c r="Z113" t="str">
        <x:v>M04/M05已识别关系，柱位、完整度与参与对象已标准化</x:v>
      </x:c>
      <x:c r="AA113" t="str">
        <x:v>原合已形成实际合绊，冲方力量足以破合</x:v>
      </x:c>
      <x:c r="AB113" t="str">
        <x:v>关系相邻、得令、得地、成势且无强力反制</x:v>
      </x:c>
      <x:c r="AC113" t="str">
        <x:v>遥隔、争合、节点被其他关系牵制或双方各有强根</x:v>
      </x:c>
      <x:c r="AD113" t="str">
        <x:v>仅凭关系名称不得直接判性质改变、归零或固定吉凶</x:v>
      </x:c>
      <x:c r="AE113" t="str">
        <x:v>特殊格局或岁运动态补齐须另建实例重新裁决</x:v>
      </x:c>
      <x:c r="AF113" t="str">
        <x:v>冲方足够强且直接命中合局节点时，可使原合松解并释放本气；弱冲强合则不能解。</x:v>
      </x:c>
      <x:c r="AG113" t="str">
        <x:v>冲能否解合已比较：强冲可冲开，弱冲只扰动，原合仍保留。</x:v>
      </x:c>
      <x:c r="AH113" t="str">
        <x:v>中等</x:v>
      </x:c>
      <x:c r="AI113" t="str">
        <x:v>现代综合</x:v>
      </x:c>
      <x:c r="AJ113" t="str">
        <x:v>刑冲会合之间的相互解除依结构而定。参考：https://ctext.org/wiki.pl?chapter=974137&amp;if=gb&amp;remap=gb</x:v>
      </x:c>
      <x:c r="AK113" t="str">
        <x:v>辰酉合弱而卯强冲酉，可冲开。</x:v>
      </x:c>
      <x:c r="AL113" t="str">
        <x:v>任何冲都必然破合。</x:v>
      </x:c>
      <x:c r="AM113" t="str">
        <x:v>采用</x:v>
      </x:c>
      <x:c r="AN113" t="str">
        <x:v>初审</x:v>
      </x:c>
      <x:c r="AO113" s="213" t="n">
        <x:v>46255</x:v>
      </x:c>
    </x:row>
    <x:row r="114">
      <x:c r="A114" t="str">
        <x:f>IF(OR(C114="",D114=""),"",B114&amp;"-"&amp;UPPER(C114)&amp;"-"&amp;TEXT(D114,"0000")&amp;"-"&amp;E114)</x:f>
        <x:v>M06-OVER-0108-V1.0</x:v>
      </x:c>
      <x:c r="B114" t="str">
        <x:v>M06</x:v>
      </x:c>
      <x:c r="C114" t="str">
        <x:v>OVER</x:v>
      </x:c>
      <x:c r="D114" t="n">
        <x:v>108</x:v>
      </x:c>
      <x:c r="E114" t="str">
        <x:v>V1.0</x:v>
      </x:c>
      <x:c r="F114" t="str">
        <x:v>三合三会成势可牵走六合共享节点</x:v>
      </x:c>
      <x:c r="G114" t="str">
        <x:v>效应层</x:v>
      </x:c>
      <x:c r="H114" t="str">
        <x:v>M05-SANHE-0007-V1.0—M05-SANHUI-0026-V1.0；M05-OVER-0068-V1.0</x:v>
      </x:c>
      <x:c r="I114" t="str">
        <x:v>其他</x:v>
      </x:c>
      <x:c r="J114" t="str">
        <x:v>三合或三会成员及其六合对象</x:v>
      </x:c>
      <x:c r="K114" t="str">
        <x:v>共享地支</x:v>
      </x:c>
      <x:c r="L114" t="str">
        <x:v>逐对象比较得令、得地、得势与相对强弱</x:v>
      </x:c>
      <x:c r="M114" t="str">
        <x:v>记录参与对象中谁得令、谁受季节支持</x:v>
      </x:c>
      <x:c r="N114" t="str">
        <x:v>记录明干及相关藏干的透出通道</x:v>
      </x:c>
      <x:c r="O114" t="str">
        <x:v>记录各对象根气层级、数量及是否唯一根</x:v>
      </x:c>
      <x:c r="P114" t="str">
        <x:v>检查同节点的合、冲、刑、害、破、会及生克</x:v>
      </x:c>
      <x:c r="Q114" t="str">
        <x:v>合化</x:v>
      </x:c>
      <x:c r="R114" t="str">
        <x:v>转化</x:v>
      </x:c>
      <x:c r="S114" t="str">
        <x:v>强</x:v>
      </x:c>
      <x:c r="T114" t="str">
        <x:v>条件性</x:v>
      </x:c>
      <x:c r="U114" t="str">
        <x:v>条件性</x:v>
      </x:c>
      <x:c r="V114" t="str">
        <x:v>条件性</x:v>
      </x:c>
      <x:c r="W114" t="str">
        <x:v>条件性</x:v>
      </x:c>
      <x:c r="X114" t="str">
        <x:v>条件性</x:v>
      </x:c>
      <x:c r="Y114" t="str">
        <x:v>可能改变原有生克路径，须在M12复核</x:v>
      </x:c>
      <x:c r="Z114" t="str">
        <x:v>M04/M05已识别关系，柱位、完整度与参与对象已标准化</x:v>
      </x:c>
      <x:c r="AA114" t="str">
        <x:v>必须指向具体作用对象，并比较各方力量、根气和通道</x:v>
      </x:c>
      <x:c r="AB114" t="str">
        <x:v>关系相邻、得令、得地、成势且无强力反制</x:v>
      </x:c>
      <x:c r="AC114" t="str">
        <x:v>遥隔、争合、节点被其他关系牵制或双方各有强根</x:v>
      </x:c>
      <x:c r="AD114" t="str">
        <x:v>仅凭关系名称不得直接判性质改变、归零或固定吉凶</x:v>
      </x:c>
      <x:c r="AE114" t="str">
        <x:v>特殊格局或岁运动态补齐须另建实例重新裁决</x:v>
      </x:c>
      <x:c r="AF114" t="str">
        <x:v>完整三合或三会得令成势时，通常能主导共享节点，使单一六合降级；若局势不成，则不得反向预设。</x:v>
      </x:c>
      <x:c r="AG114" t="str">
        <x:v>三合/三会成势，共享节点归入大局，六合降为次级；若大局未成则重新比较。</x:v>
      </x:c>
      <x:c r="AH114" t="str">
        <x:v>中等</x:v>
      </x:c>
      <x:c r="AI114" t="str">
        <x:v>现代综合</x:v>
      </x:c>
      <x:c r="AJ114" t="str">
        <x:v>完整度和气势共同决定多重会合的主次。参考：https://ctext.org/wiki.pl?chapter=974137&amp;if=gb&amp;remap=gb</x:v>
      </x:c>
      <x:c r="AK114" t="str">
        <x:v>丑入巳酉丑金局成势时，子丑六合可降级。</x:v>
      </x:c>
      <x:c r="AL114" t="str">
        <x:v>三合仅三支齐而未成势也无条件压过六合。</x:v>
      </x:c>
      <x:c r="AM114" t="str">
        <x:v>采用</x:v>
      </x:c>
      <x:c r="AN114" t="str">
        <x:v>初审</x:v>
      </x:c>
      <x:c r="AO114" s="213" t="n">
        <x:v>46255</x:v>
      </x:c>
    </x:row>
    <x:row r="115">
      <x:c r="A115" t="str">
        <x:f>IF(OR(C115="",D115=""),"",B115&amp;"-"&amp;UPPER(C115)&amp;"-"&amp;TEXT(D115,"0000")&amp;"-"&amp;E115)</x:f>
        <x:v>M06-OVER-0109-V1.0</x:v>
      </x:c>
      <x:c r="B115" t="str">
        <x:v>M06</x:v>
      </x:c>
      <x:c r="C115" t="str">
        <x:v>OVER</x:v>
      </x:c>
      <x:c r="D115" t="n">
        <x:v>109</x:v>
      </x:c>
      <x:c r="E115" t="str">
        <x:v>V1.0</x:v>
      </x:c>
      <x:c r="F115" t="str">
        <x:v>共享节点不能同时完整归属互斥结果</x:v>
      </x:c>
      <x:c r="G115" t="str">
        <x:v>效应层</x:v>
      </x:c>
      <x:c r="H115" t="str">
        <x:v>M04-ZHENG-0037-V1.0—M04-ZHENG-0042-V1.0；M05-OVER-0068-V1.0</x:v>
      </x:c>
      <x:c r="I115" t="str">
        <x:v>其他</x:v>
      </x:c>
      <x:c r="J115" t="str">
        <x:v>被多个关系共享的干支</x:v>
      </x:c>
      <x:c r="K115" t="str">
        <x:v>共享节点的有效归属</x:v>
      </x:c>
      <x:c r="L115" t="str">
        <x:v>逐对象比较得令、得地、得势与相对强弱</x:v>
      </x:c>
      <x:c r="M115" t="str">
        <x:v>记录参与对象中谁得令、谁受季节支持</x:v>
      </x:c>
      <x:c r="N115" t="str">
        <x:v>记录明干及相关藏干的透出通道</x:v>
      </x:c>
      <x:c r="O115" t="str">
        <x:v>记录各对象根气层级、数量及是否唯一根</x:v>
      </x:c>
      <x:c r="P115" t="str">
        <x:v>检查同节点的合、冲、刑、害、破、会及生克</x:v>
      </x:c>
      <x:c r="Q115" t="str">
        <x:v>阻断</x:v>
      </x:c>
      <x:c r="R115" t="str">
        <x:v>条件性</x:v>
      </x:c>
      <x:c r="S115" t="str">
        <x:v>决定性</x:v>
      </x:c>
      <x:c r="T115" t="str">
        <x:v>条件性</x:v>
      </x:c>
      <x:c r="U115" t="str">
        <x:v>条件性</x:v>
      </x:c>
      <x:c r="V115" t="str">
        <x:v>条件性</x:v>
      </x:c>
      <x:c r="W115" t="str">
        <x:v>条件性</x:v>
      </x:c>
      <x:c r="X115" t="str">
        <x:v>条件性</x:v>
      </x:c>
      <x:c r="Y115" t="str">
        <x:v>可能改变原有生克路径，须在M12复核</x:v>
      </x:c>
      <x:c r="Z115" t="str">
        <x:v>M04/M05已识别关系，柱位、完整度与参与对象已标准化</x:v>
      </x:c>
      <x:c r="AA115" t="str">
        <x:v>列出互斥结果并给出裁决证据</x:v>
      </x:c>
      <x:c r="AB115" t="str">
        <x:v>关系相邻、得令、得地、成势且无强力反制</x:v>
      </x:c>
      <x:c r="AC115" t="str">
        <x:v>遥隔、争合、节点被其他关系牵制或双方各有强根</x:v>
      </x:c>
      <x:c r="AD115" t="str">
        <x:v>把同一节点同时100%计入两个互斥结果</x:v>
      </x:c>
      <x:c r="AE115" t="str">
        <x:v>特殊格局或岁运动态补齐须另建实例重新裁决</x:v>
      </x:c>
      <x:c r="AF115" t="str">
        <x:v>同一节点可同时存在多种关系候选，但在同一分析层级不能同时完整化入两个互斥五行或两个相反主局。</x:v>
      </x:c>
      <x:c r="AG115" t="str">
        <x:v>共享节点已指定唯一主导归属；其他关系保留为次级、受抑制或未成立。</x:v>
      </x:c>
      <x:c r="AH115" t="str">
        <x:v>较高</x:v>
      </x:c>
      <x:c r="AI115" t="str">
        <x:v>现代综合</x:v>
      </x:c>
      <x:c r="AJ115" t="str">
        <x:v>关系并存不等于效应可无损叠加。参考：https://ctext.org/wiki.pl?chapter=974137&amp;if=gb&amp;remap=gb</x:v>
      </x:c>
      <x:c r="AK115" t="str">
        <x:v>丑不能同时完整化入子丑土与巳酉丑金，须定主次。</x:v>
      </x:c>
      <x:c r="AL115" t="str">
        <x:v>同一丑支在两个完整局中重复全额计力。</x:v>
      </x:c>
      <x:c r="AM115" t="str">
        <x:v>采用</x:v>
      </x:c>
      <x:c r="AN115" t="str">
        <x:v>初审</x:v>
      </x:c>
      <x:c r="AO115" s="213" t="n">
        <x:v>46255</x:v>
      </x:c>
    </x:row>
    <x:row r="116">
      <x:c r="A116" t="str">
        <x:f>IF(OR(C116="",D116=""),"",B116&amp;"-"&amp;UPPER(C116)&amp;"-"&amp;TEXT(D116,"0000")&amp;"-"&amp;E116)</x:f>
        <x:v>M06-OVER-0110-V1.0</x:v>
      </x:c>
      <x:c r="B116" t="str">
        <x:v>M06</x:v>
      </x:c>
      <x:c r="C116" t="str">
        <x:v>OVER</x:v>
      </x:c>
      <x:c r="D116" t="n">
        <x:v>110</x:v>
      </x:c>
      <x:c r="E116" t="str">
        <x:v>V1.0</x:v>
      </x:c>
      <x:c r="F116" t="str">
        <x:v>关系效应采用五步链式裁决顺序</x:v>
      </x:c>
      <x:c r="G116" t="str">
        <x:v>效应层</x:v>
      </x:c>
      <x:c r="H116" t="str">
        <x:v>M04-BOUND-0050-V1.0；M05-BOUND-0090-V1.0</x:v>
      </x:c>
      <x:c r="I116" t="str">
        <x:v>其他</x:v>
      </x:c>
      <x:c r="J116" t="str">
        <x:v>全部干支关系</x:v>
      </x:c>
      <x:c r="K116" t="str">
        <x:v>效应推理流程</x:v>
      </x:c>
      <x:c r="L116" t="str">
        <x:v>逐对象比较得令、得地、得势与相对强弱</x:v>
      </x:c>
      <x:c r="M116" t="str">
        <x:v>记录参与对象中谁得令、谁受季节支持</x:v>
      </x:c>
      <x:c r="N116" t="str">
        <x:v>记录明干及相关藏干的透出通道</x:v>
      </x:c>
      <x:c r="O116" t="str">
        <x:v>记录各对象根气层级、数量及是否唯一根</x:v>
      </x:c>
      <x:c r="P116" t="str">
        <x:v>检查同节点的合、冲、刑、害、破、会及生克</x:v>
      </x:c>
      <x:c r="Q116" t="str">
        <x:v>其他</x:v>
      </x:c>
      <x:c r="R116" t="str">
        <x:v>条件性</x:v>
      </x:c>
      <x:c r="S116" t="str">
        <x:v>决定性</x:v>
      </x:c>
      <x:c r="T116" t="str">
        <x:v>条件性</x:v>
      </x:c>
      <x:c r="U116" t="str">
        <x:v>条件性</x:v>
      </x:c>
      <x:c r="V116" t="str">
        <x:v>条件性</x:v>
      </x:c>
      <x:c r="W116" t="str">
        <x:v>条件性</x:v>
      </x:c>
      <x:c r="X116" t="str">
        <x:v>条件性</x:v>
      </x:c>
      <x:c r="Y116" t="str">
        <x:v>输出统一转M08与M12</x:v>
      </x:c>
      <x:c r="Z116" t="str">
        <x:v>M04/M05已识别关系，柱位、完整度与参与对象已标准化</x:v>
      </x:c>
      <x:c r="AA116" t="str">
        <x:v>五步均有可追溯证据</x:v>
      </x:c>
      <x:c r="AB116" t="str">
        <x:v>关系相邻、得令、得地、成势且无强力反制</x:v>
      </x:c>
      <x:c r="AC116" t="str">
        <x:v>遥隔、争合、节点被其他关系牵制或双方各有强根</x:v>
      </x:c>
      <x:c r="AD116" t="str">
        <x:v>仅凭关系名称不得直接判性质改变、归零或固定吉凶</x:v>
      </x:c>
      <x:c r="AE116" t="str">
        <x:v>特殊格局或岁运动态补齐须另建实例重新裁决</x:v>
      </x:c>
      <x:c r="AF116" t="str">
        <x:v>固定顺序为：识别关系→记录原始强弱证据→逐对象求效应→处理重叠主次→输出有效力量修正。</x:v>
      </x:c>
      <x:c r="AG116" t="str">
        <x:v>本关系已按五步链完成，不存在由关系名称直接跳到喜忌或旺衰结论。</x:v>
      </x:c>
      <x:c r="AH116" t="str">
        <x:v>较高</x:v>
      </x:c>
      <x:c r="AI116" t="str">
        <x:v>现代综合</x:v>
      </x:c>
      <x:c r="AJ116" t="str">
        <x:v>分层流程用于防止循环论证和重复计算。参考：https://ctext.org/wiki.pl?chapter=435028&amp;if=gb&amp;remap=gb</x:v>
      </x:c>
      <x:c r="AK116" t="str">
        <x:v>先识别寅申冲，再比较强弱，再判寅弱申旺，最后修正木金有效力。</x:v>
      </x:c>
      <x:c r="AL116" t="str">
        <x:v>先认定木弱，再用寅申冲反向证明木弱。</x:v>
      </x:c>
      <x:c r="AM116" t="str">
        <x:v>采用</x:v>
      </x:c>
      <x:c r="AN116" t="str">
        <x:v>初审</x:v>
      </x:c>
      <x:c r="AO116" s="213" t="n">
        <x:v>46255</x:v>
      </x:c>
    </x:row>
    <x:row r="117">
      <x:c r="A117" t="str">
        <x:f>IF(OR(C117="",D117=""),"",B117&amp;"-"&amp;UPPER(C117)&amp;"-"&amp;TEXT(D117,"0000")&amp;"-"&amp;E117)</x:f>
        <x:v>M06-BOUND-0111-V1.0</x:v>
      </x:c>
      <x:c r="B117" t="str">
        <x:v>M06</x:v>
      </x:c>
      <x:c r="C117" t="str">
        <x:v>BOUND</x:v>
      </x:c>
      <x:c r="D117" t="n">
        <x:v>111</x:v>
      </x:c>
      <x:c r="E117" t="str">
        <x:v>V1.0</x:v>
      </x:c>
      <x:c r="F117" t="str">
        <x:v>关系名称不得换算固定分值</x:v>
      </x:c>
      <x:c r="G117" t="str">
        <x:v>效应层</x:v>
      </x:c>
      <x:c r="H117" t="str">
        <x:v>M04-BOUND-0050-V1.0；M05-BOUND-0090-V1.0</x:v>
      </x:c>
      <x:c r="I117" t="str">
        <x:v>其他</x:v>
      </x:c>
      <x:c r="J117" t="str">
        <x:v>全部干支关系</x:v>
      </x:c>
      <x:c r="K117" t="str">
        <x:v>力量修正规则</x:v>
      </x:c>
      <x:c r="L117" t="str">
        <x:v>逐对象比较得令、得地、得势与相对强弱</x:v>
      </x:c>
      <x:c r="M117" t="str">
        <x:v>记录参与对象中谁得令、谁受季节支持</x:v>
      </x:c>
      <x:c r="N117" t="str">
        <x:v>记录明干及相关藏干的透出通道</x:v>
      </x:c>
      <x:c r="O117" t="str">
        <x:v>记录各对象根气层级、数量及是否唯一根</x:v>
      </x:c>
      <x:c r="P117" t="str">
        <x:v>检查同节点的合、冲、刑、害、破、会及生克</x:v>
      </x:c>
      <x:c r="Q117" t="str">
        <x:v>其他</x:v>
      </x:c>
      <x:c r="R117" t="str">
        <x:v>条件性</x:v>
      </x:c>
      <x:c r="S117" t="str">
        <x:v>决定性</x:v>
      </x:c>
      <x:c r="T117" t="str">
        <x:v>否</x:v>
      </x:c>
      <x:c r="U117" t="str">
        <x:v>条件性</x:v>
      </x:c>
      <x:c r="V117" t="str">
        <x:v>条件性</x:v>
      </x:c>
      <x:c r="W117" t="str">
        <x:v>条件性</x:v>
      </x:c>
      <x:c r="X117" t="str">
        <x:v>条件性</x:v>
      </x:c>
      <x:c r="Y117" t="str">
        <x:v>可能改变原有生克路径，须在M12复核</x:v>
      </x:c>
      <x:c r="Z117" t="str">
        <x:v>M04/M05已识别关系，柱位、完整度与参与对象已标准化</x:v>
      </x:c>
      <x:c r="AA117" t="str">
        <x:v>每次修正必须引用具体强弱和结构证据</x:v>
      </x:c>
      <x:c r="AB117" t="str">
        <x:v>关系相邻、得令、得地、成势且无强力反制</x:v>
      </x:c>
      <x:c r="AC117" t="str">
        <x:v>遥隔、争合、节点被其他关系牵制或双方各有强根</x:v>
      </x:c>
      <x:c r="AD117" t="str">
        <x:v>仅凭关系名称不得直接判性质改变、归零或固定吉凶</x:v>
      </x:c>
      <x:c r="AE117" t="str">
        <x:v>特殊格局或岁运动态补齐须另建实例重新裁决</x:v>
      </x:c>
      <x:c r="AF117" t="str">
        <x:v>合、冲、刑、害、破不得预设统一加减百分比；同名关系在不同强弱和结构中可产生不同结果。</x:v>
      </x:c>
      <x:c r="AG117" t="str">
        <x:v>本条只给条件性效应，不使用“见冲减X分、见合减Y分”的固定算法。</x:v>
      </x:c>
      <x:c r="AH117" t="str">
        <x:v>较高</x:v>
      </x:c>
      <x:c r="AI117" t="str">
        <x:v>现代综合</x:v>
      </x:c>
      <x:c r="AJ117" t="str">
        <x:v>关系不是固定力学常数。参考：https://zh.wikisource.org/zh-hans/滴天髓</x:v>
      </x:c>
      <x:c r="AK117" t="str">
        <x:v>子午冲在午旺子弱时判午发、子损。</x:v>
      </x:c>
      <x:c r="AL117" t="str">
        <x:v>所有六冲双方各减30%。</x:v>
      </x:c>
      <x:c r="AM117" t="str">
        <x:v>采用</x:v>
      </x:c>
      <x:c r="AN117" t="str">
        <x:v>初审</x:v>
      </x:c>
      <x:c r="AO117" s="213" t="n">
        <x:v>46255</x:v>
      </x:c>
    </x:row>
    <x:row r="118">
      <x:c r="A118" t="str">
        <x:f>IF(OR(C118="",D118=""),"",B118&amp;"-"&amp;UPPER(C118)&amp;"-"&amp;TEXT(D118,"0000")&amp;"-"&amp;E118)</x:f>
        <x:v>M06-BOUND-0112-V1.0</x:v>
      </x:c>
      <x:c r="B118" t="str">
        <x:v>M06</x:v>
      </x:c>
      <x:c r="C118" t="str">
        <x:v>BOUND</x:v>
      </x:c>
      <x:c r="D118" t="n">
        <x:v>112</x:v>
      </x:c>
      <x:c r="E118" t="str">
        <x:v>V1.0</x:v>
      </x:c>
      <x:c r="F118" t="str">
        <x:v>任何关系都不得自动把干支归零</x:v>
      </x:c>
      <x:c r="G118" t="str">
        <x:v>效应层</x:v>
      </x:c>
      <x:c r="H118" t="str">
        <x:v>M04-BOUND-0050-V1.0；M05-BOUND-0077-V1.0—M05-BOUND-0080-V1.0</x:v>
      </x:c>
      <x:c r="I118" t="str">
        <x:v>其他</x:v>
      </x:c>
      <x:c r="J118" t="str">
        <x:v>全部干支关系</x:v>
      </x:c>
      <x:c r="K118" t="str">
        <x:v>参与干支</x:v>
      </x:c>
      <x:c r="L118" t="str">
        <x:v>逐对象比较得令、得地、得势与相对强弱</x:v>
      </x:c>
      <x:c r="M118" t="str">
        <x:v>记录参与对象中谁得令、谁受季节支持</x:v>
      </x:c>
      <x:c r="N118" t="str">
        <x:v>记录明干及相关藏干的透出通道</x:v>
      </x:c>
      <x:c r="O118" t="str">
        <x:v>记录各对象根气层级、数量及是否唯一根</x:v>
      </x:c>
      <x:c r="P118" t="str">
        <x:v>检查同节点的合、冲、刑、害、破、会及生克</x:v>
      </x:c>
      <x:c r="Q118" t="str">
        <x:v>其他</x:v>
      </x:c>
      <x:c r="R118" t="str">
        <x:v>不变</x:v>
      </x:c>
      <x:c r="S118" t="str">
        <x:v>决定性</x:v>
      </x:c>
      <x:c r="T118" t="str">
        <x:v>否</x:v>
      </x:c>
      <x:c r="U118" t="str">
        <x:v>条件性</x:v>
      </x:c>
      <x:c r="V118" t="str">
        <x:v>条件性</x:v>
      </x:c>
      <x:c r="W118" t="str">
        <x:v>条件性</x:v>
      </x:c>
      <x:c r="X118" t="str">
        <x:v>条件性</x:v>
      </x:c>
      <x:c r="Y118" t="str">
        <x:v>可能改变原有生克路径，须在M12复核</x:v>
      </x:c>
      <x:c r="Z118" t="str">
        <x:v>M04/M05已识别关系，柱位、完整度与参与对象已标准化</x:v>
      </x:c>
      <x:c r="AA118" t="str">
        <x:v>必须指向具体作用对象，并比较各方力量、根气和通道</x:v>
      </x:c>
      <x:c r="AB118" t="str">
        <x:v>关系相邻、得令、得地、成势且无强力反制</x:v>
      </x:c>
      <x:c r="AC118" t="str">
        <x:v>遥隔、争合、节点被其他关系牵制或双方各有强根</x:v>
      </x:c>
      <x:c r="AD118" t="str">
        <x:v>只因有合冲刑害破便删除对象</x:v>
      </x:c>
      <x:c r="AE118" t="str">
        <x:v>特殊格局或岁运动态补齐须另建实例重新裁决</x:v>
      </x:c>
      <x:c r="AF118" t="str">
        <x:v>除非满足冲去、严格合化或根气实质破坏等高门槛，关系成立不能把对象力量直接记为零。</x:v>
      </x:c>
      <x:c r="AG118" t="str">
        <x:v>对象原始存在保留；当前仅按已验证效应调整有效力量。</x:v>
      </x:c>
      <x:c r="AH118" t="str">
        <x:v>较高</x:v>
      </x:c>
      <x:c r="AI118" t="str">
        <x:v>现代综合</x:v>
      </x:c>
      <x:c r="AJ118" t="str">
        <x:v>原始存在与有效作用必须分开。参考：https://zh.wikisource.org/zh-hans/滴天髓</x:v>
      </x:c>
      <x:c r="AK118" t="str">
        <x:v>甲被合绊仍保留甲和其根，只下调直接发挥。</x:v>
      </x:c>
      <x:c r="AL118" t="str">
        <x:v>甲己合后甲直接记0。</x:v>
      </x:c>
      <x:c r="AM118" t="str">
        <x:v>采用</x:v>
      </x:c>
      <x:c r="AN118" t="str">
        <x:v>初审</x:v>
      </x:c>
      <x:c r="AO118" s="213" t="n">
        <x:v>46255</x:v>
      </x:c>
    </x:row>
    <x:row r="119">
      <x:c r="A119" t="str">
        <x:f>IF(OR(C119="",D119=""),"",B119&amp;"-"&amp;UPPER(C119)&amp;"-"&amp;TEXT(D119,"0000")&amp;"-"&amp;E119)</x:f>
        <x:v>M06-BOUND-0113-V1.0</x:v>
      </x:c>
      <x:c r="B119" t="str">
        <x:v>M06</x:v>
      </x:c>
      <x:c r="C119" t="str">
        <x:v>BOUND</x:v>
      </x:c>
      <x:c r="D119" t="n">
        <x:v>113</x:v>
      </x:c>
      <x:c r="E119" t="str">
        <x:v>V1.0</x:v>
      </x:c>
      <x:c r="F119" t="str">
        <x:v>五行性质改变只允许由已验证合化成局触发</x:v>
      </x:c>
      <x:c r="G119" t="str">
        <x:v>效应层</x:v>
      </x:c>
      <x:c r="H119" t="str">
        <x:v>M04-HHC-0032-V1.0—M04-HHC-0036-V1.0；M05-BOUND-0074-V1.0—M05-BOUND-0076-V1.0</x:v>
      </x:c>
      <x:c r="I119" t="str">
        <x:v>其他</x:v>
      </x:c>
      <x:c r="J119" t="str">
        <x:v>候选合化或成局关系</x:v>
      </x:c>
      <x:c r="K119" t="str">
        <x:v>参与干支的有效五行性质</x:v>
      </x:c>
      <x:c r="L119" t="str">
        <x:v>逐对象比较得令、得地、得势与相对强弱</x:v>
      </x:c>
      <x:c r="M119" t="str">
        <x:v>记录参与对象中谁得令、谁受季节支持</x:v>
      </x:c>
      <x:c r="N119" t="str">
        <x:v>记录明干及相关藏干的透出通道</x:v>
      </x:c>
      <x:c r="O119" t="str">
        <x:v>记录各对象根气层级、数量及是否唯一根</x:v>
      </x:c>
      <x:c r="P119" t="str">
        <x:v>检查同节点的合、冲、刑、害、破、会及生克</x:v>
      </x:c>
      <x:c r="Q119" t="str">
        <x:v>合化</x:v>
      </x:c>
      <x:c r="R119" t="str">
        <x:v>转化</x:v>
      </x:c>
      <x:c r="S119" t="str">
        <x:v>决定性</x:v>
      </x:c>
      <x:c r="T119" t="str">
        <x:v>条件性</x:v>
      </x:c>
      <x:c r="U119" t="str">
        <x:v>条件性</x:v>
      </x:c>
      <x:c r="V119" t="str">
        <x:v>条件性</x:v>
      </x:c>
      <x:c r="W119" t="str">
        <x:v>条件性</x:v>
      </x:c>
      <x:c r="X119" t="str">
        <x:v>条件性</x:v>
      </x:c>
      <x:c r="Y119" t="str">
        <x:v>可能改变原有生克路径，须在M12复核</x:v>
      </x:c>
      <x:c r="Z119" t="str">
        <x:v>M04/M05已识别关系，柱位、完整度与参与对象已标准化</x:v>
      </x:c>
      <x:c r="AA119" t="str">
        <x:v>引用已成立的TGHUA、LIUHE、SANHE或SANHUI规则</x:v>
      </x:c>
      <x:c r="AB119" t="str">
        <x:v>关系相邻、得令、得地、成势且无强力反制</x:v>
      </x:c>
      <x:c r="AC119" t="str">
        <x:v>遥隔、争合、节点被其他关系牵制或双方各有强根</x:v>
      </x:c>
      <x:c r="AD119" t="str">
        <x:v>用合绊、冲动、刑伤直接改写五行</x:v>
      </x:c>
      <x:c r="AE119" t="str">
        <x:v>特殊格局或岁运动态补齐须另建实例重新裁决</x:v>
      </x:c>
      <x:c r="AF119" t="str">
        <x:v>只有M06通过完整合化或成局门槛，T列才标“是”；合动、合绊、冲刑害破均不得直接改性。</x:v>
      </x:c>
      <x:c r="AG119" t="str">
        <x:v>五行性质是否改变：是/否/条件性；依据为具体合化成局规则。</x:v>
      </x:c>
      <x:c r="AH119" t="str">
        <x:v>较高</x:v>
      </x:c>
      <x:c r="AI119" t="str">
        <x:v>现代综合</x:v>
      </x:c>
      <x:c r="AJ119" t="str">
        <x:v>性质改变是高等级结论，需严格门槛。参考：https://zh.wikisource.org/zh-hans/淵海子平；https://zh.wikisource.org/wiki/三命通會/卷二</x:v>
      </x:c>
      <x:c r="AK119" t="str">
        <x:v>丙辛完整化水后标改性；丙辛仅合绊则不改性。</x:v>
      </x:c>
      <x:c r="AL119" t="str">
        <x:v>辰酉一合便把辰全部改金。</x:v>
      </x:c>
      <x:c r="AM119" t="str">
        <x:v>采用</x:v>
      </x:c>
      <x:c r="AN119" t="str">
        <x:v>初审</x:v>
      </x:c>
      <x:c r="AO119" s="213" t="n">
        <x:v>46255</x:v>
      </x:c>
    </x:row>
    <x:row r="120">
      <x:c r="A120" t="str">
        <x:f>IF(OR(C120="",D120=""),"",B120&amp;"-"&amp;UPPER(C120)&amp;"-"&amp;TEXT(D120,"0000")&amp;"-"&amp;E120)</x:f>
        <x:v>M06-BOUND-0114-V1.0</x:v>
      </x:c>
      <x:c r="B120" t="str">
        <x:v>M06</x:v>
      </x:c>
      <x:c r="C120" t="str">
        <x:v>BOUND</x:v>
      </x:c>
      <x:c r="D120" t="n">
        <x:v>114</x:v>
      </x:c>
      <x:c r="E120" t="str">
        <x:v>V1.0</x:v>
      </x:c>
      <x:c r="F120" t="str">
        <x:v>合住不等于对象消失</x:v>
      </x:c>
      <x:c r="G120" t="str">
        <x:v>效应层</x:v>
      </x:c>
      <x:c r="H120" t="str">
        <x:v>M04-HE-0001-V1.0—M04-HE-0005-V1.0；M05-LIUHE-0001-V1.0—M05-LIUHE-0006-V1.0</x:v>
      </x:c>
      <x:c r="I120" t="str">
        <x:v>其他</x:v>
      </x:c>
      <x:c r="J120" t="str">
        <x:v>被合住的干支</x:v>
      </x:c>
      <x:c r="K120" t="str">
        <x:v>对象的存在与功能</x:v>
      </x:c>
      <x:c r="L120" t="str">
        <x:v>逐对象比较得令、得地、得势与相对强弱</x:v>
      </x:c>
      <x:c r="M120" t="str">
        <x:v>记录参与对象中谁得令、谁受季节支持</x:v>
      </x:c>
      <x:c r="N120" t="str">
        <x:v>记录明干及相关藏干的透出通道</x:v>
      </x:c>
      <x:c r="O120" t="str">
        <x:v>记录各对象根气层级、数量及是否唯一根</x:v>
      </x:c>
      <x:c r="P120" t="str">
        <x:v>检查同节点的合、冲、刑、害、破、会及生克</x:v>
      </x:c>
      <x:c r="Q120" t="str">
        <x:v>合住</x:v>
      </x:c>
      <x:c r="R120" t="str">
        <x:v>冻结</x:v>
      </x:c>
      <x:c r="S120" t="str">
        <x:v>强</x:v>
      </x:c>
      <x:c r="T120" t="str">
        <x:v>否</x:v>
      </x:c>
      <x:c r="U120" t="str">
        <x:v>否</x:v>
      </x:c>
      <x:c r="V120" t="str">
        <x:v>条件性</x:v>
      </x:c>
      <x:c r="W120" t="str">
        <x:v>否</x:v>
      </x:c>
      <x:c r="X120" t="str">
        <x:v>条件性</x:v>
      </x:c>
      <x:c r="Y120" t="str">
        <x:v>可能改变原有生克路径，须在M12复核</x:v>
      </x:c>
      <x:c r="Z120" t="str">
        <x:v>M04/M05已识别关系，柱位、完整度与参与对象已标准化</x:v>
      </x:c>
      <x:c r="AA120" t="str">
        <x:v>必须指向具体作用对象，并比较各方力量、根气和通道</x:v>
      </x:c>
      <x:c r="AB120" t="str">
        <x:v>关系相邻、得令、得地、成势且无强力反制</x:v>
      </x:c>
      <x:c r="AC120" t="str">
        <x:v>遥隔、争合、节点被其他关系牵制或双方各有强根</x:v>
      </x:c>
      <x:c r="AD120" t="str">
        <x:v>仅凭关系名称不得直接判性质改变、归零或固定吉凶</x:v>
      </x:c>
      <x:c r="AE120" t="str">
        <x:v>特殊格局或岁运动态补齐须另建实例重新裁决</x:v>
      </x:c>
      <x:c r="AF120" t="str">
        <x:v>合住表示直接功能受限或暂缓，原始节点、根气和潜在功能仍保留；破合或岁运变化后可恢复。</x:v>
      </x:c>
      <x:c r="AG120" t="str">
        <x:v>该对象被合住，当前功能受限但未消失；原始力量与根气继续记录。</x:v>
      </x:c>
      <x:c r="AH120" t="str">
        <x:v>较高</x:v>
      </x:c>
      <x:c r="AI120" t="str">
        <x:v>现代综合</x:v>
      </x:c>
      <x:c r="AJ120" t="str">
        <x:v>冻结与删除是不同数据状态。参考：https://ctext.org/wiki.pl?chapter=974137&amp;if=gb&amp;remap=gb</x:v>
      </x:c>
      <x:c r="AK120" t="str">
        <x:v>庚被乙强合住，庚克木功能受限但庚仍存在。</x:v>
      </x:c>
      <x:c r="AL120" t="str">
        <x:v>合住后从十神和五行统计中彻底删除。</x:v>
      </x:c>
      <x:c r="AM120" t="str">
        <x:v>采用</x:v>
      </x:c>
      <x:c r="AN120" t="str">
        <x:v>初审</x:v>
      </x:c>
      <x:c r="AO120" s="213" t="n">
        <x:v>46255</x:v>
      </x:c>
    </x:row>
    <x:row r="121">
      <x:c r="A121" t="str">
        <x:f>IF(OR(C121="",D121=""),"",B121&amp;"-"&amp;UPPER(C121)&amp;"-"&amp;TEXT(D121,"0000")&amp;"-"&amp;E121)</x:f>
        <x:v>M06-BOUND-0115-V1.0</x:v>
      </x:c>
      <x:c r="B121" t="str">
        <x:v>M06</x:v>
      </x:c>
      <x:c r="C121" t="str">
        <x:v>BOUND</x:v>
      </x:c>
      <x:c r="D121" t="n">
        <x:v>115</x:v>
      </x:c>
      <x:c r="E121" t="str">
        <x:v>V1.0</x:v>
      </x:c>
      <x:c r="F121" t="str">
        <x:v>根气改变必须落实到具体根位</x:v>
      </x:c>
      <x:c r="G121" t="str">
        <x:v>效应层</x:v>
      </x:c>
      <x:c r="H121" t="str">
        <x:v>M03-RTCT-0040-V1.0—M03-RTCT-0045-V1.0；M03-RTEF-0046-V1.0—M03-RTEF-0052-V1.0；M05-BOUND-0077-V1.0—M05-BOUND-0080-V1.0</x:v>
      </x:c>
      <x:c r="I121" t="str">
        <x:v>其他</x:v>
      </x:c>
      <x:c r="J121" t="str">
        <x:v>地支关系及依附其上的天干</x:v>
      </x:c>
      <x:c r="K121" t="str">
        <x:v>具体根位</x:v>
      </x:c>
      <x:c r="L121" t="str">
        <x:v>逐对象比较得令、得地、得势与相对强弱</x:v>
      </x:c>
      <x:c r="M121" t="str">
        <x:v>记录参与对象中谁得令、谁受季节支持</x:v>
      </x:c>
      <x:c r="N121" t="str">
        <x:v>记录明干及相关藏干的透出通道</x:v>
      </x:c>
      <x:c r="O121" t="str">
        <x:v>记录各对象根气层级、数量及是否唯一根</x:v>
      </x:c>
      <x:c r="P121" t="str">
        <x:v>检查同节点的合、冲、刑、害、破、会及生克</x:v>
      </x:c>
      <x:c r="Q121" t="str">
        <x:v>破坏根气</x:v>
      </x:c>
      <x:c r="R121" t="str">
        <x:v>条件性</x:v>
      </x:c>
      <x:c r="S121" t="str">
        <x:v>强</x:v>
      </x:c>
      <x:c r="T121" t="str">
        <x:v>否</x:v>
      </x:c>
      <x:c r="U121" t="str">
        <x:v>条件性</x:v>
      </x:c>
      <x:c r="V121" t="str">
        <x:v>条件性</x:v>
      </x:c>
      <x:c r="W121" t="str">
        <x:v>条件性</x:v>
      </x:c>
      <x:c r="X121" t="str">
        <x:v>条件性</x:v>
      </x:c>
      <x:c r="Y121" t="str">
        <x:v>可能改变原有生克路径，须在M12复核</x:v>
      </x:c>
      <x:c r="Z121" t="str">
        <x:v>M04/M05已识别关系，柱位、完整度与参与对象已标准化</x:v>
      </x:c>
      <x:c r="AA121" t="str">
        <x:v>指定天干、根支、根层级和关系效应</x:v>
      </x:c>
      <x:c r="AB121" t="str">
        <x:v>关系相邻、得令、得地、成势且无强力反制</x:v>
      </x:c>
      <x:c r="AC121" t="str">
        <x:v>遥隔、争合、节点被其他关系牵制或双方各有强根</x:v>
      </x:c>
      <x:c r="AD121" t="str">
        <x:v>不指明根位便写“根被破坏”</x:v>
      </x:c>
      <x:c r="AE121" t="str">
        <x:v>特殊格局或岁运动态补齐须另建实例重新裁决</x:v>
      </x:c>
      <x:c r="AF121" t="str">
        <x:v>U列只有在该地支确实承载目标天干根气，且关系实际损伤、转化或释放该根时才可标记变化。</x:v>
      </x:c>
      <x:c r="AG121" t="str">
        <x:v>根气变化对象：____根于____；变化为____；其他根位____仍保留。</x:v>
      </x:c>
      <x:c r="AH121" t="str">
        <x:v>较高</x:v>
      </x:c>
      <x:c r="AI121" t="str">
        <x:v>现代综合</x:v>
      </x:c>
      <x:c r="AJ121" t="str">
        <x:v>根气是对象化证据，不能笼统归因。参考：https://zh.wikisource.org/zh-hans/滴天髓</x:v>
      </x:c>
      <x:c r="AK121" t="str">
        <x:v>甲根寅，寅受旺申强冲，明确下调该寅根。</x:v>
      </x:c>
      <x:c r="AL121" t="str">
        <x:v>有寅申冲就写全局木根尽毁。</x:v>
      </x:c>
      <x:c r="AM121" t="str">
        <x:v>采用</x:v>
      </x:c>
      <x:c r="AN121" t="str">
        <x:v>初审</x:v>
      </x:c>
      <x:c r="AO121" s="213" t="n">
        <x:v>46255</x:v>
      </x:c>
    </x:row>
    <x:row r="122">
      <x:c r="A122" t="str">
        <x:f>IF(OR(C122="",D122=""),"",B122&amp;"-"&amp;UPPER(C122)&amp;"-"&amp;TEXT(D122,"0000")&amp;"-"&amp;E122)</x:f>
        <x:v>M06-BOUND-0116-V1.0</x:v>
      </x:c>
      <x:c r="B122" t="str">
        <x:v>M06</x:v>
      </x:c>
      <x:c r="C122" t="str">
        <x:v>BOUND</x:v>
      </x:c>
      <x:c r="D122" t="n">
        <x:v>116</x:v>
      </x:c>
      <x:c r="E122" t="str">
        <x:v>V1.0</x:v>
      </x:c>
      <x:c r="F122" t="str">
        <x:v>藏干可用性变化不等于地支被删除</x:v>
      </x:c>
      <x:c r="G122" t="str">
        <x:v>效应层</x:v>
      </x:c>
      <x:c r="H122" t="str">
        <x:v>M05-BOUND-0065-V1.0；M05-BOUND-0090-V1.0</x:v>
      </x:c>
      <x:c r="I122" t="str">
        <x:v>其他</x:v>
      </x:c>
      <x:c r="J122" t="str">
        <x:v>受关系作用的地支</x:v>
      </x:c>
      <x:c r="K122" t="str">
        <x:v>该支各层藏干</x:v>
      </x:c>
      <x:c r="L122" t="str">
        <x:v>逐对象比较得令、得地、得势与相对强弱</x:v>
      </x:c>
      <x:c r="M122" t="str">
        <x:v>记录参与对象中谁得令、谁受季节支持</x:v>
      </x:c>
      <x:c r="N122" t="str">
        <x:v>记录明干及相关藏干的透出通道</x:v>
      </x:c>
      <x:c r="O122" t="str">
        <x:v>记录各对象根气层级、数量及是否唯一根</x:v>
      </x:c>
      <x:c r="P122" t="str">
        <x:v>检查同节点的合、冲、刑、害、破、会及生克</x:v>
      </x:c>
      <x:c r="Q122" t="str">
        <x:v>引动藏干</x:v>
      </x:c>
      <x:c r="R122" t="str">
        <x:v>条件性</x:v>
      </x:c>
      <x:c r="S122" t="str">
        <x:v>中</x:v>
      </x:c>
      <x:c r="T122" t="str">
        <x:v>否</x:v>
      </x:c>
      <x:c r="U122" t="str">
        <x:v>条件性</x:v>
      </x:c>
      <x:c r="V122" t="str">
        <x:v>是</x:v>
      </x:c>
      <x:c r="W122" t="str">
        <x:v>条件性</x:v>
      </x:c>
      <x:c r="X122" t="str">
        <x:v>条件性</x:v>
      </x:c>
      <x:c r="Y122" t="str">
        <x:v>可能改变原有生克路径，须在M12复核</x:v>
      </x:c>
      <x:c r="Z122" t="str">
        <x:v>M04/M05已识别关系，柱位、完整度与参与对象已标准化</x:v>
      </x:c>
      <x:c r="AA122" t="str">
        <x:v>至少指定一个具体藏干与作用通道</x:v>
      </x:c>
      <x:c r="AB122" t="str">
        <x:v>关系相邻、得令、得地、成势且无强力反制</x:v>
      </x:c>
      <x:c r="AC122" t="str">
        <x:v>遥隔、争合、节点被其他关系牵制或双方各有强根</x:v>
      </x:c>
      <x:c r="AD122" t="str">
        <x:v>仅凭关系名称不得直接判性质改变、归零或固定吉凶</x:v>
      </x:c>
      <x:c r="AE122" t="str">
        <x:v>特殊格局或岁运动态补齐须另建实例重新裁决</x:v>
      </x:c>
      <x:c r="AF122" t="str">
        <x:v>关系可使某藏干被引动、受制或转化，但地支及其他藏干仍须分别保留；V列必须逐藏干说明。</x:v>
      </x:c>
      <x:c r="AG122" t="str">
        <x:v>藏干可用性已逐项评估：____被引动，____受制，____保持；地支节点仍存在。</x:v>
      </x:c>
      <x:c r="AH122" t="str">
        <x:v>较高</x:v>
      </x:c>
      <x:c r="AI122" t="str">
        <x:v>现代综合</x:v>
      </x:c>
      <x:c r="AJ122" t="str">
        <x:v>地支是多藏干容器，不能用单一标签覆盖全部内容。参考：https://zh.wikisource.org/zh-hans/滴天髓</x:v>
      </x:c>
      <x:c r="AK122" t="str">
        <x:v>辰戌冲引动辰中癸，但不等于乙戊同等增强。</x:v>
      </x:c>
      <x:c r="AL122" t="str">
        <x:v>地支受冲后全部藏干一起清零。</x:v>
      </x:c>
      <x:c r="AM122" t="str">
        <x:v>采用</x:v>
      </x:c>
      <x:c r="AN122" t="str">
        <x:v>初审</x:v>
      </x:c>
      <x:c r="AO122" s="213" t="n">
        <x:v>46255</x:v>
      </x:c>
    </x:row>
    <x:row r="123">
      <x:c r="A123" t="str">
        <x:f>IF(OR(C123="",D123=""),"",B123&amp;"-"&amp;UPPER(C123)&amp;"-"&amp;TEXT(D123,"0000")&amp;"-"&amp;E123)</x:f>
        <x:v>M06-BOUND-0117-V1.0</x:v>
      </x:c>
      <x:c r="B123" t="str">
        <x:v>M06</x:v>
      </x:c>
      <x:c r="C123" t="str">
        <x:v>BOUND</x:v>
      </x:c>
      <x:c r="D123" t="n">
        <x:v>117</x:v>
      </x:c>
      <x:c r="E123" t="str">
        <x:v>V1.0</x:v>
      </x:c>
      <x:c r="F123" t="str">
        <x:v>同一关系必须逐对象输出非对称结果</x:v>
      </x:c>
      <x:c r="G123" t="str">
        <x:v>效应层</x:v>
      </x:c>
      <x:c r="H123" t="str">
        <x:v>M04-BOUND-0050-V1.0；M05-BOUND-0090-V1.0</x:v>
      </x:c>
      <x:c r="I123" t="str">
        <x:v>其他</x:v>
      </x:c>
      <x:c r="J123" t="str">
        <x:v>全部双边或多边关系</x:v>
      </x:c>
      <x:c r="K123" t="str">
        <x:v>每个参与对象</x:v>
      </x:c>
      <x:c r="L123" t="str">
        <x:v>逐对象比较得令、得地、得势与相对强弱</x:v>
      </x:c>
      <x:c r="M123" t="str">
        <x:v>记录参与对象中谁得令、谁受季节支持</x:v>
      </x:c>
      <x:c r="N123" t="str">
        <x:v>记录明干及相关藏干的透出通道</x:v>
      </x:c>
      <x:c r="O123" t="str">
        <x:v>记录各对象根气层级、数量及是否唯一根</x:v>
      </x:c>
      <x:c r="P123" t="str">
        <x:v>检查同节点的合、冲、刑、害、破、会及生克</x:v>
      </x:c>
      <x:c r="Q123" t="str">
        <x:v>其他</x:v>
      </x:c>
      <x:c r="R123" t="str">
        <x:v>条件性</x:v>
      </x:c>
      <x:c r="S123" t="str">
        <x:v>决定性</x:v>
      </x:c>
      <x:c r="T123" t="str">
        <x:v>条件性</x:v>
      </x:c>
      <x:c r="U123" t="str">
        <x:v>条件性</x:v>
      </x:c>
      <x:c r="V123" t="str">
        <x:v>条件性</x:v>
      </x:c>
      <x:c r="W123" t="str">
        <x:v>条件性</x:v>
      </x:c>
      <x:c r="X123" t="str">
        <x:v>条件性</x:v>
      </x:c>
      <x:c r="Y123" t="str">
        <x:v>可能改变原有生克路径，须在M12复核</x:v>
      </x:c>
      <x:c r="Z123" t="str">
        <x:v>M04/M05已识别关系，柱位、完整度与参与对象已标准化</x:v>
      </x:c>
      <x:c r="AA123" t="str">
        <x:v>每个对象至少有一个支持证据和一个反向证据</x:v>
      </x:c>
      <x:c r="AB123" t="str">
        <x:v>关系相邻、得令、得地、成势且无强力反制</x:v>
      </x:c>
      <x:c r="AC123" t="str">
        <x:v>遥隔、争合、节点被其他关系牵制或双方各有强根</x:v>
      </x:c>
      <x:c r="AD123" t="str">
        <x:v>仅凭关系名称不得直接判性质改变、归零或固定吉凶</x:v>
      </x:c>
      <x:c r="AE123" t="str">
        <x:v>特殊格局或岁运动态补齐须另建实例重新裁决</x:v>
      </x:c>
      <x:c r="AF123" t="str">
        <x:v>同一关系中各对象可分别增强、减弱、冻结、激活或不变；禁止用一个结论覆盖全体。</x:v>
      </x:c>
      <x:c r="AG123" t="str">
        <x:v>对象A效应：____；对象B效应：____；对象C效应：____；主导证据：____。</x:v>
      </x:c>
      <x:c r="AH123" t="str">
        <x:v>较高</x:v>
      </x:c>
      <x:c r="AI123" t="str">
        <x:v>现代综合</x:v>
      </x:c>
      <x:c r="AJ123" t="str">
        <x:v>非对称输出是避免机械推断的核心。参考：https://zh.wikisource.org/zh-hans/滴天髓</x:v>
      </x:c>
      <x:c r="AK123" t="str">
        <x:v>寅申冲可判寅冲弱、申冲旺。</x:v>
      </x:c>
      <x:c r="AL123" t="str">
        <x:v>寅申冲统一写“双方减力”。</x:v>
      </x:c>
      <x:c r="AM123" t="str">
        <x:v>采用</x:v>
      </x:c>
      <x:c r="AN123" t="str">
        <x:v>初审</x:v>
      </x:c>
      <x:c r="AO123" s="213" t="n">
        <x:v>46255</x:v>
      </x:c>
    </x:row>
    <x:row r="124">
      <x:c r="A124" t="str">
        <x:f>IF(OR(C124="",D124=""),"",B124&amp;"-"&amp;UPPER(C124)&amp;"-"&amp;TEXT(D124,"0000")&amp;"-"&amp;E124)</x:f>
        <x:v>M06-BOUND-0118-V1.0</x:v>
      </x:c>
      <x:c r="B124" t="str">
        <x:v>M06</x:v>
      </x:c>
      <x:c r="C124" t="str">
        <x:v>BOUND</x:v>
      </x:c>
      <x:c r="D124" t="n">
        <x:v>118</x:v>
      </x:c>
      <x:c r="E124" t="str">
        <x:v>V1.0</x:v>
      </x:c>
      <x:c r="F124" t="str">
        <x:v>原局静态效应与岁运动态效应必须分层</x:v>
      </x:c>
      <x:c r="G124" t="str">
        <x:v>效应层</x:v>
      </x:c>
      <x:c r="H124" t="str">
        <x:v>M05-SUIYUN-0071-V1.0—M05-SUIYUN-0073-V1.0</x:v>
      </x:c>
      <x:c r="I124" t="str">
        <x:v>其他</x:v>
      </x:c>
      <x:c r="J124" t="str">
        <x:v>原局关系与岁运新增干支</x:v>
      </x:c>
      <x:c r="K124" t="str">
        <x:v>时间层级</x:v>
      </x:c>
      <x:c r="L124" t="str">
        <x:v>逐对象比较得令、得地、得势与相对强弱</x:v>
      </x:c>
      <x:c r="M124" t="str">
        <x:v>记录参与对象中谁得令、谁受季节支持</x:v>
      </x:c>
      <x:c r="N124" t="str">
        <x:v>记录明干及相关藏干的透出通道</x:v>
      </x:c>
      <x:c r="O124" t="str">
        <x:v>记录各对象根气层级、数量及是否唯一根</x:v>
      </x:c>
      <x:c r="P124" t="str">
        <x:v>检查同节点的合、冲、刑、害、破、会及生克</x:v>
      </x:c>
      <x:c r="Q124" t="str">
        <x:v>激活</x:v>
      </x:c>
      <x:c r="R124" t="str">
        <x:v>条件性</x:v>
      </x:c>
      <x:c r="S124" t="str">
        <x:v>强</x:v>
      </x:c>
      <x:c r="T124" t="str">
        <x:v>条件性</x:v>
      </x:c>
      <x:c r="U124" t="str">
        <x:v>条件性</x:v>
      </x:c>
      <x:c r="V124" t="str">
        <x:v>条件性</x:v>
      </x:c>
      <x:c r="W124" t="str">
        <x:v>条件性</x:v>
      </x:c>
      <x:c r="X124" t="str">
        <x:v>条件性</x:v>
      </x:c>
      <x:c r="Y124" t="str">
        <x:v>可能改变原有生克路径，须在M12复核</x:v>
      </x:c>
      <x:c r="Z124" t="str">
        <x:v>M04/M05已识别关系，柱位、完整度与参与对象已标准化</x:v>
      </x:c>
      <x:c r="AA124" t="str">
        <x:v>每个新增节点标明运或年</x:v>
      </x:c>
      <x:c r="AB124" t="str">
        <x:v>关系相邻、得令、得地、成势且无强力反制</x:v>
      </x:c>
      <x:c r="AC124" t="str">
        <x:v>遥隔、争合、节点被其他关系牵制或双方各有强根</x:v>
      </x:c>
      <x:c r="AD124" t="str">
        <x:v>仅凭关系名称不得直接判性质改变、归零或固定吉凶</x:v>
      </x:c>
      <x:c r="AE124" t="str">
        <x:v>特殊格局或岁运动态补齐须另建实例重新裁决</x:v>
      </x:c>
      <x:c r="AF124" t="str">
        <x:v>原局只保存静态关系；岁运补齐、冲合或破局应另建时间实例，不得倒写为原局永久状态。</x:v>
      </x:c>
      <x:c r="AG124" t="str">
        <x:v>原局效应：____；大运效应：____；流年效应：____；生效时段分别记录。</x:v>
      </x:c>
      <x:c r="AH124" t="str">
        <x:v>较高</x:v>
      </x:c>
      <x:c r="AI124" t="str">
        <x:v>现代综合</x:v>
      </x:c>
      <x:c r="AJ124" t="str">
        <x:v>时间层级分开可防止把阶段性引动当成先天常态。参考：https://ctext.org/wiki.pl?chapter=435028&amp;if=gb&amp;remap=gb</x:v>
      </x:c>
      <x:c r="AK124" t="str">
        <x:v>原局申辰拱水，流年子到仅流年内升级三合候选。</x:v>
      </x:c>
      <x:c r="AL124" t="str">
        <x:v>未来流年补齐便把原局永久写成完整局。</x:v>
      </x:c>
      <x:c r="AM124" t="str">
        <x:v>采用</x:v>
      </x:c>
      <x:c r="AN124" t="str">
        <x:v>初审</x:v>
      </x:c>
      <x:c r="AO124" s="213" t="n">
        <x:v>46255</x:v>
      </x:c>
    </x:row>
    <x:row r="125">
      <x:c r="A125" t="str">
        <x:f>IF(OR(C125="",D125=""),"",B125&amp;"-"&amp;UPPER(C125)&amp;"-"&amp;TEXT(D125,"0000")&amp;"-"&amp;E125)</x:f>
        <x:v>M06-BOUND-0119-V1.0</x:v>
      </x:c>
      <x:c r="B125" t="str">
        <x:v>M06</x:v>
      </x:c>
      <x:c r="C125" t="str">
        <x:v>BOUND</x:v>
      </x:c>
      <x:c r="D125" t="n">
        <x:v>119</x:v>
      </x:c>
      <x:c r="E125" t="str">
        <x:v>V1.0</x:v>
      </x:c>
      <x:c r="F125" t="str">
        <x:v>月令根气成势与叠加关系构成最低证据框架</x:v>
      </x:c>
      <x:c r="G125" t="str">
        <x:v>效应层</x:v>
      </x:c>
      <x:c r="H125" t="str">
        <x:v>M03-PROC-0020-V1.0；M03-RTCT-0040-V1.0—M03-RTCT-0045-V1.0；M03-DIM-0054-V1.0—M03-DIM-0057-V1.0；M04-BOUND-0050-V1.0；M05-BOUND-0090-V1.0</x:v>
      </x:c>
      <x:c r="I125" t="str">
        <x:v>其他</x:v>
      </x:c>
      <x:c r="J125" t="str">
        <x:v>全部关系效应</x:v>
      </x:c>
      <x:c r="K125" t="str">
        <x:v>效应证据集</x:v>
      </x:c>
      <x:c r="L125" t="str">
        <x:v>逐对象比较得令、得地、得势与相对强弱</x:v>
      </x:c>
      <x:c r="M125" t="str">
        <x:v>记录参与对象中谁得令、谁受季节支持</x:v>
      </x:c>
      <x:c r="N125" t="str">
        <x:v>记录明干及相关藏干的透出通道</x:v>
      </x:c>
      <x:c r="O125" t="str">
        <x:v>记录各对象根气层级、数量及是否唯一根</x:v>
      </x:c>
      <x:c r="P125" t="str">
        <x:v>检查同节点的合、冲、刑、害、破、会及生克</x:v>
      </x:c>
      <x:c r="Q125" t="str">
        <x:v>其他</x:v>
      </x:c>
      <x:c r="R125" t="str">
        <x:v>条件性</x:v>
      </x:c>
      <x:c r="S125" t="str">
        <x:v>强</x:v>
      </x:c>
      <x:c r="T125" t="str">
        <x:v>条件性</x:v>
      </x:c>
      <x:c r="U125" t="str">
        <x:v>条件性</x:v>
      </x:c>
      <x:c r="V125" t="str">
        <x:v>条件性</x:v>
      </x:c>
      <x:c r="W125" t="str">
        <x:v>条件性</x:v>
      </x:c>
      <x:c r="X125" t="str">
        <x:v>条件性</x:v>
      </x:c>
      <x:c r="Y125" t="str">
        <x:v>可能改变原有生克路径，须在M12复核</x:v>
      </x:c>
      <x:c r="Z125" t="str">
        <x:v>M04/M05已识别关系，柱位、完整度与参与对象已标准化</x:v>
      </x:c>
      <x:c r="AA125" t="str">
        <x:v>五项证据至少记录已知/未知，不得空缺后伪装确定</x:v>
      </x:c>
      <x:c r="AB125" t="str">
        <x:v>关系相邻、得令、得地、成势且无强力反制</x:v>
      </x:c>
      <x:c r="AC125" t="str">
        <x:v>遥隔、争合、节点被其他关系牵制或双方各有强根</x:v>
      </x:c>
      <x:c r="AD125" t="str">
        <x:v>仅凭关系名称不得直接判性质改变、归零或固定吉凶</x:v>
      </x:c>
      <x:c r="AE125" t="str">
        <x:v>特殊格局或岁运动态补齐须另建实例重新裁决</x:v>
      </x:c>
      <x:c r="AF125" t="str">
        <x:v>每条效应至少检查月令、根气、同党成势、位置和重叠关系；任何单一因素都不自动成为最终结论。</x:v>
      </x:c>
      <x:c r="AG125" t="str">
        <x:v>本效应证据已覆盖月令、根气、成势、位置、叠加五项；缺项已标记置信度下降。</x:v>
      </x:c>
      <x:c r="AH125" t="str">
        <x:v>较高</x:v>
      </x:c>
      <x:c r="AI125" t="str">
        <x:v>现代综合</x:v>
      </x:c>
      <x:c r="AJ125" t="str">
        <x:v>多证据框架用于提高可复核性。参考：https://zh.wikisource.org/zh-hans/滴天髓</x:v>
      </x:c>
      <x:c r="AK125" t="str">
        <x:v>判断巳火受刑时同时查巳是否得令、有根、透丙丁、同党及巳申合破。</x:v>
      </x:c>
      <x:c r="AL125" t="str">
        <x:v>只看三刑名称便判巳火弱。</x:v>
      </x:c>
      <x:c r="AM125" t="str">
        <x:v>采用</x:v>
      </x:c>
      <x:c r="AN125" t="str">
        <x:v>初审</x:v>
      </x:c>
      <x:c r="AO125" s="213" t="n">
        <x:v>46255</x:v>
      </x:c>
    </x:row>
    <x:row r="126">
      <x:c r="A126" t="str">
        <x:f>IF(OR(C126="",D126=""),"",B126&amp;"-"&amp;UPPER(C126)&amp;"-"&amp;TEXT(D126,"0000")&amp;"-"&amp;E126)</x:f>
        <x:v>M06-BOUND-0120-V1.0</x:v>
      </x:c>
      <x:c r="B126" t="str">
        <x:v>M06</x:v>
      </x:c>
      <x:c r="C126" t="str">
        <x:v>BOUND</x:v>
      </x:c>
      <x:c r="D126" t="n">
        <x:v>120</x:v>
      </x:c>
      <x:c r="E126" t="str">
        <x:v>V1.0</x:v>
      </x:c>
      <x:c r="F126" t="str">
        <x:v>M06只输出效应修正不得直接定喜忌用神</x:v>
      </x:c>
      <x:c r="G126" t="str">
        <x:v>效应层</x:v>
      </x:c>
      <x:c r="H126" t="str">
        <x:v>M04-BOUND-0050-V1.0；M05-BOUND-0090-V1.0</x:v>
      </x:c>
      <x:c r="I126" t="str">
        <x:v>其他</x:v>
      </x:c>
      <x:c r="J126" t="str">
        <x:v>全部干支关系</x:v>
      </x:c>
      <x:c r="K126" t="str">
        <x:v>M06输出边界</x:v>
      </x:c>
      <x:c r="L126" t="str">
        <x:v>逐对象比较得令、得地、得势与相对强弱</x:v>
      </x:c>
      <x:c r="M126" t="str">
        <x:v>记录参与对象中谁得令、谁受季节支持</x:v>
      </x:c>
      <x:c r="N126" t="str">
        <x:v>记录明干及相关藏干的透出通道</x:v>
      </x:c>
      <x:c r="O126" t="str">
        <x:v>记录各对象根气层级、数量及是否唯一根</x:v>
      </x:c>
      <x:c r="P126" t="str">
        <x:v>检查同节点的合、冲、刑、害、破、会及生克</x:v>
      </x:c>
      <x:c r="Q126" t="str">
        <x:v>其他</x:v>
      </x:c>
      <x:c r="R126" t="str">
        <x:v>条件性</x:v>
      </x:c>
      <x:c r="S126" t="str">
        <x:v>决定性</x:v>
      </x:c>
      <x:c r="T126" t="str">
        <x:v>条件性</x:v>
      </x:c>
      <x:c r="U126" t="str">
        <x:v>条件性</x:v>
      </x:c>
      <x:c r="V126" t="str">
        <x:v>条件性</x:v>
      </x:c>
      <x:c r="W126" t="str">
        <x:v>条件性</x:v>
      </x:c>
      <x:c r="X126" t="str">
        <x:v>条件性</x:v>
      </x:c>
      <x:c r="Y126" t="str">
        <x:v>强制转M08/M12，禁止越级</x:v>
      </x:c>
      <x:c r="Z126" t="str">
        <x:v>M04/M05已识别关系，柱位、完整度与参与对象已标准化</x:v>
      </x:c>
      <x:c r="AA126" t="str">
        <x:v>标准输出包含对象、效应、条件、反证与置信度</x:v>
      </x:c>
      <x:c r="AB126" t="str">
        <x:v>关系相邻、得令、得地、成势且无强力反制</x:v>
      </x:c>
      <x:c r="AC126" t="str">
        <x:v>遥隔、争合、节点被其他关系牵制或双方各有强根</x:v>
      </x:c>
      <x:c r="AD126" t="str">
        <x:v>从“有冲/有合/有刑”直接推出喜某五行或忌某五行</x:v>
      </x:c>
      <x:c r="AE126" t="str">
        <x:v>特殊格局或岁运动态补齐须另建实例重新裁决</x:v>
      </x:c>
      <x:c r="AF126" t="str">
        <x:v>M06终点是对象的增减、冻结、激活、改性、根气与流通修正；喜忌、格局和用神必须转M08—M18综合。</x:v>
      </x:c>
      <x:c r="AG126" t="str">
        <x:v>M06效应已完成，结论转入M08有效旺衰与M12流通；本层不直接输出喜忌。</x:v>
      </x:c>
      <x:c r="AH126" t="str">
        <x:v>较高</x:v>
      </x:c>
      <x:c r="AI126" t="str">
        <x:v>现代综合</x:v>
      </x:c>
      <x:c r="AJ126" t="str">
        <x:v>效应层与综合层分离可避免循环论证。参考：https://ctext.org/wiki.pl?chapter=435028&amp;if=gb&amp;remap=gb</x:v>
      </x:c>
      <x:c r="AK126" t="str">
        <x:v>寅申冲后只修正木金有效力，再由M17定喜忌。</x:v>
      </x:c>
      <x:c r="AL126" t="str">
        <x:v>见寅申冲就直接说忌金喜木。</x:v>
      </x:c>
      <x:c r="AM126" t="str">
        <x:v>采用</x:v>
      </x:c>
      <x:c r="AN126" t="str">
        <x:v>初审</x:v>
      </x:c>
      <x:c r="AO126" s="213" t="n">
        <x:v>46255</x:v>
      </x:c>
    </x:row>
  </x:sheetData>
  <x:mergeCells>
    <x:mergeCell ref="A1:O1"/>
    <x:mergeCell ref="A2:O2"/>
    <x:mergeCell ref="A3:O3"/>
    <x:mergeCell ref="A4:O4"/>
  </x:mergeCells>
  <x:conditionalFormatting sqref="A6:A105">
    <x:cfRule type="expression" dxfId="4" priority="1">
      <x:formula>AND(A6&lt;&gt;"",COUNTIF($A$6:$A$105,A6)&gt;1)</x:formula>
    </x:cfRule>
  </x:conditionalFormatting>
  <x:dataValidations count="19">
    <x:dataValidation type="list" sqref="E6:E105">
      <x:formula1>'99_下拉选项'!$BG$4:$BG$9</x:formula1>
    </x:dataValidation>
    <x:dataValidation type="list" sqref="G6:G105">
      <x:formula1>'99_下拉选项'!$F$4:$F$7</x:formula1>
    </x:dataValidation>
    <x:dataValidation type="list" sqref="I6:I105">
      <x:formula1>'99_下拉选项'!$G$4:$G$20</x:formula1>
    </x:dataValidation>
    <x:dataValidation type="list" sqref="L6:L105">
      <x:formula1>'99_下拉选项'!$U$4:$U$11</x:formula1>
    </x:dataValidation>
    <x:dataValidation type="list" sqref="Q6:Q105">
      <x:formula1>'99_下拉选项'!$L$4:$L$34</x:formula1>
    </x:dataValidation>
    <x:dataValidation type="list" sqref="R6:R105">
      <x:formula1>'99_下拉选项'!$M$4:$M$12</x:formula1>
    </x:dataValidation>
    <x:dataValidation type="list" sqref="S6:S105">
      <x:formula1>'99_下拉选项'!$N$4:$N$8</x:formula1>
    </x:dataValidation>
    <x:dataValidation type="list" sqref="T6:T105">
      <x:formula1>'99_下拉选项'!$X$4:$X$7</x:formula1>
    </x:dataValidation>
    <x:dataValidation type="list" sqref="U6:U105">
      <x:formula1>'99_下拉选项'!$X$4:$X$7</x:formula1>
    </x:dataValidation>
    <x:dataValidation type="list" sqref="V6:V105">
      <x:formula1>'99_下拉选项'!$X$4:$X$7</x:formula1>
    </x:dataValidation>
    <x:dataValidation type="list" sqref="W6:W105">
      <x:formula1>'99_下拉选项'!$X$4:$X$7</x:formula1>
    </x:dataValidation>
    <x:dataValidation type="list" sqref="X6:X105">
      <x:formula1>'99_下拉选项'!$X$4:$X$7</x:formula1>
    </x:dataValidation>
    <x:dataValidation type="list" sqref="AH6:AH105">
      <x:formula1>'99_下拉选项'!$Q$4:$Q$8</x:formula1>
    </x:dataValidation>
    <x:dataValidation type="list" sqref="AI6:AI105">
      <x:formula1>'99_下拉选项'!$R$4:$R$11</x:formula1>
    </x:dataValidation>
    <x:dataValidation type="list" sqref="AM6:AM105">
      <x:formula1>'99_下拉选项'!$S$4:$S$9</x:formula1>
    </x:dataValidation>
    <x:dataValidation type="list" sqref="AN6:AN105">
      <x:formula1>'99_下拉选项'!$T$4:$T$8</x:formula1>
    </x:dataValidation>
    <x:dataValidation type="list" sqref="E6:E126">
      <x:formula1>'99_下拉选项'!$BG$4:$BG$12</x:formula1>
    </x:dataValidation>
    <x:dataValidation type="list" sqref="E6:E130">
      <x:formula1>'99_下拉选项'!$BG$4:$BG$14</x:formula1>
    </x:dataValidation>
    <x:dataValidation type="list" sqref="E7:E126">
      <x:formula1>'99_下拉选项'!$BG$4:$BG$16</x:formula1>
    </x:dataValidation>
  </x:dataValidations>
  <x:pageMargins left="0.7" right="0.7" top="0.75" bottom="0.75" header="0.3" footer="0.3"/>
  <x:tableParts count="1">
    <x:tablePart xmlns:r="http://schemas.openxmlformats.org/officeDocument/2006/relationships" r:id="R1d6e39e2739d472d"/>
  </x:tableParts>
</x:worksheet>
</file>

<file path=xl/worksheets/sheet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2" hidden="0" customWidth="1"/>
    <x:col min="10" max="10" width="30"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16" hidden="0" customWidth="1"/>
    <x:col min="30" max="30" width="30" hidden="0" customWidth="1"/>
    <x:col min="31" max="31" width="30" hidden="0" customWidth="1"/>
    <x:col min="32" max="32" width="30" hidden="0" customWidth="1"/>
    <x:col min="33" max="33" width="13" hidden="0" customWidth="1"/>
  </x:cols>
  <x:sheetData>
    <x:row r="1" ht="28" customHeight="1">
      <x:c r="A1" s="32" t="str">
        <x:v>M07｜五行原始力量评估规则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在复杂合冲效应修正前，按季令、根气、透干、生源、同党、成势与连续生扶评估五行基础力量。本版录入80条正式规则，建立七级候选、反证机制、证据去重与容量约束；禁止机械总分代替判断。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前置依赖：M02/M03　｜　主要输出：五行原始旺衰证据与候选等级　｜　直接下游：M08/M09/M10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填写约束：一行只写一条原子规则；原始层不得提前应用合冲刑害增减与改性；月令、根、透、源、党须标注独立性与共源；参考权重不得换算固定百分比；示例行序号9999，不计入正式规则。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适用五行</x:v>
      </x:c>
      <x:c r="J5" s="61" t="str">
        <x:v>判断条件</x:v>
      </x:c>
      <x:c r="K5" s="61" t="str">
        <x:v>取值/表现</x:v>
      </x:c>
      <x:c r="L5" s="61" t="str">
        <x:v>原始力量修正</x:v>
      </x:c>
      <x:c r="M5" s="61" t="str">
        <x:v>作用方向</x:v>
      </x:c>
      <x:c r="N5" s="61" t="str">
        <x:v>参考权重</x:v>
      </x:c>
      <x:c r="O5" s="61" t="str">
        <x:v>作用等级</x:v>
      </x:c>
      <x:c r="P5" s="61" t="str">
        <x:v>前置条件</x:v>
      </x:c>
      <x:c r="Q5" s="61" t="str">
        <x:v>必要条件</x:v>
      </x:c>
      <x:c r="R5" s="61" t="str">
        <x:v>增强条件</x:v>
      </x:c>
      <x:c r="S5" s="61" t="str">
        <x:v>削弱条件</x:v>
      </x:c>
      <x:c r="T5" s="61" t="str">
        <x:v>否决条件</x:v>
      </x:c>
      <x:c r="U5" s="61" t="str">
        <x:v>例外条件</x:v>
      </x:c>
      <x:c r="V5" s="61" t="str">
        <x:v>是否可单独定性</x:v>
      </x:c>
      <x:c r="W5" s="61" t="str">
        <x:v>结论标签</x:v>
      </x:c>
      <x:c r="X5" s="61" t="str">
        <x:v>标准输出</x:v>
      </x:c>
      <x:c r="Y5" s="61" t="str">
        <x:v>置信等级</x:v>
      </x:c>
      <x:c r="Z5" s="61" t="str">
        <x:v>流派标签</x:v>
      </x:c>
      <x:c r="AA5" s="61" t="str">
        <x:v>依据说明</x:v>
      </x:c>
      <x:c r="AB5" s="61" t="str">
        <x:v>正例</x:v>
      </x:c>
      <x:c r="AC5" s="61" t="str">
        <x:v>反例</x:v>
      </x:c>
      <x:c r="AD5" s="61" t="str">
        <x:v>来源/备注</x:v>
      </x:c>
      <x:c r="AE5" s="61" t="str">
        <x:v>规则状态</x:v>
      </x:c>
      <x:c r="AF5" s="61" t="str">
        <x:v>审核状态</x:v>
      </x:c>
      <x:c r="AG5" s="61" t="str">
        <x:v>更新日期</x:v>
      </x:c>
    </x:row>
    <x:row r="6" ht="66" customHeight="1">
      <x:c r="A6" s="76" t="str">
        <x:f>IF(OR(C6="",D6=""),"",B6&amp;"-"&amp;UPPER(C6)&amp;"-"&amp;TEXT(D6,"0000")&amp;"-"&amp;E6)</x:f>
        <x:v>M07-DEMO-9999-V0.1</x:v>
      </x:c>
      <x:c r="B6" s="76" t="str">
        <x:v>M07</x:v>
      </x:c>
      <x:c r="C6" s="76" t="str">
        <x:v>DEMO</x:v>
      </x:c>
      <x:c r="D6" s="78" t="n">
        <x:v>9999</x:v>
      </x:c>
      <x:c r="E6" s="76" t="str">
        <x:v>V0.1</x:v>
      </x:c>
      <x:c r="F6" s="76" t="str">
        <x:v>得令对原始力量形成显著加权</x:v>
      </x:c>
      <x:c r="G6" s="76" t="str">
        <x:v>结构层</x:v>
      </x:c>
      <x:c r="H6" s="76" t="str">
        <x:v>得令</x:v>
      </x:c>
      <x:c r="I6" s="76" t="str">
        <x:v>水</x:v>
      </x:c>
      <x:c r="J6" s="76" t="str">
        <x:v>月令本气直接支持该五行</x:v>
      </x:c>
      <x:c r="K6" s="76" t="str">
        <x:v>季节气势明显</x:v>
      </x:c>
      <x:c r="L6" s="76" t="str">
        <x:v>提高一个或多个证据等级，具体幅度由根气与全局配合校正</x:v>
      </x:c>
      <x:c r="M6" s="76" t="str">
        <x:v>增强</x:v>
      </x:c>
      <x:c r="N6" s="76" t="str">
        <x:v>高权重但非一票定性</x:v>
      </x:c>
      <x:c r="O6" s="76" t="str">
        <x:v>强</x:v>
      </x:c>
      <x:c r="P6" s="76" t="str">
        <x:v>M03月令判定完成</x:v>
      </x:c>
      <x:c r="Q6" s="76" t="str">
        <x:v>月令对该五行形成真实支持</x:v>
      </x:c>
      <x:c r="R6" s="76" t="str">
        <x:v>透干、有根、有生源、同党成势</x:v>
      </x:c>
      <x:c r="S6" s="76" t="str">
        <x:v>无根、受强泄耗或气势不能透达</x:v>
      </x:c>
      <x:c r="T6" s="76" t="str">
        <x:v>不得仅凭得令直接判极旺</x:v>
      </x:c>
      <x:c r="U6" s="76" t="str">
        <x:v>特殊格局转入M14</x:v>
      </x:c>
      <x:c r="V6" s="76" t="str">
        <x:v>否</x:v>
      </x:c>
      <x:c r="W6" s="76" t="str">
        <x:v>原始旺衰加权</x:v>
      </x:c>
      <x:c r="X6" s="76" t="str">
        <x:v>该五行得令，原始力量明显增强；最终等级仍须合并根气、透干、生源和同党证据。</x:v>
      </x:c>
      <x:c r="Y6" s="76" t="str">
        <x:v>较高</x:v>
      </x:c>
      <x:c r="Z6" s="76" t="str">
        <x:v>旺衰扶抑</x:v>
      </x:c>
      <x:c r="AA6" s="76" t="str">
        <x:v>原始力量是后续有效力量修正的起点。</x:v>
      </x:c>
      <x:c r="AB6" s="76" t="str">
        <x:v>得令并多根透干，可进入旺或极旺候选。</x:v>
      </x:c>
      <x:c r="AC6" s="76" t="str">
        <x:v>得令但孤立无根，不应仅据此定极旺。</x:v>
      </x:c>
      <x:c r="AD6" s="76" t="str">
        <x:v>示例，仅演示字段用法</x:v>
      </x:c>
      <x:c r="AE6" s="76" t="str">
        <x:v>示例</x:v>
      </x:c>
      <x:c r="AF6" s="76" t="str">
        <x:v>未审核</x:v>
      </x:c>
      <x:c r="AG6" s="86" t="n">
        <x:v>46254</x:v>
      </x:c>
    </x:row>
    <x:row r="7">
      <x:c r="A7" s="72" t="str">
        <x:f>IF(OR(C7="",D7=""),"",B7&amp;"-"&amp;UPPER(C7)&amp;"-"&amp;TEXT(D7,"0000")&amp;"-"&amp;E7)</x:f>
        <x:v>M07-SEAS-0001-V1.0</x:v>
      </x:c>
      <x:c r="B7" s="74" t="str">
        <x:v>M07</x:v>
      </x:c>
      <x:c r="C7" s="74" t="str">
        <x:v>SEAS</x:v>
      </x:c>
      <x:c r="D7" s="79" t="n">
        <x:v>1</x:v>
      </x:c>
      <x:c r="E7" s="74" t="str">
        <x:v>V1.0</x:v>
      </x:c>
      <x:c r="F7" s="68" t="str">
        <x:v>月令本气同类构成最高等级季令支持</x:v>
      </x:c>
      <x:c r="G7" s="82" t="str">
        <x:v>结构层</x:v>
      </x:c>
      <x:c r="H7" s="68" t="str">
        <x:v>季令/得令</x:v>
      </x:c>
      <x:c r="I7" s="82"/>
      <x:c r="J7" s="68" t="str">
        <x:v>目标五行与月支本气五行相同</x:v>
      </x:c>
      <x:c r="K7" s="68" t="str">
        <x:v>旺令或本气得令</x:v>
      </x:c>
      <x:c r="L7" s="68" t="str">
        <x:v>将季令证据记为强正向，但不直接确定最终旺衰</x:v>
      </x:c>
      <x:c r="M7" s="82" t="str">
        <x:v>增强</x:v>
      </x:c>
      <x:c r="N7" s="68" t="str">
        <x:v>高</x:v>
      </x:c>
      <x:c r="O7" s="82" t="str">
        <x:v>强</x:v>
      </x:c>
      <x:c r="P7" s="68" t="str">
        <x:v>M03已完成节气定月与月支本气识别</x:v>
      </x:c>
      <x:c r="Q7" s="68" t="str">
        <x:v>出生时刻不在交节误差内，月支本气与目标五行同类</x:v>
      </x:c>
      <x:c r="R7" s="68" t="str">
        <x:v>目标五行同时透干、通根、得生或有同党</x:v>
      </x:c>
      <x:c r="S7" s="68" t="str">
        <x:v>目标五行虽得令但孤立、无根、无透且大量泄耗证据待M08修正</x:v>
      </x:c>
      <x:c r="T7" s="90" t="str">
        <x:v>不得把月令本气同类直接等同于极旺</x:v>
      </x:c>
      <x:c r="U7" s="68" t="str">
        <x:v>从格、化气格等特殊结构另由M14裁决</x:v>
      </x:c>
      <x:c r="V7" s="82" t="str">
        <x:v>否</x:v>
      </x:c>
      <x:c r="W7" s="84" t="str">
        <x:v>季令强支持</x:v>
      </x:c>
      <x:c r="X7" s="84" t="str">
        <x:v>目标五行得月令本气支持，原始力量获得最高等级季令加权；仍须合并根、透、源、党判断。</x:v>
      </x:c>
      <x:c r="Y7" s="82" t="str">
        <x:v>较高</x:v>
      </x:c>
      <x:c r="Z7" s="82" t="str">
        <x:v>旺衰扶抑</x:v>
      </x:c>
      <x:c r="AA7" s="68" t="str">
        <x:v>月令是原始气势的首要环境证据，但不是唯一证据。</x:v>
      </x:c>
      <x:c r="AB7" s="68" t="str">
        <x:v>寅月评木，木得本气季令支持，并见寅卯根与甲乙透出，可进入旺候选。</x:v>
      </x:c>
      <x:c r="AC7" s="90" t="str">
        <x:v>寅月只见一枚无根甲木，便仅凭得令判极旺。</x:v>
      </x:c>
      <x:c r="AD7" s="68" t="str">
        <x:v>https://zh.wikisource.org/wiki/三命通會/卷二；https://zh.wikisource.org/zh-hans/淵海子平</x:v>
      </x:c>
      <x:c r="AE7" s="82" t="str">
        <x:v>采用</x:v>
      </x:c>
      <x:c r="AF7" s="82" t="str">
        <x:v>初审</x:v>
      </x:c>
      <x:c r="AG7" s="87" t="n">
        <x:v>46255</x:v>
      </x:c>
    </x:row>
    <x:row r="8">
      <x:c r="A8" s="72" t="str">
        <x:f>IF(OR(C8="",D8=""),"",B8&amp;"-"&amp;UPPER(C8)&amp;"-"&amp;TEXT(D8,"0000")&amp;"-"&amp;E8)</x:f>
        <x:v>M07-SEAS-0002-V1.0</x:v>
      </x:c>
      <x:c r="B8" s="74" t="str">
        <x:v>M07</x:v>
      </x:c>
      <x:c r="C8" s="74" t="str">
        <x:v>SEAS</x:v>
      </x:c>
      <x:c r="D8" s="79" t="n">
        <x:v>2</x:v>
      </x:c>
      <x:c r="E8" s="74" t="str">
        <x:v>V1.0</x:v>
      </x:c>
      <x:c r="F8" s="68" t="str">
        <x:v>月令藏中气或余气同类只形成次级季令支持</x:v>
      </x:c>
      <x:c r="G8" s="82" t="str">
        <x:v>结构层</x:v>
      </x:c>
      <x:c r="H8" s="68" t="str">
        <x:v>季令/杂气</x:v>
      </x:c>
      <x:c r="I8" s="82"/>
      <x:c r="J8" s="68" t="str">
        <x:v>目标五行仅见于月支中气或余气，而非月支本气</x:v>
      </x:c>
      <x:c r="K8" s="68" t="str">
        <x:v>杂气得时或余气支持</x:v>
      </x:c>
      <x:c r="L8" s="68" t="str">
        <x:v>保留弱至中等季令正证，不按本气得令处理</x:v>
      </x:c>
      <x:c r="M8" s="82" t="str">
        <x:v>增强</x:v>
      </x:c>
      <x:c r="N8" s="68" t="str">
        <x:v>中</x:v>
      </x:c>
      <x:c r="O8" s="82" t="str">
        <x:v>中</x:v>
      </x:c>
      <x:c r="P8" s="68" t="str">
        <x:v>M03已标注月支藏干层级</x:v>
      </x:c>
      <x:c r="Q8" s="68" t="str">
        <x:v>目标五行确为月支中气或余气</x:v>
      </x:c>
      <x:c r="R8" s="68" t="str">
        <x:v>该藏干透出、在他支另有本气根或获生源</x:v>
      </x:c>
      <x:c r="S8" s="68" t="str">
        <x:v>藏气不透、无同党、处于季节衰退段</x:v>
      </x:c>
      <x:c r="T8" s="90" t="str">
        <x:v>不得把月支中余气写成与本气同等得令</x:v>
      </x:c>
      <x:c r="U8" s="68" t="str">
        <x:v>具体司令分日有流派差异时转M21</x:v>
      </x:c>
      <x:c r="V8" s="82" t="str">
        <x:v>否</x:v>
      </x:c>
      <x:c r="W8" s="84" t="str">
        <x:v>季令次级支持</x:v>
      </x:c>
      <x:c r="X8" s="84" t="str">
        <x:v>目标五行仅得月令中气或余气支持，原始力量有季节落点，但低于月支本气得令。</x:v>
      </x:c>
      <x:c r="Y8" s="82" t="str">
        <x:v>较高</x:v>
      </x:c>
      <x:c r="Z8" s="82" t="str">
        <x:v>现代综合</x:v>
      </x:c>
      <x:c r="AA8" s="68" t="str">
        <x:v>杂气月中不同藏气均可作为证据，但层级不能混同。</x:v>
      </x:c>
      <x:c r="AB8" s="68" t="str">
        <x:v>辰月评水，癸为余气且另见亥子根，可保留次级季令支持。</x:v>
      </x:c>
      <x:c r="AC8" s="90" t="str">
        <x:v>辰月见癸余气即按水当令旺论。</x:v>
      </x:c>
      <x:c r="AD8" s="68" t="str">
        <x:v>https://zh.wikisource.org/wiki/三命通會/卷二；https://zh.wikisource.org/zh-hans/淵海子平</x:v>
      </x:c>
      <x:c r="AE8" s="82" t="str">
        <x:v>采用</x:v>
      </x:c>
      <x:c r="AF8" s="82" t="str">
        <x:v>初审</x:v>
      </x:c>
      <x:c r="AG8" s="87" t="n">
        <x:v>46255</x:v>
      </x:c>
    </x:row>
    <x:row r="9">
      <x:c r="A9" s="72" t="str">
        <x:f>IF(OR(C9="",D9=""),"",B9&amp;"-"&amp;UPPER(C9)&amp;"-"&amp;TEXT(D9,"0000")&amp;"-"&amp;E9)</x:f>
        <x:v>M07-SEAS-0003-V1.0</x:v>
      </x:c>
      <x:c r="B9" s="74" t="str">
        <x:v>M07</x:v>
      </x:c>
      <x:c r="C9" s="74" t="str">
        <x:v>SEAS</x:v>
      </x:c>
      <x:c r="D9" s="79" t="n">
        <x:v>3</x:v>
      </x:c>
      <x:c r="E9" s="74" t="str">
        <x:v>V1.0</x:v>
      </x:c>
      <x:c r="F9" s="68" t="str">
        <x:v>旺相休囚死之旺为强正向季节证据</x:v>
      </x:c>
      <x:c r="G9" s="82" t="str">
        <x:v>结构层</x:v>
      </x:c>
      <x:c r="H9" s="68" t="str">
        <x:v>季令/旺相休囚死</x:v>
      </x:c>
      <x:c r="I9" s="82"/>
      <x:c r="J9" s="68" t="str">
        <x:v>按M03五行季节关系判定目标五行为旺</x:v>
      </x:c>
      <x:c r="K9" s="68" t="str">
        <x:v>旺</x:v>
      </x:c>
      <x:c r="L9" s="68" t="str">
        <x:v>季令证据显著增强，可提高原始旺衰候选但不可越级定极旺</x:v>
      </x:c>
      <x:c r="M9" s="82" t="str">
        <x:v>增强</x:v>
      </x:c>
      <x:c r="N9" s="68" t="str">
        <x:v>高</x:v>
      </x:c>
      <x:c r="O9" s="82" t="str">
        <x:v>强</x:v>
      </x:c>
      <x:c r="P9" s="68" t="str">
        <x:v>M03旺相休囚死映射完成</x:v>
      </x:c>
      <x:c r="Q9" s="68" t="str">
        <x:v>目标五行与当令五行同类</x:v>
      </x:c>
      <x:c r="R9" s="68" t="str">
        <x:v>有根、透干、同党或连续生扶</x:v>
      </x:c>
      <x:c r="S9" s="68" t="str">
        <x:v>无根无源且仅单点出现</x:v>
      </x:c>
      <x:c r="T9" s="90" t="str">
        <x:v>不得与“月令本气同类”重复全额加权</x:v>
      </x:c>
      <x:c r="U9" s="68" t="str">
        <x:v>月令杂气与节气边界争议另行标注</x:v>
      </x:c>
      <x:c r="V9" s="82" t="str">
        <x:v>否</x:v>
      </x:c>
      <x:c r="W9" s="84" t="str">
        <x:v>旺令证据</x:v>
      </x:c>
      <x:c r="X9" s="84" t="str">
        <x:v>目标五行处于季节之旺，原始力量获得强正向证据；与月令同类事实合并而非重复计权。</x:v>
      </x:c>
      <x:c r="Y9" s="82" t="str">
        <x:v>较高</x:v>
      </x:c>
      <x:c r="Z9" s="82" t="str">
        <x:v>旺衰扶抑</x:v>
      </x:c>
      <x:c r="AA9" s="68" t="str">
        <x:v>旺是季节状态标签，需与根透源党合并。</x:v>
      </x:c>
      <x:c r="AB9" s="68" t="str">
        <x:v>亥子月水旺，壬癸多透又有亥子根，水原始力量明显偏强。</x:v>
      </x:c>
      <x:c r="AC9" s="90" t="str">
        <x:v>水旺季仅一枚辰中癸余气，也直接判水极旺。</x:v>
      </x:c>
      <x:c r="AD9" s="68" t="str">
        <x:v>https://zh.wikisource.org/zh-hans/淵海子平；https://zh.wikisource.org/zh-hans/滴天髓</x:v>
      </x:c>
      <x:c r="AE9" s="82" t="str">
        <x:v>采用</x:v>
      </x:c>
      <x:c r="AF9" s="82" t="str">
        <x:v>初审</x:v>
      </x:c>
      <x:c r="AG9" s="87" t="n">
        <x:v>46255</x:v>
      </x:c>
    </x:row>
    <x:row r="10">
      <x:c r="A10" s="72" t="str">
        <x:f>IF(OR(C10="",D10=""),"",B10&amp;"-"&amp;UPPER(C10)&amp;"-"&amp;TEXT(D10,"0000")&amp;"-"&amp;E10)</x:f>
        <x:v>M07-SEAS-0004-V1.0</x:v>
      </x:c>
      <x:c r="B10" s="74" t="str">
        <x:v>M07</x:v>
      </x:c>
      <x:c r="C10" s="74" t="str">
        <x:v>SEAS</x:v>
      </x:c>
      <x:c r="D10" s="79" t="n">
        <x:v>4</x:v>
      </x:c>
      <x:c r="E10" s="74" t="str">
        <x:v>V1.0</x:v>
      </x:c>
      <x:c r="F10" s="68" t="str">
        <x:v>旺相休囚死之相为中高等级正向季节证据</x:v>
      </x:c>
      <x:c r="G10" s="82" t="str">
        <x:v>结构层</x:v>
      </x:c>
      <x:c r="H10" s="68" t="str">
        <x:v>季令/旺相休囚死</x:v>
      </x:c>
      <x:c r="I10" s="82"/>
      <x:c r="J10" s="68" t="str">
        <x:v>按M03五行季节关系判定目标五行为相</x:v>
      </x:c>
      <x:c r="K10" s="68" t="str">
        <x:v>相</x:v>
      </x:c>
      <x:c r="L10" s="68" t="str">
        <x:v>给予次于旺令的季节支持</x:v>
      </x:c>
      <x:c r="M10" s="82" t="str">
        <x:v>增强</x:v>
      </x:c>
      <x:c r="N10" s="68" t="str">
        <x:v>中高</x:v>
      </x:c>
      <x:c r="O10" s="82" t="str">
        <x:v>中</x:v>
      </x:c>
      <x:c r="P10" s="68" t="str">
        <x:v>M03旺相休囚死映射完成</x:v>
      </x:c>
      <x:c r="Q10" s="68" t="str">
        <x:v>当令五行能够生目标五行</x:v>
      </x:c>
      <x:c r="R10" s="68" t="str">
        <x:v>目标五行有根、透干且生源本身得令</x:v>
      </x:c>
      <x:c r="S10" s="68" t="str">
        <x:v>生源虽当令但目标无根无透或生路过长</x:v>
      </x:c>
      <x:c r="T10" s="90" t="str">
        <x:v>不得把相等同于目标五行自身当令</x:v>
      </x:c>
      <x:c r="U10" s="68" t="str">
        <x:v>若生源被M06/M08判失效，转M08下调</x:v>
      </x:c>
      <x:c r="V10" s="82" t="str">
        <x:v>否</x:v>
      </x:c>
      <x:c r="W10" s="84" t="str">
        <x:v>相令证据</x:v>
      </x:c>
      <x:c r="X10" s="84" t="str">
        <x:v>目标五行得当令五行所生，属于相令，原始力量获得中高等级季节支持。</x:v>
      </x:c>
      <x:c r="Y10" s="82" t="str">
        <x:v>较高</x:v>
      </x:c>
      <x:c r="Z10" s="82" t="str">
        <x:v>旺衰扶抑</x:v>
      </x:c>
      <x:c r="AA10" s="68" t="str">
        <x:v>相表示季节环境能生目标，但仍弱于同类当令。</x:v>
      </x:c>
      <x:c r="AB10" s="68" t="str">
        <x:v>冬月水旺生木，甲乙有寅卯根时，木可获相令支持。</x:v>
      </x:c>
      <x:c r="AC10" s="90" t="str">
        <x:v>冬月木无根无透，仅因水旺便判木旺。</x:v>
      </x:c>
      <x:c r="AD10" s="68" t="str">
        <x:v>https://zh.wikisource.org/zh-hans/淵海子平；https://zh.wikisource.org/zh-hans/滴天髓</x:v>
      </x:c>
      <x:c r="AE10" s="82" t="str">
        <x:v>采用</x:v>
      </x:c>
      <x:c r="AF10" s="82" t="str">
        <x:v>初审</x:v>
      </x:c>
      <x:c r="AG10" s="87" t="n">
        <x:v>46255</x:v>
      </x:c>
    </x:row>
    <x:row r="11">
      <x:c r="A11" s="72" t="str">
        <x:f>IF(OR(C11="",D11=""),"",B11&amp;"-"&amp;UPPER(C11)&amp;"-"&amp;TEXT(D11,"0000")&amp;"-"&amp;E11)</x:f>
        <x:v>M07-SEAS-0005-V1.0</x:v>
      </x:c>
      <x:c r="B11" s="74" t="str">
        <x:v>M07</x:v>
      </x:c>
      <x:c r="C11" s="74" t="str">
        <x:v>SEAS</x:v>
      </x:c>
      <x:c r="D11" s="79" t="n">
        <x:v>5</x:v>
      </x:c>
      <x:c r="E11" s="74" t="str">
        <x:v>V1.0</x:v>
      </x:c>
      <x:c r="F11" s="68" t="str">
        <x:v>旺相休囚死之休表示季节支持有限</x:v>
      </x:c>
      <x:c r="G11" s="82" t="str">
        <x:v>结构层</x:v>
      </x:c>
      <x:c r="H11" s="68" t="str">
        <x:v>季令/旺相休囚死</x:v>
      </x:c>
      <x:c r="I11" s="82"/>
      <x:c r="J11" s="68" t="str">
        <x:v>按M03五行季节关系判定目标五行为休</x:v>
      </x:c>
      <x:c r="K11" s="68" t="str">
        <x:v>休</x:v>
      </x:c>
      <x:c r="L11" s="68" t="str">
        <x:v>季令不作正向加权，并记录目标向当令五行泄出的环境倾向</x:v>
      </x:c>
      <x:c r="M11" s="82" t="str">
        <x:v>减弱</x:v>
      </x:c>
      <x:c r="N11" s="68" t="str">
        <x:v>中</x:v>
      </x:c>
      <x:c r="O11" s="82" t="str">
        <x:v>中</x:v>
      </x:c>
      <x:c r="P11" s="68" t="str">
        <x:v>M03旺相休囚死映射完成</x:v>
      </x:c>
      <x:c r="Q11" s="68" t="str">
        <x:v>目标五行生当令五行</x:v>
      </x:c>
      <x:c r="R11" s="68" t="str">
        <x:v>目标有多根、多透、强生源与同党，可抵消季节不利</x:v>
      </x:c>
      <x:c r="S11" s="68" t="str">
        <x:v>目标孤立、无根、主要力量持续生向月令</x:v>
      </x:c>
      <x:c r="T11" s="90" t="str">
        <x:v>不得把休直接解释为无力或不存在</x:v>
      </x:c>
      <x:c r="U11" s="68" t="str">
        <x:v>特殊格局中泄秀可能有结构价值，但不改变原始季令证据</x:v>
      </x:c>
      <x:c r="V11" s="82" t="str">
        <x:v>否</x:v>
      </x:c>
      <x:c r="W11" s="84" t="str">
        <x:v>休令证据</x:v>
      </x:c>
      <x:c r="X11" s="84" t="str">
        <x:v>目标五行处于休令，季节支持有限；是否仍旺须看根、透、源、党能否形成反向证据。</x:v>
      </x:c>
      <x:c r="Y11" s="82" t="str">
        <x:v>较高</x:v>
      </x:c>
      <x:c r="Z11" s="82" t="str">
        <x:v>旺衰扶抑</x:v>
      </x:c>
      <x:c r="AA11" s="68" t="str">
        <x:v>休是季节不占优势，不是力量清零。</x:v>
      </x:c>
      <x:c r="AB11" s="68" t="str">
        <x:v>夏月木休，但寅卯成片、甲乙多透，木仍可原始偏旺。</x:v>
      </x:c>
      <x:c r="AC11" s="90" t="str">
        <x:v>夏月见木休便一概判木弱。</x:v>
      </x:c>
      <x:c r="AD11" s="68" t="str">
        <x:v>https://zh.wikisource.org/zh-hans/淵海子平；https://zh.wikisource.org/zh-hans/滴天髓</x:v>
      </x:c>
      <x:c r="AE11" s="82" t="str">
        <x:v>采用</x:v>
      </x:c>
      <x:c r="AF11" s="82" t="str">
        <x:v>初审</x:v>
      </x:c>
      <x:c r="AG11" s="87" t="n">
        <x:v>46255</x:v>
      </x:c>
    </x:row>
    <x:row r="12">
      <x:c r="A12" s="72" t="str">
        <x:f>IF(OR(C12="",D12=""),"",B12&amp;"-"&amp;UPPER(C12)&amp;"-"&amp;TEXT(D12,"0000")&amp;"-"&amp;E12)</x:f>
        <x:v>M07-SEAS-0006-V1.0</x:v>
      </x:c>
      <x:c r="B12" s="74" t="str">
        <x:v>M07</x:v>
      </x:c>
      <x:c r="C12" s="74" t="str">
        <x:v>SEAS</x:v>
      </x:c>
      <x:c r="D12" s="79" t="n">
        <x:v>6</x:v>
      </x:c>
      <x:c r="E12" s="74" t="str">
        <x:v>V1.0</x:v>
      </x:c>
      <x:c r="F12" s="68" t="str">
        <x:v>旺相休囚死之囚为明确不利季节证据</x:v>
      </x:c>
      <x:c r="G12" s="82" t="str">
        <x:v>结构层</x:v>
      </x:c>
      <x:c r="H12" s="68" t="str">
        <x:v>季令/旺相休囚死</x:v>
      </x:c>
      <x:c r="I12" s="82"/>
      <x:c r="J12" s="68" t="str">
        <x:v>按M03五行季节关系判定目标五行为囚</x:v>
      </x:c>
      <x:c r="K12" s="68" t="str">
        <x:v>囚</x:v>
      </x:c>
      <x:c r="L12" s="68" t="str">
        <x:v>下调季令支持，记录目标需耗力制约当令五行</x:v>
      </x:c>
      <x:c r="M12" s="82" t="str">
        <x:v>减弱</x:v>
      </x:c>
      <x:c r="N12" s="68" t="str">
        <x:v>中高</x:v>
      </x:c>
      <x:c r="O12" s="82" t="str">
        <x:v>中</x:v>
      </x:c>
      <x:c r="P12" s="68" t="str">
        <x:v>M03旺相休囚死映射完成</x:v>
      </x:c>
      <x:c r="Q12" s="68" t="str">
        <x:v>目标五行克当令五行</x:v>
      </x:c>
      <x:c r="R12" s="68" t="str">
        <x:v>目标多根多透且有强生源，可形成反季节力量</x:v>
      </x:c>
      <x:c r="S12" s="68" t="str">
        <x:v>目标无根、无源，仅孤干或弱藏</x:v>
      </x:c>
      <x:c r="T12" s="90" t="str">
        <x:v>不得仅凭囚令直接判极弱</x:v>
      </x:c>
      <x:c r="U12" s="68" t="str">
        <x:v>目标成专旺或从势候选时转M14</x:v>
      </x:c>
      <x:c r="V12" s="82" t="str">
        <x:v>否</x:v>
      </x:c>
      <x:c r="W12" s="84" t="str">
        <x:v>囚令证据</x:v>
      </x:c>
      <x:c r="X12" s="84" t="str">
        <x:v>目标五行处于囚令，季节环境不利，原始力量需由强根、透干和生源补偿。</x:v>
      </x:c>
      <x:c r="Y12" s="82" t="str">
        <x:v>较高</x:v>
      </x:c>
      <x:c r="Z12" s="82" t="str">
        <x:v>旺衰扶抑</x:v>
      </x:c>
      <x:c r="AA12" s="68" t="str">
        <x:v>囚令强调环境消耗，不否定其他来源。</x:v>
      </x:c>
      <x:c r="AB12" s="68" t="str">
        <x:v>春月土囚，但辰戌丑未多见并戊己透出，土仍可能有力。</x:v>
      </x:c>
      <x:c r="AC12" s="90" t="str">
        <x:v>春月土囚即无视多重土根而判极弱。</x:v>
      </x:c>
      <x:c r="AD12" s="68" t="str">
        <x:v>https://zh.wikisource.org/zh-hans/淵海子平；https://zh.wikisource.org/zh-hans/滴天髓</x:v>
      </x:c>
      <x:c r="AE12" s="82" t="str">
        <x:v>采用</x:v>
      </x:c>
      <x:c r="AF12" s="82" t="str">
        <x:v>初审</x:v>
      </x:c>
      <x:c r="AG12" s="87" t="n">
        <x:v>46255</x:v>
      </x:c>
    </x:row>
    <x:row r="13">
      <x:c r="A13" s="72" t="str">
        <x:f>IF(OR(C13="",D13=""),"",B13&amp;"-"&amp;UPPER(C13)&amp;"-"&amp;TEXT(D13,"0000")&amp;"-"&amp;E13)</x:f>
        <x:v>M07-SEAS-0007-V1.0</x:v>
      </x:c>
      <x:c r="B13" s="74" t="str">
        <x:v>M07</x:v>
      </x:c>
      <x:c r="C13" s="74" t="str">
        <x:v>SEAS</x:v>
      </x:c>
      <x:c r="D13" s="79" t="n">
        <x:v>7</x:v>
      </x:c>
      <x:c r="E13" s="74" t="str">
        <x:v>V1.0</x:v>
      </x:c>
      <x:c r="F13" s="68" t="str">
        <x:v>旺相休囚死之死为最高等级负向季节证据</x:v>
      </x:c>
      <x:c r="G13" s="82" t="str">
        <x:v>结构层</x:v>
      </x:c>
      <x:c r="H13" s="68" t="str">
        <x:v>季令/旺相休囚死</x:v>
      </x:c>
      <x:c r="I13" s="82"/>
      <x:c r="J13" s="68" t="str">
        <x:v>按M03五行季节关系判定目标五行为死</x:v>
      </x:c>
      <x:c r="K13" s="68" t="str">
        <x:v>死</x:v>
      </x:c>
      <x:c r="L13" s="68" t="str">
        <x:v>给予强负向季令证据，但不删除根气与透干</x:v>
      </x:c>
      <x:c r="M13" s="82" t="str">
        <x:v>减弱</x:v>
      </x:c>
      <x:c r="N13" s="68" t="str">
        <x:v>高</x:v>
      </x:c>
      <x:c r="O13" s="82" t="str">
        <x:v>强</x:v>
      </x:c>
      <x:c r="P13" s="68" t="str">
        <x:v>M03旺相休囚死映射完成</x:v>
      </x:c>
      <x:c r="Q13" s="68" t="str">
        <x:v>当令五行克目标五行</x:v>
      </x:c>
      <x:c r="R13" s="68" t="str">
        <x:v>目标有多重本气根、强生源、透干成党</x:v>
      </x:c>
      <x:c r="S13" s="68" t="str">
        <x:v>目标无根无源且只见余气或孤干</x:v>
      </x:c>
      <x:c r="T13" s="90" t="str">
        <x:v>不得把死令直接等同于不存在或必极弱</x:v>
      </x:c>
      <x:c r="U13" s="68" t="str">
        <x:v>特殊成势结构另由M14验证</x:v>
      </x:c>
      <x:c r="V13" s="82" t="str">
        <x:v>否</x:v>
      </x:c>
      <x:c r="W13" s="84" t="str">
        <x:v>死令证据</x:v>
      </x:c>
      <x:c r="X13" s="84" t="str">
        <x:v>目标五行处于死令，季节环境强烈不利；若无根、无源、无党，才接近极弱候选。</x:v>
      </x:c>
      <x:c r="Y13" s="82" t="str">
        <x:v>较高</x:v>
      </x:c>
      <x:c r="Z13" s="82" t="str">
        <x:v>旺衰扶抑</x:v>
      </x:c>
      <x:c r="AA13" s="68" t="str">
        <x:v>死令是强负证据，仍须接受根气与成势反证。</x:v>
      </x:c>
      <x:c r="AB13" s="68" t="str">
        <x:v>秋月木死且无寅卯亥根、甲乙不透，可进入极弱候选。</x:v>
      </x:c>
      <x:c r="AC13" s="90" t="str">
        <x:v>秋月木死但寅卯成片、壬癸生木，仍判木不存在。</x:v>
      </x:c>
      <x:c r="AD13" s="68" t="str">
        <x:v>https://zh.wikisource.org/zh-hans/淵海子平；https://zh.wikisource.org/zh-hans/滴天髓</x:v>
      </x:c>
      <x:c r="AE13" s="82" t="str">
        <x:v>采用</x:v>
      </x:c>
      <x:c r="AF13" s="82" t="str">
        <x:v>初审</x:v>
      </x:c>
      <x:c r="AG13" s="87" t="n">
        <x:v>46255</x:v>
      </x:c>
    </x:row>
    <x:row r="14">
      <x:c r="A14" s="72" t="str">
        <x:f>IF(OR(C14="",D14=""),"",B14&amp;"-"&amp;UPPER(C14)&amp;"-"&amp;TEXT(D14,"0000")&amp;"-"&amp;E14)</x:f>
        <x:v>M07-SEAS-0008-V1.0</x:v>
      </x:c>
      <x:c r="B14" s="74" t="str">
        <x:v>M07</x:v>
      </x:c>
      <x:c r="C14" s="74" t="str">
        <x:v>SEAS</x:v>
      </x:c>
      <x:c r="D14" s="79" t="n">
        <x:v>8</x:v>
      </x:c>
      <x:c r="E14" s="74" t="str">
        <x:v>V1.0</x:v>
      </x:c>
      <x:c r="F14" s="68" t="str">
        <x:v>辰戌丑未月须同时记录土本气与杂气证据</x:v>
      </x:c>
      <x:c r="G14" s="82" t="str">
        <x:v>结构层</x:v>
      </x:c>
      <x:c r="H14" s="68" t="str">
        <x:v>季令/四季土月</x:v>
      </x:c>
      <x:c r="I14" s="82" t="str">
        <x:v>土</x:v>
      </x:c>
      <x:c r="J14" s="68" t="str">
        <x:v>月支为辰、戌、丑、未</x:v>
      </x:c>
      <x:c r="K14" s="68" t="str">
        <x:v>土得本气，其他藏气保留次级季令证据</x:v>
      </x:c>
      <x:c r="L14" s="68" t="str">
        <x:v>土获强季令支持；木火金水按藏气层级与节气段另记辅助证据</x:v>
      </x:c>
      <x:c r="M14" s="82" t="str">
        <x:v>条件性</x:v>
      </x:c>
      <x:c r="N14" s="68" t="str">
        <x:v>高</x:v>
      </x:c>
      <x:c r="O14" s="82" t="str">
        <x:v>强</x:v>
      </x:c>
      <x:c r="P14" s="68" t="str">
        <x:v>M03已识别四季月及藏干层级</x:v>
      </x:c>
      <x:c r="Q14" s="68" t="str">
        <x:v>不得省略月支本气土与中余气的并存事实</x:v>
      </x:c>
      <x:c r="R14" s="68" t="str">
        <x:v>目标藏气透出、在他支另得根、接近相应节气阶段</x:v>
      </x:c>
      <x:c r="S14" s="68" t="str">
        <x:v>目标仅余气且无透无根</x:v>
      </x:c>
      <x:c r="T14" s="90" t="str">
        <x:v>不得把四季月简化为“只有土有效”或“所有藏气同权”</x:v>
      </x:c>
      <x:c r="U14" s="68" t="str">
        <x:v>司令分日及进退气细则存在流派差异，转M21管理</x:v>
      </x:c>
      <x:c r="V14" s="82" t="str">
        <x:v>否</x:v>
      </x:c>
      <x:c r="W14" s="84" t="str">
        <x:v>四季月复合证据</x:v>
      </x:c>
      <x:c r="X14" s="84" t="str">
        <x:v>四季土月先确认土的本气优势，再分别保留月支中余气对其他五行的次级支持。</x:v>
      </x:c>
      <x:c r="Y14" s="82" t="str">
        <x:v>中等</x:v>
      </x:c>
      <x:c r="Z14" s="82" t="str">
        <x:v>现代综合</x:v>
      </x:c>
      <x:c r="AA14" s="68" t="str">
        <x:v>四季月是复合气场，需分层而非单一化。</x:v>
      </x:c>
      <x:c r="AB14" s="68" t="str">
        <x:v>丑月土得本气，癸水与辛金仍可作为月令藏气证据，强度另判。</x:v>
      </x:c>
      <x:c r="AC14" s="90" t="str">
        <x:v>丑月直接把癸辛视为不存在，或与己土等权。</x:v>
      </x:c>
      <x:c r="AD14" s="68" t="str">
        <x:v>https://zh.wikisource.org/wiki/三命通會/卷二；https://zh.wikisource.org/zh-hans/淵海子平</x:v>
      </x:c>
      <x:c r="AE14" s="82" t="str">
        <x:v>待验证</x:v>
      </x:c>
      <x:c r="AF14" s="82" t="str">
        <x:v>初审</x:v>
      </x:c>
      <x:c r="AG14" s="87" t="n">
        <x:v>46255</x:v>
      </x:c>
    </x:row>
    <x:row r="15">
      <x:c r="A15" s="72" t="str">
        <x:f>IF(OR(C15="",D15=""),"",B15&amp;"-"&amp;UPPER(C15)&amp;"-"&amp;TEXT(D15,"0000")&amp;"-"&amp;E15)</x:f>
        <x:v>M07-SEAS-0009-V1.0</x:v>
      </x:c>
      <x:c r="B15" s="74" t="str">
        <x:v>M07</x:v>
      </x:c>
      <x:c r="C15" s="74" t="str">
        <x:v>SEAS</x:v>
      </x:c>
      <x:c r="D15" s="79" t="n">
        <x:v>9</x:v>
      </x:c>
      <x:c r="E15" s="74" t="str">
        <x:v>V1.0</x:v>
      </x:c>
      <x:c r="F15" s="68" t="str">
        <x:v>交节附近必须先核准月令再评季令强弱</x:v>
      </x:c>
      <x:c r="G15" s="82" t="str">
        <x:v>结构层</x:v>
      </x:c>
      <x:c r="H15" s="68" t="str">
        <x:v>季令/程序</x:v>
      </x:c>
      <x:c r="I15" s="82"/>
      <x:c r="J15" s="68" t="str">
        <x:v>出生时刻接近节气交接</x:v>
      </x:c>
      <x:c r="K15" s="68" t="str">
        <x:v>月令存在边界风险</x:v>
      </x:c>
      <x:c r="L15" s="68" t="str">
        <x:v>暂缓季令定性，要求核对时区、真太阳时口径与交节时刻</x:v>
      </x:c>
      <x:c r="M15" s="82" t="str">
        <x:v>条件性</x:v>
      </x:c>
      <x:c r="N15" s="68" t="str">
        <x:v>高</x:v>
      </x:c>
      <x:c r="O15" s="82" t="str">
        <x:v>决定性</x:v>
      </x:c>
      <x:c r="P15" s="68" t="str">
        <x:v>具有准确出生时间与地点</x:v>
      </x:c>
      <x:c r="Q15" s="68" t="str">
        <x:v>月令边界尚未核准时不得输出确定季令结论</x:v>
      </x:c>
      <x:c r="R15" s="68" t="str">
        <x:v>权威历表与时区信息一致</x:v>
      </x:c>
      <x:c r="S15" s="68" t="str">
        <x:v>时间只到日期、地点不明或夏令时口径不清</x:v>
      </x:c>
      <x:c r="T15" s="90" t="str">
        <x:v>禁止以公历月份或农历初一替代节气月令</x:v>
      </x:c>
      <x:c r="U15" s="68" t="str">
        <x:v>若两种月令均可能，建立双分支测试</x:v>
      </x:c>
      <x:c r="V15" s="82" t="str">
        <x:v>条件性</x:v>
      </x:c>
      <x:c r="W15" s="84" t="str">
        <x:v>月令边界校验</x:v>
      </x:c>
      <x:c r="X15" s="84" t="str">
        <x:v>出生接近交节，季令证据暂列待定；应先完成月令校验，再进入原始旺衰。</x:v>
      </x:c>
      <x:c r="Y15" s="82" t="str">
        <x:v>确定</x:v>
      </x:c>
      <x:c r="Z15" s="82" t="str">
        <x:v>跨流派共识</x:v>
      </x:c>
      <x:c r="AA15" s="68" t="str">
        <x:v>月令输入错误会系统性污染后续旺衰判断。</x:v>
      </x:c>
      <x:c r="AB15" s="68" t="str">
        <x:v>立春交接前后数分钟出生，分别以丑月、寅月建立候选盘复核。</x:v>
      </x:c>
      <x:c r="AC15" s="90" t="str">
        <x:v>仅按出生日期中的“二月”直接认定卯月。</x:v>
      </x:c>
      <x:c r="AD15" s="68" t="str">
        <x:v>https://zh.wikisource.org/wiki/三命通會/卷二；https://zh.wikisource.org/zh-hans/淵海子平</x:v>
      </x:c>
      <x:c r="AE15" s="82" t="str">
        <x:v>采用</x:v>
      </x:c>
      <x:c r="AF15" s="82" t="str">
        <x:v>初审</x:v>
      </x:c>
      <x:c r="AG15" s="87" t="n">
        <x:v>46255</x:v>
      </x:c>
    </x:row>
    <x:row r="16">
      <x:c r="A16" s="72" t="str">
        <x:f>IF(OR(C16="",D16=""),"",B16&amp;"-"&amp;UPPER(C16)&amp;"-"&amp;TEXT(D16,"0000")&amp;"-"&amp;E16)</x:f>
        <x:v>M07-SEAS-0010-V1.0</x:v>
      </x:c>
      <x:c r="B16" s="74" t="str">
        <x:v>M07</x:v>
      </x:c>
      <x:c r="C16" s="74" t="str">
        <x:v>SEAS</x:v>
      </x:c>
      <x:c r="D16" s="79" t="n">
        <x:v>10</x:v>
      </x:c>
      <x:c r="E16" s="74" t="str">
        <x:v>V1.0</x:v>
      </x:c>
      <x:c r="F16" s="68" t="str">
        <x:v>季令证据只能计入一个主标签并保留辅助说明</x:v>
      </x:c>
      <x:c r="G16" s="82" t="str">
        <x:v>结构层</x:v>
      </x:c>
      <x:c r="H16" s="68" t="str">
        <x:v>季令/防重复</x:v>
      </x:c>
      <x:c r="I16" s="82"/>
      <x:c r="J16" s="68" t="str">
        <x:v>同一月令事实可同时被描述为本气同类、旺或相等术语</x:v>
      </x:c>
      <x:c r="K16" s="68" t="str">
        <x:v>同源证据重叠</x:v>
      </x:c>
      <x:c r="L16" s="68" t="str">
        <x:v>合并为一个主季令证据，其他术语只作解释，不重复全额加权</x:v>
      </x:c>
      <x:c r="M16" s="82" t="str">
        <x:v>不变</x:v>
      </x:c>
      <x:c r="N16" s="68" t="str">
        <x:v>高</x:v>
      </x:c>
      <x:c r="O16" s="82" t="str">
        <x:v>强</x:v>
      </x:c>
      <x:c r="P16" s="68" t="str">
        <x:v>M03月令与旺相休囚死均已生成</x:v>
      </x:c>
      <x:c r="Q16" s="68" t="str">
        <x:v>确认多个标签来自同一月令事实</x:v>
      </x:c>
      <x:c r="R16" s="68" t="str">
        <x:v>不同证据来自独立根、透、源或党</x:v>
      </x:c>
      <x:c r="S16" s="68" t="str">
        <x:v>把同一月令事实拆成多个独立加分项</x:v>
      </x:c>
      <x:c r="T16" s="90" t="str">
        <x:v>禁止“得令一次＋旺一次＋月支根一次”机械三重满额累加</x:v>
      </x:c>
      <x:c r="U16" s="68" t="str">
        <x:v>月支同时承担根气时可分别记录，但汇总时标注共源</x:v>
      </x:c>
      <x:c r="V16" s="82" t="str">
        <x:v>否</x:v>
      </x:c>
      <x:c r="W16" s="84" t="str">
        <x:v>季令去重</x:v>
      </x:c>
      <x:c r="X16" s="84" t="str">
        <x:v>本条季令事实只计一次主权重；相关旺相术语与月支根气作为关联证据说明，避免重复计权。</x:v>
      </x:c>
      <x:c r="Y16" s="82" t="str">
        <x:v>较高</x:v>
      </x:c>
      <x:c r="Z16" s="82" t="str">
        <x:v>现代综合</x:v>
      </x:c>
      <x:c r="AA16" s="68" t="str">
        <x:v>同源证据必须识别相关性，否则会夸大月令作用。</x:v>
      </x:c>
      <x:c r="AB16" s="68" t="str">
        <x:v>寅月木旺，记录“木得令（旺）”，月支寅根另标共源而非三次独立强证据。</x:v>
      </x:c>
      <x:c r="AC16" s="90" t="str">
        <x:v>把寅月木同类、木旺、寅为木根各算一次决定性加权。</x:v>
      </x:c>
      <x:c r="AD16" s="68" t="str">
        <x:v>经典原则经结构化整理；参见：https://zh.wikisource.org/zh-hans/滴天髓</x:v>
      </x:c>
      <x:c r="AE16" s="82" t="str">
        <x:v>采用</x:v>
      </x:c>
      <x:c r="AF16" s="82" t="str">
        <x:v>初审</x:v>
      </x:c>
      <x:c r="AG16" s="87" t="n">
        <x:v>46255</x:v>
      </x:c>
    </x:row>
    <x:row r="17">
      <x:c r="A17" s="72" t="str">
        <x:f>IF(OR(C17="",D17=""),"",B17&amp;"-"&amp;UPPER(C17)&amp;"-"&amp;TEXT(D17,"0000")&amp;"-"&amp;E17)</x:f>
        <x:v>M07-ROOT-0011-V1.0</x:v>
      </x:c>
      <x:c r="B17" s="74" t="str">
        <x:v>M07</x:v>
      </x:c>
      <x:c r="C17" s="74" t="str">
        <x:v>ROOT</x:v>
      </x:c>
      <x:c r="D17" s="79" t="n">
        <x:v>11</x:v>
      </x:c>
      <x:c r="E17" s="74" t="str">
        <x:v>V1.0</x:v>
      </x:c>
      <x:c r="F17" s="68" t="str">
        <x:v>本气根构成最高等级原始根气</x:v>
      </x:c>
      <x:c r="G17" s="82" t="str">
        <x:v>结构层</x:v>
      </x:c>
      <x:c r="H17" s="68" t="str">
        <x:v>根气/本气根</x:v>
      </x:c>
      <x:c r="I17" s="82"/>
      <x:c r="J17" s="68" t="str">
        <x:v>目标五行在某地支本气中出现</x:v>
      </x:c>
      <x:c r="K17" s="68" t="str">
        <x:v>本气根</x:v>
      </x:c>
      <x:c r="L17" s="68" t="str">
        <x:v>形成稳定落点，给予强正向根气证据</x:v>
      </x:c>
      <x:c r="M17" s="82" t="str">
        <x:v>增强</x:v>
      </x:c>
      <x:c r="N17" s="68" t="str">
        <x:v>高</x:v>
      </x:c>
      <x:c r="O17" s="82" t="str">
        <x:v>强</x:v>
      </x:c>
      <x:c r="P17" s="68" t="str">
        <x:v>M02藏干与M03根气映射完成</x:v>
      </x:c>
      <x:c r="Q17" s="68" t="str">
        <x:v>目标五行确为该支本气</x:v>
      </x:c>
      <x:c r="R17" s="68" t="str">
        <x:v>根位得令、透干、同类根重复或有生源</x:v>
      </x:c>
      <x:c r="S17" s="68" t="str">
        <x:v>根位处季节衰弱且目标无透无源</x:v>
      </x:c>
      <x:c r="T17" s="90" t="str">
        <x:v>不得仅凭一处本气根直接判旺</x:v>
      </x:c>
      <x:c r="U17" s="68" t="str">
        <x:v>根位后续受合冲刑害的有效性转M06/M08</x:v>
      </x:c>
      <x:c r="V17" s="82" t="str">
        <x:v>否</x:v>
      </x:c>
      <x:c r="W17" s="84" t="str">
        <x:v>本气强根</x:v>
      </x:c>
      <x:c r="X17" s="84" t="str">
        <x:v>目标五行在该支得本气根，原始力量获得强根证据；有效根是否受损另由M08处理。</x:v>
      </x:c>
      <x:c r="Y17" s="82" t="str">
        <x:v>较高</x:v>
      </x:c>
      <x:c r="Z17" s="82" t="str">
        <x:v>旺衰扶抑</x:v>
      </x:c>
      <x:c r="AA17" s="68" t="str">
        <x:v>本气根是原始得地的核心证据。</x:v>
      </x:c>
      <x:c r="AB17" s="68" t="str">
        <x:v>甲乙木见寅卯本气木根，木有明确落点。</x:v>
      </x:c>
      <x:c r="AC17" s="90" t="str">
        <x:v>只有一处卯根便不看季令与全局而判木极旺。</x:v>
      </x:c>
      <x:c r="AD17" s="68" t="str">
        <x:v>https://zh.wikisource.org/wiki/三命通會/卷二；https://zh.wikisource.org/zh-hans/淵海子平</x:v>
      </x:c>
      <x:c r="AE17" s="82" t="str">
        <x:v>采用</x:v>
      </x:c>
      <x:c r="AF17" s="82" t="str">
        <x:v>初审</x:v>
      </x:c>
      <x:c r="AG17" s="87" t="n">
        <x:v>46255</x:v>
      </x:c>
    </x:row>
    <x:row r="18">
      <x:c r="A18" s="72" t="str">
        <x:f>IF(OR(C18="",D18=""),"",B18&amp;"-"&amp;UPPER(C18)&amp;"-"&amp;TEXT(D18,"0000")&amp;"-"&amp;E18)</x:f>
        <x:v>M07-ROOT-0012-V1.0</x:v>
      </x:c>
      <x:c r="B18" s="74" t="str">
        <x:v>M07</x:v>
      </x:c>
      <x:c r="C18" s="74" t="str">
        <x:v>ROOT</x:v>
      </x:c>
      <x:c r="D18" s="79" t="n">
        <x:v>12</x:v>
      </x:c>
      <x:c r="E18" s="74" t="str">
        <x:v>V1.0</x:v>
      </x:c>
      <x:c r="F18" s="68" t="str">
        <x:v>中气根构成中等级原始根气</x:v>
      </x:c>
      <x:c r="G18" s="82" t="str">
        <x:v>结构层</x:v>
      </x:c>
      <x:c r="H18" s="68" t="str">
        <x:v>根气/中气根</x:v>
      </x:c>
      <x:c r="I18" s="82"/>
      <x:c r="J18" s="68" t="str">
        <x:v>目标五行在某地支中气中出现</x:v>
      </x:c>
      <x:c r="K18" s="68" t="str">
        <x:v>中气根</x:v>
      </x:c>
      <x:c r="L18" s="68" t="str">
        <x:v>给予中等正向根气证据</x:v>
      </x:c>
      <x:c r="M18" s="82" t="str">
        <x:v>增强</x:v>
      </x:c>
      <x:c r="N18" s="68" t="str">
        <x:v>中</x:v>
      </x:c>
      <x:c r="O18" s="82" t="str">
        <x:v>中</x:v>
      </x:c>
      <x:c r="P18" s="68" t="str">
        <x:v>M02藏干层级已确定</x:v>
      </x:c>
      <x:c r="Q18" s="68" t="str">
        <x:v>目标五行确为该支中气</x:v>
      </x:c>
      <x:c r="R18" s="68" t="str">
        <x:v>中气透出、另有本气根或生源支持</x:v>
      </x:c>
      <x:c r="S18" s="68" t="str">
        <x:v>仅一处中气且季令不利、无透无源</x:v>
      </x:c>
      <x:c r="T18" s="90" t="str">
        <x:v>不得与本气根等权</x:v>
      </x:c>
      <x:c r="U18" s="68" t="str">
        <x:v>部分地支藏干层级存在流派差异时转M21</x:v>
      </x:c>
      <x:c r="V18" s="82" t="str">
        <x:v>否</x:v>
      </x:c>
      <x:c r="W18" s="84" t="str">
        <x:v>中气根</x:v>
      </x:c>
      <x:c r="X18" s="84" t="str">
        <x:v>目标五行得中气根，原始力量具备中等落点，强度低于本气根。</x:v>
      </x:c>
      <x:c r="Y18" s="82" t="str">
        <x:v>较高</x:v>
      </x:c>
      <x:c r="Z18" s="82" t="str">
        <x:v>现代综合</x:v>
      </x:c>
      <x:c r="AA18" s="68" t="str">
        <x:v>藏干层级反映根气深浅。</x:v>
      </x:c>
      <x:c r="AB18" s="68" t="str">
        <x:v>丙火见寅中丙，中气根并另有巳午，可增强火的原始力量。</x:v>
      </x:c>
      <x:c r="AC18" s="90" t="str">
        <x:v>寅中丙一处中气与午中丁本气根完全等权。</x:v>
      </x:c>
      <x:c r="AD18" s="68" t="str">
        <x:v>https://zh.wikisource.org/wiki/三命通會/卷二；https://zh.wikisource.org/zh-hans/淵海子平</x:v>
      </x:c>
      <x:c r="AE18" s="82" t="str">
        <x:v>采用</x:v>
      </x:c>
      <x:c r="AF18" s="82" t="str">
        <x:v>初审</x:v>
      </x:c>
      <x:c r="AG18" s="87" t="n">
        <x:v>46255</x:v>
      </x:c>
    </x:row>
    <x:row r="19">
      <x:c r="A19" s="72" t="str">
        <x:f>IF(OR(C19="",D19=""),"",B19&amp;"-"&amp;UPPER(C19)&amp;"-"&amp;TEXT(D19,"0000")&amp;"-"&amp;E19)</x:f>
        <x:v>M07-ROOT-0013-V1.0</x:v>
      </x:c>
      <x:c r="B19" s="74" t="str">
        <x:v>M07</x:v>
      </x:c>
      <x:c r="C19" s="74" t="str">
        <x:v>ROOT</x:v>
      </x:c>
      <x:c r="D19" s="79" t="n">
        <x:v>13</x:v>
      </x:c>
      <x:c r="E19" s="74" t="str">
        <x:v>V1.0</x:v>
      </x:c>
      <x:c r="F19" s="68" t="str">
        <x:v>余气根构成弱等级原始根气</x:v>
      </x:c>
      <x:c r="G19" s="82" t="str">
        <x:v>结构层</x:v>
      </x:c>
      <x:c r="H19" s="68" t="str">
        <x:v>根气/余气根</x:v>
      </x:c>
      <x:c r="I19" s="82"/>
      <x:c r="J19" s="68" t="str">
        <x:v>目标五行在某地支余气中出现</x:v>
      </x:c>
      <x:c r="K19" s="68" t="str">
        <x:v>余气根</x:v>
      </x:c>
      <x:c r="L19" s="68" t="str">
        <x:v>给予弱正向根气证据，主要用于否定完全无根</x:v>
      </x:c>
      <x:c r="M19" s="82" t="str">
        <x:v>增强</x:v>
      </x:c>
      <x:c r="N19" s="68" t="str">
        <x:v>低</x:v>
      </x:c>
      <x:c r="O19" s="82" t="str">
        <x:v>弱</x:v>
      </x:c>
      <x:c r="P19" s="68" t="str">
        <x:v>M02藏干层级已确定</x:v>
      </x:c>
      <x:c r="Q19" s="68" t="str">
        <x:v>目标五行确为该支余气</x:v>
      </x:c>
      <x:c r="R19" s="68" t="str">
        <x:v>余气透出、同类在他支另有根或月令支持</x:v>
      </x:c>
      <x:c r="S19" s="68" t="str">
        <x:v>仅一处余气、无透、无源且季令不利</x:v>
      </x:c>
      <x:c r="T19" s="90" t="str">
        <x:v>不得把余气根写成强根</x:v>
      </x:c>
      <x:c r="U19" s="68" t="str">
        <x:v>藏干层级争议另标待验证</x:v>
      </x:c>
      <x:c r="V19" s="82" t="str">
        <x:v>否</x:v>
      </x:c>
      <x:c r="W19" s="84" t="str">
        <x:v>余气弱根</x:v>
      </x:c>
      <x:c r="X19" s="84" t="str">
        <x:v>目标五行虽仅得余气根，但不能视为完全无根；其原始根力偏弱。</x:v>
      </x:c>
      <x:c r="Y19" s="82" t="str">
        <x:v>较高</x:v>
      </x:c>
      <x:c r="Z19" s="82" t="str">
        <x:v>现代综合</x:v>
      </x:c>
      <x:c r="AA19" s="68" t="str">
        <x:v>余气保留存在与微弱落点，不能抹除。</x:v>
      </x:c>
      <x:c r="AB19" s="68" t="str">
        <x:v>壬癸见辰中癸余气，水非完全无根，但单凭此不足以判强。</x:v>
      </x:c>
      <x:c r="AC19" s="90" t="str">
        <x:v>辰中癸余气一见即称水根深。</x:v>
      </x:c>
      <x:c r="AD19" s="68" t="str">
        <x:v>https://zh.wikisource.org/wiki/三命通會/卷二；https://zh.wikisource.org/zh-hans/淵海子平</x:v>
      </x:c>
      <x:c r="AE19" s="82" t="str">
        <x:v>采用</x:v>
      </x:c>
      <x:c r="AF19" s="82" t="str">
        <x:v>初审</x:v>
      </x:c>
      <x:c r="AG19" s="87" t="n">
        <x:v>46255</x:v>
      </x:c>
    </x:row>
    <x:row r="20">
      <x:c r="A20" s="72" t="str">
        <x:f>IF(OR(C20="",D20=""),"",B20&amp;"-"&amp;UPPER(C20)&amp;"-"&amp;TEXT(D20,"0000")&amp;"-"&amp;E20)</x:f>
        <x:v>M07-ROOT-0014-V1.0</x:v>
      </x:c>
      <x:c r="B20" s="74" t="str">
        <x:v>M07</x:v>
      </x:c>
      <x:c r="C20" s="74" t="str">
        <x:v>ROOT</x:v>
      </x:c>
      <x:c r="D20" s="79" t="n">
        <x:v>14</x:v>
      </x:c>
      <x:c r="E20" s="74" t="str">
        <x:v>V1.0</x:v>
      </x:c>
      <x:c r="F20" s="68" t="str">
        <x:v>同五行异阴阳根仍属于五行层面的有效根</x:v>
      </x:c>
      <x:c r="G20" s="82" t="str">
        <x:v>结构层</x:v>
      </x:c>
      <x:c r="H20" s="68" t="str">
        <x:v>根气/同类根</x:v>
      </x:c>
      <x:c r="I20" s="82"/>
      <x:c r="J20" s="68" t="str">
        <x:v>评估五行总量时，地支藏干与目标天干同五行但阴阳不同</x:v>
      </x:c>
      <x:c r="K20" s="68" t="str">
        <x:v>同类五行根</x:v>
      </x:c>
      <x:c r="L20" s="68" t="str">
        <x:v>在五行原始旺衰层计为根气；十干直接根差异留给M09/M10</x:v>
      </x:c>
      <x:c r="M20" s="82" t="str">
        <x:v>增强</x:v>
      </x:c>
      <x:c r="N20" s="68" t="str">
        <x:v>中</x:v>
      </x:c>
      <x:c r="O20" s="82" t="str">
        <x:v>中</x:v>
      </x:c>
      <x:c r="P20" s="68" t="str">
        <x:v>明确当前评估对象是五行而非单一天干</x:v>
      </x:c>
      <x:c r="Q20" s="68" t="str">
        <x:v>藏干与目标属于同一五行</x:v>
      </x:c>
      <x:c r="R20" s="68" t="str">
        <x:v>同类根为本气、得令或多处出现</x:v>
      </x:c>
      <x:c r="S20" s="68" t="str">
        <x:v>仅余气且无其他支持</x:v>
      </x:c>
      <x:c r="T20" s="90" t="str">
        <x:v>不得因阴阳不同就把同五行根完全排除</x:v>
      </x:c>
      <x:c r="U20" s="68" t="str">
        <x:v>判断某一日干直接通根时回到M03细分</x:v>
      </x:c>
      <x:c r="V20" s="82" t="str">
        <x:v>否</x:v>
      </x:c>
      <x:c r="W20" s="84" t="str">
        <x:v>五行同类根</x:v>
      </x:c>
      <x:c r="X20" s="84" t="str">
        <x:v>在五行层面，该支所藏同五行之气可作为根；阴阳同异不改变五行归属。</x:v>
      </x:c>
      <x:c r="Y20" s="82" t="str">
        <x:v>较高</x:v>
      </x:c>
      <x:c r="Z20" s="82" t="str">
        <x:v>现代综合</x:v>
      </x:c>
      <x:c r="AA20" s="68" t="str">
        <x:v>M07评估五行，不应把十干直接根概念机械套用。</x:v>
      </x:c>
      <x:c r="AB20" s="68" t="str">
        <x:v>甲木评木旺衰时，卯中乙仍提供木根；判断甲日主直接根时再细分。</x:v>
      </x:c>
      <x:c r="AC20" s="90" t="str">
        <x:v>因卯藏乙而认定甲木在卯完全无根。</x:v>
      </x:c>
      <x:c r="AD20" s="68" t="str">
        <x:v>经典原则经结构化整理；参见：https://zh.wikisource.org/zh-hans/滴天髓</x:v>
      </x:c>
      <x:c r="AE20" s="82" t="str">
        <x:v>采用</x:v>
      </x:c>
      <x:c r="AF20" s="82" t="str">
        <x:v>初审</x:v>
      </x:c>
      <x:c r="AG20" s="87" t="n">
        <x:v>46255</x:v>
      </x:c>
    </x:row>
    <x:row r="21">
      <x:c r="A21" s="72" t="str">
        <x:f>IF(OR(C21="",D21=""),"",B21&amp;"-"&amp;UPPER(C21)&amp;"-"&amp;TEXT(D21,"0000")&amp;"-"&amp;E21)</x:f>
        <x:v>M07-ROOT-0015-V1.0</x:v>
      </x:c>
      <x:c r="B21" s="74" t="str">
        <x:v>M07</x:v>
      </x:c>
      <x:c r="C21" s="74" t="str">
        <x:v>ROOT</x:v>
      </x:c>
      <x:c r="D21" s="79" t="n">
        <x:v>15</x:v>
      </x:c>
      <x:c r="E21" s="74" t="str">
        <x:v>V1.0</x:v>
      </x:c>
      <x:c r="F21" s="68" t="str">
        <x:v>月支根具有季令与根气共源属性</x:v>
      </x:c>
      <x:c r="G21" s="82" t="str">
        <x:v>结构层</x:v>
      </x:c>
      <x:c r="H21" s="68" t="str">
        <x:v>根气/月支根</x:v>
      </x:c>
      <x:c r="I21" s="82"/>
      <x:c r="J21" s="68" t="str">
        <x:v>目标五行在月支藏干中得根</x:v>
      </x:c>
      <x:c r="K21" s="68" t="str">
        <x:v>月支根</x:v>
      </x:c>
      <x:c r="L21" s="68" t="str">
        <x:v>根气可获月令环境放大，但汇总时须标记与季令共源</x:v>
      </x:c>
      <x:c r="M21" s="82" t="str">
        <x:v>增强</x:v>
      </x:c>
      <x:c r="N21" s="68" t="str">
        <x:v>高</x:v>
      </x:c>
      <x:c r="O21" s="82" t="str">
        <x:v>强</x:v>
      </x:c>
      <x:c r="P21" s="68" t="str">
        <x:v>M03已识别月令与藏干层级</x:v>
      </x:c>
      <x:c r="Q21" s="68" t="str">
        <x:v>目标五行确在月支有根</x:v>
      </x:c>
      <x:c r="R21" s="68" t="str">
        <x:v>根为本气并透出、另有独立根</x:v>
      </x:c>
      <x:c r="S21" s="68" t="str">
        <x:v>仅中余气且节令不支持</x:v>
      </x:c>
      <x:c r="T21" s="90" t="str">
        <x:v>不得把同一月支事实作为季令与根气两个独立决定性证据满额叠加</x:v>
      </x:c>
      <x:c r="U21" s="68" t="str">
        <x:v>杂气月需区分本中余气</x:v>
      </x:c>
      <x:c r="V21" s="82" t="str">
        <x:v>否</x:v>
      </x:c>
      <x:c r="W21" s="84" t="str">
        <x:v>月支共源根</x:v>
      </x:c>
      <x:c r="X21" s="84" t="str">
        <x:v>目标五行在月支得根，根气较关键；该证据与季令相关，汇总时应去重而非双倍计算。</x:v>
      </x:c>
      <x:c r="Y21" s="82" t="str">
        <x:v>较高</x:v>
      </x:c>
      <x:c r="Z21" s="82" t="str">
        <x:v>现代综合</x:v>
      </x:c>
      <x:c r="AA21" s="68" t="str">
        <x:v>月支同时承载时间与地支根，相关性高。</x:v>
      </x:c>
      <x:c r="AB21" s="68" t="str">
        <x:v>寅月木得寅本气根，记录“得令兼月支强根”，而非两个互不相关的满分。</x:v>
      </x:c>
      <x:c r="AC21" s="90" t="str">
        <x:v>月支根与得令分别作为两项决定性证据机械相加。</x:v>
      </x:c>
      <x:c r="AD21" s="68" t="str">
        <x:v>经典原则经结构化整理；参见：https://zh.wikisource.org/zh-hans/滴天髓</x:v>
      </x:c>
      <x:c r="AE21" s="82" t="str">
        <x:v>采用</x:v>
      </x:c>
      <x:c r="AF21" s="82" t="str">
        <x:v>初审</x:v>
      </x:c>
      <x:c r="AG21" s="87" t="n">
        <x:v>46255</x:v>
      </x:c>
    </x:row>
    <x:row r="22">
      <x:c r="A22" s="72" t="str">
        <x:f>IF(OR(C22="",D22=""),"",B22&amp;"-"&amp;UPPER(C22)&amp;"-"&amp;TEXT(D22,"0000")&amp;"-"&amp;E22)</x:f>
        <x:v>M07-ROOT-0016-V1.0</x:v>
      </x:c>
      <x:c r="B22" s="74" t="str">
        <x:v>M07</x:v>
      </x:c>
      <x:c r="C22" s="74" t="str">
        <x:v>ROOT</x:v>
      </x:c>
      <x:c r="D22" s="79" t="n">
        <x:v>16</x:v>
      </x:c>
      <x:c r="E22" s="74" t="str">
        <x:v>V1.0</x:v>
      </x:c>
      <x:c r="F22" s="68" t="str">
        <x:v>日支根提供中心位置的稳定落点</x:v>
      </x:c>
      <x:c r="G22" s="82" t="str">
        <x:v>结构层</x:v>
      </x:c>
      <x:c r="H22" s="68" t="str">
        <x:v>根气/日支根</x:v>
      </x:c>
      <x:c r="I22" s="82"/>
      <x:c r="J22" s="68" t="str">
        <x:v>目标五行在日支藏干中得根</x:v>
      </x:c>
      <x:c r="K22" s="68" t="str">
        <x:v>日支根</x:v>
      </x:c>
      <x:c r="L22" s="68" t="str">
        <x:v>给予中高等级根气证据，强调与日柱核心位置的连接</x:v>
      </x:c>
      <x:c r="M22" s="82" t="str">
        <x:v>增强</x:v>
      </x:c>
      <x:c r="N22" s="68" t="str">
        <x:v>中高</x:v>
      </x:c>
      <x:c r="O22" s="82" t="str">
        <x:v>中</x:v>
      </x:c>
      <x:c r="P22" s="68" t="str">
        <x:v>M02藏干映射完成</x:v>
      </x:c>
      <x:c r="Q22" s="68" t="str">
        <x:v>目标五行在日支确有本中余气根</x:v>
      </x:c>
      <x:c r="R22" s="68" t="str">
        <x:v>根为本气、对应天干透出或另得生源</x:v>
      </x:c>
      <x:c r="S22" s="68" t="str">
        <x:v>仅余气且全局孤立</x:v>
      </x:c>
      <x:c r="T22" s="90" t="str">
        <x:v>不得以日支位置替代根气层级判断</x:v>
      </x:c>
      <x:c r="U22" s="68" t="str">
        <x:v>评估非日主五行时位置权重宜降为辅助</x:v>
      </x:c>
      <x:c r="V22" s="82" t="str">
        <x:v>否</x:v>
      </x:c>
      <x:c r="W22" s="84" t="str">
        <x:v>日支根</x:v>
      </x:c>
      <x:c r="X22" s="84" t="str">
        <x:v>目标五行在日支有根，原始力量具备中心落点；具体强度仍按本中余气与全局配合确定。</x:v>
      </x:c>
      <x:c r="Y22" s="82" t="str">
        <x:v>中等</x:v>
      </x:c>
      <x:c r="Z22" s="82" t="str">
        <x:v>现代综合</x:v>
      </x:c>
      <x:c r="AA22" s="68" t="str">
        <x:v>位置可影响可见度与稳定性，但不应压过藏干层级。</x:v>
      </x:c>
      <x:c r="AB22" s="68" t="str">
        <x:v>日干甲坐寅，甲有中心本气根；若另见水生木，根力更稳。</x:v>
      </x:c>
      <x:c r="AC22" s="90" t="str">
        <x:v>日支只藏目标余气，也一律按强根处理。</x:v>
      </x:c>
      <x:c r="AD22" s="68" t="str">
        <x:v>经典原则经结构化整理；参见：https://zh.wikisource.org/zh-hans/滴天髓</x:v>
      </x:c>
      <x:c r="AE22" s="82" t="str">
        <x:v>待验证</x:v>
      </x:c>
      <x:c r="AF22" s="82" t="str">
        <x:v>初审</x:v>
      </x:c>
      <x:c r="AG22" s="87" t="n">
        <x:v>46255</x:v>
      </x:c>
    </x:row>
    <x:row r="23">
      <x:c r="A23" s="72" t="str">
        <x:f>IF(OR(C23="",D23=""),"",B23&amp;"-"&amp;UPPER(C23)&amp;"-"&amp;TEXT(D23,"0000")&amp;"-"&amp;E23)</x:f>
        <x:v>M07-ROOT-0017-V1.0</x:v>
      </x:c>
      <x:c r="B23" s="74" t="str">
        <x:v>M07</x:v>
      </x:c>
      <x:c r="C23" s="74" t="str">
        <x:v>ROOT</x:v>
      </x:c>
      <x:c r="D23" s="79" t="n">
        <x:v>17</x:v>
      </x:c>
      <x:c r="E23" s="74" t="str">
        <x:v>V1.0</x:v>
      </x:c>
      <x:c r="F23" s="68" t="str">
        <x:v>年支与时支根同样有效但位置只作次级修正</x:v>
      </x:c>
      <x:c r="G23" s="82" t="str">
        <x:v>结构层</x:v>
      </x:c>
      <x:c r="H23" s="68" t="str">
        <x:v>根气/边支根</x:v>
      </x:c>
      <x:c r="I23" s="82"/>
      <x:c r="J23" s="68" t="str">
        <x:v>目标五行仅在年支或时支得根</x:v>
      </x:c>
      <x:c r="K23" s="68" t="str">
        <x:v>边支根</x:v>
      </x:c>
      <x:c r="L23" s="68" t="str">
        <x:v>保留真实根气，位置远近只作低阶修正</x:v>
      </x:c>
      <x:c r="M23" s="82" t="str">
        <x:v>增强</x:v>
      </x:c>
      <x:c r="N23" s="68" t="str">
        <x:v>中</x:v>
      </x:c>
      <x:c r="O23" s="82" t="str">
        <x:v>中</x:v>
      </x:c>
      <x:c r="P23" s="68" t="str">
        <x:v>M02藏干映射完成</x:v>
      </x:c>
      <x:c r="Q23" s="68" t="str">
        <x:v>年支或时支确有目标五行根</x:v>
      </x:c>
      <x:c r="R23" s="68" t="str">
        <x:v>根为本气、透干相应、另有同类根</x:v>
      </x:c>
      <x:c r="S23" s="68" t="str">
        <x:v>根为余气且无透无源</x:v>
      </x:c>
      <x:c r="T23" s="90" t="str">
        <x:v>不得因位于年时便判为无根</x:v>
      </x:c>
      <x:c r="U23" s="68" t="str">
        <x:v>具体柱位象义不属于M07</x:v>
      </x:c>
      <x:c r="V23" s="82" t="str">
        <x:v>否</x:v>
      </x:c>
      <x:c r="W23" s="84" t="str">
        <x:v>边支根</x:v>
      </x:c>
      <x:c r="X23" s="84" t="str">
        <x:v>目标五行在年支或时支仍属有根；其原始根力以本中余气为主，位置仅作辅助说明。</x:v>
      </x:c>
      <x:c r="Y23" s="82" t="str">
        <x:v>较高</x:v>
      </x:c>
      <x:c r="Z23" s="82" t="str">
        <x:v>现代综合</x:v>
      </x:c>
      <x:c r="AA23" s="68" t="str">
        <x:v>任何四支的真实藏气均不能因位置被删除。</x:v>
      </x:c>
      <x:c r="AB23" s="68" t="str">
        <x:v>甲木只在时支寅得本气根，仍不能称完全无根。</x:v>
      </x:c>
      <x:c r="AC23" s="90" t="str">
        <x:v>根在时支便一概视作无效。</x:v>
      </x:c>
      <x:c r="AD23" s="68" t="str">
        <x:v>经典原则经结构化整理；参见：https://zh.wikisource.org/zh-hans/滴天髓</x:v>
      </x:c>
      <x:c r="AE23" s="82" t="str">
        <x:v>采用</x:v>
      </x:c>
      <x:c r="AF23" s="82" t="str">
        <x:v>初审</x:v>
      </x:c>
      <x:c r="AG23" s="87" t="n">
        <x:v>46255</x:v>
      </x:c>
    </x:row>
    <x:row r="24">
      <x:c r="A24" s="72" t="str">
        <x:f>IF(OR(C24="",D24=""),"",B24&amp;"-"&amp;UPPER(C24)&amp;"-"&amp;TEXT(D24,"0000")&amp;"-"&amp;E24)</x:f>
        <x:v>M07-ROOT-0018-V1.0</x:v>
      </x:c>
      <x:c r="B24" s="74" t="str">
        <x:v>M07</x:v>
      </x:c>
      <x:c r="C24" s="74" t="str">
        <x:v>ROOT</x:v>
      </x:c>
      <x:c r="D24" s="79" t="n">
        <x:v>18</x:v>
      </x:c>
      <x:c r="E24" s="74" t="str">
        <x:v>V1.0</x:v>
      </x:c>
      <x:c r="F24" s="68" t="str">
        <x:v>多处独立根比单一根更稳固</x:v>
      </x:c>
      <x:c r="G24" s="82" t="str">
        <x:v>结构层</x:v>
      </x:c>
      <x:c r="H24" s="68" t="str">
        <x:v>根气/多根</x:v>
      </x:c>
      <x:c r="I24" s="82"/>
      <x:c r="J24" s="68" t="str">
        <x:v>目标五行在两个及以上不同地支得根</x:v>
      </x:c>
      <x:c r="K24" s="68" t="str">
        <x:v>多重独立根</x:v>
      </x:c>
      <x:c r="L24" s="68" t="str">
        <x:v>提高原始根气等级并增强稳定性</x:v>
      </x:c>
      <x:c r="M24" s="82" t="str">
        <x:v>增强</x:v>
      </x:c>
      <x:c r="N24" s="68" t="str">
        <x:v>高</x:v>
      </x:c>
      <x:c r="O24" s="82" t="str">
        <x:v>强</x:v>
      </x:c>
      <x:c r="P24" s="68" t="str">
        <x:v>各根位已按本中余气分别识别</x:v>
      </x:c>
      <x:c r="Q24" s="68" t="str">
        <x:v>至少两个不同地支含目标五行</x:v>
      </x:c>
      <x:c r="R24" s="68" t="str">
        <x:v>根位分布于月日或多为本气根</x:v>
      </x:c>
      <x:c r="S24" s="68" t="str">
        <x:v>多为余气且季令不利</x:v>
      </x:c>
      <x:c r="T24" s="90" t="str">
        <x:v>不得把同一地支的本中余气拆成多个独立根</x:v>
      </x:c>
      <x:c r="U24" s="68" t="str">
        <x:v>重复地支仍按实际支位计，但汇总需防线性倍增</x:v>
      </x:c>
      <x:c r="V24" s="82" t="str">
        <x:v>否</x:v>
      </x:c>
      <x:c r="W24" s="84" t="str">
        <x:v>多根增强</x:v>
      </x:c>
      <x:c r="X24" s="84" t="str">
        <x:v>目标五行在多个地支有独立根，原始力量与稳定性均高于单根结构。</x:v>
      </x:c>
      <x:c r="Y24" s="82" t="str">
        <x:v>较高</x:v>
      </x:c>
      <x:c r="Z24" s="82" t="str">
        <x:v>旺衰扶抑</x:v>
      </x:c>
      <x:c r="AA24" s="68" t="str">
        <x:v>独立落点越多，五行越不易成为浮气。</x:v>
      </x:c>
      <x:c r="AB24" s="68" t="str">
        <x:v>木在寅、卯、亥三支均有根，原始木气明显强于仅一处辰中乙。</x:v>
      </x:c>
      <x:c r="AC24" s="90" t="str">
        <x:v>把寅中甲、丙、戊中的同一木只因多藏干而算三根。</x:v>
      </x:c>
      <x:c r="AD24" s="68" t="str">
        <x:v>https://zh.wikisource.org/zh-hans/淵海子平；https://zh.wikisource.org/zh-hans/滴天髓</x:v>
      </x:c>
      <x:c r="AE24" s="82" t="str">
        <x:v>采用</x:v>
      </x:c>
      <x:c r="AF24" s="82" t="str">
        <x:v>初审</x:v>
      </x:c>
      <x:c r="AG24" s="87" t="n">
        <x:v>46255</x:v>
      </x:c>
    </x:row>
    <x:row r="25">
      <x:c r="A25" s="72" t="str">
        <x:f>IF(OR(C25="",D25=""),"",B25&amp;"-"&amp;UPPER(C25)&amp;"-"&amp;TEXT(D25,"0000")&amp;"-"&amp;E25)</x:f>
        <x:v>M07-ROOT-0019-V1.0</x:v>
      </x:c>
      <x:c r="B25" s="74" t="str">
        <x:v>M07</x:v>
      </x:c>
      <x:c r="C25" s="74" t="str">
        <x:v>ROOT</x:v>
      </x:c>
      <x:c r="D25" s="79" t="n">
        <x:v>19</x:v>
      </x:c>
      <x:c r="E25" s="74" t="str">
        <x:v>V1.0</x:v>
      </x:c>
      <x:c r="F25" s="68" t="str">
        <x:v>多根加权采用递减边际而非线性累加</x:v>
      </x:c>
      <x:c r="G25" s="82" t="str">
        <x:v>结构层</x:v>
      </x:c>
      <x:c r="H25" s="68" t="str">
        <x:v>根气/边际递减</x:v>
      </x:c>
      <x:c r="I25" s="82"/>
      <x:c r="J25" s="68" t="str">
        <x:v>目标五行已有一处强根又出现更多根位</x:v>
      </x:c>
      <x:c r="K25" s="68" t="str">
        <x:v>第二、第三及后续根</x:v>
      </x:c>
      <x:c r="L25" s="68" t="str">
        <x:v>继续增强但每新增一根的边际权重递减</x:v>
      </x:c>
      <x:c r="M25" s="82" t="str">
        <x:v>增强</x:v>
      </x:c>
      <x:c r="N25" s="68" t="str">
        <x:v>中</x:v>
      </x:c>
      <x:c r="O25" s="82" t="str">
        <x:v>中</x:v>
      </x:c>
      <x:c r="P25" s="68" t="str">
        <x:v>至少已有一处有效原始根</x:v>
      </x:c>
      <x:c r="Q25" s="68" t="str">
        <x:v>新增根来自独立地支</x:v>
      </x:c>
      <x:c r="R25" s="68" t="str">
        <x:v>新增根为本气且分布独立、得令</x:v>
      </x:c>
      <x:c r="S25" s="68" t="str">
        <x:v>新增根仅余气或与既有根高度共源</x:v>
      </x:c>
      <x:c r="T25" s="90" t="str">
        <x:v>禁止每一根都按第一强根同权相加</x:v>
      </x:c>
      <x:c r="U25" s="68" t="str">
        <x:v>极端成势时转MOMENT综合判断</x:v>
      </x:c>
      <x:c r="V25" s="82" t="str">
        <x:v>否</x:v>
      </x:c>
      <x:c r="W25" s="84" t="str">
        <x:v>多根递减</x:v>
      </x:c>
      <x:c r="X25" s="84" t="str">
        <x:v>新增根继续增强目标五行，但采用边际递减；多根是否成势另行综合。</x:v>
      </x:c>
      <x:c r="Y25" s="82" t="str">
        <x:v>中等</x:v>
      </x:c>
      <x:c r="Z25" s="82" t="str">
        <x:v>现代综合</x:v>
      </x:c>
      <x:c r="AA25" s="68" t="str">
        <x:v>非线性处理可避免数量造成虚假极旺。</x:v>
      </x:c>
      <x:c r="AB25" s="68" t="str">
        <x:v>一处强根奠定基础，第二强根显著增强，第三弱根只作补充。</x:v>
      </x:c>
      <x:c r="AC25" s="90" t="str">
        <x:v>四个根简单按四倍单根力量计算。</x:v>
      </x:c>
      <x:c r="AD25" s="68" t="str">
        <x:v>经典原则经结构化整理；参见：https://zh.wikisource.org/zh-hans/滴天髓</x:v>
      </x:c>
      <x:c r="AE25" s="82" t="str">
        <x:v>采用</x:v>
      </x:c>
      <x:c r="AF25" s="82" t="str">
        <x:v>初审</x:v>
      </x:c>
      <x:c r="AG25" s="87" t="n">
        <x:v>46255</x:v>
      </x:c>
    </x:row>
    <x:row r="26">
      <x:c r="A26" s="72" t="str">
        <x:f>IF(OR(C26="",D26=""),"",B26&amp;"-"&amp;UPPER(C26)&amp;"-"&amp;TEXT(D26,"0000")&amp;"-"&amp;E26)</x:f>
        <x:v>M07-ROOT-0020-V1.0</x:v>
      </x:c>
      <x:c r="B26" s="74" t="str">
        <x:v>M07</x:v>
      </x:c>
      <x:c r="C26" s="74" t="str">
        <x:v>ROOT</x:v>
      </x:c>
      <x:c r="D26" s="79" t="n">
        <x:v>20</x:v>
      </x:c>
      <x:c r="E26" s="74" t="str">
        <x:v>V1.0</x:v>
      </x:c>
      <x:c r="F26" s="68" t="str">
        <x:v>分布于不同支位的根比单点集中更具稳定性</x:v>
      </x:c>
      <x:c r="G26" s="82" t="str">
        <x:v>结构层</x:v>
      </x:c>
      <x:c r="H26" s="68" t="str">
        <x:v>根气/根位分布</x:v>
      </x:c>
      <x:c r="I26" s="82"/>
      <x:c r="J26" s="68" t="str">
        <x:v>目标五行根气分布在两个以上不同柱位</x:v>
      </x:c>
      <x:c r="K26" s="68" t="str">
        <x:v>分散独立根</x:v>
      </x:c>
      <x:c r="L26" s="68" t="str">
        <x:v>提高结构稳定性，降低单点依赖</x:v>
      </x:c>
      <x:c r="M26" s="82" t="str">
        <x:v>增强</x:v>
      </x:c>
      <x:c r="N26" s="68" t="str">
        <x:v>中</x:v>
      </x:c>
      <x:c r="O26" s="82" t="str">
        <x:v>中</x:v>
      </x:c>
      <x:c r="P26" s="68" t="str">
        <x:v>根位已逐支识别</x:v>
      </x:c>
      <x:c r="Q26" s="68" t="str">
        <x:v>至少两个独立支位有根</x:v>
      </x:c>
      <x:c r="R26" s="68" t="str">
        <x:v>月日均有根、根位层级较高</x:v>
      </x:c>
      <x:c r="S26" s="68" t="str">
        <x:v>所有根均为弱余气或同一关系链共源</x:v>
      </x:c>
      <x:c r="T26" s="90" t="str">
        <x:v>不得把稳定性等同于绝对旺度</x:v>
      </x:c>
      <x:c r="U26" s="68" t="str">
        <x:v>岁运动态稳定性另由D0模型处理</x:v>
      </x:c>
      <x:c r="V26" s="82" t="str">
        <x:v>否</x:v>
      </x:c>
      <x:c r="W26" s="84" t="str">
        <x:v>根位稳定</x:v>
      </x:c>
      <x:c r="X26" s="84" t="str">
        <x:v>目标五行根气分布于多个支位，原始承载更稳定；旺度仍须结合季令与透源。</x:v>
      </x:c>
      <x:c r="Y26" s="82" t="str">
        <x:v>中等</x:v>
      </x:c>
      <x:c r="Z26" s="82" t="str">
        <x:v>现代综合</x:v>
      </x:c>
      <x:c r="AA26" s="68" t="str">
        <x:v>分布反映抗单点失效能力，但不直接决定总量。</x:v>
      </x:c>
      <x:c r="AB26" s="68" t="str">
        <x:v>水在年支亥、日支子均有本气根，结构比只在辰中一余气根稳定。</x:v>
      </x:c>
      <x:c r="AC26" s="90" t="str">
        <x:v>根位分散便不看季令而判极旺。</x:v>
      </x:c>
      <x:c r="AD26" s="68" t="str">
        <x:v>经典原则经结构化整理；参见：https://zh.wikisource.org/zh-hans/滴天髓</x:v>
      </x:c>
      <x:c r="AE26" s="82" t="str">
        <x:v>待验证</x:v>
      </x:c>
      <x:c r="AF26" s="82" t="str">
        <x:v>初审</x:v>
      </x:c>
      <x:c r="AG26" s="87" t="n">
        <x:v>46255</x:v>
      </x:c>
    </x:row>
    <x:row r="27">
      <x:c r="A27" s="72" t="str">
        <x:f>IF(OR(C27="",D27=""),"",B27&amp;"-"&amp;UPPER(C27)&amp;"-"&amp;TEXT(D27,"0000")&amp;"-"&amp;E27)</x:f>
        <x:v>M07-ROOT-0021-V1.0</x:v>
      </x:c>
      <x:c r="B27" s="74" t="str">
        <x:v>M07</x:v>
      </x:c>
      <x:c r="C27" s="74" t="str">
        <x:v>ROOT</x:v>
      </x:c>
      <x:c r="D27" s="79" t="n">
        <x:v>21</x:v>
      </x:c>
      <x:c r="E27" s="74" t="str">
        <x:v>V1.0</x:v>
      </x:c>
      <x:c r="F27" s="68" t="str">
        <x:v>库根属于储藏性根气而非自动显用</x:v>
      </x:c>
      <x:c r="G27" s="82" t="str">
        <x:v>结构层</x:v>
      </x:c>
      <x:c r="H27" s="68" t="str">
        <x:v>根气/库根</x:v>
      </x:c>
      <x:c r="I27" s="82"/>
      <x:c r="J27" s="68" t="str">
        <x:v>目标五行藏于辰戌丑未并被识别为库根或墓库藏气</x:v>
      </x:c>
      <x:c r="K27" s="68" t="str">
        <x:v>库根/储藏根</x:v>
      </x:c>
      <x:c r="L27" s="68" t="str">
        <x:v>保留根气存在，原始可见度低于同等级开放本气根</x:v>
      </x:c>
      <x:c r="M27" s="82" t="str">
        <x:v>增强</x:v>
      </x:c>
      <x:c r="N27" s="68" t="str">
        <x:v>中</x:v>
      </x:c>
      <x:c r="O27" s="82" t="str">
        <x:v>中</x:v>
      </x:c>
      <x:c r="P27" s="68" t="str">
        <x:v>M03已标记库根</x:v>
      </x:c>
      <x:c r="Q27" s="68" t="str">
        <x:v>目标五行确在对应墓库中有藏气</x:v>
      </x:c>
      <x:c r="R27" s="68" t="str">
        <x:v>同气透干、另有同类根或月令支持</x:v>
      </x:c>
      <x:c r="S27" s="68" t="str">
        <x:v>仅孤库、无透、无源</x:v>
      </x:c>
      <x:c r="T27" s="90" t="str">
        <x:v>不得因称“入库”就判消失，也不得自动按开库后力量计算</x:v>
      </x:c>
      <x:c r="U27" s="68" t="str">
        <x:v>是否冲开、冲坏或可用转M06/M08</x:v>
      </x:c>
      <x:c r="V27" s="82" t="str">
        <x:v>否</x:v>
      </x:c>
      <x:c r="W27" s="84" t="str">
        <x:v>库根证据</x:v>
      </x:c>
      <x:c r="X27" s="84" t="str">
        <x:v>目标五行在墓库中有储藏性根气，原始上仍属有根；能否透达与启用另行判断。</x:v>
      </x:c>
      <x:c r="Y27" s="82" t="str">
        <x:v>中等</x:v>
      </x:c>
      <x:c r="Z27" s="82" t="str">
        <x:v>现代综合</x:v>
      </x:c>
      <x:c r="AA27" s="68" t="str">
        <x:v>库是存在方式，不是自动归零或自动释放。</x:v>
      </x:c>
      <x:c r="AB27" s="68" t="str">
        <x:v>水在辰中有癸库气，仍保留根；若壬癸透出则联系增强。</x:v>
      </x:c>
      <x:c r="AC27" s="90" t="str">
        <x:v>见辰库便把水视为不存在，或直接当作完全开库强根。</x:v>
      </x:c>
      <x:c r="AD27" s="68" t="str">
        <x:v>https://zh.wikisource.org/zh-hans/淵海子平；https://zh.wikisource.org/zh-hans/滴天髓</x:v>
      </x:c>
      <x:c r="AE27" s="82" t="str">
        <x:v>采用</x:v>
      </x:c>
      <x:c r="AF27" s="82" t="str">
        <x:v>初审</x:v>
      </x:c>
      <x:c r="AG27" s="87" t="n">
        <x:v>46255</x:v>
      </x:c>
    </x:row>
    <x:row r="28">
      <x:c r="A28" s="72" t="str">
        <x:f>IF(OR(C28="",D28=""),"",B28&amp;"-"&amp;UPPER(C28)&amp;"-"&amp;TEXT(D28,"0000")&amp;"-"&amp;E28)</x:f>
        <x:v>M07-ROOT-0022-V1.0</x:v>
      </x:c>
      <x:c r="B28" s="74" t="str">
        <x:v>M07</x:v>
      </x:c>
      <x:c r="C28" s="74" t="str">
        <x:v>ROOT</x:v>
      </x:c>
      <x:c r="D28" s="79" t="n">
        <x:v>22</x:v>
      </x:c>
      <x:c r="E28" s="74" t="str">
        <x:v>V1.0</x:v>
      </x:c>
      <x:c r="F28" s="68" t="str">
        <x:v>单一弱根主要用于否定完全无根</x:v>
      </x:c>
      <x:c r="G28" s="82" t="str">
        <x:v>结构层</x:v>
      </x:c>
      <x:c r="H28" s="68" t="str">
        <x:v>根气/微根</x:v>
      </x:c>
      <x:c r="I28" s="82"/>
      <x:c r="J28" s="68" t="str">
        <x:v>目标五行只有一处中气或余气根且无其他根</x:v>
      </x:c>
      <x:c r="K28" s="68" t="str">
        <x:v>孤弱根</x:v>
      </x:c>
      <x:c r="L28" s="68" t="str">
        <x:v>只提供低等级正证，通常不足以改变整体弱势候选</x:v>
      </x:c>
      <x:c r="M28" s="82" t="str">
        <x:v>增强</x:v>
      </x:c>
      <x:c r="N28" s="68" t="str">
        <x:v>低</x:v>
      </x:c>
      <x:c r="O28" s="82" t="str">
        <x:v>弱</x:v>
      </x:c>
      <x:c r="P28" s="68" t="str">
        <x:v>根气层级与数量已明确</x:v>
      </x:c>
      <x:c r="Q28" s="68" t="str">
        <x:v>仅一处弱根</x:v>
      </x:c>
      <x:c r="R28" s="68" t="str">
        <x:v>该根透出、得令或有强生源</x:v>
      </x:c>
      <x:c r="S28" s="68" t="str">
        <x:v>季令不利、无透无源、同类不见</x:v>
      </x:c>
      <x:c r="T28" s="90" t="str">
        <x:v>不得把有微根直接升级为中和或旺</x:v>
      </x:c>
      <x:c r="U28" s="68" t="str">
        <x:v>若该根为唯一关键桥梁，功能评价转M12</x:v>
      </x:c>
      <x:c r="V28" s="82" t="str">
        <x:v>否</x:v>
      </x:c>
      <x:c r="W28" s="84" t="str">
        <x:v>孤弱根</x:v>
      </x:c>
      <x:c r="X28" s="84" t="str">
        <x:v>目标五行并非完全无根，但仅有孤弱根；原始力量仍偏弱，需其他证据补强。</x:v>
      </x:c>
      <x:c r="Y28" s="82" t="str">
        <x:v>较高</x:v>
      </x:c>
      <x:c r="Z28" s="82" t="str">
        <x:v>现代综合</x:v>
      </x:c>
      <x:c r="AA28" s="68" t="str">
        <x:v>“有根”是存在判断，不等于旺度判断。</x:v>
      </x:c>
      <x:c r="AB28" s="68" t="str">
        <x:v>秋月木只藏辰中乙余气，无甲乙透出，木非零但仍可弱。</x:v>
      </x:c>
      <x:c r="AC28" s="90" t="str">
        <x:v>一处余气根便断言木根深身旺。</x:v>
      </x:c>
      <x:c r="AD28" s="68" t="str">
        <x:v>经典原则经结构化整理；参见：https://zh.wikisource.org/zh-hans/滴天髓</x:v>
      </x:c>
      <x:c r="AE28" s="82" t="str">
        <x:v>采用</x:v>
      </x:c>
      <x:c r="AF28" s="82" t="str">
        <x:v>初审</x:v>
      </x:c>
      <x:c r="AG28" s="87" t="n">
        <x:v>46255</x:v>
      </x:c>
    </x:row>
    <x:row r="29">
      <x:c r="A29" s="72" t="str">
        <x:f>IF(OR(C29="",D29=""),"",B29&amp;"-"&amp;UPPER(C29)&amp;"-"&amp;TEXT(D29,"0000")&amp;"-"&amp;E29)</x:f>
        <x:v>M07-ROOT-0023-V1.0</x:v>
      </x:c>
      <x:c r="B29" s="74" t="str">
        <x:v>M07</x:v>
      </x:c>
      <x:c r="C29" s="74" t="str">
        <x:v>ROOT</x:v>
      </x:c>
      <x:c r="D29" s="79" t="n">
        <x:v>23</x:v>
      </x:c>
      <x:c r="E29" s="74" t="str">
        <x:v>V1.0</x:v>
      </x:c>
      <x:c r="F29" s="68" t="str">
        <x:v>无根只表示得地不足而非自动极弱</x:v>
      </x:c>
      <x:c r="G29" s="82" t="str">
        <x:v>结构层</x:v>
      </x:c>
      <x:c r="H29" s="68" t="str">
        <x:v>根气/无根</x:v>
      </x:c>
      <x:c r="I29" s="82"/>
      <x:c r="J29" s="68" t="str">
        <x:v>四支藏干均无目标五行</x:v>
      </x:c>
      <x:c r="K29" s="68" t="str">
        <x:v>无根</x:v>
      </x:c>
      <x:c r="L29" s="68" t="str">
        <x:v>给予明显负向根气证据</x:v>
      </x:c>
      <x:c r="M29" s="82" t="str">
        <x:v>减弱</x:v>
      </x:c>
      <x:c r="N29" s="68" t="str">
        <x:v>高</x:v>
      </x:c>
      <x:c r="O29" s="82" t="str">
        <x:v>强</x:v>
      </x:c>
      <x:c r="P29" s="68" t="str">
        <x:v>M02藏干映射完整</x:v>
      </x:c>
      <x:c r="Q29" s="68" t="str">
        <x:v>确认四支均无目标五行</x:v>
      </x:c>
      <x:c r="R29" s="68" t="str">
        <x:v>目标多透、得令、得强生源与同党</x:v>
      </x:c>
      <x:c r="S29" s="68" t="str">
        <x:v>目标仅孤干且季令不利、无源无党</x:v>
      </x:c>
      <x:c r="T29" s="90" t="str">
        <x:v>不得仅凭无根直接判极弱或从格</x:v>
      </x:c>
      <x:c r="U29" s="68" t="str">
        <x:v>合化成局产生的新五行不属于M07原始根气</x:v>
      </x:c>
      <x:c r="V29" s="82" t="str">
        <x:v>否</x:v>
      </x:c>
      <x:c r="W29" s="84" t="str">
        <x:v>无根证据</x:v>
      </x:c>
      <x:c r="X29" s="84" t="str">
        <x:v>目标五行在四支无根，原始得地不足；是否极弱仍须看季令、透干、生源与同党。</x:v>
      </x:c>
      <x:c r="Y29" s="82" t="str">
        <x:v>较高</x:v>
      </x:c>
      <x:c r="Z29" s="82" t="str">
        <x:v>旺衰扶抑</x:v>
      </x:c>
      <x:c r="AA29" s="68" t="str">
        <x:v>无根是重要负证据，但不是唯一结论。</x:v>
      </x:c>
      <x:c r="AB29" s="68" t="str">
        <x:v>木无寅卯亥辰未等藏木，但甲乙多透又得水旺相生，仍不能仅凭无根判极弱。</x:v>
      </x:c>
      <x:c r="AC29" s="90" t="str">
        <x:v>任何无根天干一律按极弱或从格处理。</x:v>
      </x:c>
      <x:c r="AD29" s="68" t="str">
        <x:v>https://zh.wikisource.org/zh-hans/淵海子平；https://zh.wikisource.org/zh-hans/滴天髓</x:v>
      </x:c>
      <x:c r="AE29" s="82" t="str">
        <x:v>采用</x:v>
      </x:c>
      <x:c r="AF29" s="82" t="str">
        <x:v>初审</x:v>
      </x:c>
      <x:c r="AG29" s="87" t="n">
        <x:v>46255</x:v>
      </x:c>
    </x:row>
    <x:row r="30">
      <x:c r="A30" s="72" t="str">
        <x:f>IF(OR(C30="",D30=""),"",B30&amp;"-"&amp;UPPER(C30)&amp;"-"&amp;TEXT(D30,"0000")&amp;"-"&amp;E30)</x:f>
        <x:v>M07-ROOT-0024-V1.0</x:v>
      </x:c>
      <x:c r="B30" s="74" t="str">
        <x:v>M07</x:v>
      </x:c>
      <x:c r="C30" s="74" t="str">
        <x:v>ROOT</x:v>
      </x:c>
      <x:c r="D30" s="79" t="n">
        <x:v>24</x:v>
      </x:c>
      <x:c r="E30" s="74" t="str">
        <x:v>V1.0</x:v>
      </x:c>
      <x:c r="F30" s="68" t="str">
        <x:v>根与透干相应时原始承载显著增强</x:v>
      </x:c>
      <x:c r="G30" s="82" t="str">
        <x:v>结构层</x:v>
      </x:c>
      <x:c r="H30" s="68" t="str">
        <x:v>根气/透根相应</x:v>
      </x:c>
      <x:c r="I30" s="82"/>
      <x:c r="J30" s="68" t="str">
        <x:v>目标五行既在天干明现又在地支得根</x:v>
      </x:c>
      <x:c r="K30" s="68" t="str">
        <x:v>透而有根</x:v>
      </x:c>
      <x:c r="L30" s="68" t="str">
        <x:v>形成显露与落点的组合强证据</x:v>
      </x:c>
      <x:c r="M30" s="82" t="str">
        <x:v>增强</x:v>
      </x:c>
      <x:c r="N30" s="68" t="str">
        <x:v>高</x:v>
      </x:c>
      <x:c r="O30" s="82" t="str">
        <x:v>强</x:v>
      </x:c>
      <x:c r="P30" s="68" t="str">
        <x:v>M02天干五行与藏干映射完成</x:v>
      </x:c>
      <x:c r="Q30" s="68" t="str">
        <x:v>至少一处目标天干明现且至少一支有目标五行根</x:v>
      </x:c>
      <x:c r="R30" s="68" t="str">
        <x:v>根为本气、透干多见、季令支持</x:v>
      </x:c>
      <x:c r="S30" s="68" t="str">
        <x:v>透干与根均弱、彼此隔远且无生源</x:v>
      </x:c>
      <x:c r="T30" s="90" t="str">
        <x:v>不得将透干和根气机械按两个决定性满分相加</x:v>
      </x:c>
      <x:c r="U30" s="68" t="str">
        <x:v>十神功能与具体天干连接转M10</x:v>
      </x:c>
      <x:c r="V30" s="82" t="str">
        <x:v>否</x:v>
      </x:c>
      <x:c r="W30" s="84" t="str">
        <x:v>透根相应</x:v>
      </x:c>
      <x:c r="X30" s="84" t="str">
        <x:v>目标五行透干并有根，既能显露又有承载，原始力量明显高于有透无根或有根不透。</x:v>
      </x:c>
      <x:c r="Y30" s="82" t="str">
        <x:v>较高</x:v>
      </x:c>
      <x:c r="Z30" s="82" t="str">
        <x:v>跨流派共识</x:v>
      </x:c>
      <x:c r="AA30" s="68" t="str">
        <x:v>透与根构成互相验证的强证据。</x:v>
      </x:c>
      <x:c r="AB30" s="68" t="str">
        <x:v>甲木透年干，地支见寅卯根，木原始力量具备显露与落点。</x:v>
      </x:c>
      <x:c r="AC30" s="90" t="str">
        <x:v>甲木一透一根便不看季令、数量而判极旺。</x:v>
      </x:c>
      <x:c r="AD30" s="68" t="str">
        <x:v>https://zh.wikisource.org/zh-hans/淵海子平；https://zh.wikisource.org/zh-hans/滴天髓</x:v>
      </x:c>
      <x:c r="AE30" s="82" t="str">
        <x:v>采用</x:v>
      </x:c>
      <x:c r="AF30" s="82" t="str">
        <x:v>初审</x:v>
      </x:c>
      <x:c r="AG30" s="87" t="n">
        <x:v>46255</x:v>
      </x:c>
    </x:row>
    <x:row r="31">
      <x:c r="A31" s="72" t="str">
        <x:f>IF(OR(C31="",D31=""),"",B31&amp;"-"&amp;UPPER(C31)&amp;"-"&amp;TEXT(D31,"0000")&amp;"-"&amp;E31)</x:f>
        <x:v>M07-ROOT-0025-V1.0</x:v>
      </x:c>
      <x:c r="B31" s="74" t="str">
        <x:v>M07</x:v>
      </x:c>
      <x:c r="C31" s="74" t="str">
        <x:v>ROOT</x:v>
      </x:c>
      <x:c r="D31" s="79" t="n">
        <x:v>25</x:v>
      </x:c>
      <x:c r="E31" s="74" t="str">
        <x:v>V1.0</x:v>
      </x:c>
      <x:c r="F31" s="68" t="str">
        <x:v>多根并得令可形成旺势基础但仍需透源党验证</x:v>
      </x:c>
      <x:c r="G31" s="82" t="str">
        <x:v>结构层</x:v>
      </x:c>
      <x:c r="H31" s="68" t="str">
        <x:v>根气/强根群</x:v>
      </x:c>
      <x:c r="I31" s="82"/>
      <x:c r="J31" s="68" t="str">
        <x:v>目标五行得令并在两个以上地支有根</x:v>
      </x:c>
      <x:c r="K31" s="68" t="str">
        <x:v>得令多根</x:v>
      </x:c>
      <x:c r="L31" s="68" t="str">
        <x:v>将原始旺衰提升至中和偏旺或旺候选</x:v>
      </x:c>
      <x:c r="M31" s="82" t="str">
        <x:v>增强</x:v>
      </x:c>
      <x:c r="N31" s="68" t="str">
        <x:v>高</x:v>
      </x:c>
      <x:c r="O31" s="82" t="str">
        <x:v>强</x:v>
      </x:c>
      <x:c r="P31" s="68" t="str">
        <x:v>季令与根气已分别识别并去重</x:v>
      </x:c>
      <x:c r="Q31" s="68" t="str">
        <x:v>得令且至少两处独立根</x:v>
      </x:c>
      <x:c r="R31" s="68" t="str">
        <x:v>透干、多同党、强生源</x:v>
      </x:c>
      <x:c r="S31" s="68" t="str">
        <x:v>根多但均弱余气或无任何显露</x:v>
      </x:c>
      <x:c r="T31" s="90" t="str">
        <x:v>不得仅凭得令多根直接判极旺</x:v>
      </x:c>
      <x:c r="U31" s="68" t="str">
        <x:v>专旺、从旺候选转M14</x:v>
      </x:c>
      <x:c r="V31" s="82" t="str">
        <x:v>条件性</x:v>
      </x:c>
      <x:c r="W31" s="84" t="str">
        <x:v>旺势基础</x:v>
      </x:c>
      <x:c r="X31" s="84" t="str">
        <x:v>目标五行得令又多根，已具旺势基础；是否达到旺或极旺须再看透干、同党与生源。</x:v>
      </x:c>
      <x:c r="Y31" s="82" t="str">
        <x:v>较高</x:v>
      </x:c>
      <x:c r="Z31" s="82" t="str">
        <x:v>旺衰扶抑</x:v>
      </x:c>
      <x:c r="AA31" s="68" t="str">
        <x:v>得令多根是旺的重要基础组合，但极端等级仍需更多汇合证据。</x:v>
      </x:c>
      <x:c r="AB31" s="68" t="str">
        <x:v>春月木得令，寅卯亥多根且甲乙透出，可判木旺候选。</x:v>
      </x:c>
      <x:c r="AC31" s="90" t="str">
        <x:v>春月木只在辰未余气多见便直接判极旺。</x:v>
      </x:c>
      <x:c r="AD31" s="68" t="str">
        <x:v>https://zh.wikisource.org/zh-hans/淵海子平；https://zh.wikisource.org/zh-hans/滴天髓</x:v>
      </x:c>
      <x:c r="AE31" s="82" t="str">
        <x:v>采用</x:v>
      </x:c>
      <x:c r="AF31" s="82" t="str">
        <x:v>初审</x:v>
      </x:c>
      <x:c r="AG31" s="87" t="n">
        <x:v>46255</x:v>
      </x:c>
    </x:row>
    <x:row r="32">
      <x:c r="A32" s="72" t="str">
        <x:f>IF(OR(C32="",D32=""),"",B32&amp;"-"&amp;UPPER(C32)&amp;"-"&amp;TEXT(D32,"0000")&amp;"-"&amp;E32)</x:f>
        <x:v>M07-ROOT-0026-V1.0</x:v>
      </x:c>
      <x:c r="B32" s="74" t="str">
        <x:v>M07</x:v>
      </x:c>
      <x:c r="C32" s="74" t="str">
        <x:v>ROOT</x:v>
      </x:c>
      <x:c r="D32" s="79" t="n">
        <x:v>26</x:v>
      </x:c>
      <x:c r="E32" s="74" t="str">
        <x:v>V1.0</x:v>
      </x:c>
      <x:c r="F32" s="68" t="str">
        <x:v>M07只记录原始根气不提前应用合冲刑害修正</x:v>
      </x:c>
      <x:c r="G32" s="82" t="str">
        <x:v>结构层</x:v>
      </x:c>
      <x:c r="H32" s="68" t="str">
        <x:v>根气/模块边界</x:v>
      </x:c>
      <x:c r="I32" s="82"/>
      <x:c r="J32" s="68" t="str">
        <x:v>根位同时参与合、冲、刑、害、破或会局</x:v>
      </x:c>
      <x:c r="K32" s="68" t="str">
        <x:v>原始根仍先保留</x:v>
      </x:c>
      <x:c r="L32" s="68" t="str">
        <x:v>根气不在M07删除或改性，待M06效应与M08有效力量修正</x:v>
      </x:c>
      <x:c r="M32" s="82" t="str">
        <x:v>不变</x:v>
      </x:c>
      <x:c r="N32" s="68" t="str">
        <x:v>高</x:v>
      </x:c>
      <x:c r="O32" s="82" t="str">
        <x:v>决定性</x:v>
      </x:c>
      <x:c r="P32" s="68" t="str">
        <x:v>M05/M06关系已识别或待识别</x:v>
      </x:c>
      <x:c r="Q32" s="68" t="str">
        <x:v>原始藏干事实未发生输入错误</x:v>
      </x:c>
      <x:c r="R32" s="68" t="str">
        <x:v>无</x:v>
      </x:c>
      <x:c r="S32" s="68" t="str">
        <x:v>无</x:v>
      </x:c>
      <x:c r="T32" s="90" t="str">
        <x:v>禁止因见冲刑合害就在M07把根记为零</x:v>
      </x:c>
      <x:c r="U32" s="68" t="str">
        <x:v>合化或成局经M06确认后由M08处理性质改变</x:v>
      </x:c>
      <x:c r="V32" s="82" t="str">
        <x:v>否</x:v>
      </x:c>
      <x:c r="W32" s="84" t="str">
        <x:v>原始根保留</x:v>
      </x:c>
      <x:c r="X32" s="84" t="str">
        <x:v>该根位在原始层仍予保留；关系造成的冲动、冲散、合绊或改性转入M08修正。</x:v>
      </x:c>
      <x:c r="Y32" s="82" t="str">
        <x:v>确定</x:v>
      </x:c>
      <x:c r="Z32" s="82" t="str">
        <x:v>现代综合</x:v>
      </x:c>
      <x:c r="AA32" s="68" t="str">
        <x:v>原始力量与有效力量必须分层，避免循环论证。</x:v>
      </x:c>
      <x:c r="AB32" s="68" t="str">
        <x:v>寅申冲中，M07先记录寅木根与申金根，M08再分别判断有效性。</x:v>
      </x:c>
      <x:c r="AC32" s="90" t="str">
        <x:v>一见寅申冲便在M07删除寅或申的根气。</x:v>
      </x:c>
      <x:c r="AD32" s="68" t="str">
        <x:v>经典原则经结构化整理；参见：https://zh.wikisource.org/zh-hans/滴天髓</x:v>
      </x:c>
      <x:c r="AE32" s="82" t="str">
        <x:v>采用</x:v>
      </x:c>
      <x:c r="AF32" s="82" t="str">
        <x:v>初审</x:v>
      </x:c>
      <x:c r="AG32" s="87" t="n">
        <x:v>46255</x:v>
      </x:c>
    </x:row>
    <x:row r="33">
      <x:c r="A33" s="72" t="str">
        <x:f>IF(OR(C33="",D33=""),"",B33&amp;"-"&amp;UPPER(C33)&amp;"-"&amp;TEXT(D33,"0000")&amp;"-"&amp;E33)</x:f>
        <x:v>M07-STEM-0027-V1.0</x:v>
      </x:c>
      <x:c r="B33" s="74" t="str">
        <x:v>M07</x:v>
      </x:c>
      <x:c r="C33" s="74" t="str">
        <x:v>STEM</x:v>
      </x:c>
      <x:c r="D33" s="79" t="n">
        <x:v>27</x:v>
      </x:c>
      <x:c r="E33" s="74" t="str">
        <x:v>V1.0</x:v>
      </x:c>
      <x:c r="F33" s="68" t="str">
        <x:v>单一透干提升五行显露度与直接作用能力</x:v>
      </x:c>
      <x:c r="G33" s="82" t="str">
        <x:v>结构层</x:v>
      </x:c>
      <x:c r="H33" s="68" t="str">
        <x:v>透干/显露</x:v>
      </x:c>
      <x:c r="I33" s="82"/>
      <x:c r="J33" s="68" t="str">
        <x:v>目标五行至少有一个天干明现</x:v>
      </x:c>
      <x:c r="K33" s="68" t="str">
        <x:v>单透</x:v>
      </x:c>
      <x:c r="L33" s="68" t="str">
        <x:v>给予中等正向显露证据</x:v>
      </x:c>
      <x:c r="M33" s="82" t="str">
        <x:v>增强</x:v>
      </x:c>
      <x:c r="N33" s="68" t="str">
        <x:v>中</x:v>
      </x:c>
      <x:c r="O33" s="82" t="str">
        <x:v>中</x:v>
      </x:c>
      <x:c r="P33" s="68" t="str">
        <x:v>M02天干五行映射完成</x:v>
      </x:c>
      <x:c r="Q33" s="68" t="str">
        <x:v>至少一个天干属于目标五行</x:v>
      </x:c>
      <x:c r="R33" s="68" t="str">
        <x:v>透干有根、得令或获生源</x:v>
      </x:c>
      <x:c r="S33" s="68" t="str">
        <x:v>透干无根、失令且无同党</x:v>
      </x:c>
      <x:c r="T33" s="90" t="str">
        <x:v>不得把一枚透干直接判为旺</x:v>
      </x:c>
      <x:c r="U33" s="68" t="str">
        <x:v>天干合克实际效应转M06/M08</x:v>
      </x:c>
      <x:c r="V33" s="82" t="str">
        <x:v>否</x:v>
      </x:c>
      <x:c r="W33" s="84" t="str">
        <x:v>单透证据</x:v>
      </x:c>
      <x:c r="X33" s="84" t="str">
        <x:v>目标五行有一处透干，具备直接显露与作用通道；力量大小仍取决于根、令、源、党。</x:v>
      </x:c>
      <x:c r="Y33" s="82" t="str">
        <x:v>较高</x:v>
      </x:c>
      <x:c r="Z33" s="82" t="str">
        <x:v>现代综合</x:v>
      </x:c>
      <x:c r="AA33" s="68" t="str">
        <x:v>透干提高可见度，但不是独立旺度结论。</x:v>
      </x:c>
      <x:c r="AB33" s="68" t="str">
        <x:v>壬水透月干并有亥子根，水的显露与承载均清楚。</x:v>
      </x:c>
      <x:c r="AC33" s="90" t="str">
        <x:v>一枚无根壬水透出便判水旺。</x:v>
      </x:c>
      <x:c r="AD33" s="68" t="str">
        <x:v>https://zh.wikisource.org/zh-hans/淵海子平；https://zh.wikisource.org/zh-hans/滴天髓</x:v>
      </x:c>
      <x:c r="AE33" s="82" t="str">
        <x:v>采用</x:v>
      </x:c>
      <x:c r="AF33" s="82" t="str">
        <x:v>初审</x:v>
      </x:c>
      <x:c r="AG33" s="87" t="n">
        <x:v>46255</x:v>
      </x:c>
    </x:row>
    <x:row r="34">
      <x:c r="A34" s="72" t="str">
        <x:f>IF(OR(C34="",D34=""),"",B34&amp;"-"&amp;UPPER(C34)&amp;"-"&amp;TEXT(D34,"0000")&amp;"-"&amp;E34)</x:f>
        <x:v>M07-STEM-0028-V1.0</x:v>
      </x:c>
      <x:c r="B34" s="74" t="str">
        <x:v>M07</x:v>
      </x:c>
      <x:c r="C34" s="74" t="str">
        <x:v>STEM</x:v>
      </x:c>
      <x:c r="D34" s="79" t="n">
        <x:v>28</x:v>
      </x:c>
      <x:c r="E34" s="74" t="str">
        <x:v>V1.0</x:v>
      </x:c>
      <x:c r="F34" s="68" t="str">
        <x:v>透干有根显著强于透干无根</x:v>
      </x:c>
      <x:c r="G34" s="82" t="str">
        <x:v>结构层</x:v>
      </x:c>
      <x:c r="H34" s="68" t="str">
        <x:v>透干/有根</x:v>
      </x:c>
      <x:c r="I34" s="82"/>
      <x:c r="J34" s="68" t="str">
        <x:v>目标五行透干且至少一支有同五行根</x:v>
      </x:c>
      <x:c r="K34" s="68" t="str">
        <x:v>透而有根</x:v>
      </x:c>
      <x:c r="L34" s="68" t="str">
        <x:v>提高透干有效承载的原始候选</x:v>
      </x:c>
      <x:c r="M34" s="82" t="str">
        <x:v>增强</x:v>
      </x:c>
      <x:c r="N34" s="68" t="str">
        <x:v>高</x:v>
      </x:c>
      <x:c r="O34" s="82" t="str">
        <x:v>强</x:v>
      </x:c>
      <x:c r="P34" s="68" t="str">
        <x:v>M07根气证据已生成</x:v>
      </x:c>
      <x:c r="Q34" s="68" t="str">
        <x:v>透干与根同属目标五行</x:v>
      </x:c>
      <x:c r="R34" s="68" t="str">
        <x:v>根为本气、得令、同党多</x:v>
      </x:c>
      <x:c r="S34" s="68" t="str">
        <x:v>根仅余气且季令不利</x:v>
      </x:c>
      <x:c r="T34" s="90" t="str">
        <x:v>不得因有根就忽略根层级与来源共线</x:v>
      </x:c>
      <x:c r="U34" s="68" t="str">
        <x:v>具体天干能否联结该根可在M09/M10细化</x:v>
      </x:c>
      <x:c r="V34" s="82" t="str">
        <x:v>否</x:v>
      </x:c>
      <x:c r="W34" s="84" t="str">
        <x:v>透根强证</x:v>
      </x:c>
      <x:c r="X34" s="84" t="str">
        <x:v>目标五行透而有根，原始力量明显高于浮干；根的层级和季令决定增强幅度。</x:v>
      </x:c>
      <x:c r="Y34" s="82" t="str">
        <x:v>较高</x:v>
      </x:c>
      <x:c r="Z34" s="82" t="str">
        <x:v>旺衰扶抑</x:v>
      </x:c>
      <x:c r="AA34" s="68" t="str">
        <x:v>透根结合是五行可用力量的基础。</x:v>
      </x:c>
      <x:c r="AB34" s="68" t="str">
        <x:v>丙火透干，地支巳午有根，火原始力量明显有力。</x:v>
      </x:c>
      <x:c r="AC34" s="90" t="str">
        <x:v>丙火仅在辰中一弱余气也与巳午强根同论。</x:v>
      </x:c>
      <x:c r="AD34" s="68" t="str">
        <x:v>https://zh.wikisource.org/zh-hans/淵海子平；https://zh.wikisource.org/zh-hans/滴天髓</x:v>
      </x:c>
      <x:c r="AE34" s="82" t="str">
        <x:v>采用</x:v>
      </x:c>
      <x:c r="AF34" s="82" t="str">
        <x:v>初审</x:v>
      </x:c>
      <x:c r="AG34" s="87" t="n">
        <x:v>46255</x:v>
      </x:c>
    </x:row>
    <x:row r="35">
      <x:c r="A35" s="72" t="str">
        <x:f>IF(OR(C35="",D35=""),"",B35&amp;"-"&amp;UPPER(C35)&amp;"-"&amp;TEXT(D35,"0000")&amp;"-"&amp;E35)</x:f>
        <x:v>M07-STEM-0029-V1.0</x:v>
      </x:c>
      <x:c r="B35" s="74" t="str">
        <x:v>M07</x:v>
      </x:c>
      <x:c r="C35" s="74" t="str">
        <x:v>STEM</x:v>
      </x:c>
      <x:c r="D35" s="79" t="n">
        <x:v>29</x:v>
      </x:c>
      <x:c r="E35" s="74" t="str">
        <x:v>V1.0</x:v>
      </x:c>
      <x:c r="F35" s="68" t="str">
        <x:v>透干无根属于浮露而非完全无气</x:v>
      </x:c>
      <x:c r="G35" s="82" t="str">
        <x:v>结构层</x:v>
      </x:c>
      <x:c r="H35" s="68" t="str">
        <x:v>透干/无根</x:v>
      </x:c>
      <x:c r="I35" s="82"/>
      <x:c r="J35" s="68" t="str">
        <x:v>目标五行透于天干但四支无根</x:v>
      </x:c>
      <x:c r="K35" s="68" t="str">
        <x:v>浮干</x:v>
      </x:c>
      <x:c r="L35" s="68" t="str">
        <x:v>保留存在与显露，原始承载下调</x:v>
      </x:c>
      <x:c r="M35" s="82" t="str">
        <x:v>减弱</x:v>
      </x:c>
      <x:c r="N35" s="68" t="str">
        <x:v>中高</x:v>
      </x:c>
      <x:c r="O35" s="82" t="str">
        <x:v>中</x:v>
      </x:c>
      <x:c r="P35" s="68" t="str">
        <x:v>四支根气已核验</x:v>
      </x:c>
      <x:c r="Q35" s="68" t="str">
        <x:v>目标有透干但无任何根</x:v>
      </x:c>
      <x:c r="R35" s="68" t="str">
        <x:v>得令、同类多透、强生源连续相生</x:v>
      </x:c>
      <x:c r="S35" s="68" t="str">
        <x:v>失令、孤干、无源无党</x:v>
      </x:c>
      <x:c r="T35" s="90" t="str">
        <x:v>不得把浮干直接归零，也不得按有根透干同权</x:v>
      </x:c>
      <x:c r="U35" s="68" t="str">
        <x:v>从格条件另由M14严格验证</x:v>
      </x:c>
      <x:c r="V35" s="82" t="str">
        <x:v>否</x:v>
      </x:c>
      <x:c r="W35" s="84" t="str">
        <x:v>浮干证据</x:v>
      </x:c>
      <x:c r="X35" s="84" t="str">
        <x:v>目标五行虽透干但无根，属于浮露；仍有存在和作用通道，但原始承载偏弱。</x:v>
      </x:c>
      <x:c r="Y35" s="82" t="str">
        <x:v>较高</x:v>
      </x:c>
      <x:c r="Z35" s="82" t="str">
        <x:v>现代综合</x:v>
      </x:c>
      <x:c r="AA35" s="68" t="str">
        <x:v>无根限制持续性，不等于不存在。</x:v>
      </x:c>
      <x:c r="AB35" s="68" t="str">
        <x:v>冬月甲木无根但壬癸旺生，甲仍有一定原始力量。</x:v>
      </x:c>
      <x:c r="AC35" s="90" t="str">
        <x:v>无根甲木完全不计，或与有寅卯根同权。</x:v>
      </x:c>
      <x:c r="AD35" s="68" t="str">
        <x:v>经典原则经结构化整理；参见：https://zh.wikisource.org/zh-hans/滴天髓</x:v>
      </x:c>
      <x:c r="AE35" s="82" t="str">
        <x:v>采用</x:v>
      </x:c>
      <x:c r="AF35" s="82" t="str">
        <x:v>初审</x:v>
      </x:c>
      <x:c r="AG35" s="87" t="n">
        <x:v>46255</x:v>
      </x:c>
    </x:row>
    <x:row r="36">
      <x:c r="A36" s="72" t="str">
        <x:f>IF(OR(C36="",D36=""),"",B36&amp;"-"&amp;UPPER(C36)&amp;"-"&amp;TEXT(D36,"0000")&amp;"-"&amp;E36)</x:f>
        <x:v>M07-STEM-0030-V1.0</x:v>
      </x:c>
      <x:c r="B36" s="74" t="str">
        <x:v>M07</x:v>
      </x:c>
      <x:c r="C36" s="74" t="str">
        <x:v>STEM</x:v>
      </x:c>
      <x:c r="D36" s="79" t="n">
        <x:v>30</x:v>
      </x:c>
      <x:c r="E36" s="74" t="str">
        <x:v>V1.0</x:v>
      </x:c>
      <x:c r="F36" s="68" t="str">
        <x:v>多处同五行透干增强显露但采用递减边际</x:v>
      </x:c>
      <x:c r="G36" s="82" t="str">
        <x:v>结构层</x:v>
      </x:c>
      <x:c r="H36" s="68" t="str">
        <x:v>透干/多透</x:v>
      </x:c>
      <x:c r="I36" s="82"/>
      <x:c r="J36" s="68" t="str">
        <x:v>目标五行在两个以上天干明现</x:v>
      </x:c>
      <x:c r="K36" s="68" t="str">
        <x:v>多透</x:v>
      </x:c>
      <x:c r="L36" s="68" t="str">
        <x:v>增加显露与同党证据，后续透干边际递减</x:v>
      </x:c>
      <x:c r="M36" s="82" t="str">
        <x:v>增强</x:v>
      </x:c>
      <x:c r="N36" s="68" t="str">
        <x:v>中高</x:v>
      </x:c>
      <x:c r="O36" s="82" t="str">
        <x:v>中</x:v>
      </x:c>
      <x:c r="P36" s="68" t="str">
        <x:v>天干五行已逐柱识别</x:v>
      </x:c>
      <x:c r="Q36" s="68" t="str">
        <x:v>至少两干同属目标五行</x:v>
      </x:c>
      <x:c r="R36" s="68" t="str">
        <x:v>多透均有根、得令或有强生源</x:v>
      </x:c>
      <x:c r="S36" s="68" t="str">
        <x:v>多透均无根且失令</x:v>
      </x:c>
      <x:c r="T36" s="90" t="str">
        <x:v>禁止按透干数量线性倍增</x:v>
      </x:c>
      <x:c r="U36" s="68" t="str">
        <x:v>同一五合或争合效应不在M07处理</x:v>
      </x:c>
      <x:c r="V36" s="82" t="str">
        <x:v>否</x:v>
      </x:c>
      <x:c r="W36" s="84" t="str">
        <x:v>多透增强</x:v>
      </x:c>
      <x:c r="X36" s="84" t="str">
        <x:v>目标五行多处透干，显露度与同党性增强；新增透干采用边际递减，不直接等同成势。</x:v>
      </x:c>
      <x:c r="Y36" s="82" t="str">
        <x:v>较高</x:v>
      </x:c>
      <x:c r="Z36" s="82" t="str">
        <x:v>现代综合</x:v>
      </x:c>
      <x:c r="AA36" s="68" t="str">
        <x:v>数量提供证据但不能替代承载。</x:v>
      </x:c>
      <x:c r="AB36" s="68" t="str">
        <x:v>甲乙双透并有寅卯根，木原始力量高于单透。</x:v>
      </x:c>
      <x:c r="AC36" s="90" t="str">
        <x:v>三枚无根水干按三倍强根水计算。</x:v>
      </x:c>
      <x:c r="AD36" s="68" t="str">
        <x:v>经典原则经结构化整理；参见：https://zh.wikisource.org/zh-hans/滴天髓</x:v>
      </x:c>
      <x:c r="AE36" s="82" t="str">
        <x:v>采用</x:v>
      </x:c>
      <x:c r="AF36" s="82" t="str">
        <x:v>初审</x:v>
      </x:c>
      <x:c r="AG36" s="87" t="n">
        <x:v>46255</x:v>
      </x:c>
    </x:row>
    <x:row r="37">
      <x:c r="A37" s="72" t="str">
        <x:f>IF(OR(C37="",D37=""),"",B37&amp;"-"&amp;UPPER(C37)&amp;"-"&amp;TEXT(D37,"0000")&amp;"-"&amp;E37)</x:f>
        <x:v>M07-STEM-0031-V1.0</x:v>
      </x:c>
      <x:c r="B37" s="74" t="str">
        <x:v>M07</x:v>
      </x:c>
      <x:c r="C37" s="74" t="str">
        <x:v>STEM</x:v>
      </x:c>
      <x:c r="D37" s="79" t="n">
        <x:v>31</x:v>
      </x:c>
      <x:c r="E37" s="74" t="str">
        <x:v>V1.0</x:v>
      </x:c>
      <x:c r="F37" s="68" t="str">
        <x:v>藏支不透仍计存在与根气但显露度较低</x:v>
      </x:c>
      <x:c r="G37" s="82" t="str">
        <x:v>结构层</x:v>
      </x:c>
      <x:c r="H37" s="68" t="str">
        <x:v>透干/藏而不透</x:v>
      </x:c>
      <x:c r="I37" s="82"/>
      <x:c r="J37" s="68" t="str">
        <x:v>目标五行仅藏于地支，天干不见</x:v>
      </x:c>
      <x:c r="K37" s="68" t="str">
        <x:v>藏而不透</x:v>
      </x:c>
      <x:c r="L37" s="68" t="str">
        <x:v>保留根气与季令证据，不给予透干显露加权</x:v>
      </x:c>
      <x:c r="M37" s="82" t="str">
        <x:v>不变</x:v>
      </x:c>
      <x:c r="N37" s="68" t="str">
        <x:v>中</x:v>
      </x:c>
      <x:c r="O37" s="82" t="str">
        <x:v>中</x:v>
      </x:c>
      <x:c r="P37" s="68" t="str">
        <x:v>M02藏干与天干映射完成</x:v>
      </x:c>
      <x:c r="Q37" s="68" t="str">
        <x:v>天干无目标五行、地支有目标五行</x:v>
      </x:c>
      <x:c r="R37" s="68" t="str">
        <x:v>藏于月支本气、多根、得令</x:v>
      </x:c>
      <x:c r="S37" s="68" t="str">
        <x:v>仅一处余气且季令不利</x:v>
      </x:c>
      <x:c r="T37" s="90" t="str">
        <x:v>不得因不透就判目标五行不存在</x:v>
      </x:c>
      <x:c r="U37" s="68" t="str">
        <x:v>格局取用是否要求透出转M14/M15</x:v>
      </x:c>
      <x:c r="V37" s="82" t="str">
        <x:v>否</x:v>
      </x:c>
      <x:c r="W37" s="84" t="str">
        <x:v>藏而不透</x:v>
      </x:c>
      <x:c r="X37" s="84" t="str">
        <x:v>目标五行虽未透干，但在地支有实际藏气与根；原始存在不被否定，只是显露度较低。</x:v>
      </x:c>
      <x:c r="Y37" s="82" t="str">
        <x:v>较高</x:v>
      </x:c>
      <x:c r="Z37" s="82" t="str">
        <x:v>跨流派共识</x:v>
      </x:c>
      <x:c r="AA37" s="68" t="str">
        <x:v>藏气与透干是不同维度。</x:v>
      </x:c>
      <x:c r="AB37" s="68" t="str">
        <x:v>木不透但寅卯成片，木原始力量仍可很强。</x:v>
      </x:c>
      <x:c r="AC37" s="90" t="str">
        <x:v>五行不透就一律判弱或不存在。</x:v>
      </x:c>
      <x:c r="AD37" s="68" t="str">
        <x:v>https://zh.wikisource.org/zh-hans/淵海子平；https://zh.wikisource.org/zh-hans/滴天髓</x:v>
      </x:c>
      <x:c r="AE37" s="82" t="str">
        <x:v>采用</x:v>
      </x:c>
      <x:c r="AF37" s="82" t="str">
        <x:v>初审</x:v>
      </x:c>
      <x:c r="AG37" s="87" t="n">
        <x:v>46255</x:v>
      </x:c>
    </x:row>
    <x:row r="38">
      <x:c r="A38" s="72" t="str">
        <x:f>IF(OR(C38="",D38=""),"",B38&amp;"-"&amp;UPPER(C38)&amp;"-"&amp;TEXT(D38,"0000")&amp;"-"&amp;E38)</x:f>
        <x:v>M07-STEM-0032-V1.0</x:v>
      </x:c>
      <x:c r="B38" s="74" t="str">
        <x:v>M07</x:v>
      </x:c>
      <x:c r="C38" s="74" t="str">
        <x:v>STEM</x:v>
      </x:c>
      <x:c r="D38" s="79" t="n">
        <x:v>32</x:v>
      </x:c>
      <x:c r="E38" s="74" t="str">
        <x:v>V1.0</x:v>
      </x:c>
      <x:c r="F38" s="68" t="str">
        <x:v>月令本气藏而不透仍可具强原始力量</x:v>
      </x:c>
      <x:c r="G38" s="82" t="str">
        <x:v>结构层</x:v>
      </x:c>
      <x:c r="H38" s="68" t="str">
        <x:v>透干/月令藏气</x:v>
      </x:c>
      <x:c r="I38" s="82"/>
      <x:c r="J38" s="68" t="str">
        <x:v>目标五行为月支本气但天干不透</x:v>
      </x:c>
      <x:c r="K38" s="68" t="str">
        <x:v>当令而不透</x:v>
      </x:c>
      <x:c r="L38" s="68" t="str">
        <x:v>季令与根气可支持偏旺候选，显露度单独记低</x:v>
      </x:c>
      <x:c r="M38" s="82" t="str">
        <x:v>增强</x:v>
      </x:c>
      <x:c r="N38" s="68" t="str">
        <x:v>高</x:v>
      </x:c>
      <x:c r="O38" s="82" t="str">
        <x:v>强</x:v>
      </x:c>
      <x:c r="P38" s="68" t="str">
        <x:v>月令本气与透干状态已识别</x:v>
      </x:c>
      <x:c r="Q38" s="68" t="str">
        <x:v>目标五行确为月支本气且不透</x:v>
      </x:c>
      <x:c r="R38" s="68" t="str">
        <x:v>另有同类根、同党或强生源</x:v>
      </x:c>
      <x:c r="S38" s="68" t="str">
        <x:v>仅月支单点且受大量异类包围</x:v>
      </x:c>
      <x:c r="T38" s="90" t="str">
        <x:v>不得把“不透”直接否定“得令”</x:v>
      </x:c>
      <x:c r="U38" s="68" t="str">
        <x:v>是否承担格神或十神功能转M10/M14</x:v>
      </x:c>
      <x:c r="V38" s="82" t="str">
        <x:v>否</x:v>
      </x:c>
      <x:c r="W38" s="84" t="str">
        <x:v>当令不透</x:v>
      </x:c>
      <x:c r="X38" s="84" t="str">
        <x:v>目标五行虽不透干，但得月令本气与月支根，原始力量可以较强；仅其显露与功能通道较低。</x:v>
      </x:c>
      <x:c r="Y38" s="82" t="str">
        <x:v>较高</x:v>
      </x:c>
      <x:c r="Z38" s="82" t="str">
        <x:v>旺衰扶抑</x:v>
      </x:c>
      <x:c r="AA38" s="68" t="str">
        <x:v>强弱与显露必须分开。</x:v>
      </x:c>
      <x:c r="AB38" s="68" t="str">
        <x:v>卯月木不透但寅卯多见，木可原始偏旺。</x:v>
      </x:c>
      <x:c r="AC38" s="90" t="str">
        <x:v>卯月无甲乙透干便断木弱。</x:v>
      </x:c>
      <x:c r="AD38" s="68" t="str">
        <x:v>https://zh.wikisource.org/zh-hans/淵海子平；https://zh.wikisource.org/zh-hans/滴天髓</x:v>
      </x:c>
      <x:c r="AE38" s="82" t="str">
        <x:v>采用</x:v>
      </x:c>
      <x:c r="AF38" s="82" t="str">
        <x:v>初审</x:v>
      </x:c>
      <x:c r="AG38" s="87" t="n">
        <x:v>46255</x:v>
      </x:c>
    </x:row>
    <x:row r="39">
      <x:c r="A39" s="72" t="str">
        <x:f>IF(OR(C39="",D39=""),"",B39&amp;"-"&amp;UPPER(C39)&amp;"-"&amp;TEXT(D39,"0000")&amp;"-"&amp;E39)</x:f>
        <x:v>M07-STEM-0033-V1.0</x:v>
      </x:c>
      <x:c r="B39" s="74" t="str">
        <x:v>M07</x:v>
      </x:c>
      <x:c r="C39" s="74" t="str">
        <x:v>STEM</x:v>
      </x:c>
      <x:c r="D39" s="79" t="n">
        <x:v>33</x:v>
      </x:c>
      <x:c r="E39" s="74" t="str">
        <x:v>V1.0</x:v>
      </x:c>
      <x:c r="F39" s="68" t="str">
        <x:v>月干日干位置只作显露通道的次级修正</x:v>
      </x:c>
      <x:c r="G39" s="82" t="str">
        <x:v>结构层</x:v>
      </x:c>
      <x:c r="H39" s="68" t="str">
        <x:v>透干/位置</x:v>
      </x:c>
      <x:c r="I39" s="82"/>
      <x:c r="J39" s="68" t="str">
        <x:v>目标五行透于月干或日干</x:v>
      </x:c>
      <x:c r="K39" s="68" t="str">
        <x:v>中心透干</x:v>
      </x:c>
      <x:c r="L39" s="68" t="str">
        <x:v>提高直接参与全局生克的可见度，但不改变五行本质权重</x:v>
      </x:c>
      <x:c r="M39" s="82" t="str">
        <x:v>增强</x:v>
      </x:c>
      <x:c r="N39" s="68" t="str">
        <x:v>低</x:v>
      </x:c>
      <x:c r="O39" s="82" t="str">
        <x:v>弱</x:v>
      </x:c>
      <x:c r="P39" s="68" t="str">
        <x:v>天干柱位已识别</x:v>
      </x:c>
      <x:c r="Q39" s="68" t="str">
        <x:v>目标五行确透于月干或日干</x:v>
      </x:c>
      <x:c r="R39" s="68" t="str">
        <x:v>透干有根并与相邻生源同党连接</x:v>
      </x:c>
      <x:c r="S39" s="68" t="str">
        <x:v>无根失令且被孤立</x:v>
      </x:c>
      <x:c r="T39" s="90" t="str">
        <x:v>不得仅凭位置把弱干判强</x:v>
      </x:c>
      <x:c r="U39" s="68" t="str">
        <x:v>日干为命主本身时旺衰专入M09</x:v>
      </x:c>
      <x:c r="V39" s="82" t="str">
        <x:v>否</x:v>
      </x:c>
      <x:c r="W39" s="84" t="str">
        <x:v>中心显露</x:v>
      </x:c>
      <x:c r="X39" s="84" t="str">
        <x:v>目标五行透于中心干位，作用通道较直接；位置只作辅助，根令源党仍为主。</x:v>
      </x:c>
      <x:c r="Y39" s="82" t="str">
        <x:v>中等</x:v>
      </x:c>
      <x:c r="Z39" s="82" t="str">
        <x:v>现代综合</x:v>
      </x:c>
      <x:c r="AA39" s="68" t="str">
        <x:v>位置影响直接性，不应成为固定分值。</x:v>
      </x:c>
      <x:c r="AB39" s="68" t="str">
        <x:v>月干庚金有申酉根，其直接参与结构的通道较清晰。</x:v>
      </x:c>
      <x:c r="AC39" s="90" t="str">
        <x:v>月干无根庚金只因居月干就判旺。</x:v>
      </x:c>
      <x:c r="AD39" s="68" t="str">
        <x:v>经典原则经结构化整理；参见：https://zh.wikisource.org/zh-hans/滴天髓</x:v>
      </x:c>
      <x:c r="AE39" s="82" t="str">
        <x:v>待验证</x:v>
      </x:c>
      <x:c r="AF39" s="82" t="str">
        <x:v>初审</x:v>
      </x:c>
      <x:c r="AG39" s="87" t="n">
        <x:v>46255</x:v>
      </x:c>
    </x:row>
    <x:row r="40">
      <x:c r="A40" s="72" t="str">
        <x:f>IF(OR(C40="",D40=""),"",B40&amp;"-"&amp;UPPER(C40)&amp;"-"&amp;TEXT(D40,"0000")&amp;"-"&amp;E40)</x:f>
        <x:v>M07-STEM-0034-V1.0</x:v>
      </x:c>
      <x:c r="B40" s="74" t="str">
        <x:v>M07</x:v>
      </x:c>
      <x:c r="C40" s="74" t="str">
        <x:v>STEM</x:v>
      </x:c>
      <x:c r="D40" s="79" t="n">
        <x:v>34</x:v>
      </x:c>
      <x:c r="E40" s="74" t="str">
        <x:v>V1.0</x:v>
      </x:c>
      <x:c r="F40" s="68" t="str">
        <x:v>年干时干透出仍有效不因边位被删除</x:v>
      </x:c>
      <x:c r="G40" s="82" t="str">
        <x:v>结构层</x:v>
      </x:c>
      <x:c r="H40" s="68" t="str">
        <x:v>透干/边位</x:v>
      </x:c>
      <x:c r="I40" s="82"/>
      <x:c r="J40" s="68" t="str">
        <x:v>目标五行仅透于年干或时干</x:v>
      </x:c>
      <x:c r="K40" s="68" t="str">
        <x:v>边位透干</x:v>
      </x:c>
      <x:c r="L40" s="68" t="str">
        <x:v>保留显露证据，位置远近仅作低阶说明</x:v>
      </x:c>
      <x:c r="M40" s="82" t="str">
        <x:v>增强</x:v>
      </x:c>
      <x:c r="N40" s="68" t="str">
        <x:v>低</x:v>
      </x:c>
      <x:c r="O40" s="82" t="str">
        <x:v>弱</x:v>
      </x:c>
      <x:c r="P40" s="68" t="str">
        <x:v>天干柱位已识别</x:v>
      </x:c>
      <x:c r="Q40" s="68" t="str">
        <x:v>年干或时干属于目标五行</x:v>
      </x:c>
      <x:c r="R40" s="68" t="str">
        <x:v>有根、得令、与其他同类或生源相连</x:v>
      </x:c>
      <x:c r="S40" s="68" t="str">
        <x:v>孤干无根且季令不利</x:v>
      </x:c>
      <x:c r="T40" s="90" t="str">
        <x:v>不得因位于年时便视为无效</x:v>
      </x:c>
      <x:c r="U40" s="68" t="str">
        <x:v>具体宫位象义不属于M07</x:v>
      </x:c>
      <x:c r="V40" s="82" t="str">
        <x:v>否</x:v>
      </x:c>
      <x:c r="W40" s="84" t="str">
        <x:v>边位显露</x:v>
      </x:c>
      <x:c r="X40" s="84" t="str">
        <x:v>目标五行在年干或时干仍属明现，原始力量不能删除；其强弱仍由令根源党决定。</x:v>
      </x:c>
      <x:c r="Y40" s="82" t="str">
        <x:v>较高</x:v>
      </x:c>
      <x:c r="Z40" s="82" t="str">
        <x:v>现代综合</x:v>
      </x:c>
      <x:c r="AA40" s="68" t="str">
        <x:v>四干均是客观存在，位置不能替代力量判断。</x:v>
      </x:c>
      <x:c r="AB40" s="68" t="str">
        <x:v>时干壬水有亥子根，仍是清晰水力。</x:v>
      </x:c>
      <x:c r="AC40" s="90" t="str">
        <x:v>时干一律按无效或虚浮处理。</x:v>
      </x:c>
      <x:c r="AD40" s="68" t="str">
        <x:v>经典原则经结构化整理；参见：https://zh.wikisource.org/zh-hans/滴天髓</x:v>
      </x:c>
      <x:c r="AE40" s="82" t="str">
        <x:v>采用</x:v>
      </x:c>
      <x:c r="AF40" s="82" t="str">
        <x:v>初审</x:v>
      </x:c>
      <x:c r="AG40" s="87" t="n">
        <x:v>46255</x:v>
      </x:c>
    </x:row>
    <x:row r="41">
      <x:c r="A41" s="72" t="str">
        <x:f>IF(OR(C41="",D41=""),"",B41&amp;"-"&amp;UPPER(C41)&amp;"-"&amp;TEXT(D41,"0000")&amp;"-"&amp;E41)</x:f>
        <x:v>M07-STEM-0035-V1.0</x:v>
      </x:c>
      <x:c r="B41" s="74" t="str">
        <x:v>M07</x:v>
      </x:c>
      <x:c r="C41" s="74" t="str">
        <x:v>STEM</x:v>
      </x:c>
      <x:c r="D41" s="79" t="n">
        <x:v>35</x:v>
      </x:c>
      <x:c r="E41" s="74" t="str">
        <x:v>V1.0</x:v>
      </x:c>
      <x:c r="F41" s="68" t="str">
        <x:v>透干与生源同现可提升显露力量候选</x:v>
      </x:c>
      <x:c r="G41" s="82" t="str">
        <x:v>结构层</x:v>
      </x:c>
      <x:c r="H41" s="68" t="str">
        <x:v>透干/受生</x:v>
      </x:c>
      <x:c r="I41" s="82"/>
      <x:c r="J41" s="68" t="str">
        <x:v>目标五行透干，且其生源五行也明现或有强根</x:v>
      </x:c>
      <x:c r="K41" s="68" t="str">
        <x:v>透干得生</x:v>
      </x:c>
      <x:c r="L41" s="68" t="str">
        <x:v>在透干基础上增加生源支持</x:v>
      </x:c>
      <x:c r="M41" s="82" t="str">
        <x:v>增强</x:v>
      </x:c>
      <x:c r="N41" s="68" t="str">
        <x:v>中</x:v>
      </x:c>
      <x:c r="O41" s="82" t="str">
        <x:v>中</x:v>
      </x:c>
      <x:c r="P41" s="68" t="str">
        <x:v>生源关系已按五行生克映射</x:v>
      </x:c>
      <x:c r="Q41" s="68" t="str">
        <x:v>生源自身至少具中等原始力量</x:v>
      </x:c>
      <x:c r="R41" s="68" t="str">
        <x:v>生源得令、有根、与目标相邻或路径短</x:v>
      </x:c>
      <x:c r="S41" s="68" t="str">
        <x:v>生源无根失令或需多级传递</x:v>
      </x:c>
      <x:c r="T41" s="90" t="str">
        <x:v>不得只因生源出现就假定已经有效相生</x:v>
      </x:c>
      <x:c r="U41" s="68" t="str">
        <x:v>生克实际受合克阻断转M08</x:v>
      </x:c>
      <x:c r="V41" s="82" t="str">
        <x:v>否</x:v>
      </x:c>
      <x:c r="W41" s="84" t="str">
        <x:v>透干得生</x:v>
      </x:c>
      <x:c r="X41" s="84" t="str">
        <x:v>目标五行透干且有可识别生源，原始显露力量获得进一步支持；生源有效性后续复核。</x:v>
      </x:c>
      <x:c r="Y41" s="82" t="str">
        <x:v>较高</x:v>
      </x:c>
      <x:c r="Z41" s="82" t="str">
        <x:v>现代综合</x:v>
      </x:c>
      <x:c r="AA41" s="68" t="str">
        <x:v>透干有源通常优于孤透。</x:v>
      </x:c>
      <x:c r="AB41" s="68" t="str">
        <x:v>甲木透干，壬癸有根并明现，木获直接生源。</x:v>
      </x:c>
      <x:c r="AC41" s="90" t="str">
        <x:v>一枚无根癸水出现就认定能充分生旺多木。</x:v>
      </x:c>
      <x:c r="AD41" s="68" t="str">
        <x:v>经典原则经结构化整理；参见：https://zh.wikisource.org/zh-hans/滴天髓</x:v>
      </x:c>
      <x:c r="AE41" s="82" t="str">
        <x:v>采用</x:v>
      </x:c>
      <x:c r="AF41" s="82" t="str">
        <x:v>初审</x:v>
      </x:c>
      <x:c r="AG41" s="87" t="n">
        <x:v>46255</x:v>
      </x:c>
    </x:row>
    <x:row r="42">
      <x:c r="A42" s="72" t="str">
        <x:f>IF(OR(C42="",D42=""),"",B42&amp;"-"&amp;UPPER(C42)&amp;"-"&amp;TEXT(D42,"0000")&amp;"-"&amp;E42)</x:f>
        <x:v>M07-STEM-0036-V1.0</x:v>
      </x:c>
      <x:c r="B42" s="74" t="str">
        <x:v>M07</x:v>
      </x:c>
      <x:c r="C42" s="74" t="str">
        <x:v>STEM</x:v>
      </x:c>
      <x:c r="D42" s="79" t="n">
        <x:v>36</x:v>
      </x:c>
      <x:c r="E42" s="74" t="str">
        <x:v>V1.0</x:v>
      </x:c>
      <x:c r="F42" s="68" t="str">
        <x:v>透干、根气与同党属于相关证据须避免三重满额累加</x:v>
      </x:c>
      <x:c r="G42" s="82" t="str">
        <x:v>结构层</x:v>
      </x:c>
      <x:c r="H42" s="68" t="str">
        <x:v>透干/防重复</x:v>
      </x:c>
      <x:c r="I42" s="82"/>
      <x:c r="J42" s="68" t="str">
        <x:v>同一五行的透干、根气和同党来自同一组干支节点</x:v>
      </x:c>
      <x:c r="K42" s="68" t="str">
        <x:v>证据相关</x:v>
      </x:c>
      <x:c r="L42" s="68" t="str">
        <x:v>保留三个维度描述，但汇总时降低重复权重</x:v>
      </x:c>
      <x:c r="M42" s="82" t="str">
        <x:v>不变</x:v>
      </x:c>
      <x:c r="N42" s="68" t="str">
        <x:v>高</x:v>
      </x:c>
      <x:c r="O42" s="82" t="str">
        <x:v>强</x:v>
      </x:c>
      <x:c r="P42" s="68" t="str">
        <x:v>各证据来源节点已标注</x:v>
      </x:c>
      <x:c r="Q42" s="68" t="str">
        <x:v>确认多个证据高度共源</x:v>
      </x:c>
      <x:c r="R42" s="68" t="str">
        <x:v>另有独立根、独立生源或不同柱位同党</x:v>
      </x:c>
      <x:c r="S42" s="68" t="str">
        <x:v>所有证据均围绕同一单点</x:v>
      </x:c>
      <x:c r="T42" s="90" t="str">
        <x:v>禁止把“一干一根”拆成三个决定性加分项</x:v>
      </x:c>
      <x:c r="U42" s="68" t="str">
        <x:v>若证据来自独立节点，可分别保留较高权重</x:v>
      </x:c>
      <x:c r="V42" s="82" t="str">
        <x:v>否</x:v>
      </x:c>
      <x:c r="W42" s="84" t="str">
        <x:v>显露证据去重</x:v>
      </x:c>
      <x:c r="X42" s="84" t="str">
        <x:v>透、根、党均予记录，但共源节点不重复满额计权；原始等级由独立证据数量决定。</x:v>
      </x:c>
      <x:c r="Y42" s="82" t="str">
        <x:v>较高</x:v>
      </x:c>
      <x:c r="Z42" s="82" t="str">
        <x:v>现代综合</x:v>
      </x:c>
      <x:c r="AA42" s="68" t="str">
        <x:v>证据相关性是防止机械打分的核心。</x:v>
      </x:c>
      <x:c r="AB42" s="68" t="str">
        <x:v>甲透坐寅，记录透干与本气根相应；不再额外把甲寅视作第三个独立强证。</x:v>
      </x:c>
      <x:c r="AC42" s="90" t="str">
        <x:v>同一甲寅分别按透、根、同党三次满额加权。</x:v>
      </x:c>
      <x:c r="AD42" s="68" t="str">
        <x:v>经典原则经结构化整理；参见：https://zh.wikisource.org/zh-hans/滴天髓</x:v>
      </x:c>
      <x:c r="AE42" s="82" t="str">
        <x:v>采用</x:v>
      </x:c>
      <x:c r="AF42" s="82" t="str">
        <x:v>初审</x:v>
      </x:c>
      <x:c r="AG42" s="87" t="n">
        <x:v>46255</x:v>
      </x:c>
    </x:row>
    <x:row r="43">
      <x:c r="A43" s="72" t="str">
        <x:f>IF(OR(C43="",D43=""),"",B43&amp;"-"&amp;UPPER(C43)&amp;"-"&amp;TEXT(D43,"0000")&amp;"-"&amp;E43)</x:f>
        <x:v>M07-SOURCE-0037-V1.0</x:v>
      </x:c>
      <x:c r="B43" s="74" t="str">
        <x:v>M07</x:v>
      </x:c>
      <x:c r="C43" s="74" t="str">
        <x:v>SOURCE</x:v>
      </x:c>
      <x:c r="D43" s="79" t="n">
        <x:v>37</x:v>
      </x:c>
      <x:c r="E43" s="74" t="str">
        <x:v>V1.0</x:v>
      </x:c>
      <x:c r="F43" s="68" t="str">
        <x:v>生我五行有力时构成直接生源</x:v>
      </x:c>
      <x:c r="G43" s="82" t="str">
        <x:v>结构层</x:v>
      </x:c>
      <x:c r="H43" s="68" t="str">
        <x:v>生源/直接相生</x:v>
      </x:c>
      <x:c r="I43" s="82"/>
      <x:c r="J43" s="68" t="str">
        <x:v>目标五行的生源五行在原局存在且具备原始力量</x:v>
      </x:c>
      <x:c r="K43" s="68" t="str">
        <x:v>直接生源</x:v>
      </x:c>
      <x:c r="L43" s="68" t="str">
        <x:v>按生源自身强弱给予正向支持</x:v>
      </x:c>
      <x:c r="M43" s="82" t="str">
        <x:v>增强</x:v>
      </x:c>
      <x:c r="N43" s="68" t="str">
        <x:v>中高</x:v>
      </x:c>
      <x:c r="O43" s="82" t="str">
        <x:v>中</x:v>
      </x:c>
      <x:c r="P43" s="68" t="str">
        <x:v>M02五行生克与生源五行已确定</x:v>
      </x:c>
      <x:c r="Q43" s="68" t="str">
        <x:v>生源不只是名义出现，至少有根、透、得令或同党之一</x:v>
      </x:c>
      <x:c r="R43" s="68" t="str">
        <x:v>生源得令、多根、透干、路径短</x:v>
      </x:c>
      <x:c r="S43" s="68" t="str">
        <x:v>生源孤弱无根、失令或只藏余气</x:v>
      </x:c>
      <x:c r="T43" s="90" t="str">
        <x:v>不得只看生源数量而不评生源自身力量</x:v>
      </x:c>
      <x:c r="U43" s="68" t="str">
        <x:v>实际生路被合克阻断转M08</x:v>
      </x:c>
      <x:c r="V43" s="82" t="str">
        <x:v>否</x:v>
      </x:c>
      <x:c r="W43" s="84" t="str">
        <x:v>直接生源</x:v>
      </x:c>
      <x:c r="X43" s="84" t="str">
        <x:v>目标五行得到有力生源，原始力量获得支持；支持幅度取决于生源自身的令、根、透、党。</x:v>
      </x:c>
      <x:c r="Y43" s="82" t="str">
        <x:v>较高</x:v>
      </x:c>
      <x:c r="Z43" s="82" t="str">
        <x:v>现代综合</x:v>
      </x:c>
      <x:c r="AA43" s="68" t="str">
        <x:v>能生者先须有力，名义生源不等于有效供给。</x:v>
      </x:c>
      <x:c r="AB43" s="68" t="str">
        <x:v>水有根有透而生木，木获可靠生源。</x:v>
      </x:c>
      <x:c r="AC43" s="90" t="str">
        <x:v>一处辰中癸余气就视为足以生旺全局木。</x:v>
      </x:c>
      <x:c r="AD43" s="68" t="str">
        <x:v>https://zh.wikisource.org/zh-hans/淵海子平；https://zh.wikisource.org/zh-hans/滴天髓</x:v>
      </x:c>
      <x:c r="AE43" s="82" t="str">
        <x:v>采用</x:v>
      </x:c>
      <x:c r="AF43" s="82" t="str">
        <x:v>初审</x:v>
      </x:c>
      <x:c r="AG43" s="87" t="n">
        <x:v>46255</x:v>
      </x:c>
    </x:row>
    <x:row r="44">
      <x:c r="A44" s="72" t="str">
        <x:f>IF(OR(C44="",D44=""),"",B44&amp;"-"&amp;UPPER(C44)&amp;"-"&amp;TEXT(D44,"0000")&amp;"-"&amp;E44)</x:f>
        <x:v>M07-SOURCE-0038-V1.0</x:v>
      </x:c>
      <x:c r="B44" s="74" t="str">
        <x:v>M07</x:v>
      </x:c>
      <x:c r="C44" s="74" t="str">
        <x:v>SOURCE</x:v>
      </x:c>
      <x:c r="D44" s="79" t="n">
        <x:v>38</x:v>
      </x:c>
      <x:c r="E44" s="74" t="str">
        <x:v>V1.0</x:v>
      </x:c>
      <x:c r="F44" s="68" t="str">
        <x:v>生源得令时对目标的原始支持增强</x:v>
      </x:c>
      <x:c r="G44" s="82" t="str">
        <x:v>结构层</x:v>
      </x:c>
      <x:c r="H44" s="68" t="str">
        <x:v>生源/得令</x:v>
      </x:c>
      <x:c r="I44" s="82"/>
      <x:c r="J44" s="68" t="str">
        <x:v>生源五行处于旺或相令</x:v>
      </x:c>
      <x:c r="K44" s="68" t="str">
        <x:v>强季令生源</x:v>
      </x:c>
      <x:c r="L44" s="68" t="str">
        <x:v>提升生源支持等级</x:v>
      </x:c>
      <x:c r="M44" s="82" t="str">
        <x:v>增强</x:v>
      </x:c>
      <x:c r="N44" s="68" t="str">
        <x:v>高</x:v>
      </x:c>
      <x:c r="O44" s="82" t="str">
        <x:v>强</x:v>
      </x:c>
      <x:c r="P44" s="68" t="str">
        <x:v>生源季令状态已判定</x:v>
      </x:c>
      <x:c r="Q44" s="68" t="str">
        <x:v>生源确为目标之母且得旺相季令</x:v>
      </x:c>
      <x:c r="R44" s="68" t="str">
        <x:v>生源自身有根透、目标有承载根</x:v>
      </x:c>
      <x:c r="S44" s="68" t="str">
        <x:v>生源虽得令但目标完全无根无透</x:v>
      </x:c>
      <x:c r="T44" s="90" t="str">
        <x:v>不得把母旺直接等同子旺</x:v>
      </x:c>
      <x:c r="U44" s="68" t="str">
        <x:v>生源过旺造成壅塞属M12/M16问题</x:v>
      </x:c>
      <x:c r="V44" s="82" t="str">
        <x:v>否</x:v>
      </x:c>
      <x:c r="W44" s="84" t="str">
        <x:v>得令生源</x:v>
      </x:c>
      <x:c r="X44" s="84" t="str">
        <x:v>目标五行之生源得令，原始供给能力较强；目标能否承接仍须看自身根透。</x:v>
      </x:c>
      <x:c r="Y44" s="82" t="str">
        <x:v>较高</x:v>
      </x:c>
      <x:c r="Z44" s="82" t="str">
        <x:v>旺衰扶抑</x:v>
      </x:c>
      <x:c r="AA44" s="68" t="str">
        <x:v>母旺有利于子，但子是否得力取决于承接条件。</x:v>
      </x:c>
      <x:c r="AB44" s="68" t="str">
        <x:v>冬水旺生木，木有寅卯根时生扶明显。</x:v>
      </x:c>
      <x:c r="AC44" s="90" t="str">
        <x:v>冬水旺而木完全不现，也判木旺。</x:v>
      </x:c>
      <x:c r="AD44" s="68" t="str">
        <x:v>https://zh.wikisource.org/zh-hans/淵海子平；https://zh.wikisource.org/zh-hans/滴天髓</x:v>
      </x:c>
      <x:c r="AE44" s="82" t="str">
        <x:v>采用</x:v>
      </x:c>
      <x:c r="AF44" s="82" t="str">
        <x:v>初审</x:v>
      </x:c>
      <x:c r="AG44" s="87" t="n">
        <x:v>46255</x:v>
      </x:c>
    </x:row>
    <x:row r="45">
      <x:c r="A45" s="72" t="str">
        <x:f>IF(OR(C45="",D45=""),"",B45&amp;"-"&amp;UPPER(C45)&amp;"-"&amp;TEXT(D45,"0000")&amp;"-"&amp;E45)</x:f>
        <x:v>M07-SOURCE-0039-V1.0</x:v>
      </x:c>
      <x:c r="B45" s="74" t="str">
        <x:v>M07</x:v>
      </x:c>
      <x:c r="C45" s="74" t="str">
        <x:v>SOURCE</x:v>
      </x:c>
      <x:c r="D45" s="79" t="n">
        <x:v>39</x:v>
      </x:c>
      <x:c r="E45" s="74" t="str">
        <x:v>V1.0</x:v>
      </x:c>
      <x:c r="F45" s="68" t="str">
        <x:v>生源有根有透时供给稳定性提高</x:v>
      </x:c>
      <x:c r="G45" s="82" t="str">
        <x:v>结构层</x:v>
      </x:c>
      <x:c r="H45" s="68" t="str">
        <x:v>生源/根透</x:v>
      </x:c>
      <x:c r="I45" s="82"/>
      <x:c r="J45" s="68" t="str">
        <x:v>生源五行同时透干并有根</x:v>
      </x:c>
      <x:c r="K45" s="68" t="str">
        <x:v>根透生源</x:v>
      </x:c>
      <x:c r="L45" s="68" t="str">
        <x:v>给予中高等级持续生扶证据</x:v>
      </x:c>
      <x:c r="M45" s="82" t="str">
        <x:v>增强</x:v>
      </x:c>
      <x:c r="N45" s="68" t="str">
        <x:v>中高</x:v>
      </x:c>
      <x:c r="O45" s="82" t="str">
        <x:v>中</x:v>
      </x:c>
      <x:c r="P45" s="68" t="str">
        <x:v>生源自身M07证据已生成</x:v>
      </x:c>
      <x:c r="Q45" s="68" t="str">
        <x:v>生源透而有根</x:v>
      </x:c>
      <x:c r="R45" s="68" t="str">
        <x:v>生源得令、同党多、与目标相邻</x:v>
      </x:c>
      <x:c r="S45" s="68" t="str">
        <x:v>生源仅弱根或目标无承接</x:v>
      </x:c>
      <x:c r="T45" s="90" t="str">
        <x:v>不得重复把生源透根作为多次独立满额加权</x:v>
      </x:c>
      <x:c r="U45" s="68" t="str">
        <x:v>具体生克通道受关系影响转M08</x:v>
      </x:c>
      <x:c r="V45" s="82" t="str">
        <x:v>否</x:v>
      </x:c>
      <x:c r="W45" s="84" t="str">
        <x:v>稳定生源</x:v>
      </x:c>
      <x:c r="X45" s="84" t="str">
        <x:v>生源透而有根，具备较稳定的原始供给能力，可提高目标五行的生扶证据。</x:v>
      </x:c>
      <x:c r="Y45" s="82" t="str">
        <x:v>较高</x:v>
      </x:c>
      <x:c r="Z45" s="82" t="str">
        <x:v>现代综合</x:v>
      </x:c>
      <x:c r="AA45" s="68" t="str">
        <x:v>生源稳定性依赖自身承载。</x:v>
      </x:c>
      <x:c r="AB45" s="68" t="str">
        <x:v>壬水透干又有亥子根，可持续支持甲乙木。</x:v>
      </x:c>
      <x:c r="AC45" s="90" t="str">
        <x:v>无根壬水与亥子根透壬同等供给。</x:v>
      </x:c>
      <x:c r="AD45" s="68" t="str">
        <x:v>经典原则经结构化整理；参见：https://zh.wikisource.org/zh-hans/滴天髓</x:v>
      </x:c>
      <x:c r="AE45" s="82" t="str">
        <x:v>采用</x:v>
      </x:c>
      <x:c r="AF45" s="82" t="str">
        <x:v>初审</x:v>
      </x:c>
      <x:c r="AG45" s="87" t="n">
        <x:v>46255</x:v>
      </x:c>
    </x:row>
    <x:row r="46">
      <x:c r="A46" s="72" t="str">
        <x:f>IF(OR(C46="",D46=""),"",B46&amp;"-"&amp;UPPER(C46)&amp;"-"&amp;TEXT(D46,"0000")&amp;"-"&amp;E46)</x:f>
        <x:v>M07-SOURCE-0040-V1.0</x:v>
      </x:c>
      <x:c r="B46" s="74" t="str">
        <x:v>M07</x:v>
      </x:c>
      <x:c r="C46" s="74" t="str">
        <x:v>SOURCE</x:v>
      </x:c>
      <x:c r="D46" s="79" t="n">
        <x:v>40</x:v>
      </x:c>
      <x:c r="E46" s="74" t="str">
        <x:v>V1.0</x:v>
      </x:c>
      <x:c r="F46" s="68" t="str">
        <x:v>生源与目标相邻或路径短时支持更直接</x:v>
      </x:c>
      <x:c r="G46" s="82" t="str">
        <x:v>结构层</x:v>
      </x:c>
      <x:c r="H46" s="68" t="str">
        <x:v>生源/路径</x:v>
      </x:c>
      <x:c r="I46" s="82"/>
      <x:c r="J46" s="68" t="str">
        <x:v>生源与目标在相邻干位、同柱干支或连续支位形成短路径</x:v>
      </x:c>
      <x:c r="K46" s="68" t="str">
        <x:v>短程生扶</x:v>
      </x:c>
      <x:c r="L46" s="68" t="str">
        <x:v>提高生扶直接性，权重只作辅助修正</x:v>
      </x:c>
      <x:c r="M46" s="82" t="str">
        <x:v>增强</x:v>
      </x:c>
      <x:c r="N46" s="68" t="str">
        <x:v>低</x:v>
      </x:c>
      <x:c r="O46" s="82" t="str">
        <x:v>弱</x:v>
      </x:c>
      <x:c r="P46" s="68" t="str">
        <x:v>已定位生源与目标节点</x:v>
      </x:c>
      <x:c r="Q46" s="68" t="str">
        <x:v>存在明确短路径</x:v>
      </x:c>
      <x:c r="R46" s="68" t="str">
        <x:v>双方均有根、无明显中间阻隔</x:v>
      </x:c>
      <x:c r="S46" s="68" t="str">
        <x:v>双方一强一弱或仅藏气遥隔</x:v>
      </x:c>
      <x:c r="T46" s="90" t="str">
        <x:v>不得把位置相邻替代双方力量判断</x:v>
      </x:c>
      <x:c r="U46" s="68" t="str">
        <x:v>实际合克阻断由M06/M08处理</x:v>
      </x:c>
      <x:c r="V46" s="82" t="str">
        <x:v>否</x:v>
      </x:c>
      <x:c r="W46" s="84" t="str">
        <x:v>短程生源</x:v>
      </x:c>
      <x:c r="X46" s="84" t="str">
        <x:v>生源与目标路径较短，原始生扶较直接；但支持强度仍以双方自身力量为主。</x:v>
      </x:c>
      <x:c r="Y46" s="82" t="str">
        <x:v>中等</x:v>
      </x:c>
      <x:c r="Z46" s="82" t="str">
        <x:v>现代综合</x:v>
      </x:c>
      <x:c r="AA46" s="68" t="str">
        <x:v>位置影响传递效率，是次级而非硬权重。</x:v>
      </x:c>
      <x:c r="AB46" s="68" t="str">
        <x:v>月干壬生日干甲，壬有亥根、甲有寅根，生路较直接。</x:v>
      </x:c>
      <x:c r="AC46" s="90" t="str">
        <x:v>两个无根天干只因相邻就判强生。</x:v>
      </x:c>
      <x:c r="AD46" s="68" t="str">
        <x:v>经典原则经结构化整理；参见：https://zh.wikisource.org/zh-hans/滴天髓</x:v>
      </x:c>
      <x:c r="AE46" s="82" t="str">
        <x:v>待验证</x:v>
      </x:c>
      <x:c r="AF46" s="82" t="str">
        <x:v>初审</x:v>
      </x:c>
      <x:c r="AG46" s="87" t="n">
        <x:v>46255</x:v>
      </x:c>
    </x:row>
    <x:row r="47">
      <x:c r="A47" s="72" t="str">
        <x:f>IF(OR(C47="",D47=""),"",B47&amp;"-"&amp;UPPER(C47)&amp;"-"&amp;TEXT(D47,"0000")&amp;"-"&amp;E47)</x:f>
        <x:v>M07-SOURCE-0041-V1.0</x:v>
      </x:c>
      <x:c r="B47" s="74" t="str">
        <x:v>M07</x:v>
      </x:c>
      <x:c r="C47" s="74" t="str">
        <x:v>SOURCE</x:v>
      </x:c>
      <x:c r="D47" s="79" t="n">
        <x:v>41</x:v>
      </x:c>
      <x:c r="E47" s="74" t="str">
        <x:v>V1.0</x:v>
      </x:c>
      <x:c r="F47" s="68" t="str">
        <x:v>生源孤弱无根时只保留名义支持</x:v>
      </x:c>
      <x:c r="G47" s="82" t="str">
        <x:v>结构层</x:v>
      </x:c>
      <x:c r="H47" s="68" t="str">
        <x:v>生源/弱源</x:v>
      </x:c>
      <x:c r="I47" s="82"/>
      <x:c r="J47" s="68" t="str">
        <x:v>生源五行仅单点出现且无根失令</x:v>
      </x:c>
      <x:c r="K47" s="68" t="str">
        <x:v>弱生源</x:v>
      </x:c>
      <x:c r="L47" s="68" t="str">
        <x:v>仅给予低等级正证，不能承担主要生扶</x:v>
      </x:c>
      <x:c r="M47" s="82" t="str">
        <x:v>增强</x:v>
      </x:c>
      <x:c r="N47" s="68" t="str">
        <x:v>低</x:v>
      </x:c>
      <x:c r="O47" s="82" t="str">
        <x:v>弱</x:v>
      </x:c>
      <x:c r="P47" s="68" t="str">
        <x:v>生源原始旺衰已评估</x:v>
      </x:c>
      <x:c r="Q47" s="68" t="str">
        <x:v>生源无根、少量、季令不利</x:v>
      </x:c>
      <x:c r="R47" s="68" t="str">
        <x:v>生源虽无根但得令、多透或有上游强生</x:v>
      </x:c>
      <x:c r="S47" s="68" t="str">
        <x:v>生源又被大量泄耗克制的实际效应待M08</x:v>
      </x:c>
      <x:c r="T47" s="90" t="str">
        <x:v>不得把弱源与强源等权</x:v>
      </x:c>
      <x:c r="U47" s="68" t="str">
        <x:v>若特殊格局要求某一点引化，转M14/M15</x:v>
      </x:c>
      <x:c r="V47" s="82" t="str">
        <x:v>否</x:v>
      </x:c>
      <x:c r="W47" s="84" t="str">
        <x:v>名义生源</x:v>
      </x:c>
      <x:c r="X47" s="84" t="str">
        <x:v>生源虽出现，但自身孤弱无根，只能提供名义或低等级支持，不能据此显著上调目标。</x:v>
      </x:c>
      <x:c r="Y47" s="82" t="str">
        <x:v>较高</x:v>
      </x:c>
      <x:c r="Z47" s="82" t="str">
        <x:v>现代综合</x:v>
      </x:c>
      <x:c r="AA47" s="68" t="str">
        <x:v>供给能力受供给者自身强弱限制。</x:v>
      </x:c>
      <x:c r="AB47" s="68" t="str">
        <x:v>夏月一枚无根癸水生木，支持有限。</x:v>
      </x:c>
      <x:c r="AC47" s="90" t="str">
        <x:v>任何印星或母五行出现都按强生扶。</x:v>
      </x:c>
      <x:c r="AD47" s="68" t="str">
        <x:v>经典原则经结构化整理；参见：https://zh.wikisource.org/zh-hans/滴天髓</x:v>
      </x:c>
      <x:c r="AE47" s="82" t="str">
        <x:v>采用</x:v>
      </x:c>
      <x:c r="AF47" s="82" t="str">
        <x:v>初审</x:v>
      </x:c>
      <x:c r="AG47" s="87" t="n">
        <x:v>46255</x:v>
      </x:c>
    </x:row>
    <x:row r="48">
      <x:c r="A48" s="72" t="str">
        <x:f>IF(OR(C48="",D48=""),"",B48&amp;"-"&amp;UPPER(C48)&amp;"-"&amp;TEXT(D48,"0000")&amp;"-"&amp;E48)</x:f>
        <x:v>M07-SOURCE-0042-V1.0</x:v>
      </x:c>
      <x:c r="B48" s="74" t="str">
        <x:v>M07</x:v>
      </x:c>
      <x:c r="C48" s="74" t="str">
        <x:v>SOURCE</x:v>
      </x:c>
      <x:c r="D48" s="79" t="n">
        <x:v>42</x:v>
      </x:c>
      <x:c r="E48" s="74" t="str">
        <x:v>V1.0</x:v>
      </x:c>
      <x:c r="F48" s="68" t="str">
        <x:v>多个生源节点增强供给但共享同一根时需去重</x:v>
      </x:c>
      <x:c r="G48" s="82" t="str">
        <x:v>结构层</x:v>
      </x:c>
      <x:c r="H48" s="68" t="str">
        <x:v>生源/多源</x:v>
      </x:c>
      <x:c r="I48" s="82"/>
      <x:c r="J48" s="68" t="str">
        <x:v>目标五行有两个以上生源节点</x:v>
      </x:c>
      <x:c r="K48" s="68" t="str">
        <x:v>多生源</x:v>
      </x:c>
      <x:c r="L48" s="68" t="str">
        <x:v>增加供给证据，独立节点权重大于共源节点</x:v>
      </x:c>
      <x:c r="M48" s="82" t="str">
        <x:v>增强</x:v>
      </x:c>
      <x:c r="N48" s="68" t="str">
        <x:v>中</x:v>
      </x:c>
      <x:c r="O48" s="82" t="str">
        <x:v>中</x:v>
      </x:c>
      <x:c r="P48" s="68" t="str">
        <x:v>生源节点与根位已标注</x:v>
      </x:c>
      <x:c r="Q48" s="68" t="str">
        <x:v>至少两个生源表现</x:v>
      </x:c>
      <x:c r="R48" s="68" t="str">
        <x:v>生源分布独立、各有根或得令</x:v>
      </x:c>
      <x:c r="S48" s="68" t="str">
        <x:v>多干共用同一弱根或均无根</x:v>
      </x:c>
      <x:c r="T48" s="90" t="str">
        <x:v>禁止按生源个数线性倍增</x:v>
      </x:c>
      <x:c r="U48" s="68" t="str">
        <x:v>同一生源同时供给多个目标时采用共享容量规则</x:v>
      </x:c>
      <x:c r="V48" s="82" t="str">
        <x:v>否</x:v>
      </x:c>
      <x:c r="W48" s="84" t="str">
        <x:v>多源增强</x:v>
      </x:c>
      <x:c r="X48" s="84" t="str">
        <x:v>目标五行有多个生源，原始供给增强；若多个生源共用同一根或同一气源，应降低重复权重。</x:v>
      </x:c>
      <x:c r="Y48" s="82" t="str">
        <x:v>中等</x:v>
      </x:c>
      <x:c r="Z48" s="82" t="str">
        <x:v>现代综合</x:v>
      </x:c>
      <x:c r="AA48" s="68" t="str">
        <x:v>多源的独立性比表面数量更重要。</x:v>
      </x:c>
      <x:c r="AB48" s="68" t="str">
        <x:v>壬癸双透且分别有亥子根，木的生源明显强。</x:v>
      </x:c>
      <x:c r="AC48" s="90" t="str">
        <x:v>壬癸双透共用一处辰余气，也按两套强源计算。</x:v>
      </x:c>
      <x:c r="AD48" s="68" t="str">
        <x:v>经典原则经结构化整理；参见：https://zh.wikisource.org/zh-hans/滴天髓</x:v>
      </x:c>
      <x:c r="AE48" s="82" t="str">
        <x:v>采用</x:v>
      </x:c>
      <x:c r="AF48" s="82" t="str">
        <x:v>初审</x:v>
      </x:c>
      <x:c r="AG48" s="87" t="n">
        <x:v>46255</x:v>
      </x:c>
    </x:row>
    <x:row r="49">
      <x:c r="A49" s="72" t="str">
        <x:f>IF(OR(C49="",D49=""),"",B49&amp;"-"&amp;UPPER(C49)&amp;"-"&amp;TEXT(D49,"0000")&amp;"-"&amp;E49)</x:f>
        <x:v>M07-SOURCE-0043-V1.0</x:v>
      </x:c>
      <x:c r="B49" s="74" t="str">
        <x:v>M07</x:v>
      </x:c>
      <x:c r="C49" s="74" t="str">
        <x:v>SOURCE</x:v>
      </x:c>
      <x:c r="D49" s="79" t="n">
        <x:v>43</x:v>
      </x:c>
      <x:c r="E49" s="74" t="str">
        <x:v>V1.0</x:v>
      </x:c>
      <x:c r="F49" s="68" t="str">
        <x:v>上游生源之源形成两级连续支持</x:v>
      </x:c>
      <x:c r="G49" s="82" t="str">
        <x:v>结构层</x:v>
      </x:c>
      <x:c r="H49" s="68" t="str">
        <x:v>生源/两级链</x:v>
      </x:c>
      <x:c r="I49" s="82"/>
      <x:c r="J49" s="68" t="str">
        <x:v>存在上游五行生生源，再由生源生目标</x:v>
      </x:c>
      <x:c r="K49" s="68" t="str">
        <x:v>两级生扶链</x:v>
      </x:c>
      <x:c r="L49" s="68" t="str">
        <x:v>给予辅助正证，强度低于直接强生源</x:v>
      </x:c>
      <x:c r="M49" s="82" t="str">
        <x:v>增强</x:v>
      </x:c>
      <x:c r="N49" s="68" t="str">
        <x:v>中</x:v>
      </x:c>
      <x:c r="O49" s="82" t="str">
        <x:v>中</x:v>
      </x:c>
      <x:c r="P49" s="68" t="str">
        <x:v>五行生序与各节点已识别</x:v>
      </x:c>
      <x:c r="Q49" s="68" t="str">
        <x:v>中间生源存在且至少具基础承载</x:v>
      </x:c>
      <x:c r="R49" s="68" t="str">
        <x:v>上游、中间与目标均有根透，路径连续</x:v>
      </x:c>
      <x:c r="S49" s="68" t="str">
        <x:v>中间五行缺失、无根或仅余气</x:v>
      </x:c>
      <x:c r="T49" s="90" t="str">
        <x:v>不得把长链各段都按直接相生同权</x:v>
      </x:c>
      <x:c r="U49" s="68" t="str">
        <x:v>链路过长或卡点转M12</x:v>
      </x:c>
      <x:c r="V49" s="82" t="str">
        <x:v>否</x:v>
      </x:c>
      <x:c r="W49" s="84" t="str">
        <x:v>两级生扶</x:v>
      </x:c>
      <x:c r="X49" s="84" t="str">
        <x:v>目标五行得到上游—生源—目标的连续支持；链条完整可增强原始力量，但低于直接强源。</x:v>
      </x:c>
      <x:c r="Y49" s="82" t="str">
        <x:v>中等</x:v>
      </x:c>
      <x:c r="Z49" s="82" t="str">
        <x:v>现代综合</x:v>
      </x:c>
      <x:c r="AA49" s="68" t="str">
        <x:v>生化链可传递气势，但会随链长衰减。</x:v>
      </x:c>
      <x:c r="AB49" s="68" t="str">
        <x:v>金生水、水生木，金水均有根透，木获连续生扶。</x:v>
      </x:c>
      <x:c r="AC49" s="90" t="str">
        <x:v>只有金与木而缺水，也称金直接生木。</x:v>
      </x:c>
      <x:c r="AD49" s="68" t="str">
        <x:v>经典原则经结构化整理；参见：https://zh.wikisource.org/zh-hans/滴天髓</x:v>
      </x:c>
      <x:c r="AE49" s="82" t="str">
        <x:v>采用</x:v>
      </x:c>
      <x:c r="AF49" s="82" t="str">
        <x:v>初审</x:v>
      </x:c>
      <x:c r="AG49" s="87" t="n">
        <x:v>46255</x:v>
      </x:c>
    </x:row>
    <x:row r="50">
      <x:c r="A50" s="72" t="str">
        <x:f>IF(OR(C50="",D50=""),"",B50&amp;"-"&amp;UPPER(C50)&amp;"-"&amp;TEXT(D50,"0000")&amp;"-"&amp;E50)</x:f>
        <x:v>M07-SOURCE-0044-V1.0</x:v>
      </x:c>
      <x:c r="B50" s="74" t="str">
        <x:v>M07</x:v>
      </x:c>
      <x:c r="C50" s="74" t="str">
        <x:v>SOURCE</x:v>
      </x:c>
      <x:c r="D50" s="79" t="n">
        <x:v>44</x:v>
      </x:c>
      <x:c r="E50" s="74" t="str">
        <x:v>V1.0</x:v>
      </x:c>
      <x:c r="F50" s="68" t="str">
        <x:v>生源缺失不等于目标必弱</x:v>
      </x:c>
      <x:c r="G50" s="82" t="str">
        <x:v>结构层</x:v>
      </x:c>
      <x:c r="H50" s="68" t="str">
        <x:v>生源/缺源</x:v>
      </x:c>
      <x:c r="I50" s="82"/>
      <x:c r="J50" s="68" t="str">
        <x:v>原局不见目标五行的生源</x:v>
      </x:c>
      <x:c r="K50" s="68" t="str">
        <x:v>无直接生源</x:v>
      </x:c>
      <x:c r="L50" s="68" t="str">
        <x:v>记录生扶不足的负证据，但保留目标自身令根党</x:v>
      </x:c>
      <x:c r="M50" s="82" t="str">
        <x:v>减弱</x:v>
      </x:c>
      <x:c r="N50" s="68" t="str">
        <x:v>中</x:v>
      </x:c>
      <x:c r="O50" s="82" t="str">
        <x:v>中</x:v>
      </x:c>
      <x:c r="P50" s="68" t="str">
        <x:v>五行分布已核验</x:v>
      </x:c>
      <x:c r="Q50" s="68" t="str">
        <x:v>生源五行完全不现</x:v>
      </x:c>
      <x:c r="R50" s="68" t="str">
        <x:v>目标自身得令、多根、多透、同党成势</x:v>
      </x:c>
      <x:c r="S50" s="68" t="str">
        <x:v>目标又失令、无根、少量</x:v>
      </x:c>
      <x:c r="T50" s="90" t="str">
        <x:v>不得仅凭无生源判极弱</x:v>
      </x:c>
      <x:c r="U50" s="68" t="str">
        <x:v>专旺结构可能本就不依赖生源，转M14</x:v>
      </x:c>
      <x:c r="V50" s="82" t="str">
        <x:v>否</x:v>
      </x:c>
      <x:c r="W50" s="84" t="str">
        <x:v>无源证据</x:v>
      </x:c>
      <x:c r="X50" s="84" t="str">
        <x:v>目标五行无直接生源，原始生扶不足；若自身得令有根成党，仍可保持较强力量。</x:v>
      </x:c>
      <x:c r="Y50" s="82" t="str">
        <x:v>较高</x:v>
      </x:c>
      <x:c r="Z50" s="82" t="str">
        <x:v>现代综合</x:v>
      </x:c>
      <x:c r="AA50" s="68" t="str">
        <x:v>自身基础与外部供给需分开。</x:v>
      </x:c>
      <x:c r="AB50" s="68" t="str">
        <x:v>卯月木多根多透，即使无水，木原始仍可能旺。</x:v>
      </x:c>
      <x:c r="AC50" s="90" t="str">
        <x:v>无水便认定春木必弱。</x:v>
      </x:c>
      <x:c r="AD50" s="68" t="str">
        <x:v>https://zh.wikisource.org/zh-hans/淵海子平；https://zh.wikisource.org/zh-hans/滴天髓</x:v>
      </x:c>
      <x:c r="AE50" s="82" t="str">
        <x:v>采用</x:v>
      </x:c>
      <x:c r="AF50" s="82" t="str">
        <x:v>初审</x:v>
      </x:c>
      <x:c r="AG50" s="87" t="n">
        <x:v>46255</x:v>
      </x:c>
    </x:row>
    <x:row r="51">
      <x:c r="A51" s="72" t="str">
        <x:f>IF(OR(C51="",D51=""),"",B51&amp;"-"&amp;UPPER(C51)&amp;"-"&amp;TEXT(D51,"0000")&amp;"-"&amp;E51)</x:f>
        <x:v>M07-SOURCE-0045-V1.0</x:v>
      </x:c>
      <x:c r="B51" s="74" t="str">
        <x:v>M07</x:v>
      </x:c>
      <x:c r="C51" s="74" t="str">
        <x:v>SOURCE</x:v>
      </x:c>
      <x:c r="D51" s="79" t="n">
        <x:v>45</x:v>
      </x:c>
      <x:c r="E51" s="74" t="str">
        <x:v>V1.0</x:v>
      </x:c>
      <x:c r="F51" s="68" t="str">
        <x:v>目标极旺时生源只记录增势不在M07判断壅塞吉凶</x:v>
      </x:c>
      <x:c r="G51" s="82" t="str">
        <x:v>结构层</x:v>
      </x:c>
      <x:c r="H51" s="68" t="str">
        <x:v>生源/过度候选</x:v>
      </x:c>
      <x:c r="I51" s="82"/>
      <x:c r="J51" s="68" t="str">
        <x:v>目标已具强季令、多根、多透，又有强生源</x:v>
      </x:c>
      <x:c r="K51" s="68" t="str">
        <x:v>生扶继续累积</x:v>
      </x:c>
      <x:c r="L51" s="68" t="str">
        <x:v>原始力量继续增强，并标记过度累积候选</x:v>
      </x:c>
      <x:c r="M51" s="82" t="str">
        <x:v>增强</x:v>
      </x:c>
      <x:c r="N51" s="68" t="str">
        <x:v>中</x:v>
      </x:c>
      <x:c r="O51" s="82" t="str">
        <x:v>中</x:v>
      </x:c>
      <x:c r="P51" s="68" t="str">
        <x:v>目标旺势基础已形成</x:v>
      </x:c>
      <x:c r="Q51" s="68" t="str">
        <x:v>强生源确实存在</x:v>
      </x:c>
      <x:c r="R51" s="68" t="str">
        <x:v>同党继续集中、无泄出通道</x:v>
      </x:c>
      <x:c r="S51" s="68" t="str">
        <x:v>有明显异类制泄但效应未在M08处理</x:v>
      </x:c>
      <x:c r="T51" s="90" t="str">
        <x:v>不得在M07直接把强生源判为忌神或病</x:v>
      </x:c>
      <x:c r="U51" s="68" t="str">
        <x:v>壅塞、闭塞与喜忌转M12/M16/M17</x:v>
      </x:c>
      <x:c r="V51" s="82" t="str">
        <x:v>否</x:v>
      </x:c>
      <x:c r="W51" s="84" t="str">
        <x:v>生源增势</x:v>
      </x:c>
      <x:c r="X51" s="84" t="str">
        <x:v>目标已强又得生源，原始力量继续集中；是否构成壅塞或为忌不在M07裁定。</x:v>
      </x:c>
      <x:c r="Y51" s="82" t="str">
        <x:v>较高</x:v>
      </x:c>
      <x:c r="Z51" s="82" t="str">
        <x:v>现代综合</x:v>
      </x:c>
      <x:c r="AA51" s="68" t="str">
        <x:v>强弱事实与价值判断必须分离。</x:v>
      </x:c>
      <x:c r="AB51" s="68" t="str">
        <x:v>春木成势又见旺水，木的原始力量进一步增强。</x:v>
      </x:c>
      <x:c r="AC51" s="90" t="str">
        <x:v>因木已旺就直接在M07把水标成忌神。</x:v>
      </x:c>
      <x:c r="AD51" s="68" t="str">
        <x:v>经典原则经结构化整理；参见：https://zh.wikisource.org/zh-hans/滴天髓</x:v>
      </x:c>
      <x:c r="AE51" s="82" t="str">
        <x:v>采用</x:v>
      </x:c>
      <x:c r="AF51" s="82" t="str">
        <x:v>初审</x:v>
      </x:c>
      <x:c r="AG51" s="87" t="n">
        <x:v>46255</x:v>
      </x:c>
    </x:row>
    <x:row r="52">
      <x:c r="A52" s="72" t="str">
        <x:f>IF(OR(C52="",D52=""),"",B52&amp;"-"&amp;UPPER(C52)&amp;"-"&amp;TEXT(D52,"0000")&amp;"-"&amp;E52)</x:f>
        <x:v>M07-SOURCE-0046-V1.0</x:v>
      </x:c>
      <x:c r="B52" s="74" t="str">
        <x:v>M07</x:v>
      </x:c>
      <x:c r="C52" s="74" t="str">
        <x:v>SOURCE</x:v>
      </x:c>
      <x:c r="D52" s="79" t="n">
        <x:v>46</x:v>
      </x:c>
      <x:c r="E52" s="74" t="str">
        <x:v>V1.0</x:v>
      </x:c>
      <x:c r="F52" s="68" t="str">
        <x:v>生源支持必须以生源自身原始等级为上限</x:v>
      </x:c>
      <x:c r="G52" s="82" t="str">
        <x:v>结构层</x:v>
      </x:c>
      <x:c r="H52" s="68" t="str">
        <x:v>生源/上限</x:v>
      </x:c>
      <x:c r="I52" s="82"/>
      <x:c r="J52" s="68" t="str">
        <x:v>需要给目标分配生源权重</x:v>
      </x:c>
      <x:c r="K52" s="68" t="str">
        <x:v>供给上限</x:v>
      </x:c>
      <x:c r="L52" s="68" t="str">
        <x:v>目标获得的生源支持不得高于生源自身可提供的等级</x:v>
      </x:c>
      <x:c r="M52" s="82" t="str">
        <x:v>条件性</x:v>
      </x:c>
      <x:c r="N52" s="68" t="str">
        <x:v>高</x:v>
      </x:c>
      <x:c r="O52" s="82" t="str">
        <x:v>强</x:v>
      </x:c>
      <x:c r="P52" s="68" t="str">
        <x:v>生源自身M07等级已生成</x:v>
      </x:c>
      <x:c r="Q52" s="68" t="str">
        <x:v>生源权重可追溯</x:v>
      </x:c>
      <x:c r="R52" s="68" t="str">
        <x:v>生源得令根透且供给对象单一</x:v>
      </x:c>
      <x:c r="S52" s="68" t="str">
        <x:v>生源弱、共享多目标或链路长</x:v>
      </x:c>
      <x:c r="T52" s="90" t="str">
        <x:v>禁止弱生源产生决定性强生扶结论</x:v>
      </x:c>
      <x:c r="U52" s="68" t="str">
        <x:v>有效生克修正后可在M08进一步下调</x:v>
      </x:c>
      <x:c r="V52" s="82" t="str">
        <x:v>否</x:v>
      </x:c>
      <x:c r="W52" s="84" t="str">
        <x:v>生源容量约束</x:v>
      </x:c>
      <x:c r="X52" s="84" t="str">
        <x:v>生源对目标的支持以上游自身原始力量为上限；弱源不能产生强供给。</x:v>
      </x:c>
      <x:c r="Y52" s="82" t="str">
        <x:v>较高</x:v>
      </x:c>
      <x:c r="Z52" s="82" t="str">
        <x:v>现代综合</x:v>
      </x:c>
      <x:c r="AA52" s="68" t="str">
        <x:v>容量约束可避免仅按五行相生关系夸大支持。</x:v>
      </x:c>
      <x:c r="AB52" s="68" t="str">
        <x:v>弱水只能给木低等级生源证据，不能把木直接推至旺。</x:v>
      </x:c>
      <x:c r="AC52" s="90" t="str">
        <x:v>一滴无根水也按完整印源生旺全局木。</x:v>
      </x:c>
      <x:c r="AD52" s="68" t="str">
        <x:v>经典原则经结构化整理；参见：https://zh.wikisource.org/zh-hans/滴天髓</x:v>
      </x:c>
      <x:c r="AE52" s="82" t="str">
        <x:v>采用</x:v>
      </x:c>
      <x:c r="AF52" s="82" t="str">
        <x:v>初审</x:v>
      </x:c>
      <x:c r="AG52" s="87" t="n">
        <x:v>46255</x:v>
      </x:c>
    </x:row>
    <x:row r="53">
      <x:c r="A53" s="72" t="str">
        <x:f>IF(OR(C53="",D53=""),"",B53&amp;"-"&amp;UPPER(C53)&amp;"-"&amp;TEXT(D53,"0000")&amp;"-"&amp;E53)</x:f>
        <x:v>M07-ALLY-0047-V1.0</x:v>
      </x:c>
      <x:c r="B53" s="74" t="str">
        <x:v>M07</x:v>
      </x:c>
      <x:c r="C53" s="74" t="str">
        <x:v>ALLY</x:v>
      </x:c>
      <x:c r="D53" s="79" t="n">
        <x:v>47</x:v>
      </x:c>
      <x:c r="E53" s="74" t="str">
        <x:v>V1.0</x:v>
      </x:c>
      <x:c r="F53" s="68" t="str">
        <x:v>同五行天干构成明同党</x:v>
      </x:c>
      <x:c r="G53" s="82" t="str">
        <x:v>结构层</x:v>
      </x:c>
      <x:c r="H53" s="68" t="str">
        <x:v>同党/天干</x:v>
      </x:c>
      <x:c r="I53" s="82"/>
      <x:c r="J53" s="68" t="str">
        <x:v>两个或以上天干同属目标五行</x:v>
      </x:c>
      <x:c r="K53" s="68" t="str">
        <x:v>明同党</x:v>
      </x:c>
      <x:c r="L53" s="68" t="str">
        <x:v>增强同类支持与显露度</x:v>
      </x:c>
      <x:c r="M53" s="82" t="str">
        <x:v>增强</x:v>
      </x:c>
      <x:c r="N53" s="68" t="str">
        <x:v>中</x:v>
      </x:c>
      <x:c r="O53" s="82" t="str">
        <x:v>中</x:v>
      </x:c>
      <x:c r="P53" s="68" t="str">
        <x:v>天干五行映射完成</x:v>
      </x:c>
      <x:c r="Q53" s="68" t="str">
        <x:v>至少两个同五行天干</x:v>
      </x:c>
      <x:c r="R53" s="68" t="str">
        <x:v>各自有根、得令或有生源</x:v>
      </x:c>
      <x:c r="S53" s="68" t="str">
        <x:v>均无根失令、同受单一弱源</x:v>
      </x:c>
      <x:c r="T53" s="90" t="str">
        <x:v>不得只按数量判旺</x:v>
      </x:c>
      <x:c r="U53" s="68" t="str">
        <x:v>天干合克效应转M06/M08</x:v>
      </x:c>
      <x:c r="V53" s="82" t="str">
        <x:v>否</x:v>
      </x:c>
      <x:c r="W53" s="84" t="str">
        <x:v>明同党</x:v>
      </x:c>
      <x:c r="X53" s="84" t="str">
        <x:v>目标五行在天干有同党，原始力量与显露度增强；同党是否有力仍须看根令源。</x:v>
      </x:c>
      <x:c r="Y53" s="82" t="str">
        <x:v>较高</x:v>
      </x:c>
      <x:c r="Z53" s="82" t="str">
        <x:v>现代综合</x:v>
      </x:c>
      <x:c r="AA53" s="68" t="str">
        <x:v>同类数量提供帮扶与党势证据。</x:v>
      </x:c>
      <x:c r="AB53" s="68" t="str">
        <x:v>甲乙并透且地支寅卯有根，木同党明显。</x:v>
      </x:c>
      <x:c r="AC53" s="90" t="str">
        <x:v>甲乙双透无根便直接判木旺。</x:v>
      </x:c>
      <x:c r="AD53" s="68" t="str">
        <x:v>https://zh.wikisource.org/zh-hans/淵海子平；https://zh.wikisource.org/zh-hans/滴天髓</x:v>
      </x:c>
      <x:c r="AE53" s="82" t="str">
        <x:v>采用</x:v>
      </x:c>
      <x:c r="AF53" s="82" t="str">
        <x:v>初审</x:v>
      </x:c>
      <x:c r="AG53" s="87" t="n">
        <x:v>46255</x:v>
      </x:c>
    </x:row>
    <x:row r="54">
      <x:c r="A54" s="72" t="str">
        <x:f>IF(OR(C54="",D54=""),"",B54&amp;"-"&amp;UPPER(C54)&amp;"-"&amp;TEXT(D54,"0000")&amp;"-"&amp;E54)</x:f>
        <x:v>M07-ALLY-0048-V1.0</x:v>
      </x:c>
      <x:c r="B54" s="74" t="str">
        <x:v>M07</x:v>
      </x:c>
      <x:c r="C54" s="74" t="str">
        <x:v>ALLY</x:v>
      </x:c>
      <x:c r="D54" s="79" t="n">
        <x:v>48</x:v>
      </x:c>
      <x:c r="E54" s="74" t="str">
        <x:v>V1.0</x:v>
      </x:c>
      <x:c r="F54" s="68" t="str">
        <x:v>地支本气同五行构成强同党</x:v>
      </x:c>
      <x:c r="G54" s="82" t="str">
        <x:v>结构层</x:v>
      </x:c>
      <x:c r="H54" s="68" t="str">
        <x:v>同党/地支本气</x:v>
      </x:c>
      <x:c r="I54" s="82"/>
      <x:c r="J54" s="68" t="str">
        <x:v>两个或以上地支本气同属目标五行</x:v>
      </x:c>
      <x:c r="K54" s="68" t="str">
        <x:v>本气同党</x:v>
      </x:c>
      <x:c r="L54" s="68" t="str">
        <x:v>增强根气数量与同类聚集</x:v>
      </x:c>
      <x:c r="M54" s="82" t="str">
        <x:v>增强</x:v>
      </x:c>
      <x:c r="N54" s="68" t="str">
        <x:v>高</x:v>
      </x:c>
      <x:c r="O54" s="82" t="str">
        <x:v>强</x:v>
      </x:c>
      <x:c r="P54" s="68" t="str">
        <x:v>地支本气五行已识别</x:v>
      </x:c>
      <x:c r="Q54" s="68" t="str">
        <x:v>至少两个支本气同五行</x:v>
      </x:c>
      <x:c r="R54" s="68" t="str">
        <x:v>月令支持、同气透干或生源强</x:v>
      </x:c>
      <x:c r="S54" s="68" t="str">
        <x:v>地支虽同类但均处衰令且无透</x:v>
      </x:c>
      <x:c r="T54" s="90" t="str">
        <x:v>不得把同党与每支根气重复满额累加</x:v>
      </x:c>
      <x:c r="U54" s="68" t="str">
        <x:v>三合三会改性须M06确认</x:v>
      </x:c>
      <x:c r="V54" s="82" t="str">
        <x:v>否</x:v>
      </x:c>
      <x:c r="W54" s="84" t="str">
        <x:v>本气同党</x:v>
      </x:c>
      <x:c r="X54" s="84" t="str">
        <x:v>目标五行在多个地支本气成同党，原始根气与聚集度显著增强。</x:v>
      </x:c>
      <x:c r="Y54" s="82" t="str">
        <x:v>较高</x:v>
      </x:c>
      <x:c r="Z54" s="82" t="str">
        <x:v>旺衰扶抑</x:v>
      </x:c>
      <x:c r="AA54" s="68" t="str">
        <x:v>本气同类比中余气同类更能形成党势。</x:v>
      </x:c>
      <x:c r="AB54" s="68" t="str">
        <x:v>寅卯同见，木有两处本气同党。</x:v>
      </x:c>
      <x:c r="AC54" s="90" t="str">
        <x:v>申辰两支因可能拱水便在M07直接当水本气同党。</x:v>
      </x:c>
      <x:c r="AD54" s="68" t="str">
        <x:v>https://zh.wikisource.org/zh-hans/淵海子平；https://zh.wikisource.org/zh-hans/滴天髓</x:v>
      </x:c>
      <x:c r="AE54" s="82" t="str">
        <x:v>采用</x:v>
      </x:c>
      <x:c r="AF54" s="82" t="str">
        <x:v>初审</x:v>
      </x:c>
      <x:c r="AG54" s="87" t="n">
        <x:v>46255</x:v>
      </x:c>
    </x:row>
    <x:row r="55">
      <x:c r="A55" s="72" t="str">
        <x:f>IF(OR(C55="",D55=""),"",B55&amp;"-"&amp;UPPER(C55)&amp;"-"&amp;TEXT(D55,"0000")&amp;"-"&amp;E55)</x:f>
        <x:v>M07-ALLY-0049-V1.0</x:v>
      </x:c>
      <x:c r="B55" s="74" t="str">
        <x:v>M07</x:v>
      </x:c>
      <x:c r="C55" s="74" t="str">
        <x:v>ALLY</x:v>
      </x:c>
      <x:c r="D55" s="79" t="n">
        <x:v>49</x:v>
      </x:c>
      <x:c r="E55" s="74" t="str">
        <x:v>V1.0</x:v>
      </x:c>
      <x:c r="F55" s="68" t="str">
        <x:v>中余气同类只形成弱至中等同党证据</x:v>
      </x:c>
      <x:c r="G55" s="82" t="str">
        <x:v>结构层</x:v>
      </x:c>
      <x:c r="H55" s="68" t="str">
        <x:v>同党/藏气</x:v>
      </x:c>
      <x:c r="I55" s="82"/>
      <x:c r="J55" s="68" t="str">
        <x:v>多个地支中气或余气含目标五行</x:v>
      </x:c>
      <x:c r="K55" s="68" t="str">
        <x:v>隐同党</x:v>
      </x:c>
      <x:c r="L55" s="68" t="str">
        <x:v>增加存在与潜在同类，但低于本气同党</x:v>
      </x:c>
      <x:c r="M55" s="82" t="str">
        <x:v>增强</x:v>
      </x:c>
      <x:c r="N55" s="68" t="str">
        <x:v>低</x:v>
      </x:c>
      <x:c r="O55" s="82" t="str">
        <x:v>弱</x:v>
      </x:c>
      <x:c r="P55" s="68" t="str">
        <x:v>藏干层级已识别</x:v>
      </x:c>
      <x:c r="Q55" s="68" t="str">
        <x:v>至少两处中余气同五行</x:v>
      </x:c>
      <x:c r="R55" s="68" t="str">
        <x:v>有一处透出或另有本气根</x:v>
      </x:c>
      <x:c r="S55" s="68" t="str">
        <x:v>全部为余气、季令不利、无透</x:v>
      </x:c>
      <x:c r="T55" s="90" t="str">
        <x:v>不得把多处余气等同多处本气根</x:v>
      </x:c>
      <x:c r="U55" s="68" t="str">
        <x:v>若中余气因成局改性转M08</x:v>
      </x:c>
      <x:c r="V55" s="82" t="str">
        <x:v>否</x:v>
      </x:c>
      <x:c r="W55" s="84" t="str">
        <x:v>隐同党</x:v>
      </x:c>
      <x:c r="X55" s="84" t="str">
        <x:v>目标五行在多个支的中余气中有同类，形成弱至中等隐性同党，不能与本气同党等权。</x:v>
      </x:c>
      <x:c r="Y55" s="82" t="str">
        <x:v>较高</x:v>
      </x:c>
      <x:c r="Z55" s="82" t="str">
        <x:v>现代综合</x:v>
      </x:c>
      <x:c r="AA55" s="68" t="str">
        <x:v>藏气层级决定同党证据强度。</x:v>
      </x:c>
      <x:c r="AB55" s="68" t="str">
        <x:v>辰未均藏乙，木有隐性同党，但弱于寅卯。</x:v>
      </x:c>
      <x:c r="AC55" s="90" t="str">
        <x:v>三处余气木按三处卯木本气计算。</x:v>
      </x:c>
      <x:c r="AD55" s="68" t="str">
        <x:v>经典原则经结构化整理；参见：https://zh.wikisource.org/zh-hans/滴天髓</x:v>
      </x:c>
      <x:c r="AE55" s="82" t="str">
        <x:v>采用</x:v>
      </x:c>
      <x:c r="AF55" s="82" t="str">
        <x:v>初审</x:v>
      </x:c>
      <x:c r="AG55" s="87" t="n">
        <x:v>46255</x:v>
      </x:c>
    </x:row>
    <x:row r="56">
      <x:c r="A56" s="72" t="str">
        <x:f>IF(OR(C56="",D56=""),"",B56&amp;"-"&amp;UPPER(C56)&amp;"-"&amp;TEXT(D56,"0000")&amp;"-"&amp;E56)</x:f>
        <x:v>M07-ALLY-0050-V1.0</x:v>
      </x:c>
      <x:c r="B56" s="74" t="str">
        <x:v>M07</x:v>
      </x:c>
      <x:c r="C56" s="74" t="str">
        <x:v>ALLY</x:v>
      </x:c>
      <x:c r="D56" s="79" t="n">
        <x:v>50</x:v>
      </x:c>
      <x:c r="E56" s="74" t="str">
        <x:v>V1.0</x:v>
      </x:c>
      <x:c r="F56" s="68" t="str">
        <x:v>干支同类同时出现形成上下呼应</x:v>
      </x:c>
      <x:c r="G56" s="82" t="str">
        <x:v>结构层</x:v>
      </x:c>
      <x:c r="H56" s="68" t="str">
        <x:v>同党/干支呼应</x:v>
      </x:c>
      <x:c r="I56" s="82"/>
      <x:c r="J56" s="68" t="str">
        <x:v>目标五行既在天干有同党又在地支有同类本气或根</x:v>
      </x:c>
      <x:c r="K56" s="68" t="str">
        <x:v>干支呼应</x:v>
      </x:c>
      <x:c r="L56" s="68" t="str">
        <x:v>提高同党有效性与结构完整度</x:v>
      </x:c>
      <x:c r="M56" s="82" t="str">
        <x:v>增强</x:v>
      </x:c>
      <x:c r="N56" s="68" t="str">
        <x:v>高</x:v>
      </x:c>
      <x:c r="O56" s="82" t="str">
        <x:v>强</x:v>
      </x:c>
      <x:c r="P56" s="68" t="str">
        <x:v>透干与根气证据已生成</x:v>
      </x:c>
      <x:c r="Q56" s="68" t="str">
        <x:v>至少一干一支同属目标五行</x:v>
      </x:c>
      <x:c r="R56" s="68" t="str">
        <x:v>多干多根、得令或有强生源</x:v>
      </x:c>
      <x:c r="S56" s="68" t="str">
        <x:v>仅一弱干对应一余气根</x:v>
      </x:c>
      <x:c r="T56" s="90" t="str">
        <x:v>不得忽略证据共源与边际递减</x:v>
      </x:c>
      <x:c r="U56" s="68" t="str">
        <x:v>具体十神同异转M10</x:v>
      </x:c>
      <x:c r="V56" s="82" t="str">
        <x:v>否</x:v>
      </x:c>
      <x:c r="W56" s="84" t="str">
        <x:v>干支呼应</x:v>
      </x:c>
      <x:c r="X56" s="84" t="str">
        <x:v>目标五行干支均有同类，形成显露与承载的上下呼应，原始力量明显增强。</x:v>
      </x:c>
      <x:c r="Y56" s="82" t="str">
        <x:v>较高</x:v>
      </x:c>
      <x:c r="Z56" s="82" t="str">
        <x:v>现代综合</x:v>
      </x:c>
      <x:c r="AA56" s="68" t="str">
        <x:v>干支两层同时出现比单层堆积更完整。</x:v>
      </x:c>
      <x:c r="AB56" s="68" t="str">
        <x:v>甲乙透、寅卯见，木有明显上下同党。</x:v>
      </x:c>
      <x:c r="AC56" s="90" t="str">
        <x:v>一枚无根甲与辰中乙余气也一概称成党。</x:v>
      </x:c>
      <x:c r="AD56" s="68" t="str">
        <x:v>https://zh.wikisource.org/zh-hans/淵海子平；https://zh.wikisource.org/zh-hans/滴天髓</x:v>
      </x:c>
      <x:c r="AE56" s="82" t="str">
        <x:v>采用</x:v>
      </x:c>
      <x:c r="AF56" s="82" t="str">
        <x:v>初审</x:v>
      </x:c>
      <x:c r="AG56" s="87" t="n">
        <x:v>46255</x:v>
      </x:c>
    </x:row>
    <x:row r="57">
      <x:c r="A57" s="72" t="str">
        <x:f>IF(OR(C57="",D57=""),"",B57&amp;"-"&amp;UPPER(C57)&amp;"-"&amp;TEXT(D57,"0000")&amp;"-"&amp;E57)</x:f>
        <x:v>M07-ALLY-0051-V1.0</x:v>
      </x:c>
      <x:c r="B57" s="74" t="str">
        <x:v>M07</x:v>
      </x:c>
      <x:c r="C57" s="74" t="str">
        <x:v>ALLY</x:v>
      </x:c>
      <x:c r="D57" s="79" t="n">
        <x:v>51</x:v>
      </x:c>
      <x:c r="E57" s="74" t="str">
        <x:v>V1.0</x:v>
      </x:c>
      <x:c r="F57" s="68" t="str">
        <x:v>同党数量增加采用边际递减</x:v>
      </x:c>
      <x:c r="G57" s="82" t="str">
        <x:v>结构层</x:v>
      </x:c>
      <x:c r="H57" s="68" t="str">
        <x:v>同党/数量</x:v>
      </x:c>
      <x:c r="I57" s="82"/>
      <x:c r="J57" s="68" t="str">
        <x:v>目标五行已具同党，又新增同类节点</x:v>
      </x:c>
      <x:c r="K57" s="68" t="str">
        <x:v>多同党</x:v>
      </x:c>
      <x:c r="L57" s="68" t="str">
        <x:v>继续增强但后续节点权重递减</x:v>
      </x:c>
      <x:c r="M57" s="82" t="str">
        <x:v>增强</x:v>
      </x:c>
      <x:c r="N57" s="68" t="str">
        <x:v>中</x:v>
      </x:c>
      <x:c r="O57" s="82" t="str">
        <x:v>中</x:v>
      </x:c>
      <x:c r="P57" s="68" t="str">
        <x:v>同党节点已去重</x:v>
      </x:c>
      <x:c r="Q57" s="68" t="str">
        <x:v>新增节点确属独立干支位置</x:v>
      </x:c>
      <x:c r="R57" s="68" t="str">
        <x:v>新增节点有根、得令或为本气</x:v>
      </x:c>
      <x:c r="S57" s="68" t="str">
        <x:v>新增节点无根或仅余气</x:v>
      </x:c>
      <x:c r="T57" s="90" t="str">
        <x:v>禁止按同党个数线性累加到极旺</x:v>
      </x:c>
      <x:c r="U57" s="68" t="str">
        <x:v>达到聚势门槛转MOMENT综合</x:v>
      </x:c>
      <x:c r="V57" s="82" t="str">
        <x:v>否</x:v>
      </x:c>
      <x:c r="W57" s="84" t="str">
        <x:v>同党递减</x:v>
      </x:c>
      <x:c r="X57" s="84" t="str">
        <x:v>新增同党继续增强目标五行，但采用边际递减；是否成势由季令、根透与集中度共同决定。</x:v>
      </x:c>
      <x:c r="Y57" s="82" t="str">
        <x:v>中等</x:v>
      </x:c>
      <x:c r="Z57" s="82" t="str">
        <x:v>现代综合</x:v>
      </x:c>
      <x:c r="AA57" s="68" t="str">
        <x:v>数量效应非线性。</x:v>
      </x:c>
      <x:c r="AB57" s="68" t="str">
        <x:v>第二处本气同党显著增强，第四处弱藏气只作补充。</x:v>
      </x:c>
      <x:c r="AC57" s="90" t="str">
        <x:v>四个同党直接等于四倍力量。</x:v>
      </x:c>
      <x:c r="AD57" s="68" t="str">
        <x:v>经典原则经结构化整理；参见：https://zh.wikisource.org/zh-hans/滴天髓</x:v>
      </x:c>
      <x:c r="AE57" s="82" t="str">
        <x:v>采用</x:v>
      </x:c>
      <x:c r="AF57" s="82" t="str">
        <x:v>初审</x:v>
      </x:c>
      <x:c r="AG57" s="87" t="n">
        <x:v>46255</x:v>
      </x:c>
    </x:row>
    <x:row r="58">
      <x:c r="A58" s="72" t="str">
        <x:f>IF(OR(C58="",D58=""),"",B58&amp;"-"&amp;UPPER(C58)&amp;"-"&amp;TEXT(D58,"0000")&amp;"-"&amp;E58)</x:f>
        <x:v>M07-ALLY-0052-V1.0</x:v>
      </x:c>
      <x:c r="B58" s="74" t="str">
        <x:v>M07</x:v>
      </x:c>
      <x:c r="C58" s="74" t="str">
        <x:v>ALLY</x:v>
      </x:c>
      <x:c r="D58" s="79" t="n">
        <x:v>52</x:v>
      </x:c>
      <x:c r="E58" s="74" t="str">
        <x:v>V1.0</x:v>
      </x:c>
      <x:c r="F58" s="68" t="str">
        <x:v>同党得令时支持效应放大</x:v>
      </x:c>
      <x:c r="G58" s="82" t="str">
        <x:v>结构层</x:v>
      </x:c>
      <x:c r="H58" s="68" t="str">
        <x:v>同党/得令</x:v>
      </x:c>
      <x:c r="I58" s="82"/>
      <x:c r="J58" s="68" t="str">
        <x:v>同党五行与月令同类或处旺相</x:v>
      </x:c>
      <x:c r="K58" s="68" t="str">
        <x:v>得令同党</x:v>
      </x:c>
      <x:c r="L58" s="68" t="str">
        <x:v>提高同党权重与聚势候选</x:v>
      </x:c>
      <x:c r="M58" s="82" t="str">
        <x:v>增强</x:v>
      </x:c>
      <x:c r="N58" s="68" t="str">
        <x:v>高</x:v>
      </x:c>
      <x:c r="O58" s="82" t="str">
        <x:v>强</x:v>
      </x:c>
      <x:c r="P58" s="68" t="str">
        <x:v>季令与同党证据已生成</x:v>
      </x:c>
      <x:c r="Q58" s="68" t="str">
        <x:v>同党确受季节支持</x:v>
      </x:c>
      <x:c r="R58" s="68" t="str">
        <x:v>同党多根、多透、分布集中</x:v>
      </x:c>
      <x:c r="S58" s="68" t="str">
        <x:v>同党虽多但均弱藏气</x:v>
      </x:c>
      <x:c r="T58" s="90" t="str">
        <x:v>不得与季令事实重复满额加权</x:v>
      </x:c>
      <x:c r="U58" s="68" t="str">
        <x:v>月令共源节点需标记</x:v>
      </x:c>
      <x:c r="V58" s="82" t="str">
        <x:v>否</x:v>
      </x:c>
      <x:c r="W58" s="84" t="str">
        <x:v>得令同党</x:v>
      </x:c>
      <x:c r="X58" s="84" t="str">
        <x:v>目标五行同党又得季令支持，原始聚势明显；汇总时需处理与月令的共源关系。</x:v>
      </x:c>
      <x:c r="Y58" s="82" t="str">
        <x:v>较高</x:v>
      </x:c>
      <x:c r="Z58" s="82" t="str">
        <x:v>旺衰扶抑</x:v>
      </x:c>
      <x:c r="AA58" s="68" t="str">
        <x:v>季节可放大同类群体。</x:v>
      </x:c>
      <x:c r="AB58" s="68" t="str">
        <x:v>春木甲乙多透、寅卯同见，木党势强。</x:v>
      </x:c>
      <x:c r="AC58" s="90" t="str">
        <x:v>春月只有辰未余气木也按强党势。</x:v>
      </x:c>
      <x:c r="AD58" s="68" t="str">
        <x:v>https://zh.wikisource.org/zh-hans/淵海子平；https://zh.wikisource.org/zh-hans/滴天髓</x:v>
      </x:c>
      <x:c r="AE58" s="82" t="str">
        <x:v>采用</x:v>
      </x:c>
      <x:c r="AF58" s="82" t="str">
        <x:v>初审</x:v>
      </x:c>
      <x:c r="AG58" s="87" t="n">
        <x:v>46255</x:v>
      </x:c>
    </x:row>
    <x:row r="59">
      <x:c r="A59" s="72" t="str">
        <x:f>IF(OR(C59="",D59=""),"",B59&amp;"-"&amp;UPPER(C59)&amp;"-"&amp;TEXT(D59,"0000")&amp;"-"&amp;E59)</x:f>
        <x:v>M07-ALLY-0053-V1.0</x:v>
      </x:c>
      <x:c r="B59" s="74" t="str">
        <x:v>M07</x:v>
      </x:c>
      <x:c r="C59" s="74" t="str">
        <x:v>ALLY</x:v>
      </x:c>
      <x:c r="D59" s="79" t="n">
        <x:v>53</x:v>
      </x:c>
      <x:c r="E59" s="74" t="str">
        <x:v>V1.0</x:v>
      </x:c>
      <x:c r="F59" s="68" t="str">
        <x:v>同党集中在相邻或中心位置时凝聚度较高</x:v>
      </x:c>
      <x:c r="G59" s="82" t="str">
        <x:v>结构层</x:v>
      </x:c>
      <x:c r="H59" s="68" t="str">
        <x:v>同党/集中度</x:v>
      </x:c>
      <x:c r="I59" s="82"/>
      <x:c r="J59" s="68" t="str">
        <x:v>多个同类节点集中在月日或相邻柱位</x:v>
      </x:c>
      <x:c r="K59" s="68" t="str">
        <x:v>集中同党</x:v>
      </x:c>
      <x:c r="L59" s="68" t="str">
        <x:v>提高凝聚度，作为次级成势证据</x:v>
      </x:c>
      <x:c r="M59" s="82" t="str">
        <x:v>增强</x:v>
      </x:c>
      <x:c r="N59" s="68" t="str">
        <x:v>低</x:v>
      </x:c>
      <x:c r="O59" s="82" t="str">
        <x:v>弱</x:v>
      </x:c>
      <x:c r="P59" s="68" t="str">
        <x:v>同党节点与位置已标注</x:v>
      </x:c>
      <x:c r="Q59" s="68" t="str">
        <x:v>至少两个同类节点相邻或中心聚集</x:v>
      </x:c>
      <x:c r="R59" s="68" t="str">
        <x:v>各节点有根有源、季令支持</x:v>
      </x:c>
      <x:c r="S59" s="68" t="str">
        <x:v>节点均弱或仅表面相邻</x:v>
      </x:c>
      <x:c r="T59" s="90" t="str">
        <x:v>不得用位置集中替代力量来源</x:v>
      </x:c>
      <x:c r="U59" s="68" t="str">
        <x:v>宫位象义不属于M07</x:v>
      </x:c>
      <x:c r="V59" s="82" t="str">
        <x:v>否</x:v>
      </x:c>
      <x:c r="W59" s="84" t="str">
        <x:v>同党凝聚</x:v>
      </x:c>
      <x:c r="X59" s="84" t="str">
        <x:v>同党在结构中较集中，凝聚度较高；该项只作辅助，不能单独确定旺衰。</x:v>
      </x:c>
      <x:c r="Y59" s="82" t="str">
        <x:v>中等</x:v>
      </x:c>
      <x:c r="Z59" s="82" t="str">
        <x:v>现代综合</x:v>
      </x:c>
      <x:c r="AA59" s="68" t="str">
        <x:v>空间集中可能提高协同，但属于低阶证据。</x:v>
      </x:c>
      <x:c r="AB59" s="68" t="str">
        <x:v>月日两柱木干支连续出现且有根，木的党势更清楚。</x:v>
      </x:c>
      <x:c r="AC59" s="90" t="str">
        <x:v>两个无根同类相邻即判成势。</x:v>
      </x:c>
      <x:c r="AD59" s="68" t="str">
        <x:v>经典原则经结构化整理；参见：https://zh.wikisource.org/zh-hans/滴天髓</x:v>
      </x:c>
      <x:c r="AE59" s="82" t="str">
        <x:v>待验证</x:v>
      </x:c>
      <x:c r="AF59" s="82" t="str">
        <x:v>初审</x:v>
      </x:c>
      <x:c r="AG59" s="87" t="n">
        <x:v>46255</x:v>
      </x:c>
    </x:row>
    <x:row r="60">
      <x:c r="A60" s="72" t="str">
        <x:f>IF(OR(C60="",D60=""),"",B60&amp;"-"&amp;UPPER(C60)&amp;"-"&amp;TEXT(D60,"0000")&amp;"-"&amp;E60)</x:f>
        <x:v>M07-ALLY-0054-V1.0</x:v>
      </x:c>
      <x:c r="B60" s="74" t="str">
        <x:v>M07</x:v>
      </x:c>
      <x:c r="C60" s="74" t="str">
        <x:v>ALLY</x:v>
      </x:c>
      <x:c r="D60" s="79" t="n">
        <x:v>54</x:v>
      </x:c>
      <x:c r="E60" s="74" t="str">
        <x:v>V1.0</x:v>
      </x:c>
      <x:c r="F60" s="68" t="str">
        <x:v>同党分散仍计数量但凝聚度较低</x:v>
      </x:c>
      <x:c r="G60" s="82" t="str">
        <x:v>结构层</x:v>
      </x:c>
      <x:c r="H60" s="68" t="str">
        <x:v>同党/分散</x:v>
      </x:c>
      <x:c r="I60" s="82"/>
      <x:c r="J60" s="68" t="str">
        <x:v>同类节点分布于年时等相隔位置</x:v>
      </x:c>
      <x:c r="K60" s="68" t="str">
        <x:v>分散同党</x:v>
      </x:c>
      <x:c r="L60" s="68" t="str">
        <x:v>保留同党数量，降低聚势协同权重</x:v>
      </x:c>
      <x:c r="M60" s="82" t="str">
        <x:v>增强</x:v>
      </x:c>
      <x:c r="N60" s="68" t="str">
        <x:v>低</x:v>
      </x:c>
      <x:c r="O60" s="82" t="str">
        <x:v>弱</x:v>
      </x:c>
      <x:c r="P60" s="68" t="str">
        <x:v>同党节点已识别</x:v>
      </x:c>
      <x:c r="Q60" s="68" t="str">
        <x:v>同类节点确属独立位置</x:v>
      </x:c>
      <x:c r="R60" s="68" t="str">
        <x:v>各自有根或受同一强季令支持</x:v>
      </x:c>
      <x:c r="S60" s="68" t="str">
        <x:v>均无根且彼此无连续生扶</x:v>
      </x:c>
      <x:c r="T60" s="90" t="str">
        <x:v>不得因分散就删除同党</x:v>
      </x:c>
      <x:c r="U60" s="68" t="str">
        <x:v>位置效应只作辅助</x:v>
      </x:c>
      <x:c r="V60" s="82" t="str">
        <x:v>否</x:v>
      </x:c>
      <x:c r="W60" s="84" t="str">
        <x:v>分散同党</x:v>
      </x:c>
      <x:c r="X60" s="84" t="str">
        <x:v>目标五行虽有分散同党，仍增加原始数量；但凝聚成势证据低于集中同党。</x:v>
      </x:c>
      <x:c r="Y60" s="82" t="str">
        <x:v>中等</x:v>
      </x:c>
      <x:c r="Z60" s="82" t="str">
        <x:v>现代综合</x:v>
      </x:c>
      <x:c r="AA60" s="68" t="str">
        <x:v>数量与凝聚度需分开。</x:v>
      </x:c>
      <x:c r="AB60" s="68" t="str">
        <x:v>年干甲、时干乙各有根，木仍有同党但结构较分散。</x:v>
      </x:c>
      <x:c r="AC60" s="90" t="str">
        <x:v>年时相隔便把其中一干完全不计。</x:v>
      </x:c>
      <x:c r="AD60" s="68" t="str">
        <x:v>经典原则经结构化整理；参见：https://zh.wikisource.org/zh-hans/滴天髓</x:v>
      </x:c>
      <x:c r="AE60" s="82" t="str">
        <x:v>待验证</x:v>
      </x:c>
      <x:c r="AF60" s="82" t="str">
        <x:v>初审</x:v>
      </x:c>
      <x:c r="AG60" s="87" t="n">
        <x:v>46255</x:v>
      </x:c>
    </x:row>
    <x:row r="61">
      <x:c r="A61" s="72" t="str">
        <x:f>IF(OR(C61="",D61=""),"",B61&amp;"-"&amp;UPPER(C61)&amp;"-"&amp;TEXT(D61,"0000")&amp;"-"&amp;E61)</x:f>
        <x:v>M07-ALLY-0055-V1.0</x:v>
      </x:c>
      <x:c r="B61" s="74" t="str">
        <x:v>M07</x:v>
      </x:c>
      <x:c r="C61" s="74" t="str">
        <x:v>ALLY</x:v>
      </x:c>
      <x:c r="D61" s="79" t="n">
        <x:v>55</x:v>
      </x:c>
      <x:c r="E61" s="74" t="str">
        <x:v>V1.0</x:v>
      </x:c>
      <x:c r="F61" s="68" t="str">
        <x:v>阴阳不同不取消五行层面的同党关系</x:v>
      </x:c>
      <x:c r="G61" s="82" t="str">
        <x:v>结构层</x:v>
      </x:c>
      <x:c r="H61" s="68" t="str">
        <x:v>同党/阴阳</x:v>
      </x:c>
      <x:c r="I61" s="82"/>
      <x:c r="J61" s="68" t="str">
        <x:v>同类节点同五行但阴阳不同</x:v>
      </x:c>
      <x:c r="K61" s="68" t="str">
        <x:v>异阴阳同党</x:v>
      </x:c>
      <x:c r="L61" s="68" t="str">
        <x:v>在五行旺衰层仍计同类支持</x:v>
      </x:c>
      <x:c r="M61" s="82" t="str">
        <x:v>增强</x:v>
      </x:c>
      <x:c r="N61" s="68" t="str">
        <x:v>中</x:v>
      </x:c>
      <x:c r="O61" s="82" t="str">
        <x:v>中</x:v>
      </x:c>
      <x:c r="P61" s="68" t="str">
        <x:v>当前评估对象为五行</x:v>
      </x:c>
      <x:c r="Q61" s="68" t="str">
        <x:v>节点五行相同</x:v>
      </x:c>
      <x:c r="R61" s="68" t="str">
        <x:v>各自有根或得令</x:v>
      </x:c>
      <x:c r="S61" s="68" t="str">
        <x:v>节点均弱且无承载</x:v>
      </x:c>
      <x:c r="T61" s="90" t="str">
        <x:v>不得因阴阳不同就把同党改记为异类</x:v>
      </x:c>
      <x:c r="U61" s="68" t="str">
        <x:v>十神比肩劫财差异转M10</x:v>
      </x:c>
      <x:c r="V61" s="82" t="str">
        <x:v>否</x:v>
      </x:c>
      <x:c r="W61" s="84" t="str">
        <x:v>五行同党</x:v>
      </x:c>
      <x:c r="X61" s="84" t="str">
        <x:v>甲乙、丙丁等阴阳虽异，在五行原始旺衰层仍属于同类；十神功能另行区分。</x:v>
      </x:c>
      <x:c r="Y61" s="82" t="str">
        <x:v>确定</x:v>
      </x:c>
      <x:c r="Z61" s="82" t="str">
        <x:v>跨流派共识</x:v>
      </x:c>
      <x:c r="AA61" s="68" t="str">
        <x:v>五行总量与十神阴阳分类是不同层次。</x:v>
      </x:c>
      <x:c r="AB61" s="68" t="str">
        <x:v>甲乙同见均增加木的原始同类证据。</x:v>
      </x:c>
      <x:c r="AC61" s="90" t="str">
        <x:v>甲木评木强弱时完全排除乙木。</x:v>
      </x:c>
      <x:c r="AD61" s="68" t="str">
        <x:v>经典原则经结构化整理；参见：https://zh.wikisource.org/zh-hans/滴天髓</x:v>
      </x:c>
      <x:c r="AE61" s="82" t="str">
        <x:v>采用</x:v>
      </x:c>
      <x:c r="AF61" s="82" t="str">
        <x:v>初审</x:v>
      </x:c>
      <x:c r="AG61" s="87" t="n">
        <x:v>46255</x:v>
      </x:c>
    </x:row>
    <x:row r="62">
      <x:c r="A62" s="72" t="str">
        <x:f>IF(OR(C62="",D62=""),"",B62&amp;"-"&amp;UPPER(C62)&amp;"-"&amp;TEXT(D62,"0000")&amp;"-"&amp;E62)</x:f>
        <x:v>M07-ALLY-0056-V1.0</x:v>
      </x:c>
      <x:c r="B62" s="74" t="str">
        <x:v>M07</x:v>
      </x:c>
      <x:c r="C62" s="74" t="str">
        <x:v>ALLY</x:v>
      </x:c>
      <x:c r="D62" s="79" t="n">
        <x:v>56</x:v>
      </x:c>
      <x:c r="E62" s="74" t="str">
        <x:v>V1.0</x:v>
      </x:c>
      <x:c r="F62" s="68" t="str">
        <x:v>同党数量不能覆盖季令、根气与生源反证</x:v>
      </x:c>
      <x:c r="G62" s="82" t="str">
        <x:v>结构层</x:v>
      </x:c>
      <x:c r="H62" s="68" t="str">
        <x:v>同党/边界</x:v>
      </x:c>
      <x:c r="I62" s="82"/>
      <x:c r="J62" s="68" t="str">
        <x:v>目标五行数量较多但失令、无根或无源</x:v>
      </x:c>
      <x:c r="K62" s="68" t="str">
        <x:v>多而不实候选</x:v>
      </x:c>
      <x:c r="L62" s="68" t="str">
        <x:v>数量仅作中等证据，不自动判旺</x:v>
      </x:c>
      <x:c r="M62" s="82" t="str">
        <x:v>条件性</x:v>
      </x:c>
      <x:c r="N62" s="68" t="str">
        <x:v>高</x:v>
      </x:c>
      <x:c r="O62" s="82" t="str">
        <x:v>强</x:v>
      </x:c>
      <x:c r="P62" s="68" t="str">
        <x:v>令根源党四类证据均已生成</x:v>
      </x:c>
      <x:c r="Q62" s="68" t="str">
        <x:v>同党多但关键承载证据不足</x:v>
      </x:c>
      <x:c r="R62" s="68" t="str">
        <x:v>多透同时有根、强生源或反季节成势</x:v>
      </x:c>
      <x:c r="S62" s="68" t="str">
        <x:v>全部无根、失令、弱源</x:v>
      </x:c>
      <x:c r="T62" s="90" t="str">
        <x:v>禁止“数几个五行”直接定旺衰</x:v>
      </x:c>
      <x:c r="U62" s="68" t="str">
        <x:v>特殊从势结构转M14</x:v>
      </x:c>
      <x:c r="V62" s="82" t="str">
        <x:v>否</x:v>
      </x:c>
      <x:c r="W62" s="84" t="str">
        <x:v>数量非旺衰</x:v>
      </x:c>
      <x:c r="X62" s="84" t="str">
        <x:v>目标五行虽数量较多，但失令无根无源时可能多而不实；不得仅凭数量判旺。</x:v>
      </x:c>
      <x:c r="Y62" s="82" t="str">
        <x:v>较高</x:v>
      </x:c>
      <x:c r="Z62" s="82" t="str">
        <x:v>现代综合</x:v>
      </x:c>
      <x:c r="AA62" s="68" t="str">
        <x:v>数量是表象，承载与环境决定实质。</x:v>
      </x:c>
      <x:c r="AB62" s="68" t="str">
        <x:v>秋月三枚无根甲乙木，未必强于一枚得令有根之木。</x:v>
      </x:c>
      <x:c r="AC62" s="90" t="str">
        <x:v>天干三木便不看根令直接判木旺。</x:v>
      </x:c>
      <x:c r="AD62" s="68" t="str">
        <x:v>经典原则经结构化整理；参见：https://zh.wikisource.org/zh-hans/滴天髓</x:v>
      </x:c>
      <x:c r="AE62" s="82" t="str">
        <x:v>采用</x:v>
      </x:c>
      <x:c r="AF62" s="82" t="str">
        <x:v>初审</x:v>
      </x:c>
      <x:c r="AG62" s="87" t="n">
        <x:v>46255</x:v>
      </x:c>
    </x:row>
    <x:row r="63">
      <x:c r="A63" s="72" t="str">
        <x:f>IF(OR(C63="",D63=""),"",B63&amp;"-"&amp;UPPER(C63)&amp;"-"&amp;TEXT(D63,"0000")&amp;"-"&amp;E63)</x:f>
        <x:v>M07-MOMENT-0057-V1.0</x:v>
      </x:c>
      <x:c r="B63" s="74" t="str">
        <x:v>M07</x:v>
      </x:c>
      <x:c r="C63" s="74" t="str">
        <x:v>MOMENT</x:v>
      </x:c>
      <x:c r="D63" s="79" t="n">
        <x:v>57</x:v>
      </x:c>
      <x:c r="E63" s="74" t="str">
        <x:v>V1.0</x:v>
      </x:c>
      <x:c r="F63" s="68" t="str">
        <x:v>得令、多根、透干与同党汇合时形成成势候选</x:v>
      </x:c>
      <x:c r="G63" s="82" t="str">
        <x:v>结构层</x:v>
      </x:c>
      <x:c r="H63" s="68" t="str">
        <x:v>成势/汇合</x:v>
      </x:c>
      <x:c r="I63" s="82"/>
      <x:c r="J63" s="68" t="str">
        <x:v>季令、根气、透干、同党至少三类强证据同时指向目标五行</x:v>
      </x:c>
      <x:c r="K63" s="68" t="str">
        <x:v>成势候选</x:v>
      </x:c>
      <x:c r="L63" s="68" t="str">
        <x:v>将原始旺衰提升至旺势候选</x:v>
      </x:c>
      <x:c r="M63" s="82" t="str">
        <x:v>增强</x:v>
      </x:c>
      <x:c r="N63" s="68" t="str">
        <x:v>高</x:v>
      </x:c>
      <x:c r="O63" s="82" t="str">
        <x:v>强</x:v>
      </x:c>
      <x:c r="P63" s="68" t="str">
        <x:v>各证据已去重并标注来源</x:v>
      </x:c>
      <x:c r="Q63" s="68" t="str">
        <x:v>至少三类独立强证据汇合</x:v>
      </x:c>
      <x:c r="R63" s="68" t="str">
        <x:v>另有强生源或四柱多位置占据</x:v>
      </x:c>
      <x:c r="S63" s="68" t="str">
        <x:v>证据高度共源或多数仅弱藏气</x:v>
      </x:c>
      <x:c r="T63" s="90" t="str">
        <x:v>不得由单一证据宣告成势</x:v>
      </x:c>
      <x:c r="U63" s="68" t="str">
        <x:v>特殊格局成立与否转M14</x:v>
      </x:c>
      <x:c r="V63" s="82" t="str">
        <x:v>条件性</x:v>
      </x:c>
      <x:c r="W63" s="84" t="str">
        <x:v>五行成势候选</x:v>
      </x:c>
      <x:c r="X63" s="84" t="str">
        <x:v>目标五行的令、根、透、党多维汇合，已形成原始成势候选；是否极旺仍需反证检查。</x:v>
      </x:c>
      <x:c r="Y63" s="82" t="str">
        <x:v>较高</x:v>
      </x:c>
      <x:c r="Z63" s="82" t="str">
        <x:v>现代综合</x:v>
      </x:c>
      <x:c r="AA63" s="68" t="str">
        <x:v>成势是多维收敛，不是数量标签。</x:v>
      </x:c>
      <x:c r="AB63" s="68" t="str">
        <x:v>春木得令，寅卯多根，甲乙透干并有水生，木可判旺势。</x:v>
      </x:c>
      <x:c r="AC63" s="90" t="str">
        <x:v>只因寅卯两个地支就称木极旺成势。</x:v>
      </x:c>
      <x:c r="AD63" s="68" t="str">
        <x:v>https://zh.wikisource.org/zh-hans/淵海子平；https://zh.wikisource.org/zh-hans/滴天髓</x:v>
      </x:c>
      <x:c r="AE63" s="82" t="str">
        <x:v>采用</x:v>
      </x:c>
      <x:c r="AF63" s="82" t="str">
        <x:v>初审</x:v>
      </x:c>
      <x:c r="AG63" s="87" t="n">
        <x:v>46255</x:v>
      </x:c>
    </x:row>
    <x:row r="64">
      <x:c r="A64" s="72" t="str">
        <x:f>IF(OR(C64="",D64=""),"",B64&amp;"-"&amp;UPPER(C64)&amp;"-"&amp;TEXT(D64,"0000")&amp;"-"&amp;E64)</x:f>
        <x:v>M07-MOMENT-0058-V1.0</x:v>
      </x:c>
      <x:c r="B64" s="74" t="str">
        <x:v>M07</x:v>
      </x:c>
      <x:c r="C64" s="74" t="str">
        <x:v>MOMENT</x:v>
      </x:c>
      <x:c r="D64" s="79" t="n">
        <x:v>58</x:v>
      </x:c>
      <x:c r="E64" s="74" t="str">
        <x:v>V1.0</x:v>
      </x:c>
      <x:c r="F64" s="68" t="str">
        <x:v>占据三个以上独立干支位置可形成党势候选</x:v>
      </x:c>
      <x:c r="G64" s="82" t="str">
        <x:v>结构层</x:v>
      </x:c>
      <x:c r="H64" s="68" t="str">
        <x:v>成势/位置覆盖</x:v>
      </x:c>
      <x:c r="I64" s="82"/>
      <x:c r="J64" s="68" t="str">
        <x:v>目标五行在至少三个独立干支位置有较强表现</x:v>
      </x:c>
      <x:c r="K64" s="68" t="str">
        <x:v>多位置覆盖</x:v>
      </x:c>
      <x:c r="L64" s="68" t="str">
        <x:v>提高党势与稳定性候选</x:v>
      </x:c>
      <x:c r="M64" s="82" t="str">
        <x:v>增强</x:v>
      </x:c>
      <x:c r="N64" s="68" t="str">
        <x:v>中高</x:v>
      </x:c>
      <x:c r="O64" s="82" t="str">
        <x:v>中</x:v>
      </x:c>
      <x:c r="P64" s="68" t="str">
        <x:v>节点已按干支位置去重</x:v>
      </x:c>
      <x:c r="Q64" s="68" t="str">
        <x:v>至少三个独立位置，且不全为余气</x:v>
      </x:c>
      <x:c r="R64" s="68" t="str">
        <x:v>其中含月令、本气根或透根相应</x:v>
      </x:c>
      <x:c r="S64" s="68" t="str">
        <x:v>多数节点无根或仅弱藏</x:v>
      </x:c>
      <x:c r="T64" s="90" t="str">
        <x:v>不得把一个地支的多个标签视为多个位置</x:v>
      </x:c>
      <x:c r="U64" s="68" t="str">
        <x:v>正式三合三会不在M07自动改性</x:v>
      </x:c>
      <x:c r="V64" s="82" t="str">
        <x:v>否</x:v>
      </x:c>
      <x:c r="W64" s="84" t="str">
        <x:v>位置成党</x:v>
      </x:c>
      <x:c r="X64" s="84" t="str">
        <x:v>目标五行覆盖多个独立位置，具备党势基础；仍须看季令、层级与生源。</x:v>
      </x:c>
      <x:c r="Y64" s="82" t="str">
        <x:v>中等</x:v>
      </x:c>
      <x:c r="Z64" s="82" t="str">
        <x:v>现代综合</x:v>
      </x:c>
      <x:c r="AA64" s="68" t="str">
        <x:v>位置覆盖可反映全局集中度。</x:v>
      </x:c>
      <x:c r="AB64" s="68" t="str">
        <x:v>甲透、乙透、寅卯两支同见，木覆盖多个独立节点。</x:v>
      </x:c>
      <x:c r="AC64" s="90" t="str">
        <x:v>寅一支既算木根、同党、月令后当作三个位置。</x:v>
      </x:c>
      <x:c r="AD64" s="68" t="str">
        <x:v>经典原则经结构化整理；参见：https://zh.wikisource.org/zh-hans/滴天髓</x:v>
      </x:c>
      <x:c r="AE64" s="82" t="str">
        <x:v>采用</x:v>
      </x:c>
      <x:c r="AF64" s="82" t="str">
        <x:v>初审</x:v>
      </x:c>
      <x:c r="AG64" s="87" t="n">
        <x:v>46255</x:v>
      </x:c>
    </x:row>
    <x:row r="65">
      <x:c r="A65" s="72" t="str">
        <x:f>IF(OR(C65="",D65=""),"",B65&amp;"-"&amp;UPPER(C65)&amp;"-"&amp;TEXT(D65,"0000")&amp;"-"&amp;E65)</x:f>
        <x:v>M07-MOMENT-0059-V1.0</x:v>
      </x:c>
      <x:c r="B65" s="74" t="str">
        <x:v>M07</x:v>
      </x:c>
      <x:c r="C65" s="74" t="str">
        <x:v>MOMENT</x:v>
      </x:c>
      <x:c r="D65" s="79" t="n">
        <x:v>59</x:v>
      </x:c>
      <x:c r="E65" s="74" t="str">
        <x:v>V1.0</x:v>
      </x:c>
      <x:c r="F65" s="68" t="str">
        <x:v>大量中余气堆积不能等同本气成势</x:v>
      </x:c>
      <x:c r="G65" s="82" t="str">
        <x:v>结构层</x:v>
      </x:c>
      <x:c r="H65" s="68" t="str">
        <x:v>成势/藏气质量</x:v>
      </x:c>
      <x:c r="I65" s="82"/>
      <x:c r="J65" s="68" t="str">
        <x:v>目标五行出现次数多，但主要来自中气或余气</x:v>
      </x:c>
      <x:c r="K65" s="68" t="str">
        <x:v>多而隐弱</x:v>
      </x:c>
      <x:c r="L65" s="68" t="str">
        <x:v>限制成势等级，通常不超过中等候选</x:v>
      </x:c>
      <x:c r="M65" s="82" t="str">
        <x:v>减弱</x:v>
      </x:c>
      <x:c r="N65" s="68" t="str">
        <x:v>中高</x:v>
      </x:c>
      <x:c r="O65" s="82" t="str">
        <x:v>中</x:v>
      </x:c>
      <x:c r="P65" s="68" t="str">
        <x:v>各节点藏干层级已标注</x:v>
      </x:c>
      <x:c r="Q65" s="68" t="str">
        <x:v>多数目标节点为中余气且不透</x:v>
      </x:c>
      <x:c r="R65" s="68" t="str">
        <x:v>有本气根、得令或同气透出</x:v>
      </x:c>
      <x:c r="S65" s="68" t="str">
        <x:v>全部余气、失令、无源</x:v>
      </x:c>
      <x:c r="T65" s="90" t="str">
        <x:v>禁止按出现次数忽略藏气质量</x:v>
      </x:c>
      <x:c r="U65" s="68" t="str">
        <x:v>若M06确认成局改性，转M08重算</x:v>
      </x:c>
      <x:c r="V65" s="82" t="str">
        <x:v>否</x:v>
      </x:c>
      <x:c r="W65" s="84" t="str">
        <x:v>隐气不成势</x:v>
      </x:c>
      <x:c r="X65" s="84" t="str">
        <x:v>目标五行虽多处潜藏，但主要为中余气，原始上不宜与本气多根成势等同。</x:v>
      </x:c>
      <x:c r="Y65" s="82" t="str">
        <x:v>较高</x:v>
      </x:c>
      <x:c r="Z65" s="82" t="str">
        <x:v>现代综合</x:v>
      </x:c>
      <x:c r="AA65" s="68" t="str">
        <x:v>质量与层级优先于纯数量。</x:v>
      </x:c>
      <x:c r="AB65" s="68" t="str">
        <x:v>辰未多藏乙但无寅卯、甲乙不透，木不宜仅按次数判旺势。</x:v>
      </x:c>
      <x:c r="AC65" s="90" t="str">
        <x:v>四个余气藏干等同四个本气根。</x:v>
      </x:c>
      <x:c r="AD65" s="68" t="str">
        <x:v>经典原则经结构化整理；参见：https://zh.wikisource.org/zh-hans/滴天髓</x:v>
      </x:c>
      <x:c r="AE65" s="82" t="str">
        <x:v>采用</x:v>
      </x:c>
      <x:c r="AF65" s="82" t="str">
        <x:v>初审</x:v>
      </x:c>
      <x:c r="AG65" s="87" t="n">
        <x:v>46255</x:v>
      </x:c>
    </x:row>
    <x:row r="66">
      <x:c r="A66" s="72" t="str">
        <x:f>IF(OR(C66="",D66=""),"",B66&amp;"-"&amp;UPPER(C66)&amp;"-"&amp;TEXT(D66,"0000")&amp;"-"&amp;E66)</x:f>
        <x:v>M07-MOMENT-0060-V1.0</x:v>
      </x:c>
      <x:c r="B66" s="74" t="str">
        <x:v>M07</x:v>
      </x:c>
      <x:c r="C66" s="74" t="str">
        <x:v>MOMENT</x:v>
      </x:c>
      <x:c r="D66" s="79" t="n">
        <x:v>60</x:v>
      </x:c>
      <x:c r="E66" s="74" t="str">
        <x:v>V1.0</x:v>
      </x:c>
      <x:c r="F66" s="68" t="str">
        <x:v>强生源与同党共同指向目标时形成方向性聚势</x:v>
      </x:c>
      <x:c r="G66" s="82" t="str">
        <x:v>结构层</x:v>
      </x:c>
      <x:c r="H66" s="68" t="str">
        <x:v>成势/生扶方向</x:v>
      </x:c>
      <x:c r="I66" s="82"/>
      <x:c r="J66" s="68" t="str">
        <x:v>生源有力且目标同党多，生化方向持续汇入目标</x:v>
      </x:c>
      <x:c r="K66" s="68" t="str">
        <x:v>生扶聚势</x:v>
      </x:c>
      <x:c r="L66" s="68" t="str">
        <x:v>提高成势候选与原始集中度</x:v>
      </x:c>
      <x:c r="M66" s="82" t="str">
        <x:v>增强</x:v>
      </x:c>
      <x:c r="N66" s="68" t="str">
        <x:v>高</x:v>
      </x:c>
      <x:c r="O66" s="82" t="str">
        <x:v>强</x:v>
      </x:c>
      <x:c r="P66" s="68" t="str">
        <x:v>生源与同党证据已生成</x:v>
      </x:c>
      <x:c r="Q66" s="68" t="str">
        <x:v>生源自身有力且目标有承接根透</x:v>
      </x:c>
      <x:c r="R66" s="68" t="str">
        <x:v>季令也支持目标或生源、路径短</x:v>
      </x:c>
      <x:c r="S66" s="68" t="str">
        <x:v>中间缺桥或目标无根</x:v>
      </x:c>
      <x:c r="T66" s="90" t="str">
        <x:v>不得在M07判断流通最终吉凶</x:v>
      </x:c>
      <x:c r="U66" s="68" t="str">
        <x:v>卡点与壅塞转M12/M16</x:v>
      </x:c>
      <x:c r="V66" s="82" t="str">
        <x:v>否</x:v>
      </x:c>
      <x:c r="W66" s="84" t="str">
        <x:v>方向性聚势</x:v>
      </x:c>
      <x:c r="X66" s="84" t="str">
        <x:v>有力生源持续汇入目标，同党又多，原始气势向该五行集中。</x:v>
      </x:c>
      <x:c r="Y66" s="82" t="str">
        <x:v>较高</x:v>
      </x:c>
      <x:c r="Z66" s="82" t="str">
        <x:v>现代综合</x:v>
      </x:c>
      <x:c r="AA66" s="68" t="str">
        <x:v>气势方向不仅看静态数量，也看生化来源。</x:v>
      </x:c>
      <x:c r="AB66" s="68" t="str">
        <x:v>金旺生水，壬癸多透并有亥子根，水形成方向性聚势。</x:v>
      </x:c>
      <x:c r="AC66" s="90" t="str">
        <x:v>只有金多而水不现，也判水成势。</x:v>
      </x:c>
      <x:c r="AD66" s="68" t="str">
        <x:v>经典原则经结构化整理；参见：https://zh.wikisource.org/zh-hans/滴天髓</x:v>
      </x:c>
      <x:c r="AE66" s="82" t="str">
        <x:v>采用</x:v>
      </x:c>
      <x:c r="AF66" s="82" t="str">
        <x:v>初审</x:v>
      </x:c>
      <x:c r="AG66" s="87" t="n">
        <x:v>46255</x:v>
      </x:c>
    </x:row>
    <x:row r="67">
      <x:c r="A67" s="72" t="str">
        <x:f>IF(OR(C67="",D67=""),"",B67&amp;"-"&amp;UPPER(C67)&amp;"-"&amp;TEXT(D67,"0000")&amp;"-"&amp;E67)</x:f>
        <x:v>M07-MOMENT-0061-V1.0</x:v>
      </x:c>
      <x:c r="B67" s="74" t="str">
        <x:v>M07</x:v>
      </x:c>
      <x:c r="C67" s="74" t="str">
        <x:v>MOMENT</x:v>
      </x:c>
      <x:c r="D67" s="79" t="n">
        <x:v>61</x:v>
      </x:c>
      <x:c r="E67" s="74" t="str">
        <x:v>V1.0</x:v>
      </x:c>
      <x:c r="F67" s="68" t="str">
        <x:v>同类集中但失令无源时只列弱成势候选</x:v>
      </x:c>
      <x:c r="G67" s="82" t="str">
        <x:v>结构层</x:v>
      </x:c>
      <x:c r="H67" s="68" t="str">
        <x:v>成势/反季节</x:v>
      </x:c>
      <x:c r="I67" s="82"/>
      <x:c r="J67" s="68" t="str">
        <x:v>目标同党多但季令不利、生源不足</x:v>
      </x:c>
      <x:c r="K67" s="68" t="str">
        <x:v>反季节党势</x:v>
      </x:c>
      <x:c r="L67" s="68" t="str">
        <x:v>保留成党证据，限制旺势等级</x:v>
      </x:c>
      <x:c r="M67" s="82" t="str">
        <x:v>条件性</x:v>
      </x:c>
      <x:c r="N67" s="68" t="str">
        <x:v>中</x:v>
      </x:c>
      <x:c r="O67" s="82" t="str">
        <x:v>中</x:v>
      </x:c>
      <x:c r="P67" s="68" t="str">
        <x:v>同党数量与季令生源已评估</x:v>
      </x:c>
      <x:c r="Q67" s="68" t="str">
        <x:v>同党多而令源弱</x:v>
      </x:c>
      <x:c r="R67" s="68" t="str">
        <x:v>多重本气根、透干有根，可形成反季节力量</x:v>
      </x:c>
      <x:c r="S67" s="68" t="str">
        <x:v>同党多为无根浮干或弱藏</x:v>
      </x:c>
      <x:c r="T67" s="90" t="str">
        <x:v>不得因数量多直接忽略季令逆势</x:v>
      </x:c>
      <x:c r="U67" s="68" t="str">
        <x:v>专旺候选转M14</x:v>
      </x:c>
      <x:c r="V67" s="82" t="str">
        <x:v>否</x:v>
      </x:c>
      <x:c r="W67" s="84" t="str">
        <x:v>反季节成党</x:v>
      </x:c>
      <x:c r="X67" s="84" t="str">
        <x:v>目标五行虽同党较多，但失令无源；可形成反季节党势，是否真正旺须看根气质量。</x:v>
      </x:c>
      <x:c r="Y67" s="82" t="str">
        <x:v>中等</x:v>
      </x:c>
      <x:c r="Z67" s="82" t="str">
        <x:v>现代综合</x:v>
      </x:c>
      <x:c r="AA67" s="68" t="str">
        <x:v>反季节旺需要更强根党证据。</x:v>
      </x:c>
      <x:c r="AB67" s="68" t="str">
        <x:v>秋木多透且寅卯多根，可有反季节力量。</x:v>
      </x:c>
      <x:c r="AC67" s="90" t="str">
        <x:v>秋月三枚无根木干直接判木旺势。</x:v>
      </x:c>
      <x:c r="AD67" s="68" t="str">
        <x:v>经典原则经结构化整理；参见：https://zh.wikisource.org/zh-hans/滴天髓</x:v>
      </x:c>
      <x:c r="AE67" s="82" t="str">
        <x:v>采用</x:v>
      </x:c>
      <x:c r="AF67" s="82" t="str">
        <x:v>初审</x:v>
      </x:c>
      <x:c r="AG67" s="87" t="n">
        <x:v>46255</x:v>
      </x:c>
    </x:row>
    <x:row r="68">
      <x:c r="A68" s="72" t="str">
        <x:f>IF(OR(C68="",D68=""),"",B68&amp;"-"&amp;UPPER(C68)&amp;"-"&amp;TEXT(D68,"0000")&amp;"-"&amp;E68)</x:f>
        <x:v>M07-MOMENT-0062-V1.0</x:v>
      </x:c>
      <x:c r="B68" s="74" t="str">
        <x:v>M07</x:v>
      </x:c>
      <x:c r="C68" s="74" t="str">
        <x:v>MOMENT</x:v>
      </x:c>
      <x:c r="D68" s="79" t="n">
        <x:v>62</x:v>
      </x:c>
      <x:c r="E68" s="74" t="str">
        <x:v>V1.0</x:v>
      </x:c>
      <x:c r="F68" s="68" t="str">
        <x:v>三合三会之化出五行不得在M07提前计入</x:v>
      </x:c>
      <x:c r="G68" s="82" t="str">
        <x:v>结构层</x:v>
      </x:c>
      <x:c r="H68" s="68" t="str">
        <x:v>成势/关系边界</x:v>
      </x:c>
      <x:c r="I68" s="82"/>
      <x:c r="J68" s="68" t="str">
        <x:v>原局出现三合、三会、半合或拱合候选</x:v>
      </x:c>
      <x:c r="K68" s="68" t="str">
        <x:v>关系成势候选</x:v>
      </x:c>
      <x:c r="L68" s="68" t="str">
        <x:v>仅记录原支本来五行，不把候选化神加入原始五行</x:v>
      </x:c>
      <x:c r="M68" s="82" t="str">
        <x:v>不变</x:v>
      </x:c>
      <x:c r="N68" s="68" t="str">
        <x:v>高</x:v>
      </x:c>
      <x:c r="O68" s="82" t="str">
        <x:v>决定性</x:v>
      </x:c>
      <x:c r="P68" s="68" t="str">
        <x:v>M05关系识别完成</x:v>
      </x:c>
      <x:c r="Q68" s="68" t="str">
        <x:v>M06尚未确认合化或成局</x:v>
      </x:c>
      <x:c r="R68" s="68" t="str">
        <x:v>无</x:v>
      </x:c>
      <x:c r="S68" s="68" t="str">
        <x:v>无</x:v>
      </x:c>
      <x:c r="T68" s="90" t="str">
        <x:v>禁止把三合三会候选直接改写各支五行</x:v>
      </x:c>
      <x:c r="U68" s="68" t="str">
        <x:v>经M06确认成局后由M08计算有效化神力量</x:v>
      </x:c>
      <x:c r="V68" s="82" t="str">
        <x:v>否</x:v>
      </x:c>
      <x:c r="W68" s="84" t="str">
        <x:v>原始五行保真</x:v>
      </x:c>
      <x:c r="X68" s="84" t="str">
        <x:v>M07按各干支原始五行计力；三合三会是否转化成局，须待M06确认后进入M08。</x:v>
      </x:c>
      <x:c r="Y68" s="82" t="str">
        <x:v>确定</x:v>
      </x:c>
      <x:c r="Z68" s="82" t="str">
        <x:v>现代综合</x:v>
      </x:c>
      <x:c r="AA68" s="68" t="str">
        <x:v>原始层必须保留输入事实，避免预设合化。</x:v>
      </x:c>
      <x:c r="AB68" s="68" t="str">
        <x:v>申子辰在M07仍分别记录金、水、土及藏干，M08再按成局结论修正水势。</x:v>
      </x:c>
      <x:c r="AC68" s="90" t="str">
        <x:v>申子辰一见就在M07把三支全改成水。</x:v>
      </x:c>
      <x:c r="AD68" s="68" t="str">
        <x:v>经典原则经结构化整理；参见：https://zh.wikisource.org/zh-hans/滴天髓</x:v>
      </x:c>
      <x:c r="AE68" s="82" t="str">
        <x:v>采用</x:v>
      </x:c>
      <x:c r="AF68" s="82" t="str">
        <x:v>初审</x:v>
      </x:c>
      <x:c r="AG68" s="87" t="n">
        <x:v>46255</x:v>
      </x:c>
    </x:row>
    <x:row r="69">
      <x:c r="A69" s="72" t="str">
        <x:f>IF(OR(C69="",D69=""),"",B69&amp;"-"&amp;UPPER(C69)&amp;"-"&amp;TEXT(D69,"0000")&amp;"-"&amp;E69)</x:f>
        <x:v>M07-MOMENT-0063-V1.0</x:v>
      </x:c>
      <x:c r="B69" s="74" t="str">
        <x:v>M07</x:v>
      </x:c>
      <x:c r="C69" s="74" t="str">
        <x:v>MOMENT</x:v>
      </x:c>
      <x:c r="D69" s="79" t="n">
        <x:v>63</x:v>
      </x:c>
      <x:c r="E69" s="74" t="str">
        <x:v>V1.0</x:v>
      </x:c>
      <x:c r="F69" s="68" t="str">
        <x:v>成势后仍须保留克泄耗与弱项反证</x:v>
      </x:c>
      <x:c r="G69" s="82" t="str">
        <x:v>结构层</x:v>
      </x:c>
      <x:c r="H69" s="68" t="str">
        <x:v>成势/反证</x:v>
      </x:c>
      <x:c r="I69" s="82"/>
      <x:c r="J69" s="68" t="str">
        <x:v>目标已被判为成势候选</x:v>
      </x:c>
      <x:c r="K69" s="68" t="str">
        <x:v>旺势候选</x:v>
      </x:c>
      <x:c r="L69" s="68" t="str">
        <x:v>要求同步记录不利季令、无源、无透或异类集中等反向证据</x:v>
      </x:c>
      <x:c r="M69" s="82" t="str">
        <x:v>条件性</x:v>
      </x:c>
      <x:c r="N69" s="68" t="str">
        <x:v>高</x:v>
      </x:c>
      <x:c r="O69" s="82" t="str">
        <x:v>强</x:v>
      </x:c>
      <x:c r="P69" s="68" t="str">
        <x:v>成势候选已生成</x:v>
      </x:c>
      <x:c r="Q69" s="68" t="str">
        <x:v>至少列出一项反向检查</x:v>
      </x:c>
      <x:c r="R69" s="68" t="str">
        <x:v>反向证据弱或可由独立强证抵消</x:v>
      </x:c>
      <x:c r="S69" s="68" t="str">
        <x:v>反向证据触及无根、无源或季令强克等核心条件</x:v>
      </x:c>
      <x:c r="T69" s="90" t="str">
        <x:v>禁止只有支持证据没有反证</x:v>
      </x:c>
      <x:c r="U69" s="68" t="str">
        <x:v>极端清纯结构反证可为空但需说明原因</x:v>
      </x:c>
      <x:c r="V69" s="82" t="str">
        <x:v>否</x:v>
      </x:c>
      <x:c r="W69" s="84" t="str">
        <x:v>成势反证</x:v>
      </x:c>
      <x:c r="X69" s="84" t="str">
        <x:v>目标五行具成势候选，同时保留反向证据；最终等级根据支持与反证的独立性裁定。</x:v>
      </x:c>
      <x:c r="Y69" s="82" t="str">
        <x:v>较高</x:v>
      </x:c>
      <x:c r="Z69" s="82" t="str">
        <x:v>现代综合</x:v>
      </x:c>
      <x:c r="AA69" s="68" t="str">
        <x:v>反证机制防止确认偏误。</x:v>
      </x:c>
      <x:c r="AB69" s="68" t="str">
        <x:v>木得令多根透干，但火土大量泄耗，记录后再定旺或中和偏旺。</x:v>
      </x:c>
      <x:c r="AC69" s="90" t="str">
        <x:v>看到木多便完全忽略火泄、金制等反向事实。</x:v>
      </x:c>
      <x:c r="AD69" s="68" t="str">
        <x:v>经典原则经结构化整理；参见：https://zh.wikisource.org/zh-hans/滴天髓</x:v>
      </x:c>
      <x:c r="AE69" s="82" t="str">
        <x:v>采用</x:v>
      </x:c>
      <x:c r="AF69" s="82" t="str">
        <x:v>初审</x:v>
      </x:c>
      <x:c r="AG69" s="87" t="n">
        <x:v>46255</x:v>
      </x:c>
    </x:row>
    <x:row r="70">
      <x:c r="A70" s="72" t="str">
        <x:f>IF(OR(C70="",D70=""),"",B70&amp;"-"&amp;UPPER(C70)&amp;"-"&amp;TEXT(D70,"0000")&amp;"-"&amp;E70)</x:f>
        <x:v>M07-MOMENT-0064-V1.0</x:v>
      </x:c>
      <x:c r="B70" s="74" t="str">
        <x:v>M07</x:v>
      </x:c>
      <x:c r="C70" s="74" t="str">
        <x:v>MOMENT</x:v>
      </x:c>
      <x:c r="D70" s="79" t="n">
        <x:v>64</x:v>
      </x:c>
      <x:c r="E70" s="74" t="str">
        <x:v>V1.0</x:v>
      </x:c>
      <x:c r="F70" s="68" t="str">
        <x:v>成势是综合结论不得继续把全部子证据线性相加</x:v>
      </x:c>
      <x:c r="G70" s="82" t="str">
        <x:v>结构层</x:v>
      </x:c>
      <x:c r="H70" s="68" t="str">
        <x:v>成势/汇总去重</x:v>
      </x:c>
      <x:c r="I70" s="82"/>
      <x:c r="J70" s="68" t="str">
        <x:v>已经形成成势候选</x:v>
      </x:c>
      <x:c r="K70" s="68" t="str">
        <x:v>综合成势标签</x:v>
      </x:c>
      <x:c r="L70" s="68" t="str">
        <x:v>以成势标签替代对子证据的机械再加总</x:v>
      </x:c>
      <x:c r="M70" s="82" t="str">
        <x:v>不变</x:v>
      </x:c>
      <x:c r="N70" s="68" t="str">
        <x:v>高</x:v>
      </x:c>
      <x:c r="O70" s="82" t="str">
        <x:v>强</x:v>
      </x:c>
      <x:c r="P70" s="68" t="str">
        <x:v>支持证据已汇总</x:v>
      </x:c>
      <x:c r="Q70" s="68" t="str">
        <x:v>成势结论可追溯到独立证据</x:v>
      </x:c>
      <x:c r="R70" s="68" t="str">
        <x:v>无</x:v>
      </x:c>
      <x:c r="S70" s="68" t="str">
        <x:v>无</x:v>
      </x:c>
      <x:c r="T70" s="90" t="str">
        <x:v>禁止“令＋根＋透＋党＋成势”五次满额累加</x:v>
      </x:c>
      <x:c r="U70" s="68" t="str">
        <x:v>需要比较五行排序时保留原始证据矩阵</x:v>
      </x:c>
      <x:c r="V70" s="82" t="str">
        <x:v>否</x:v>
      </x:c>
      <x:c r="W70" s="84" t="str">
        <x:v>成势汇总</x:v>
      </x:c>
      <x:c r="X70" s="84" t="str">
        <x:v>成势是令根透源党汇合后的综合标签，不应在子证据总和之外再作为独立满额加权。</x:v>
      </x:c>
      <x:c r="Y70" s="82" t="str">
        <x:v>较高</x:v>
      </x:c>
      <x:c r="Z70" s="82" t="str">
        <x:v>现代综合</x:v>
      </x:c>
      <x:c r="AA70" s="68" t="str">
        <x:v>综合变量不能与其组成变量重复累计。</x:v>
      </x:c>
      <x:c r="AB70" s="68" t="str">
        <x:v>用“旺势成立”概括多维汇合，不再额外加一份成势分。</x:v>
      </x:c>
      <x:c r="AC70" s="90" t="str">
        <x:v>先累加全部证据，再把成势当新强证重复加权。</x:v>
      </x:c>
      <x:c r="AD70" s="68" t="str">
        <x:v>经典原则经结构化整理；参见：https://zh.wikisource.org/zh-hans/滴天髓</x:v>
      </x:c>
      <x:c r="AE70" s="82" t="str">
        <x:v>采用</x:v>
      </x:c>
      <x:c r="AF70" s="82" t="str">
        <x:v>初审</x:v>
      </x:c>
      <x:c r="AG70" s="87" t="n">
        <x:v>46255</x:v>
      </x:c>
    </x:row>
    <x:row r="71">
      <x:c r="A71" s="72" t="str">
        <x:f>IF(OR(C71="",D71=""),"",B71&amp;"-"&amp;UPPER(C71)&amp;"-"&amp;TEXT(D71,"0000")&amp;"-"&amp;E71)</x:f>
        <x:v>M07-CHAIN-0065-V1.0</x:v>
      </x:c>
      <x:c r="B71" s="74" t="str">
        <x:v>M07</x:v>
      </x:c>
      <x:c r="C71" s="74" t="str">
        <x:v>CHAIN</x:v>
      </x:c>
      <x:c r="D71" s="79" t="n">
        <x:v>65</x:v>
      </x:c>
      <x:c r="E71" s="74" t="str">
        <x:v>V1.0</x:v>
      </x:c>
      <x:c r="F71" s="68" t="str">
        <x:v>生源到目标的直接一段链最具原始传递效率</x:v>
      </x:c>
      <x:c r="G71" s="82" t="str">
        <x:v>结构层</x:v>
      </x:c>
      <x:c r="H71" s="68" t="str">
        <x:v>连续生扶/一段链</x:v>
      </x:c>
      <x:c r="I71" s="82"/>
      <x:c r="J71" s="68" t="str">
        <x:v>存在生源五行直接生目标五行</x:v>
      </x:c>
      <x:c r="K71" s="68" t="str">
        <x:v>母→子一段链</x:v>
      </x:c>
      <x:c r="L71" s="68" t="str">
        <x:v>给予直接生扶证据</x:v>
      </x:c>
      <x:c r="M71" s="82" t="str">
        <x:v>增强</x:v>
      </x:c>
      <x:c r="N71" s="68" t="str">
        <x:v>中高</x:v>
      </x:c>
      <x:c r="O71" s="82" t="str">
        <x:v>中</x:v>
      </x:c>
      <x:c r="P71" s="68" t="str">
        <x:v>五行生克关系已映射</x:v>
      </x:c>
      <x:c r="Q71" s="68" t="str">
        <x:v>母与子均在原局存在</x:v>
      </x:c>
      <x:c r="R71" s="68" t="str">
        <x:v>母有力、子有根透、路径短</x:v>
      </x:c>
      <x:c r="S71" s="68" t="str">
        <x:v>母弱、子无承接或仅藏余气</x:v>
      </x:c>
      <x:c r="T71" s="90" t="str">
        <x:v>不得只凭五行相邻就假定传递充分</x:v>
      </x:c>
      <x:c r="U71" s="68" t="str">
        <x:v>实际阻断转M08/M12</x:v>
      </x:c>
      <x:c r="V71" s="82" t="str">
        <x:v>否</x:v>
      </x:c>
      <x:c r="W71" s="84" t="str">
        <x:v>直接生扶链</x:v>
      </x:c>
      <x:c r="X71" s="84" t="str">
        <x:v>原局存在生源直接流向目标的一段链；母强子能承接时，原始生扶较有效。</x:v>
      </x:c>
      <x:c r="Y71" s="82" t="str">
        <x:v>较高</x:v>
      </x:c>
      <x:c r="Z71" s="82" t="str">
        <x:v>现代综合</x:v>
      </x:c>
      <x:c r="AA71" s="68" t="str">
        <x:v>链越短，名义传递越直接。</x:v>
      </x:c>
      <x:c r="AB71" s="68" t="str">
        <x:v>水有力直接生木，木有根透，形成清楚一段链。</x:v>
      </x:c>
      <x:c r="AC71" s="90" t="str">
        <x:v>水木各一处弱藏也判强连续生扶。</x:v>
      </x:c>
      <x:c r="AD71" s="68" t="str">
        <x:v>经典原则经结构化整理；参见：https://zh.wikisource.org/zh-hans/滴天髓</x:v>
      </x:c>
      <x:c r="AE71" s="82" t="str">
        <x:v>采用</x:v>
      </x:c>
      <x:c r="AF71" s="82" t="str">
        <x:v>初审</x:v>
      </x:c>
      <x:c r="AG71" s="87" t="n">
        <x:v>46255</x:v>
      </x:c>
    </x:row>
    <x:row r="72">
      <x:c r="A72" s="72" t="str">
        <x:f>IF(OR(C72="",D72=""),"",B72&amp;"-"&amp;UPPER(C72)&amp;"-"&amp;TEXT(D72,"0000")&amp;"-"&amp;E72)</x:f>
        <x:v>M07-CHAIN-0066-V1.0</x:v>
      </x:c>
      <x:c r="B72" s="74" t="str">
        <x:v>M07</x:v>
      </x:c>
      <x:c r="C72" s="74" t="str">
        <x:v>CHAIN</x:v>
      </x:c>
      <x:c r="D72" s="79" t="n">
        <x:v>66</x:v>
      </x:c>
      <x:c r="E72" s="74" t="str">
        <x:v>V1.0</x:v>
      </x:c>
      <x:c r="F72" s="68" t="str">
        <x:v>两段连续链须中间五行真实存在且有承载</x:v>
      </x:c>
      <x:c r="G72" s="82" t="str">
        <x:v>结构层</x:v>
      </x:c>
      <x:c r="H72" s="68" t="str">
        <x:v>连续生扶/两段链</x:v>
      </x:c>
      <x:c r="I72" s="82"/>
      <x:c r="J72" s="68" t="str">
        <x:v>存在上游→生源→目标的两段相生</x:v>
      </x:c>
      <x:c r="K72" s="68" t="str">
        <x:v>祖→母→子两段链</x:v>
      </x:c>
      <x:c r="L72" s="68" t="str">
        <x:v>给予中等连续支持，低于直接强源</x:v>
      </x:c>
      <x:c r="M72" s="82" t="str">
        <x:v>增强</x:v>
      </x:c>
      <x:c r="N72" s="68" t="str">
        <x:v>中</x:v>
      </x:c>
      <x:c r="O72" s="82" t="str">
        <x:v>中</x:v>
      </x:c>
      <x:c r="P72" s="68" t="str">
        <x:v>三类五行均已识别</x:v>
      </x:c>
      <x:c r="Q72" s="68" t="str">
        <x:v>中间五行不缺失且至少有基础力量</x:v>
      </x:c>
      <x:c r="R72" s="68" t="str">
        <x:v>三节点均有根透、季令支持、路径连续</x:v>
      </x:c>
      <x:c r="S72" s="68" t="str">
        <x:v>中间五行无根无透或仅弱余气</x:v>
      </x:c>
      <x:c r="T72" s="90" t="str">
        <x:v>不得跨越缺失中间五行建立虚假链</x:v>
      </x:c>
      <x:c r="U72" s="68" t="str">
        <x:v>更长链转M12评估衰减</x:v>
      </x:c>
      <x:c r="V72" s="82" t="str">
        <x:v>否</x:v>
      </x:c>
      <x:c r="W72" s="84" t="str">
        <x:v>两段生扶链</x:v>
      </x:c>
      <x:c r="X72" s="84" t="str">
        <x:v>上游经中间五行生到目标，链条完整可提供连续支持；中间节点决定链的上限。</x:v>
      </x:c>
      <x:c r="Y72" s="82" t="str">
        <x:v>中等</x:v>
      </x:c>
      <x:c r="Z72" s="82" t="str">
        <x:v>现代综合</x:v>
      </x:c>
      <x:c r="AA72" s="68" t="str">
        <x:v>链的强度受最弱节点限制。</x:v>
      </x:c>
      <x:c r="AB72" s="68" t="str">
        <x:v>金有力生水，水有根透再生木，木获两段支持。</x:v>
      </x:c>
      <x:c r="AC72" s="90" t="str">
        <x:v>金与木同见而水缺失，仍称金水木连续流通。</x:v>
      </x:c>
      <x:c r="AD72" s="68" t="str">
        <x:v>经典原则经结构化整理；参见：https://zh.wikisource.org/zh-hans/滴天髓</x:v>
      </x:c>
      <x:c r="AE72" s="82" t="str">
        <x:v>采用</x:v>
      </x:c>
      <x:c r="AF72" s="82" t="str">
        <x:v>初审</x:v>
      </x:c>
      <x:c r="AG72" s="87" t="n">
        <x:v>46255</x:v>
      </x:c>
    </x:row>
    <x:row r="73">
      <x:c r="A73" s="72" t="str">
        <x:f>IF(OR(C73="",D73=""),"",B73&amp;"-"&amp;UPPER(C73)&amp;"-"&amp;TEXT(D73,"0000")&amp;"-"&amp;E73)</x:f>
        <x:v>M07-CHAIN-0067-V1.0</x:v>
      </x:c>
      <x:c r="B73" s="74" t="str">
        <x:v>M07</x:v>
      </x:c>
      <x:c r="C73" s="74" t="str">
        <x:v>CHAIN</x:v>
      </x:c>
      <x:c r="D73" s="79" t="n">
        <x:v>67</x:v>
      </x:c>
      <x:c r="E73" s="74" t="str">
        <x:v>V1.0</x:v>
      </x:c>
      <x:c r="F73" s="68" t="str">
        <x:v>透干连续链比全藏链显露度更高</x:v>
      </x:c>
      <x:c r="G73" s="82" t="str">
        <x:v>结构层</x:v>
      </x:c>
      <x:c r="H73" s="68" t="str">
        <x:v>连续生扶/显露</x:v>
      </x:c>
      <x:c r="I73" s="82"/>
      <x:c r="J73" s="68" t="str">
        <x:v>生扶链各节点至少两段在天干明现</x:v>
      </x:c>
      <x:c r="K73" s="68" t="str">
        <x:v>明链</x:v>
      </x:c>
      <x:c r="L73" s="68" t="str">
        <x:v>提高链路可见度与直接性</x:v>
      </x:c>
      <x:c r="M73" s="82" t="str">
        <x:v>增强</x:v>
      </x:c>
      <x:c r="N73" s="68" t="str">
        <x:v>低</x:v>
      </x:c>
      <x:c r="O73" s="82" t="str">
        <x:v>弱</x:v>
      </x:c>
      <x:c r="P73" s="68" t="str">
        <x:v>链条成立且透干状态已标注</x:v>
      </x:c>
      <x:c r="Q73" s="68" t="str">
        <x:v>生源与目标或中间节点明现</x:v>
      </x:c>
      <x:c r="R73" s="68" t="str">
        <x:v>各节点有根、位置相邻</x:v>
      </x:c>
      <x:c r="S73" s="68" t="str">
        <x:v>虽透但均无根或链路遥隔</x:v>
      </x:c>
      <x:c r="T73" s="90" t="str">
        <x:v>不得把明链直接等同有效流通完成</x:v>
      </x:c>
      <x:c r="U73" s="68" t="str">
        <x:v>合克阻断转M06/M08</x:v>
      </x:c>
      <x:c r="V73" s="82" t="str">
        <x:v>否</x:v>
      </x:c>
      <x:c r="W73" s="84" t="str">
        <x:v>显露生扶链</x:v>
      </x:c>
      <x:c r="X73" s="84" t="str">
        <x:v>生扶链在天干明现，传递路径较清楚；根气与实际阻断仍需后续判断。</x:v>
      </x:c>
      <x:c r="Y73" s="82" t="str">
        <x:v>中等</x:v>
      </x:c>
      <x:c r="Z73" s="82" t="str">
        <x:v>现代综合</x:v>
      </x:c>
      <x:c r="AA73" s="68" t="str">
        <x:v>显露提高观察到的作用通道，但不是绝对效力。</x:v>
      </x:c>
      <x:c r="AB73" s="68" t="str">
        <x:v>庚壬甲连续透干且各有根，金水木生链较清楚。</x:v>
      </x:c>
      <x:c r="AC73" s="90" t="str">
        <x:v>庚壬甲均无根，只因连续排列便判强流通。</x:v>
      </x:c>
      <x:c r="AD73" s="68" t="str">
        <x:v>经典原则经结构化整理；参见：https://zh.wikisource.org/zh-hans/滴天髓</x:v>
      </x:c>
      <x:c r="AE73" s="82" t="str">
        <x:v>待验证</x:v>
      </x:c>
      <x:c r="AF73" s="82" t="str">
        <x:v>初审</x:v>
      </x:c>
      <x:c r="AG73" s="87" t="n">
        <x:v>46255</x:v>
      </x:c>
    </x:row>
    <x:row r="74">
      <x:c r="A74" s="72" t="str">
        <x:f>IF(OR(C74="",D74=""),"",B74&amp;"-"&amp;UPPER(C74)&amp;"-"&amp;TEXT(D74,"0000")&amp;"-"&amp;E74)</x:f>
        <x:v>M07-CHAIN-0068-V1.0</x:v>
      </x:c>
      <x:c r="B74" s="74" t="str">
        <x:v>M07</x:v>
      </x:c>
      <x:c r="C74" s="74" t="str">
        <x:v>CHAIN</x:v>
      </x:c>
      <x:c r="D74" s="79" t="n">
        <x:v>68</x:v>
      </x:c>
      <x:c r="E74" s="74" t="str">
        <x:v>V1.0</x:v>
      </x:c>
      <x:c r="F74" s="68" t="str">
        <x:v>全链有根时连续生扶稳定性提高</x:v>
      </x:c>
      <x:c r="G74" s="82" t="str">
        <x:v>结构层</x:v>
      </x:c>
      <x:c r="H74" s="68" t="str">
        <x:v>连续生扶/根系</x:v>
      </x:c>
      <x:c r="I74" s="82"/>
      <x:c r="J74" s="68" t="str">
        <x:v>生扶链各关键节点均有根</x:v>
      </x:c>
      <x:c r="K74" s="68" t="str">
        <x:v>有根链</x:v>
      </x:c>
      <x:c r="L74" s="68" t="str">
        <x:v>提高连续支持的稳定性</x:v>
      </x:c>
      <x:c r="M74" s="82" t="str">
        <x:v>增强</x:v>
      </x:c>
      <x:c r="N74" s="68" t="str">
        <x:v>中高</x:v>
      </x:c>
      <x:c r="O74" s="82" t="str">
        <x:v>中</x:v>
      </x:c>
      <x:c r="P74" s="68" t="str">
        <x:v>链条与各节点根气已识别</x:v>
      </x:c>
      <x:c r="Q74" s="68" t="str">
        <x:v>至少生源、中间、目标均有根</x:v>
      </x:c>
      <x:c r="R74" s="68" t="str">
        <x:v>根为本气、得令或透干相应</x:v>
      </x:c>
      <x:c r="S74" s="68" t="str">
        <x:v>关键节点仅余气或共享单一弱根</x:v>
      </x:c>
      <x:c r="T74" s="90" t="str">
        <x:v>不得忽略最弱节点</x:v>
      </x:c>
      <x:c r="U74" s="68" t="str">
        <x:v>实际有效根转M08</x:v>
      </x:c>
      <x:c r="V74" s="82" t="str">
        <x:v>否</x:v>
      </x:c>
      <x:c r="W74" s="84" t="str">
        <x:v>有根生扶链</x:v>
      </x:c>
      <x:c r="X74" s="84" t="str">
        <x:v>生扶链关键节点均有根，原始传递稳定性较高；链强度仍受最弱节点限制。</x:v>
      </x:c>
      <x:c r="Y74" s="82" t="str">
        <x:v>较高</x:v>
      </x:c>
      <x:c r="Z74" s="82" t="str">
        <x:v>现代综合</x:v>
      </x:c>
      <x:c r="AA74" s="68" t="str">
        <x:v>连续链必须逐节点承载。</x:v>
      </x:c>
      <x:c r="AB74" s="68" t="str">
        <x:v>金、水、木各有根，金生水生木的原始链较稳。</x:v>
      </x:c>
      <x:c r="AC74" s="90" t="str">
        <x:v>中间水无根却按完整强链处理。</x:v>
      </x:c>
      <x:c r="AD74" s="68" t="str">
        <x:v>经典原则经结构化整理；参见：https://zh.wikisource.org/zh-hans/滴天髓</x:v>
      </x:c>
      <x:c r="AE74" s="82" t="str">
        <x:v>采用</x:v>
      </x:c>
      <x:c r="AF74" s="82" t="str">
        <x:v>初审</x:v>
      </x:c>
      <x:c r="AG74" s="87" t="n">
        <x:v>46255</x:v>
      </x:c>
    </x:row>
    <x:row r="75">
      <x:c r="A75" s="72" t="str">
        <x:f>IF(OR(C75="",D75=""),"",B75&amp;"-"&amp;UPPER(C75)&amp;"-"&amp;TEXT(D75,"0000")&amp;"-"&amp;E75)</x:f>
        <x:v>M07-CHAIN-0069-V1.0</x:v>
      </x:c>
      <x:c r="B75" s="74" t="str">
        <x:v>M07</x:v>
      </x:c>
      <x:c r="C75" s="74" t="str">
        <x:v>CHAIN</x:v>
      </x:c>
      <x:c r="D75" s="79" t="n">
        <x:v>69</x:v>
      </x:c>
      <x:c r="E75" s="74" t="str">
        <x:v>V1.0</x:v>
      </x:c>
      <x:c r="F75" s="68" t="str">
        <x:v>中间桥梁缺失时不得判连续生扶</x:v>
      </x:c>
      <x:c r="G75" s="82" t="str">
        <x:v>结构层</x:v>
      </x:c>
      <x:c r="H75" s="68" t="str">
        <x:v>连续生扶/断点</x:v>
      </x:c>
      <x:c r="I75" s="82"/>
      <x:c r="J75" s="68" t="str">
        <x:v>上游与目标存在，但相生所需中间五行缺失</x:v>
      </x:c>
      <x:c r="K75" s="68" t="str">
        <x:v>缺桥</x:v>
      </x:c>
      <x:c r="L75" s="68" t="str">
        <x:v>不建立连续生扶正证，并标记潜在断点</x:v>
      </x:c>
      <x:c r="M75" s="82" t="str">
        <x:v>阻断</x:v>
      </x:c>
      <x:c r="N75" s="68" t="str">
        <x:v>高</x:v>
      </x:c>
      <x:c r="O75" s="82" t="str">
        <x:v>强</x:v>
      </x:c>
      <x:c r="P75" s="68" t="str">
        <x:v>五行生序已确定</x:v>
      </x:c>
      <x:c r="Q75" s="68" t="str">
        <x:v>中间桥梁确实不现</x:v>
      </x:c>
      <x:c r="R75" s="68" t="str">
        <x:v>无</x:v>
      </x:c>
      <x:c r="S75" s="68" t="str">
        <x:v>岁运补齐不属于原局M07</x:v>
      </x:c>
      <x:c r="T75" s="90" t="str">
        <x:v>禁止跨级相生或凭意象补桥</x:v>
      </x:c>
      <x:c r="U75" s="68" t="str">
        <x:v>通关候选转M12/D0</x:v>
      </x:c>
      <x:c r="V75" s="82" t="str">
        <x:v>否</x:v>
      </x:c>
      <x:c r="W75" s="84" t="str">
        <x:v>原始链断</x:v>
      </x:c>
      <x:c r="X75" s="84" t="str">
        <x:v>原局中间桥梁缺失，不能建立连续生扶链；是否需要通关由M12判断。</x:v>
      </x:c>
      <x:c r="Y75" s="82" t="str">
        <x:v>确定</x:v>
      </x:c>
      <x:c r="Z75" s="82" t="str">
        <x:v>现代综合</x:v>
      </x:c>
      <x:c r="AA75" s="68" t="str">
        <x:v>五行相生必须逐段存在。</x:v>
      </x:c>
      <x:c r="AB75" s="68" t="str">
        <x:v>金与木同见而水不现，金不能直接生木。</x:v>
      </x:c>
      <x:c r="AC75" s="90" t="str">
        <x:v>把金克木的关系解释为金绕过水直接生木。</x:v>
      </x:c>
      <x:c r="AD75" s="68" t="str">
        <x:v>经典原则经结构化整理；参见：https://zh.wikisource.org/zh-hans/滴天髓</x:v>
      </x:c>
      <x:c r="AE75" s="82" t="str">
        <x:v>采用</x:v>
      </x:c>
      <x:c r="AF75" s="82" t="str">
        <x:v>初审</x:v>
      </x:c>
      <x:c r="AG75" s="87" t="n">
        <x:v>46255</x:v>
      </x:c>
    </x:row>
    <x:row r="76">
      <x:c r="A76" s="72" t="str">
        <x:f>IF(OR(C76="",D76=""),"",B76&amp;"-"&amp;UPPER(C76)&amp;"-"&amp;TEXT(D76,"0000")&amp;"-"&amp;E76)</x:f>
        <x:v>M07-CHAIN-0070-V1.0</x:v>
      </x:c>
      <x:c r="B76" s="74" t="str">
        <x:v>M07</x:v>
      </x:c>
      <x:c r="C76" s="74" t="str">
        <x:v>CHAIN</x:v>
      </x:c>
      <x:c r="D76" s="79" t="n">
        <x:v>70</x:v>
      </x:c>
      <x:c r="E76" s="74" t="str">
        <x:v>V1.0</x:v>
      </x:c>
      <x:c r="F76" s="68" t="str">
        <x:v>链路越长原始传递权重越递减</x:v>
      </x:c>
      <x:c r="G76" s="82" t="str">
        <x:v>结构层</x:v>
      </x:c>
      <x:c r="H76" s="68" t="str">
        <x:v>连续生扶/链长</x:v>
      </x:c>
      <x:c r="I76" s="82"/>
      <x:c r="J76" s="68" t="str">
        <x:v>生扶路径包含三段及以上</x:v>
      </x:c>
      <x:c r="K76" s="68" t="str">
        <x:v>长链</x:v>
      </x:c>
      <x:c r="L76" s="68" t="str">
        <x:v>保留方向性证据但降低末端支持权重</x:v>
      </x:c>
      <x:c r="M76" s="82" t="str">
        <x:v>增强</x:v>
      </x:c>
      <x:c r="N76" s="68" t="str">
        <x:v>低</x:v>
      </x:c>
      <x:c r="O76" s="82" t="str">
        <x:v>弱</x:v>
      </x:c>
      <x:c r="P76" s="68" t="str">
        <x:v>所有中间节点真实存在</x:v>
      </x:c>
      <x:c r="Q76" s="68" t="str">
        <x:v>链条连续</x:v>
      </x:c>
      <x:c r="R76" s="68" t="str">
        <x:v>节点均强且有根透</x:v>
      </x:c>
      <x:c r="S76" s="68" t="str">
        <x:v>任一节点弱、无根或共享容量</x:v>
      </x:c>
      <x:c r="T76" s="90" t="str">
        <x:v>不得把长链末端与直接生扶同权</x:v>
      </x:c>
      <x:c r="U76" s="68" t="str">
        <x:v>具体卡点与回流转M12</x:v>
      </x:c>
      <x:c r="V76" s="82" t="str">
        <x:v>否</x:v>
      </x:c>
      <x:c r="W76" s="84" t="str">
        <x:v>长链衰减</x:v>
      </x:c>
      <x:c r="X76" s="84" t="str">
        <x:v>原局存在较长生扶链，末端仍可获方向性支持，但权重随链长递减并受最弱节点限制。</x:v>
      </x:c>
      <x:c r="Y76" s="82" t="str">
        <x:v>中等</x:v>
      </x:c>
      <x:c r="Z76" s="82" t="str">
        <x:v>现代综合</x:v>
      </x:c>
      <x:c r="AA76" s="68" t="str">
        <x:v>传递链存在衰减与容量约束。</x:v>
      </x:c>
      <x:c r="AB76" s="68" t="str">
        <x:v>土金水木四段连续且各有力，木可获辅助支持但不等同水直接旺生。</x:v>
      </x:c>
      <x:c r="AC76" s="90" t="str">
        <x:v>三四段长链的末端按直接强生源计算。</x:v>
      </x:c>
      <x:c r="AD76" s="68" t="str">
        <x:v>经典原则经结构化整理；参见：https://zh.wikisource.org/zh-hans/滴天髓</x:v>
      </x:c>
      <x:c r="AE76" s="82" t="str">
        <x:v>采用</x:v>
      </x:c>
      <x:c r="AF76" s="82" t="str">
        <x:v>初审</x:v>
      </x:c>
      <x:c r="AG76" s="87" t="n">
        <x:v>46255</x:v>
      </x:c>
    </x:row>
    <x:row r="77">
      <x:c r="A77" s="72" t="str">
        <x:f>IF(OR(C77="",D77=""),"",B77&amp;"-"&amp;UPPER(C77)&amp;"-"&amp;TEXT(D77,"0000")&amp;"-"&amp;E77)</x:f>
        <x:v>M07-AGG-0071-V1.0</x:v>
      </x:c>
      <x:c r="B77" s="74" t="str">
        <x:v>M07</x:v>
      </x:c>
      <x:c r="C77" s="74" t="str">
        <x:v>AGG</x:v>
      </x:c>
      <x:c r="D77" s="79" t="n">
        <x:v>71</x:v>
      </x:c>
      <x:c r="E77" s="74" t="str">
        <x:v>V1.0</x:v>
      </x:c>
      <x:c r="F77" s="68" t="str">
        <x:v>五行原始旺衰必须按证据矩阵而非单一总分汇总</x:v>
      </x:c>
      <x:c r="G77" s="82" t="str">
        <x:v>结构层</x:v>
      </x:c>
      <x:c r="H77" s="68" t="str">
        <x:v>综合/证据矩阵</x:v>
      </x:c>
      <x:c r="I77" s="82"/>
      <x:c r="J77" s="68" t="str">
        <x:v>季令、根气、透干、生源、同党、成势与链路证据已生成</x:v>
      </x:c>
      <x:c r="K77" s="68" t="str">
        <x:v>多维证据矩阵</x:v>
      </x:c>
      <x:c r="L77" s="68" t="str">
        <x:v>按独立性、强弱与方向汇总，允许保留正反并存</x:v>
      </x:c>
      <x:c r="M77" s="82" t="str">
        <x:v>条件性</x:v>
      </x:c>
      <x:c r="N77" s="68" t="str">
        <x:v>高</x:v>
      </x:c>
      <x:c r="O77" s="82" t="str">
        <x:v>决定性</x:v>
      </x:c>
      <x:c r="P77" s="68" t="str">
        <x:v>M07各子模块完成</x:v>
      </x:c>
      <x:c r="Q77" s="68" t="str">
        <x:v>每项证据可追溯到具体干支节点</x:v>
      </x:c>
      <x:c r="R77" s="68" t="str">
        <x:v>多类独立证据同向</x:v>
      </x:c>
      <x:c r="S77" s="68" t="str">
        <x:v>证据共源、互相依赖或方向冲突</x:v>
      </x:c>
      <x:c r="T77" s="90" t="str">
        <x:v>禁止以固定分数和简单相加代替结构判断</x:v>
      </x:c>
      <x:c r="U77" s="68" t="str">
        <x:v>可保留内部辅助权重，但不得越过规则裁决</x:v>
      </x:c>
      <x:c r="V77" s="82" t="str">
        <x:v>否</x:v>
      </x:c>
      <x:c r="W77" s="84" t="str">
        <x:v>原始旺衰矩阵</x:v>
      </x:c>
      <x:c r="X77" s="84" t="str">
        <x:v>原始旺衰由季令、根、透、源、党、势、链的证据矩阵综合，不采用单一计数或固定总分。</x:v>
      </x:c>
      <x:c r="Y77" s="82" t="str">
        <x:v>确定</x:v>
      </x:c>
      <x:c r="Z77" s="82" t="str">
        <x:v>现代综合</x:v>
      </x:c>
      <x:c r="AA77" s="68" t="str">
        <x:v>结构化证据比机械分值更能处理相关性与例外。</x:v>
      </x:c>
      <x:c r="AB77" s="68" t="str">
        <x:v>木得令、多根、多透但无水源，支持与缺源同时记录后判旺。</x:v>
      </x:c>
      <x:c r="AC77" s="90" t="str">
        <x:v>把所有证据换成固定百分比后直接相加。</x:v>
      </x:c>
      <x:c r="AD77" s="68" t="str">
        <x:v>经典原则经结构化整理；参见：https://zh.wikisource.org/zh-hans/滴天髓</x:v>
      </x:c>
      <x:c r="AE77" s="82" t="str">
        <x:v>采用</x:v>
      </x:c>
      <x:c r="AF77" s="82" t="str">
        <x:v>初审</x:v>
      </x:c>
      <x:c r="AG77" s="87" t="n">
        <x:v>46255</x:v>
      </x:c>
    </x:row>
    <x:row r="78">
      <x:c r="A78" s="72" t="str">
        <x:f>IF(OR(C78="",D78=""),"",B78&amp;"-"&amp;UPPER(C78)&amp;"-"&amp;TEXT(D78,"0000")&amp;"-"&amp;E78)</x:f>
        <x:v>M07-AGG-0072-V1.0</x:v>
      </x:c>
      <x:c r="B78" s="74" t="str">
        <x:v>M07</x:v>
      </x:c>
      <x:c r="C78" s="74" t="str">
        <x:v>AGG</x:v>
      </x:c>
      <x:c r="D78" s="79" t="n">
        <x:v>72</x:v>
      </x:c>
      <x:c r="E78" s="74" t="str">
        <x:v>V1.0</x:v>
      </x:c>
      <x:c r="F78" s="68" t="str">
        <x:v>原始旺衰统一输出七级候选</x:v>
      </x:c>
      <x:c r="G78" s="82" t="str">
        <x:v>结构层</x:v>
      </x:c>
      <x:c r="H78" s="68" t="str">
        <x:v>综合/七级制</x:v>
      </x:c>
      <x:c r="I78" s="82"/>
      <x:c r="J78" s="68" t="str">
        <x:v>证据矩阵完成并需形成等级结论</x:v>
      </x:c>
      <x:c r="K78" s="68" t="str">
        <x:v>极弱至极旺七级</x:v>
      </x:c>
      <x:c r="L78" s="68" t="str">
        <x:v>在极弱、弱、中和偏弱、中和、中和偏旺、旺、极旺中择一候选</x:v>
      </x:c>
      <x:c r="M78" s="82" t="str">
        <x:v>条件性</x:v>
      </x:c>
      <x:c r="N78" s="68" t="str">
        <x:v>高</x:v>
      </x:c>
      <x:c r="O78" s="82" t="str">
        <x:v>强</x:v>
      </x:c>
      <x:c r="P78" s="68" t="str">
        <x:v>正向、负向与反证均已列出</x:v>
      </x:c>
      <x:c r="Q78" s="68" t="str">
        <x:v>等级选择有明确依据</x:v>
      </x:c>
      <x:c r="R78" s="68" t="str">
        <x:v>证据高度一致、边界清晰</x:v>
      </x:c>
      <x:c r="S78" s="68" t="str">
        <x:v>关键证据缺失或存在流派争议</x:v>
      </x:c>
      <x:c r="T78" s="90" t="str">
        <x:v>不得只输出“旺/弱”而不说明偏度与置信度</x:v>
      </x:c>
      <x:c r="U78" s="68" t="str">
        <x:v>特殊格局不改变原始力量事实，但格局判断另行</x:v>
      </x:c>
      <x:c r="V78" s="82" t="str">
        <x:v>条件性</x:v>
      </x:c>
      <x:c r="W78" s="84" t="str">
        <x:v>七级原始旺衰</x:v>
      </x:c>
      <x:c r="X78" s="84" t="str">
        <x:v>目标五行原始旺衰暂定为【七级之一】，并附主要支持、主要反证与置信度。</x:v>
      </x:c>
      <x:c r="Y78" s="82" t="str">
        <x:v>较高</x:v>
      </x:c>
      <x:c r="Z78" s="82" t="str">
        <x:v>现代综合</x:v>
      </x:c>
      <x:c r="AA78" s="68" t="str">
        <x:v>七级制提高边界表达精度。</x:v>
      </x:c>
      <x:c r="AB78" s="68" t="str">
        <x:v>正负证据接近但略偏支持，可定中和偏旺而非简单旺。</x:v>
      </x:c>
      <x:c r="AC78" s="90" t="str">
        <x:v>证据混合仍强行二分为旺或弱。</x:v>
      </x:c>
      <x:c r="AD78" s="68" t="str">
        <x:v>经典原则经结构化整理；参见：https://zh.wikisource.org/zh-hans/滴天髓</x:v>
      </x:c>
      <x:c r="AE78" s="82" t="str">
        <x:v>采用</x:v>
      </x:c>
      <x:c r="AF78" s="82" t="str">
        <x:v>初审</x:v>
      </x:c>
      <x:c r="AG78" s="87" t="n">
        <x:v>46255</x:v>
      </x:c>
    </x:row>
    <x:row r="79">
      <x:c r="A79" s="72" t="str">
        <x:f>IF(OR(C79="",D79=""),"",B79&amp;"-"&amp;UPPER(C79)&amp;"-"&amp;TEXT(D79,"0000")&amp;"-"&amp;E79)</x:f>
        <x:v>M07-AGG-0073-V1.0</x:v>
      </x:c>
      <x:c r="B79" s="74" t="str">
        <x:v>M07</x:v>
      </x:c>
      <x:c r="C79" s="74" t="str">
        <x:v>AGG</x:v>
      </x:c>
      <x:c r="D79" s="79" t="n">
        <x:v>73</x:v>
      </x:c>
      <x:c r="E79" s="74" t="str">
        <x:v>V1.0</x:v>
      </x:c>
      <x:c r="F79" s="68" t="str">
        <x:v>极弱候选须同时满足多项核心缺失或强负证据</x:v>
      </x:c>
      <x:c r="G79" s="82" t="str">
        <x:v>结构层</x:v>
      </x:c>
      <x:c r="H79" s="68" t="str">
        <x:v>综合/极弱门槛</x:v>
      </x:c>
      <x:c r="I79" s="82"/>
      <x:c r="J79" s="68" t="str">
        <x:v>拟将目标五行判为极弱</x:v>
      </x:c>
      <x:c r="K79" s="68" t="str">
        <x:v>极弱候选</x:v>
      </x:c>
      <x:c r="L79" s="68" t="str">
        <x:v>要求季令强不利、无根或仅微根、无透或浮透、无强源党等多项共现</x:v>
      </x:c>
      <x:c r="M79" s="82" t="str">
        <x:v>减弱</x:v>
      </x:c>
      <x:c r="N79" s="68" t="str">
        <x:v>高</x:v>
      </x:c>
      <x:c r="O79" s="82" t="str">
        <x:v>决定性</x:v>
      </x:c>
      <x:c r="P79" s="68" t="str">
        <x:v>七级评估进入极弱边界</x:v>
      </x:c>
      <x:c r="Q79" s="68" t="str">
        <x:v>至少三类核心证据共同指向弱，且无强反证</x:v>
      </x:c>
      <x:c r="R79" s="68" t="str">
        <x:v>死囚令、完全无根、完全不现或仅孤弱点</x:v>
      </x:c>
      <x:c r="S79" s="68" t="str">
        <x:v>任何得令、多本气根、强源成党反证</x:v>
      </x:c>
      <x:c r="T79" s="90" t="str">
        <x:v>禁止由一项“失令”或“无根”单独判极弱</x:v>
      </x:c>
      <x:c r="U79" s="68" t="str">
        <x:v>从格是否成立仍转M14</x:v>
      </x:c>
      <x:c r="V79" s="82" t="str">
        <x:v>条件性</x:v>
      </x:c>
      <x:c r="W79" s="84" t="str">
        <x:v>极弱门槛</x:v>
      </x:c>
      <x:c r="X79" s="84" t="str">
        <x:v>目标五行只有在季令、根、透、源、党多项共同缺失或受限时，才进入极弱候选。</x:v>
      </x:c>
      <x:c r="Y79" s="82" t="str">
        <x:v>较高</x:v>
      </x:c>
      <x:c r="Z79" s="82" t="str">
        <x:v>现代综合</x:v>
      </x:c>
      <x:c r="AA79" s="68" t="str">
        <x:v>极端等级需要多证据收敛。</x:v>
      </x:c>
      <x:c r="AB79" s="68" t="str">
        <x:v>秋木死令、无寅卯亥根、甲乙不透、无水源，可判极弱候选。</x:v>
      </x:c>
      <x:c r="AC79" s="90" t="str">
        <x:v>木失令一项便判极弱。</x:v>
      </x:c>
      <x:c r="AD79" s="68" t="str">
        <x:v>经典原则经结构化整理；参见：https://zh.wikisource.org/zh-hans/滴天髓</x:v>
      </x:c>
      <x:c r="AE79" s="82" t="str">
        <x:v>采用</x:v>
      </x:c>
      <x:c r="AF79" s="82" t="str">
        <x:v>初审</x:v>
      </x:c>
      <x:c r="AG79" s="87" t="n">
        <x:v>46255</x:v>
      </x:c>
    </x:row>
    <x:row r="80">
      <x:c r="A80" s="72" t="str">
        <x:f>IF(OR(C80="",D80=""),"",B80&amp;"-"&amp;UPPER(C80)&amp;"-"&amp;TEXT(D80,"0000")&amp;"-"&amp;E80)</x:f>
        <x:v>M07-AGG-0074-V1.0</x:v>
      </x:c>
      <x:c r="B80" s="74" t="str">
        <x:v>M07</x:v>
      </x:c>
      <x:c r="C80" s="74" t="str">
        <x:v>AGG</x:v>
      </x:c>
      <x:c r="D80" s="79" t="n">
        <x:v>74</x:v>
      </x:c>
      <x:c r="E80" s="74" t="str">
        <x:v>V1.0</x:v>
      </x:c>
      <x:c r="F80" s="68" t="str">
        <x:v>极旺候选须具多维汇合且缺少有效反证</x:v>
      </x:c>
      <x:c r="G80" s="82" t="str">
        <x:v>结构层</x:v>
      </x:c>
      <x:c r="H80" s="68" t="str">
        <x:v>综合/极旺门槛</x:v>
      </x:c>
      <x:c r="I80" s="82"/>
      <x:c r="J80" s="68" t="str">
        <x:v>拟将目标五行判为极旺</x:v>
      </x:c>
      <x:c r="K80" s="68" t="str">
        <x:v>极旺候选</x:v>
      </x:c>
      <x:c r="L80" s="68" t="str">
        <x:v>要求得令或强相、多重本气根、多透同党、强生源或明显成势共同成立</x:v>
      </x:c>
      <x:c r="M80" s="82" t="str">
        <x:v>增强</x:v>
      </x:c>
      <x:c r="N80" s="68" t="str">
        <x:v>高</x:v>
      </x:c>
      <x:c r="O80" s="82" t="str">
        <x:v>决定性</x:v>
      </x:c>
      <x:c r="P80" s="68" t="str">
        <x:v>七级评估进入极旺边界</x:v>
      </x:c>
      <x:c r="Q80" s="68" t="str">
        <x:v>至少四类独立强证据汇合且反证不足</x:v>
      </x:c>
      <x:c r="R80" s="68" t="str">
        <x:v>全局气势高度集中、异类少且无法形成有效制泄候选</x:v>
      </x:c>
      <x:c r="S80" s="68" t="str">
        <x:v>失令、无根、无源、强异类集中等任一核心反证</x:v>
      </x:c>
      <x:c r="T80" s="90" t="str">
        <x:v>禁止由数量多或一处得令单独判极旺</x:v>
      </x:c>
      <x:c r="U80" s="68" t="str">
        <x:v>专旺或从旺格局另由M14严格验证</x:v>
      </x:c>
      <x:c r="V80" s="82" t="str">
        <x:v>条件性</x:v>
      </x:c>
      <x:c r="W80" s="84" t="str">
        <x:v>极旺门槛</x:v>
      </x:c>
      <x:c r="X80" s="84" t="str">
        <x:v>目标五行需令、根、透、源、党、势多维高度汇合且缺乏强反证，才可判极旺候选。</x:v>
      </x:c>
      <x:c r="Y80" s="82" t="str">
        <x:v>较高</x:v>
      </x:c>
      <x:c r="Z80" s="82" t="str">
        <x:v>现代综合</x:v>
      </x:c>
      <x:c r="AA80" s="68" t="str">
        <x:v>极旺比旺需要更严格的独立证据门槛。</x:v>
      </x:c>
      <x:c r="AB80" s="68" t="str">
        <x:v>春木得令，寅卯亥多根、甲乙多透、水源有力、全局木势集中，可判极旺候选。</x:v>
      </x:c>
      <x:c r="AC80" s="90" t="str">
        <x:v>四个木字一数便判极旺。</x:v>
      </x:c>
      <x:c r="AD80" s="68" t="str">
        <x:v>经典原则经结构化整理；参见：https://zh.wikisource.org/zh-hans/滴天髓</x:v>
      </x:c>
      <x:c r="AE80" s="82" t="str">
        <x:v>采用</x:v>
      </x:c>
      <x:c r="AF80" s="82" t="str">
        <x:v>初审</x:v>
      </x:c>
      <x:c r="AG80" s="87" t="n">
        <x:v>46255</x:v>
      </x:c>
    </x:row>
    <x:row r="81">
      <x:c r="A81" s="72" t="str">
        <x:f>IF(OR(C81="",D81=""),"",B81&amp;"-"&amp;UPPER(C81)&amp;"-"&amp;TEXT(D81,"0000")&amp;"-"&amp;E81)</x:f>
        <x:v>M07-AGG-0075-V1.0</x:v>
      </x:c>
      <x:c r="B81" s="74" t="str">
        <x:v>M07</x:v>
      </x:c>
      <x:c r="C81" s="74" t="str">
        <x:v>AGG</x:v>
      </x:c>
      <x:c r="D81" s="79" t="n">
        <x:v>75</x:v>
      </x:c>
      <x:c r="E81" s="74" t="str">
        <x:v>V1.0</x:v>
      </x:c>
      <x:c r="F81" s="68" t="str">
        <x:v>正负证据接近时使用中和三区间并说明偏向</x:v>
      </x:c>
      <x:c r="G81" s="82" t="str">
        <x:v>结构层</x:v>
      </x:c>
      <x:c r="H81" s="68" t="str">
        <x:v>综合/中和区间</x:v>
      </x:c>
      <x:c r="I81" s="82"/>
      <x:c r="J81" s="68" t="str">
        <x:v>支持与削弱证据均明显且无一方压倒</x:v>
      </x:c>
      <x:c r="K81" s="68" t="str">
        <x:v>中和偏弱/中和/中和偏旺</x:v>
      </x:c>
      <x:c r="L81" s="68" t="str">
        <x:v>根据独立证据优势方向选择中和三区间</x:v>
      </x:c>
      <x:c r="M81" s="82" t="str">
        <x:v>条件性</x:v>
      </x:c>
      <x:c r="N81" s="68" t="str">
        <x:v>中高</x:v>
      </x:c>
      <x:c r="O81" s="82" t="str">
        <x:v>中</x:v>
      </x:c>
      <x:c r="P81" s="68" t="str">
        <x:v>证据矩阵已去重</x:v>
      </x:c>
      <x:c r="Q81" s="68" t="str">
        <x:v>正负证据均有实质基础</x:v>
      </x:c>
      <x:c r="R81" s="68" t="str">
        <x:v>一方在季令或根气上略占优势</x:v>
      </x:c>
      <x:c r="S81" s="68" t="str">
        <x:v>证据缺失或高度争议</x:v>
      </x:c>
      <x:c r="T81" s="90" t="str">
        <x:v>不得为追求确定性强行判旺或弱</x:v>
      </x:c>
      <x:c r="U81" s="68" t="str">
        <x:v>置信度低时保留双候选并列</x:v>
      </x:c>
      <x:c r="V81" s="82" t="str">
        <x:v>条件性</x:v>
      </x:c>
      <x:c r="W81" s="84" t="str">
        <x:v>中和区间</x:v>
      </x:c>
      <x:c r="X81" s="84" t="str">
        <x:v>目标五行正负证据相近，按略占优势的一方定为中和偏弱、中和或中和偏旺，并明确反证。</x:v>
      </x:c>
      <x:c r="Y81" s="82" t="str">
        <x:v>较高</x:v>
      </x:c>
      <x:c r="Z81" s="82" t="str">
        <x:v>现代综合</x:v>
      </x:c>
      <x:c r="AA81" s="68" t="str">
        <x:v>中间区间能减少边界案例的过度二分。</x:v>
      </x:c>
      <x:c r="AB81" s="68" t="str">
        <x:v>木失令但多根有水生，金火亦有制泄，可能定中和偏旺而非旺。</x:v>
      </x:c>
      <x:c r="AC81" s="90" t="str">
        <x:v>证据均衡仍武断判极旺。</x:v>
      </x:c>
      <x:c r="AD81" s="68" t="str">
        <x:v>经典原则经结构化整理；参见：https://zh.wikisource.org/zh-hans/滴天髓</x:v>
      </x:c>
      <x:c r="AE81" s="82" t="str">
        <x:v>采用</x:v>
      </x:c>
      <x:c r="AF81" s="82" t="str">
        <x:v>初审</x:v>
      </x:c>
      <x:c r="AG81" s="87" t="n">
        <x:v>46255</x:v>
      </x:c>
    </x:row>
    <x:row r="82">
      <x:c r="A82" s="72" t="str">
        <x:f>IF(OR(C82="",D82=""),"",B82&amp;"-"&amp;UPPER(C82)&amp;"-"&amp;TEXT(D82,"0000")&amp;"-"&amp;E82)</x:f>
        <x:v>M07-AGG-0076-V1.0</x:v>
      </x:c>
      <x:c r="B82" s="74" t="str">
        <x:v>M07</x:v>
      </x:c>
      <x:c r="C82" s="74" t="str">
        <x:v>AGG</x:v>
      </x:c>
      <x:c r="D82" s="79" t="n">
        <x:v>76</x:v>
      </x:c>
      <x:c r="E82" s="74" t="str">
        <x:v>V1.0</x:v>
      </x:c>
      <x:c r="F82" s="68" t="str">
        <x:v>原始旺衰输出必须包含主证、反证、等级与置信度</x:v>
      </x:c>
      <x:c r="G82" s="82" t="str">
        <x:v>结构层</x:v>
      </x:c>
      <x:c r="H82" s="68" t="str">
        <x:v>综合/输出规范</x:v>
      </x:c>
      <x:c r="I82" s="82"/>
      <x:c r="J82" s="68" t="str">
        <x:v>完成任一五行原始旺衰判断</x:v>
      </x:c>
      <x:c r="K82" s="68" t="str">
        <x:v>结构化输出</x:v>
      </x:c>
      <x:c r="L82" s="68" t="str">
        <x:v>输出原始等级、季令、根、透、源、党、势、主要反证及置信度</x:v>
      </x:c>
      <x:c r="M82" s="82" t="str">
        <x:v>不变</x:v>
      </x:c>
      <x:c r="N82" s="68" t="str">
        <x:v>高</x:v>
      </x:c>
      <x:c r="O82" s="82" t="str">
        <x:v>强</x:v>
      </x:c>
      <x:c r="P82" s="68" t="str">
        <x:v>M07评估完成</x:v>
      </x:c>
      <x:c r="Q82" s="68" t="str">
        <x:v>至少一项主证与一项反证或无反证说明</x:v>
      </x:c>
      <x:c r="R82" s="68" t="str">
        <x:v>证据来源Rule_ID与干支节点完整</x:v>
      </x:c>
      <x:c r="S82" s="68" t="str">
        <x:v>输入缺失、月令边界或流派争议</x:v>
      </x:c>
      <x:c r="T82" s="90" t="str">
        <x:v>禁止只输出一个等级标签</x:v>
      </x:c>
      <x:c r="U82" s="68" t="str">
        <x:v>五行完全不现时仍需说明无根无透无源等依据</x:v>
      </x:c>
      <x:c r="V82" s="82" t="str">
        <x:v>否</x:v>
      </x:c>
      <x:c r="W82" s="84" t="str">
        <x:v>原始旺衰输出</x:v>
      </x:c>
      <x:c r="X82" s="84" t="str">
        <x:v>原始旺衰：【等级】；主证：【令/根/透/源/党/势】；反证：【内容】；置信度：【等级】。</x:v>
      </x:c>
      <x:c r="Y82" s="82" t="str">
        <x:v>确定</x:v>
      </x:c>
      <x:c r="Z82" s="82" t="str">
        <x:v>现代综合</x:v>
      </x:c>
      <x:c r="AA82" s="68" t="str">
        <x:v>可追溯输出是后续M08修正的接口。</x:v>
      </x:c>
      <x:c r="AB82" s="68" t="str">
        <x:v>输出“水原始旺：得令、多根、双透；反证为火土泄耗候选；置信度较高”。</x:v>
      </x:c>
      <x:c r="AC82" s="90" t="str">
        <x:v>只写“水旺”，不说明任何证据。</x:v>
      </x:c>
      <x:c r="AD82" s="68" t="str">
        <x:v>经典原则经结构化整理；参见：https://zh.wikisource.org/zh-hans/滴天髓</x:v>
      </x:c>
      <x:c r="AE82" s="82" t="str">
        <x:v>采用</x:v>
      </x:c>
      <x:c r="AF82" s="82" t="str">
        <x:v>初审</x:v>
      </x:c>
      <x:c r="AG82" s="87" t="n">
        <x:v>46255</x:v>
      </x:c>
    </x:row>
    <x:row r="83">
      <x:c r="A83" s="72" t="str">
        <x:f>IF(OR(C83="",D83=""),"",B83&amp;"-"&amp;UPPER(C83)&amp;"-"&amp;TEXT(D83,"0000")&amp;"-"&amp;E83)</x:f>
        <x:v>M07-BOUND-0077-V1.0</x:v>
      </x:c>
      <x:c r="B83" s="74" t="str">
        <x:v>M07</x:v>
      </x:c>
      <x:c r="C83" s="74" t="str">
        <x:v>BOUND</x:v>
      </x:c>
      <x:c r="D83" s="79" t="n">
        <x:v>77</x:v>
      </x:c>
      <x:c r="E83" s="74" t="str">
        <x:v>V1.0</x:v>
      </x:c>
      <x:c r="F83" s="68" t="str">
        <x:v>M07不得提前应用合冲刑害造成的增减与改性</x:v>
      </x:c>
      <x:c r="G83" s="82" t="str">
        <x:v>结构层</x:v>
      </x:c>
      <x:c r="H83" s="68" t="str">
        <x:v>边界/原始有效分层</x:v>
      </x:c>
      <x:c r="I83" s="82"/>
      <x:c r="J83" s="68" t="str">
        <x:v>目标节点参与M04—M06关系</x:v>
      </x:c>
      <x:c r="K83" s="68" t="str">
        <x:v>关系效应尚未进入有效力量层</x:v>
      </x:c>
      <x:c r="L83" s="68" t="str">
        <x:v>M07按原始干支与藏干事实计力，关系修正全部转M08</x:v>
      </x:c>
      <x:c r="M83" s="82" t="str">
        <x:v>不变</x:v>
      </x:c>
      <x:c r="N83" s="68" t="str">
        <x:v>高</x:v>
      </x:c>
      <x:c r="O83" s="82" t="str">
        <x:v>决定性</x:v>
      </x:c>
      <x:c r="P83" s="68" t="str">
        <x:v>M02/M03事实层完成</x:v>
      </x:c>
      <x:c r="Q83" s="68" t="str">
        <x:v>原始输入未变</x:v>
      </x:c>
      <x:c r="R83" s="68" t="str">
        <x:v>无</x:v>
      </x:c>
      <x:c r="S83" s="68" t="str">
        <x:v>无</x:v>
      </x:c>
      <x:c r="T83" s="90" t="str">
        <x:v>禁止在M07因合冲刑害直接加减、归零或改五行</x:v>
      </x:c>
      <x:c r="U83" s="68" t="str">
        <x:v>M06已确认的效应只作为M08输入，不回写原始层</x:v>
      </x:c>
      <x:c r="V83" s="82" t="str">
        <x:v>否</x:v>
      </x:c>
      <x:c r="W83" s="84" t="str">
        <x:v>原始层边界</x:v>
      </x:c>
      <x:c r="X83" s="84" t="str">
        <x:v>本模块仅评估关系修正前的原始力量；合冲刑害的增减、冻结、激活与改性由M08处理。</x:v>
      </x:c>
      <x:c r="Y83" s="82" t="str">
        <x:v>确定</x:v>
      </x:c>
      <x:c r="Z83" s="82" t="str">
        <x:v>现代综合</x:v>
      </x:c>
      <x:c r="AA83" s="68" t="str">
        <x:v>原始—有效双系统必须保持单向依赖。</x:v>
      </x:c>
      <x:c r="AB83" s="68" t="str">
        <x:v>申子辰仍按原始三支入M07，成水局效应在M08修正。</x:v>
      </x:c>
      <x:c r="AC83" s="90" t="str">
        <x:v>一见三合就在M07覆盖原支五行。</x:v>
      </x:c>
      <x:c r="AD83" s="68" t="str">
        <x:v>经典原则经结构化整理；参见：https://zh.wikisource.org/zh-hans/滴天髓</x:v>
      </x:c>
      <x:c r="AE83" s="82" t="str">
        <x:v>采用</x:v>
      </x:c>
      <x:c r="AF83" s="82" t="str">
        <x:v>初审</x:v>
      </x:c>
      <x:c r="AG83" s="87" t="n">
        <x:v>46255</x:v>
      </x:c>
    </x:row>
    <x:row r="84">
      <x:c r="A84" s="72" t="str">
        <x:f>IF(OR(C84="",D84=""),"",B84&amp;"-"&amp;UPPER(C84)&amp;"-"&amp;TEXT(D84,"0000")&amp;"-"&amp;E84)</x:f>
        <x:v>M07-BOUND-0078-V1.0</x:v>
      </x:c>
      <x:c r="B84" s="74" t="str">
        <x:v>M07</x:v>
      </x:c>
      <x:c r="C84" s="74" t="str">
        <x:v>BOUND</x:v>
      </x:c>
      <x:c r="D84" s="79" t="n">
        <x:v>78</x:v>
      </x:c>
      <x:c r="E84" s="74" t="str">
        <x:v>V1.0</x:v>
      </x:c>
      <x:c r="F84" s="68" t="str">
        <x:v>参考权重不得转换为固定百分比或机械总分</x:v>
      </x:c>
      <x:c r="G84" s="82" t="str">
        <x:v>结构层</x:v>
      </x:c>
      <x:c r="H84" s="68" t="str">
        <x:v>边界/禁止固定分值</x:v>
      </x:c>
      <x:c r="I84" s="82"/>
      <x:c r="J84" s="68" t="str">
        <x:v>需要比较多类证据强弱</x:v>
      </x:c>
      <x:c r="K84" s="68" t="str">
        <x:v>高、中、低等参考权重</x:v>
      </x:c>
      <x:c r="L84" s="68" t="str">
        <x:v>仅用于排序与解释，不生成固定百分比</x:v>
      </x:c>
      <x:c r="M84" s="82" t="str">
        <x:v>不变</x:v>
      </x:c>
      <x:c r="N84" s="68" t="str">
        <x:v>高</x:v>
      </x:c>
      <x:c r="O84" s="82" t="str">
        <x:v>决定性</x:v>
      </x:c>
      <x:c r="P84" s="68" t="str">
        <x:v>规则权重标签已定义</x:v>
      </x:c>
      <x:c r="Q84" s="68" t="str">
        <x:v>输出保留结构判断</x:v>
      </x:c>
      <x:c r="R84" s="68" t="str">
        <x:v>案例测试可校准相对优先级</x:v>
      </x:c>
      <x:c r="S84" s="68" t="str">
        <x:v>试图跨八字使用统一分数阈值</x:v>
      </x:c>
      <x:c r="T84" s="90" t="str">
        <x:v>禁止“得令40分、根气30分”等固定公式直接定旺衰</x:v>
      </x:c>
      <x:c r="U84" s="68" t="str">
        <x:v>内部实验分值必须与正式结论分离并转M20验证</x:v>
      </x:c>
      <x:c r="V84" s="82" t="str">
        <x:v>否</x:v>
      </x:c>
      <x:c r="W84" s="84" t="str">
        <x:v>非机械计分</x:v>
      </x:c>
      <x:c r="X84" s="84" t="str">
        <x:v>本库权重只表示证据优先级，不换算固定百分比；最终等级由条件、反证与边界规则裁定。</x:v>
      </x:c>
      <x:c r="Y84" s="82" t="str">
        <x:v>确定</x:v>
      </x:c>
      <x:c r="Z84" s="82" t="str">
        <x:v>现代综合</x:v>
      </x:c>
      <x:c r="AA84" s="68" t="str">
        <x:v>固定分值难以处理共源、例外与非线性。</x:v>
      </x:c>
      <x:c r="AB84" s="68" t="str">
        <x:v>用高/中/低描述证据，再由规则门槛判等级。</x:v>
      </x:c>
      <x:c r="AC84" s="90" t="str">
        <x:v>所有八字统一按相同百分比相加。</x:v>
      </x:c>
      <x:c r="AD84" s="68" t="str">
        <x:v>经典原则经结构化整理；参见：https://zh.wikisource.org/zh-hans/滴天髓</x:v>
      </x:c>
      <x:c r="AE84" s="82" t="str">
        <x:v>采用</x:v>
      </x:c>
      <x:c r="AF84" s="82" t="str">
        <x:v>初审</x:v>
      </x:c>
      <x:c r="AG84" s="87" t="n">
        <x:v>46255</x:v>
      </x:c>
    </x:row>
    <x:row r="85">
      <x:c r="A85" s="72" t="str">
        <x:f>IF(OR(C85="",D85=""),"",B85&amp;"-"&amp;UPPER(C85)&amp;"-"&amp;TEXT(D85,"0000")&amp;"-"&amp;E85)</x:f>
        <x:v>M07-BOUND-0079-V1.0</x:v>
      </x:c>
      <x:c r="B85" s="74" t="str">
        <x:v>M07</x:v>
      </x:c>
      <x:c r="C85" s="74" t="str">
        <x:v>BOUND</x:v>
      </x:c>
      <x:c r="D85" s="79" t="n">
        <x:v>79</x:v>
      </x:c>
      <x:c r="E85" s="74" t="str">
        <x:v>V1.0</x:v>
      </x:c>
      <x:c r="F85" s="68" t="str">
        <x:v>原始旺衰不能直接推出喜神忌神或吉凶</x:v>
      </x:c>
      <x:c r="G85" s="82" t="str">
        <x:v>结构层</x:v>
      </x:c>
      <x:c r="H85" s="68" t="str">
        <x:v>边界/强弱喜忌分离</x:v>
      </x:c>
      <x:c r="I85" s="82"/>
      <x:c r="J85" s="68" t="str">
        <x:v>已得到某五行原始旺或弱结论</x:v>
      </x:c>
      <x:c r="K85" s="68" t="str">
        <x:v>强弱事实</x:v>
      </x:c>
      <x:c r="L85" s="68" t="str">
        <x:v>只向M08/M09/M10输出力量证据，不在M07评价喜忌</x:v>
      </x:c>
      <x:c r="M85" s="82" t="str">
        <x:v>不变</x:v>
      </x:c>
      <x:c r="N85" s="68" t="str">
        <x:v>高</x:v>
      </x:c>
      <x:c r="O85" s="82" t="str">
        <x:v>决定性</x:v>
      </x:c>
      <x:c r="P85" s="68" t="str">
        <x:v>M07等级已生成</x:v>
      </x:c>
      <x:c r="Q85" s="68" t="str">
        <x:v>明确当前结论仅为原始力量</x:v>
      </x:c>
      <x:c r="R85" s="68" t="str">
        <x:v>无</x:v>
      </x:c>
      <x:c r="S85" s="68" t="str">
        <x:v>无</x:v>
      </x:c>
      <x:c r="T85" s="90" t="str">
        <x:v>禁止“旺即忌、弱即喜”或“缺即补”</x:v>
      </x:c>
      <x:c r="U85" s="68" t="str">
        <x:v>喜忌由格局、调候、通关、病药与承载综合裁决</x:v>
      </x:c>
      <x:c r="V85" s="82" t="str">
        <x:v>否</x:v>
      </x:c>
      <x:c r="W85" s="84" t="str">
        <x:v>强弱喜忌分离</x:v>
      </x:c>
      <x:c r="X85" s="84" t="str">
        <x:v>目标五行原始强弱只描述力量，不直接决定吉凶与喜忌；用神判断须进入M17/M18。</x:v>
      </x:c>
      <x:c r="Y85" s="82" t="str">
        <x:v>确定</x:v>
      </x:c>
      <x:c r="Z85" s="82" t="str">
        <x:v>跨流派共识</x:v>
      </x:c>
      <x:c r="AA85" s="68" t="str">
        <x:v>同一强五行可能有用或有害，取决于结构功能。</x:v>
      </x:c>
      <x:c r="AB85" s="68" t="str">
        <x:v>官杀旺但有印化、食制时，旺不必然为忌。</x:v>
      </x:c>
      <x:c r="AC85" s="90" t="str">
        <x:v>见某五行弱就直接列为喜神。</x:v>
      </x:c>
      <x:c r="AD85" s="68" t="str">
        <x:v>经典原则经结构化整理；参见：https://zh.wikisource.org/zh-hans/滴天髓</x:v>
      </x:c>
      <x:c r="AE85" s="82" t="str">
        <x:v>采用</x:v>
      </x:c>
      <x:c r="AF85" s="82" t="str">
        <x:v>初审</x:v>
      </x:c>
      <x:c r="AG85" s="87" t="n">
        <x:v>46255</x:v>
      </x:c>
    </x:row>
    <x:row r="86">
      <x:c r="A86" s="72" t="str">
        <x:f>IF(OR(C86="",D86=""),"",B86&amp;"-"&amp;UPPER(C86)&amp;"-"&amp;TEXT(D86,"0000")&amp;"-"&amp;E86)</x:f>
        <x:v>M07-BOUND-0080-V1.0</x:v>
      </x:c>
      <x:c r="B86" s="74" t="str">
        <x:v>M07</x:v>
      </x:c>
      <x:c r="C86" s="74" t="str">
        <x:v>BOUND</x:v>
      </x:c>
      <x:c r="D86" s="79" t="n">
        <x:v>80</x:v>
      </x:c>
      <x:c r="E86" s="74" t="str">
        <x:v>V1.0</x:v>
      </x:c>
      <x:c r="F86" s="68" t="str">
        <x:v>共享节点与共源证据不得重复全额调用</x:v>
      </x:c>
      <x:c r="G86" s="82" t="str">
        <x:v>结构层</x:v>
      </x:c>
      <x:c r="H86" s="68" t="str">
        <x:v>边界/证据容量</x:v>
      </x:c>
      <x:c r="I86" s="82"/>
      <x:c r="J86" s="68" t="str">
        <x:v>同一干支节点同时承担季令、根、透、同党、生源等多个标签</x:v>
      </x:c>
      <x:c r="K86" s="68" t="str">
        <x:v>共享证据</x:v>
      </x:c>
      <x:c r="L86" s="68" t="str">
        <x:v>保留多维标签但按共享容量与相关性降低汇总权重</x:v>
      </x:c>
      <x:c r="M86" s="82" t="str">
        <x:v>不变</x:v>
      </x:c>
      <x:c r="N86" s="68" t="str">
        <x:v>高</x:v>
      </x:c>
      <x:c r="O86" s="82" t="str">
        <x:v>决定性</x:v>
      </x:c>
      <x:c r="P86" s="68" t="str">
        <x:v>每条证据已标注来源节点</x:v>
      </x:c>
      <x:c r="Q86" s="68" t="str">
        <x:v>能够识别证据共源</x:v>
      </x:c>
      <x:c r="R86" s="68" t="str">
        <x:v>另有独立节点提供同类证据</x:v>
      </x:c>
      <x:c r="S86" s="68" t="str">
        <x:v>所有支持集中于同一节点</x:v>
      </x:c>
      <x:c r="T86" s="90" t="str">
        <x:v>禁止同一节点在多个维度中被重复全额计力</x:v>
      </x:c>
      <x:c r="U86" s="68" t="str">
        <x:v>后续M08多重关系同样遵守共享容量原则</x:v>
      </x:c>
      <x:c r="V86" s="82" t="str">
        <x:v>否</x:v>
      </x:c>
      <x:c r="W86" s="84" t="str">
        <x:v>证据容量约束</x:v>
      </x:c>
      <x:c r="X86" s="84" t="str">
        <x:v>同一干支可承担多个解释标签，但有效证据容量不能被重复全额调用；独立节点才形成新增支持。</x:v>
      </x:c>
      <x:c r="Y86" s="82" t="str">
        <x:v>确定</x:v>
      </x:c>
      <x:c r="Z86" s="82" t="str">
        <x:v>现代综合</x:v>
      </x:c>
      <x:c r="AA86" s="68" t="str">
        <x:v>去重是原始旺衰稳定性的最终保障。</x:v>
      </x:c>
      <x:c r="AB86" s="68" t="str">
        <x:v>寅月甲木同时具有得令、月支根与同党含义，汇总时标记共源。</x:v>
      </x:c>
      <x:c r="AC86" s="90" t="str">
        <x:v>同一寅木被按得令、强根、同党、成势四次满额计算。</x:v>
      </x:c>
      <x:c r="AD86" s="68" t="str">
        <x:v>经典原则经结构化整理；参见：https://zh.wikisource.org/zh-hans/滴天髓</x:v>
      </x:c>
      <x:c r="AE86" s="82" t="str">
        <x:v>采用</x:v>
      </x:c>
      <x:c r="AF86" s="82" t="str">
        <x:v>初审</x:v>
      </x:c>
      <x:c r="AG86" s="87" t="n">
        <x:v>46255</x:v>
      </x:c>
    </x:row>
    <x:row r="87">
      <x:c r="A87" s="72" t="str">
        <x:f>IF(OR(C87="",D87=""),"",B87&amp;"-"&amp;UPPER(C87)&amp;"-"&amp;TEXT(D87,"0000")&amp;"-"&amp;E87)</x:f>
      </x:c>
      <x:c r="B87" s="74" t="str">
        <x:v>M07</x:v>
      </x:c>
      <x:c r="C87" s="74"/>
      <x:c r="D87" s="79"/>
      <x:c r="E87" s="74" t="str">
        <x:v>V1.0</x:v>
      </x:c>
      <x:c r="F87" s="68"/>
      <x:c r="G87" s="82"/>
      <x:c r="H87" s="68"/>
      <x:c r="I87" s="82"/>
      <x:c r="J87" s="68"/>
      <x:c r="K87" s="68"/>
      <x:c r="L87" s="68"/>
      <x:c r="M87" s="82"/>
      <x:c r="N87" s="68"/>
      <x:c r="O87" s="82"/>
      <x:c r="P87" s="68"/>
      <x:c r="Q87" s="68"/>
      <x:c r="R87" s="68"/>
      <x:c r="S87" s="68"/>
      <x:c r="T87" s="90"/>
      <x:c r="U87" s="68"/>
      <x:c r="V87" s="82"/>
      <x:c r="W87" s="84"/>
      <x:c r="X87" s="84"/>
      <x:c r="Y87" s="82"/>
      <x:c r="Z87" s="82"/>
      <x:c r="AA87" s="68"/>
      <x:c r="AB87" s="68"/>
      <x:c r="AC87" s="90"/>
      <x:c r="AD87" s="68"/>
      <x:c r="AE87" s="82"/>
      <x:c r="AF87" s="82"/>
      <x:c r="AG87" s="87"/>
    </x:row>
    <x:row r="88">
      <x:c r="A88" s="72" t="str">
        <x:f>IF(OR(C88="",D88=""),"",B88&amp;"-"&amp;UPPER(C88)&amp;"-"&amp;TEXT(D88,"0000")&amp;"-"&amp;E88)</x:f>
      </x:c>
      <x:c r="B88" s="74" t="str">
        <x:v>M07</x:v>
      </x:c>
      <x:c r="C88" s="74"/>
      <x:c r="D88" s="79"/>
      <x:c r="E88" s="74" t="str">
        <x:v>V1.0</x:v>
      </x:c>
      <x:c r="F88" s="68"/>
      <x:c r="G88" s="82"/>
      <x:c r="H88" s="68"/>
      <x:c r="I88" s="82"/>
      <x:c r="J88" s="68"/>
      <x:c r="K88" s="68"/>
      <x:c r="L88" s="68"/>
      <x:c r="M88" s="82"/>
      <x:c r="N88" s="68"/>
      <x:c r="O88" s="82"/>
      <x:c r="P88" s="68"/>
      <x:c r="Q88" s="68"/>
      <x:c r="R88" s="68"/>
      <x:c r="S88" s="68"/>
      <x:c r="T88" s="90"/>
      <x:c r="U88" s="68"/>
      <x:c r="V88" s="82"/>
      <x:c r="W88" s="84"/>
      <x:c r="X88" s="84"/>
      <x:c r="Y88" s="82"/>
      <x:c r="Z88" s="82"/>
      <x:c r="AA88" s="68"/>
      <x:c r="AB88" s="68"/>
      <x:c r="AC88" s="90"/>
      <x:c r="AD88" s="68"/>
      <x:c r="AE88" s="82"/>
      <x:c r="AF88" s="82"/>
      <x:c r="AG88" s="87"/>
    </x:row>
    <x:row r="89">
      <x:c r="A89" s="72" t="str">
        <x:f>IF(OR(C89="",D89=""),"",B89&amp;"-"&amp;UPPER(C89)&amp;"-"&amp;TEXT(D89,"0000")&amp;"-"&amp;E89)</x:f>
      </x:c>
      <x:c r="B89" s="74" t="str">
        <x:v>M07</x:v>
      </x:c>
      <x:c r="C89" s="74"/>
      <x:c r="D89" s="79"/>
      <x:c r="E89" s="74" t="str">
        <x:v>V1.0</x:v>
      </x:c>
      <x:c r="F89" s="68"/>
      <x:c r="G89" s="82"/>
      <x:c r="H89" s="68"/>
      <x:c r="I89" s="82"/>
      <x:c r="J89" s="68"/>
      <x:c r="K89" s="68"/>
      <x:c r="L89" s="68"/>
      <x:c r="M89" s="82"/>
      <x:c r="N89" s="68"/>
      <x:c r="O89" s="82"/>
      <x:c r="P89" s="68"/>
      <x:c r="Q89" s="68"/>
      <x:c r="R89" s="68"/>
      <x:c r="S89" s="68"/>
      <x:c r="T89" s="90"/>
      <x:c r="U89" s="68"/>
      <x:c r="V89" s="82"/>
      <x:c r="W89" s="84"/>
      <x:c r="X89" s="84"/>
      <x:c r="Y89" s="82"/>
      <x:c r="Z89" s="82"/>
      <x:c r="AA89" s="68"/>
      <x:c r="AB89" s="68"/>
      <x:c r="AC89" s="90"/>
      <x:c r="AD89" s="68"/>
      <x:c r="AE89" s="82"/>
      <x:c r="AF89" s="82"/>
      <x:c r="AG89" s="87"/>
    </x:row>
    <x:row r="90">
      <x:c r="A90" s="72" t="str">
        <x:f>IF(OR(C90="",D90=""),"",B90&amp;"-"&amp;UPPER(C90)&amp;"-"&amp;TEXT(D90,"0000")&amp;"-"&amp;E90)</x:f>
      </x:c>
      <x:c r="B90" s="74" t="str">
        <x:v>M07</x:v>
      </x:c>
      <x:c r="C90" s="74"/>
      <x:c r="D90" s="79"/>
      <x:c r="E90" s="74" t="str">
        <x:v>V1.0</x:v>
      </x:c>
      <x:c r="F90" s="68"/>
      <x:c r="G90" s="82"/>
      <x:c r="H90" s="68"/>
      <x:c r="I90" s="82"/>
      <x:c r="J90" s="68"/>
      <x:c r="K90" s="68"/>
      <x:c r="L90" s="68"/>
      <x:c r="M90" s="82"/>
      <x:c r="N90" s="68"/>
      <x:c r="O90" s="82"/>
      <x:c r="P90" s="68"/>
      <x:c r="Q90" s="68"/>
      <x:c r="R90" s="68"/>
      <x:c r="S90" s="68"/>
      <x:c r="T90" s="90"/>
      <x:c r="U90" s="68"/>
      <x:c r="V90" s="82"/>
      <x:c r="W90" s="84"/>
      <x:c r="X90" s="84"/>
      <x:c r="Y90" s="82"/>
      <x:c r="Z90" s="82"/>
      <x:c r="AA90" s="68"/>
      <x:c r="AB90" s="68"/>
      <x:c r="AC90" s="90"/>
      <x:c r="AD90" s="68"/>
      <x:c r="AE90" s="82"/>
      <x:c r="AF90" s="82"/>
      <x:c r="AG90" s="87"/>
    </x:row>
    <x:row r="91">
      <x:c r="A91" s="72" t="str">
        <x:f>IF(OR(C91="",D91=""),"",B91&amp;"-"&amp;UPPER(C91)&amp;"-"&amp;TEXT(D91,"0000")&amp;"-"&amp;E91)</x:f>
      </x:c>
      <x:c r="B91" s="74" t="str">
        <x:v>M07</x:v>
      </x:c>
      <x:c r="C91" s="74"/>
      <x:c r="D91" s="79"/>
      <x:c r="E91" s="74" t="str">
        <x:v>V1.0</x:v>
      </x:c>
      <x:c r="F91" s="68"/>
      <x:c r="G91" s="82"/>
      <x:c r="H91" s="68"/>
      <x:c r="I91" s="82"/>
      <x:c r="J91" s="68"/>
      <x:c r="K91" s="68"/>
      <x:c r="L91" s="68"/>
      <x:c r="M91" s="82"/>
      <x:c r="N91" s="68"/>
      <x:c r="O91" s="82"/>
      <x:c r="P91" s="68"/>
      <x:c r="Q91" s="68"/>
      <x:c r="R91" s="68"/>
      <x:c r="S91" s="68"/>
      <x:c r="T91" s="90"/>
      <x:c r="U91" s="68"/>
      <x:c r="V91" s="82"/>
      <x:c r="W91" s="84"/>
      <x:c r="X91" s="84"/>
      <x:c r="Y91" s="82"/>
      <x:c r="Z91" s="82"/>
      <x:c r="AA91" s="68"/>
      <x:c r="AB91" s="68"/>
      <x:c r="AC91" s="90"/>
      <x:c r="AD91" s="68"/>
      <x:c r="AE91" s="82"/>
      <x:c r="AF91" s="82"/>
      <x:c r="AG91" s="87"/>
    </x:row>
    <x:row r="92">
      <x:c r="A92" s="72" t="str">
        <x:f>IF(OR(C92="",D92=""),"",B92&amp;"-"&amp;UPPER(C92)&amp;"-"&amp;TEXT(D92,"0000")&amp;"-"&amp;E92)</x:f>
      </x:c>
      <x:c r="B92" s="74" t="str">
        <x:v>M07</x:v>
      </x:c>
      <x:c r="C92" s="74"/>
      <x:c r="D92" s="79"/>
      <x:c r="E92" s="74" t="str">
        <x:v>V1.0</x:v>
      </x:c>
      <x:c r="F92" s="68"/>
      <x:c r="G92" s="82"/>
      <x:c r="H92" s="68"/>
      <x:c r="I92" s="82"/>
      <x:c r="J92" s="68"/>
      <x:c r="K92" s="68"/>
      <x:c r="L92" s="68"/>
      <x:c r="M92" s="82"/>
      <x:c r="N92" s="68"/>
      <x:c r="O92" s="82"/>
      <x:c r="P92" s="68"/>
      <x:c r="Q92" s="68"/>
      <x:c r="R92" s="68"/>
      <x:c r="S92" s="68"/>
      <x:c r="T92" s="90"/>
      <x:c r="U92" s="68"/>
      <x:c r="V92" s="82"/>
      <x:c r="W92" s="84"/>
      <x:c r="X92" s="84"/>
      <x:c r="Y92" s="82"/>
      <x:c r="Z92" s="82"/>
      <x:c r="AA92" s="68"/>
      <x:c r="AB92" s="68"/>
      <x:c r="AC92" s="90"/>
      <x:c r="AD92" s="68"/>
      <x:c r="AE92" s="82"/>
      <x:c r="AF92" s="82"/>
      <x:c r="AG92" s="87"/>
    </x:row>
    <x:row r="93">
      <x:c r="A93" s="72" t="str">
        <x:f>IF(OR(C93="",D93=""),"",B93&amp;"-"&amp;UPPER(C93)&amp;"-"&amp;TEXT(D93,"0000")&amp;"-"&amp;E93)</x:f>
      </x:c>
      <x:c r="B93" s="74" t="str">
        <x:v>M07</x:v>
      </x:c>
      <x:c r="C93" s="74"/>
      <x:c r="D93" s="79"/>
      <x:c r="E93" s="74" t="str">
        <x:v>V1.0</x:v>
      </x:c>
      <x:c r="F93" s="68"/>
      <x:c r="G93" s="82"/>
      <x:c r="H93" s="68"/>
      <x:c r="I93" s="82"/>
      <x:c r="J93" s="68"/>
      <x:c r="K93" s="68"/>
      <x:c r="L93" s="68"/>
      <x:c r="M93" s="82"/>
      <x:c r="N93" s="68"/>
      <x:c r="O93" s="82"/>
      <x:c r="P93" s="68"/>
      <x:c r="Q93" s="68"/>
      <x:c r="R93" s="68"/>
      <x:c r="S93" s="68"/>
      <x:c r="T93" s="90"/>
      <x:c r="U93" s="68"/>
      <x:c r="V93" s="82"/>
      <x:c r="W93" s="84"/>
      <x:c r="X93" s="84"/>
      <x:c r="Y93" s="82"/>
      <x:c r="Z93" s="82"/>
      <x:c r="AA93" s="68"/>
      <x:c r="AB93" s="68"/>
      <x:c r="AC93" s="90"/>
      <x:c r="AD93" s="68"/>
      <x:c r="AE93" s="82"/>
      <x:c r="AF93" s="82"/>
      <x:c r="AG93" s="87"/>
    </x:row>
    <x:row r="94">
      <x:c r="A94" s="72" t="str">
        <x:f>IF(OR(C94="",D94=""),"",B94&amp;"-"&amp;UPPER(C94)&amp;"-"&amp;TEXT(D94,"0000")&amp;"-"&amp;E94)</x:f>
      </x:c>
      <x:c r="B94" s="74" t="str">
        <x:v>M07</x:v>
      </x:c>
      <x:c r="C94" s="74"/>
      <x:c r="D94" s="79"/>
      <x:c r="E94" s="74" t="str">
        <x:v>V1.0</x:v>
      </x:c>
      <x:c r="F94" s="68"/>
      <x:c r="G94" s="82"/>
      <x:c r="H94" s="68"/>
      <x:c r="I94" s="82"/>
      <x:c r="J94" s="68"/>
      <x:c r="K94" s="68"/>
      <x:c r="L94" s="68"/>
      <x:c r="M94" s="82"/>
      <x:c r="N94" s="68"/>
      <x:c r="O94" s="82"/>
      <x:c r="P94" s="68"/>
      <x:c r="Q94" s="68"/>
      <x:c r="R94" s="68"/>
      <x:c r="S94" s="68"/>
      <x:c r="T94" s="90"/>
      <x:c r="U94" s="68"/>
      <x:c r="V94" s="82"/>
      <x:c r="W94" s="84"/>
      <x:c r="X94" s="84"/>
      <x:c r="Y94" s="82"/>
      <x:c r="Z94" s="82"/>
      <x:c r="AA94" s="68"/>
      <x:c r="AB94" s="68"/>
      <x:c r="AC94" s="90"/>
      <x:c r="AD94" s="68"/>
      <x:c r="AE94" s="82"/>
      <x:c r="AF94" s="82"/>
      <x:c r="AG94" s="87"/>
    </x:row>
    <x:row r="95">
      <x:c r="A95" s="72" t="str">
        <x:f>IF(OR(C95="",D95=""),"",B95&amp;"-"&amp;UPPER(C95)&amp;"-"&amp;TEXT(D95,"0000")&amp;"-"&amp;E95)</x:f>
      </x:c>
      <x:c r="B95" s="74" t="str">
        <x:v>M07</x:v>
      </x:c>
      <x:c r="C95" s="74"/>
      <x:c r="D95" s="79"/>
      <x:c r="E95" s="74" t="str">
        <x:v>V1.0</x:v>
      </x:c>
      <x:c r="F95" s="68"/>
      <x:c r="G95" s="82"/>
      <x:c r="H95" s="68"/>
      <x:c r="I95" s="82"/>
      <x:c r="J95" s="68"/>
      <x:c r="K95" s="68"/>
      <x:c r="L95" s="68"/>
      <x:c r="M95" s="82"/>
      <x:c r="N95" s="68"/>
      <x:c r="O95" s="82"/>
      <x:c r="P95" s="68"/>
      <x:c r="Q95" s="68"/>
      <x:c r="R95" s="68"/>
      <x:c r="S95" s="68"/>
      <x:c r="T95" s="90"/>
      <x:c r="U95" s="68"/>
      <x:c r="V95" s="82"/>
      <x:c r="W95" s="84"/>
      <x:c r="X95" s="84"/>
      <x:c r="Y95" s="82"/>
      <x:c r="Z95" s="82"/>
      <x:c r="AA95" s="68"/>
      <x:c r="AB95" s="68"/>
      <x:c r="AC95" s="90"/>
      <x:c r="AD95" s="68"/>
      <x:c r="AE95" s="82"/>
      <x:c r="AF95" s="82"/>
      <x:c r="AG95" s="87"/>
    </x:row>
    <x:row r="96">
      <x:c r="A96" s="72" t="str">
        <x:f>IF(OR(C96="",D96=""),"",B96&amp;"-"&amp;UPPER(C96)&amp;"-"&amp;TEXT(D96,"0000")&amp;"-"&amp;E96)</x:f>
      </x:c>
      <x:c r="B96" s="74" t="str">
        <x:v>M07</x:v>
      </x:c>
      <x:c r="C96" s="74"/>
      <x:c r="D96" s="79"/>
      <x:c r="E96" s="74" t="str">
        <x:v>V1.0</x:v>
      </x:c>
      <x:c r="F96" s="68"/>
      <x:c r="G96" s="82"/>
      <x:c r="H96" s="68"/>
      <x:c r="I96" s="82"/>
      <x:c r="J96" s="68"/>
      <x:c r="K96" s="68"/>
      <x:c r="L96" s="68"/>
      <x:c r="M96" s="82"/>
      <x:c r="N96" s="68"/>
      <x:c r="O96" s="82"/>
      <x:c r="P96" s="68"/>
      <x:c r="Q96" s="68"/>
      <x:c r="R96" s="68"/>
      <x:c r="S96" s="68"/>
      <x:c r="T96" s="90"/>
      <x:c r="U96" s="68"/>
      <x:c r="V96" s="82"/>
      <x:c r="W96" s="84"/>
      <x:c r="X96" s="84"/>
      <x:c r="Y96" s="82"/>
      <x:c r="Z96" s="82"/>
      <x:c r="AA96" s="68"/>
      <x:c r="AB96" s="68"/>
      <x:c r="AC96" s="90"/>
      <x:c r="AD96" s="68"/>
      <x:c r="AE96" s="82"/>
      <x:c r="AF96" s="82"/>
      <x:c r="AG96" s="87"/>
    </x:row>
    <x:row r="97">
      <x:c r="A97" s="72" t="str">
        <x:f>IF(OR(C97="",D97=""),"",B97&amp;"-"&amp;UPPER(C97)&amp;"-"&amp;TEXT(D97,"0000")&amp;"-"&amp;E97)</x:f>
      </x:c>
      <x:c r="B97" s="74" t="str">
        <x:v>M07</x:v>
      </x:c>
      <x:c r="C97" s="74"/>
      <x:c r="D97" s="79"/>
      <x:c r="E97" s="74" t="str">
        <x:v>V1.0</x:v>
      </x:c>
      <x:c r="F97" s="68"/>
      <x:c r="G97" s="82"/>
      <x:c r="H97" s="68"/>
      <x:c r="I97" s="82"/>
      <x:c r="J97" s="68"/>
      <x:c r="K97" s="68"/>
      <x:c r="L97" s="68"/>
      <x:c r="M97" s="82"/>
      <x:c r="N97" s="68"/>
      <x:c r="O97" s="82"/>
      <x:c r="P97" s="68"/>
      <x:c r="Q97" s="68"/>
      <x:c r="R97" s="68"/>
      <x:c r="S97" s="68"/>
      <x:c r="T97" s="90"/>
      <x:c r="U97" s="68"/>
      <x:c r="V97" s="82"/>
      <x:c r="W97" s="84"/>
      <x:c r="X97" s="84"/>
      <x:c r="Y97" s="82"/>
      <x:c r="Z97" s="82"/>
      <x:c r="AA97" s="68"/>
      <x:c r="AB97" s="68"/>
      <x:c r="AC97" s="90"/>
      <x:c r="AD97" s="68"/>
      <x:c r="AE97" s="82"/>
      <x:c r="AF97" s="82"/>
      <x:c r="AG97" s="87"/>
    </x:row>
    <x:row r="98">
      <x:c r="A98" s="72" t="str">
        <x:f>IF(OR(C98="",D98=""),"",B98&amp;"-"&amp;UPPER(C98)&amp;"-"&amp;TEXT(D98,"0000")&amp;"-"&amp;E98)</x:f>
      </x:c>
      <x:c r="B98" s="74" t="str">
        <x:v>M07</x:v>
      </x:c>
      <x:c r="C98" s="74"/>
      <x:c r="D98" s="79"/>
      <x:c r="E98" s="74" t="str">
        <x:v>V1.0</x:v>
      </x:c>
      <x:c r="F98" s="68"/>
      <x:c r="G98" s="82"/>
      <x:c r="H98" s="68"/>
      <x:c r="I98" s="82"/>
      <x:c r="J98" s="68"/>
      <x:c r="K98" s="68"/>
      <x:c r="L98" s="68"/>
      <x:c r="M98" s="82"/>
      <x:c r="N98" s="68"/>
      <x:c r="O98" s="82"/>
      <x:c r="P98" s="68"/>
      <x:c r="Q98" s="68"/>
      <x:c r="R98" s="68"/>
      <x:c r="S98" s="68"/>
      <x:c r="T98" s="90"/>
      <x:c r="U98" s="68"/>
      <x:c r="V98" s="82"/>
      <x:c r="W98" s="84"/>
      <x:c r="X98" s="84"/>
      <x:c r="Y98" s="82"/>
      <x:c r="Z98" s="82"/>
      <x:c r="AA98" s="68"/>
      <x:c r="AB98" s="68"/>
      <x:c r="AC98" s="90"/>
      <x:c r="AD98" s="68"/>
      <x:c r="AE98" s="82"/>
      <x:c r="AF98" s="82"/>
      <x:c r="AG98" s="87"/>
    </x:row>
    <x:row r="99">
      <x:c r="A99" s="72" t="str">
        <x:f>IF(OR(C99="",D99=""),"",B99&amp;"-"&amp;UPPER(C99)&amp;"-"&amp;TEXT(D99,"0000")&amp;"-"&amp;E99)</x:f>
      </x:c>
      <x:c r="B99" s="74" t="str">
        <x:v>M07</x:v>
      </x:c>
      <x:c r="C99" s="74"/>
      <x:c r="D99" s="79"/>
      <x:c r="E99" s="74" t="str">
        <x:v>V1.0</x:v>
      </x:c>
      <x:c r="F99" s="68"/>
      <x:c r="G99" s="82"/>
      <x:c r="H99" s="68"/>
      <x:c r="I99" s="82"/>
      <x:c r="J99" s="68"/>
      <x:c r="K99" s="68"/>
      <x:c r="L99" s="68"/>
      <x:c r="M99" s="82"/>
      <x:c r="N99" s="68"/>
      <x:c r="O99" s="82"/>
      <x:c r="P99" s="68"/>
      <x:c r="Q99" s="68"/>
      <x:c r="R99" s="68"/>
      <x:c r="S99" s="68"/>
      <x:c r="T99" s="90"/>
      <x:c r="U99" s="68"/>
      <x:c r="V99" s="82"/>
      <x:c r="W99" s="84"/>
      <x:c r="X99" s="84"/>
      <x:c r="Y99" s="82"/>
      <x:c r="Z99" s="82"/>
      <x:c r="AA99" s="68"/>
      <x:c r="AB99" s="68"/>
      <x:c r="AC99" s="90"/>
      <x:c r="AD99" s="68"/>
      <x:c r="AE99" s="82"/>
      <x:c r="AF99" s="82"/>
      <x:c r="AG99" s="87"/>
    </x:row>
    <x:row r="100">
      <x:c r="A100" s="72" t="str">
        <x:f>IF(OR(C100="",D100=""),"",B100&amp;"-"&amp;UPPER(C100)&amp;"-"&amp;TEXT(D100,"0000")&amp;"-"&amp;E100)</x:f>
      </x:c>
      <x:c r="B100" s="74" t="str">
        <x:v>M07</x:v>
      </x:c>
      <x:c r="C100" s="74"/>
      <x:c r="D100" s="79"/>
      <x:c r="E100" s="74" t="str">
        <x:v>V1.0</x:v>
      </x:c>
      <x:c r="F100" s="68"/>
      <x:c r="G100" s="82"/>
      <x:c r="H100" s="68"/>
      <x:c r="I100" s="82"/>
      <x:c r="J100" s="68"/>
      <x:c r="K100" s="68"/>
      <x:c r="L100" s="68"/>
      <x:c r="M100" s="82"/>
      <x:c r="N100" s="68"/>
      <x:c r="O100" s="82"/>
      <x:c r="P100" s="68"/>
      <x:c r="Q100" s="68"/>
      <x:c r="R100" s="68"/>
      <x:c r="S100" s="68"/>
      <x:c r="T100" s="90"/>
      <x:c r="U100" s="68"/>
      <x:c r="V100" s="82"/>
      <x:c r="W100" s="84"/>
      <x:c r="X100" s="84"/>
      <x:c r="Y100" s="82"/>
      <x:c r="Z100" s="82"/>
      <x:c r="AA100" s="68"/>
      <x:c r="AB100" s="68"/>
      <x:c r="AC100" s="90"/>
      <x:c r="AD100" s="68"/>
      <x:c r="AE100" s="82"/>
      <x:c r="AF100" s="82"/>
      <x:c r="AG100" s="87"/>
    </x:row>
    <x:row r="101">
      <x:c r="A101" s="72" t="str">
        <x:f>IF(OR(C101="",D101=""),"",B101&amp;"-"&amp;UPPER(C101)&amp;"-"&amp;TEXT(D101,"0000")&amp;"-"&amp;E101)</x:f>
      </x:c>
      <x:c r="B101" s="74" t="str">
        <x:v>M07</x:v>
      </x:c>
      <x:c r="C101" s="74"/>
      <x:c r="D101" s="79"/>
      <x:c r="E101" s="74" t="str">
        <x:v>V1.0</x:v>
      </x:c>
      <x:c r="F101" s="68"/>
      <x:c r="G101" s="82"/>
      <x:c r="H101" s="68"/>
      <x:c r="I101" s="82"/>
      <x:c r="J101" s="68"/>
      <x:c r="K101" s="68"/>
      <x:c r="L101" s="68"/>
      <x:c r="M101" s="82"/>
      <x:c r="N101" s="68"/>
      <x:c r="O101" s="82"/>
      <x:c r="P101" s="68"/>
      <x:c r="Q101" s="68"/>
      <x:c r="R101" s="68"/>
      <x:c r="S101" s="68"/>
      <x:c r="T101" s="90"/>
      <x:c r="U101" s="68"/>
      <x:c r="V101" s="82"/>
      <x:c r="W101" s="84"/>
      <x:c r="X101" s="84"/>
      <x:c r="Y101" s="82"/>
      <x:c r="Z101" s="82"/>
      <x:c r="AA101" s="68"/>
      <x:c r="AB101" s="68"/>
      <x:c r="AC101" s="90"/>
      <x:c r="AD101" s="68"/>
      <x:c r="AE101" s="82"/>
      <x:c r="AF101" s="82"/>
      <x:c r="AG101" s="87"/>
    </x:row>
    <x:row r="102">
      <x:c r="A102" s="72" t="str">
        <x:f>IF(OR(C102="",D102=""),"",B102&amp;"-"&amp;UPPER(C102)&amp;"-"&amp;TEXT(D102,"0000")&amp;"-"&amp;E102)</x:f>
      </x:c>
      <x:c r="B102" s="74" t="str">
        <x:v>M07</x:v>
      </x:c>
      <x:c r="C102" s="74"/>
      <x:c r="D102" s="79"/>
      <x:c r="E102" s="74" t="str">
        <x:v>V1.0</x:v>
      </x:c>
      <x:c r="F102" s="68"/>
      <x:c r="G102" s="82"/>
      <x:c r="H102" s="68"/>
      <x:c r="I102" s="82"/>
      <x:c r="J102" s="68"/>
      <x:c r="K102" s="68"/>
      <x:c r="L102" s="68"/>
      <x:c r="M102" s="82"/>
      <x:c r="N102" s="68"/>
      <x:c r="O102" s="82"/>
      <x:c r="P102" s="68"/>
      <x:c r="Q102" s="68"/>
      <x:c r="R102" s="68"/>
      <x:c r="S102" s="68"/>
      <x:c r="T102" s="90"/>
      <x:c r="U102" s="68"/>
      <x:c r="V102" s="82"/>
      <x:c r="W102" s="84"/>
      <x:c r="X102" s="84"/>
      <x:c r="Y102" s="82"/>
      <x:c r="Z102" s="82"/>
      <x:c r="AA102" s="68"/>
      <x:c r="AB102" s="68"/>
      <x:c r="AC102" s="90"/>
      <x:c r="AD102" s="68"/>
      <x:c r="AE102" s="82"/>
      <x:c r="AF102" s="82"/>
      <x:c r="AG102" s="87"/>
    </x:row>
    <x:row r="103">
      <x:c r="A103" s="72" t="str">
        <x:f>IF(OR(C103="",D103=""),"",B103&amp;"-"&amp;UPPER(C103)&amp;"-"&amp;TEXT(D103,"0000")&amp;"-"&amp;E103)</x:f>
      </x:c>
      <x:c r="B103" s="74" t="str">
        <x:v>M07</x:v>
      </x:c>
      <x:c r="C103" s="74"/>
      <x:c r="D103" s="79"/>
      <x:c r="E103" s="74" t="str">
        <x:v>V1.0</x:v>
      </x:c>
      <x:c r="F103" s="68"/>
      <x:c r="G103" s="82"/>
      <x:c r="H103" s="68"/>
      <x:c r="I103" s="82"/>
      <x:c r="J103" s="68"/>
      <x:c r="K103" s="68"/>
      <x:c r="L103" s="68"/>
      <x:c r="M103" s="82"/>
      <x:c r="N103" s="68"/>
      <x:c r="O103" s="82"/>
      <x:c r="P103" s="68"/>
      <x:c r="Q103" s="68"/>
      <x:c r="R103" s="68"/>
      <x:c r="S103" s="68"/>
      <x:c r="T103" s="90"/>
      <x:c r="U103" s="68"/>
      <x:c r="V103" s="82"/>
      <x:c r="W103" s="84"/>
      <x:c r="X103" s="84"/>
      <x:c r="Y103" s="82"/>
      <x:c r="Z103" s="82"/>
      <x:c r="AA103" s="68"/>
      <x:c r="AB103" s="68"/>
      <x:c r="AC103" s="90"/>
      <x:c r="AD103" s="68"/>
      <x:c r="AE103" s="82"/>
      <x:c r="AF103" s="82"/>
      <x:c r="AG103" s="87"/>
    </x:row>
    <x:row r="104">
      <x:c r="A104" s="72" t="str">
        <x:f>IF(OR(C104="",D104=""),"",B104&amp;"-"&amp;UPPER(C104)&amp;"-"&amp;TEXT(D104,"0000")&amp;"-"&amp;E104)</x:f>
      </x:c>
      <x:c r="B104" s="74" t="str">
        <x:v>M07</x:v>
      </x:c>
      <x:c r="C104" s="74"/>
      <x:c r="D104" s="79"/>
      <x:c r="E104" s="74" t="str">
        <x:v>V1.0</x:v>
      </x:c>
      <x:c r="F104" s="68"/>
      <x:c r="G104" s="82"/>
      <x:c r="H104" s="68"/>
      <x:c r="I104" s="82"/>
      <x:c r="J104" s="68"/>
      <x:c r="K104" s="68"/>
      <x:c r="L104" s="68"/>
      <x:c r="M104" s="82"/>
      <x:c r="N104" s="68"/>
      <x:c r="O104" s="82"/>
      <x:c r="P104" s="68"/>
      <x:c r="Q104" s="68"/>
      <x:c r="R104" s="68"/>
      <x:c r="S104" s="68"/>
      <x:c r="T104" s="90"/>
      <x:c r="U104" s="68"/>
      <x:c r="V104" s="82"/>
      <x:c r="W104" s="84"/>
      <x:c r="X104" s="84"/>
      <x:c r="Y104" s="82"/>
      <x:c r="Z104" s="82"/>
      <x:c r="AA104" s="68"/>
      <x:c r="AB104" s="68"/>
      <x:c r="AC104" s="90"/>
      <x:c r="AD104" s="68"/>
      <x:c r="AE104" s="82"/>
      <x:c r="AF104" s="82"/>
      <x:c r="AG104" s="87"/>
    </x:row>
    <x:row r="105">
      <x:c r="A105" s="72" t="str">
        <x:f>IF(OR(C105="",D105=""),"",B105&amp;"-"&amp;UPPER(C105)&amp;"-"&amp;TEXT(D105,"0000")&amp;"-"&amp;E105)</x:f>
      </x:c>
      <x:c r="B105" s="74" t="str">
        <x:v>M07</x:v>
      </x:c>
      <x:c r="C105" s="74"/>
      <x:c r="D105" s="79"/>
      <x:c r="E105" s="74" t="str">
        <x:v>V1.0</x:v>
      </x:c>
      <x:c r="F105" s="68"/>
      <x:c r="G105" s="82"/>
      <x:c r="H105" s="68"/>
      <x:c r="I105" s="82"/>
      <x:c r="J105" s="68"/>
      <x:c r="K105" s="68"/>
      <x:c r="L105" s="68"/>
      <x:c r="M105" s="82"/>
      <x:c r="N105" s="68"/>
      <x:c r="O105" s="82"/>
      <x:c r="P105" s="68"/>
      <x:c r="Q105" s="68"/>
      <x:c r="R105" s="68"/>
      <x:c r="S105" s="68"/>
      <x:c r="T105" s="90"/>
      <x:c r="U105" s="68"/>
      <x:c r="V105" s="82"/>
      <x:c r="W105" s="84"/>
      <x:c r="X105" s="84"/>
      <x:c r="Y105" s="82"/>
      <x:c r="Z105" s="82"/>
      <x:c r="AA105" s="68"/>
      <x:c r="AB105" s="68"/>
      <x:c r="AC105" s="90"/>
      <x:c r="AD105" s="68"/>
      <x:c r="AE105" s="82"/>
      <x:c r="AF105" s="82"/>
      <x:c r="AG105" s="87"/>
    </x:row>
  </x:sheetData>
  <x:mergeCells>
    <x:mergeCell ref="A1:O1"/>
    <x:mergeCell ref="A2:O2"/>
    <x:mergeCell ref="A3:O3"/>
    <x:mergeCell ref="A4:O4"/>
  </x:mergeCells>
  <x:conditionalFormatting sqref="A6:A105">
    <x:cfRule type="expression" dxfId="5"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I6:I105">
      <x:formula1>'99_下拉选项'!$D$4:$D$8</x:formula1>
    </x:dataValidation>
    <x:dataValidation type="list" sqref="M6:M105">
      <x:formula1>'99_下拉选项'!$M$4:$M$12</x:formula1>
    </x:dataValidation>
    <x:dataValidation type="list" sqref="O6:O105">
      <x:formula1>'99_下拉选项'!$N$4:$N$8</x:formula1>
    </x:dataValidation>
    <x:dataValidation type="list" sqref="V6:V105">
      <x:formula1>'99_下拉选项'!$X$4:$X$7</x:formula1>
    </x:dataValidation>
    <x:dataValidation type="list" sqref="Y6:Y105">
      <x:formula1>'99_下拉选项'!$Q$4:$Q$8</x:formula1>
    </x:dataValidation>
    <x:dataValidation type="list" sqref="Z6:Z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'99_下拉选项'!$BG$4:$BG$16</x:formula1>
    </x:dataValidation>
  </x:dataValidations>
  <x:pageMargins left="0.7" right="0.7" top="0.75" bottom="0.75" header="0.3" footer="0.3"/>
  <x:tableParts count="1">
    <x:tablePart xmlns:r="http://schemas.openxmlformats.org/officeDocument/2006/relationships" r:id="R266d54ecd5644c8f"/>
  </x:tableParts>
</x:worksheet>
</file>

<file path=xl/worksheets/sheet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30" hidden="0" customWidth="1"/>
    <x:col min="10" max="10" width="30" hidden="0" customWidth="1"/>
    <x:col min="11" max="11" width="30"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M08｜五行有效力量修正规则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将M07原始力量经合冲刑害、生克泄耗、根气变化、合化成局、寒凝燥枯与流通状态修正为真正可发挥的有效力量。本版录入110条正式规则，形成根源透达、克泄耗、改性、气候与流通的统一修正链。</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前置依赖：M06/M07　｜　主要输出：五行有效旺衰、可用性与修正原因　｜　直接下游：M09/M10/M11/M12/M13/M14/M16/M17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填写约束：一行只写一条原子规则；M08只承接M06实际效应，不直接读取M05关系名；同源证据必须去重；固定百分比不得作为最终裁决；有效旺衰与喜忌用神严格分离。示例行序号9999，不计入正式规则。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修正来源</x:v>
      </x:c>
      <x:c r="I5" s="61" t="str">
        <x:v>作用对象</x:v>
      </x:c>
      <x:c r="J5" s="61" t="str">
        <x:v>原始状态</x:v>
      </x:c>
      <x:c r="K5" s="61" t="str">
        <x:v>相互作用</x:v>
      </x:c>
      <x:c r="L5" s="61" t="str">
        <x:v>有效力量修正</x:v>
      </x:c>
      <x:c r="M5" s="61" t="str">
        <x:v>作用方向</x:v>
      </x:c>
      <x:c r="N5" s="61" t="str">
        <x:v>作用等级</x:v>
      </x:c>
      <x:c r="O5" s="61" t="str">
        <x:v>是否改变根气</x:v>
      </x:c>
      <x:c r="P5" s="61" t="str">
        <x:v>是否改变生源</x:v>
      </x:c>
      <x:c r="Q5" s="61" t="str">
        <x:v>是否改变透达</x:v>
      </x:c>
      <x:c r="R5" s="61" t="str">
        <x:v>是否影响流通</x:v>
      </x:c>
      <x:c r="S5" s="61" t="str">
        <x:v>前置条件</x:v>
      </x:c>
      <x:c r="T5" s="61" t="str">
        <x:v>必要条件</x:v>
      </x:c>
      <x:c r="U5" s="61" t="str">
        <x:v>增强条件</x:v>
      </x:c>
      <x:c r="V5" s="61" t="str">
        <x:v>削弱条件</x:v>
      </x:c>
      <x:c r="W5" s="61" t="str">
        <x:v>否决条件</x:v>
      </x:c>
      <x:c r="X5" s="61" t="str">
        <x:v>例外条件</x:v>
      </x:c>
      <x:c r="Y5" s="61" t="str">
        <x:v>有效旺衰结论</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M08-DEMO-9999-V0.1</x:v>
      </x:c>
      <x:c r="B6" s="76" t="str">
        <x:v>M08</x:v>
      </x:c>
      <x:c r="C6" s="76" t="str">
        <x:v>DEMO</x:v>
      </x:c>
      <x:c r="D6" s="78" t="n">
        <x:v>9999</x:v>
      </x:c>
      <x:c r="E6" s="76" t="str">
        <x:v>V0.1</x:v>
      </x:c>
      <x:c r="F6" s="76" t="str">
        <x:v>根被冲需评估有效性而非自动删除</x:v>
      </x:c>
      <x:c r="G6" s="76" t="str">
        <x:v>结构层</x:v>
      </x:c>
      <x:c r="H6" s="76" t="str">
        <x:v>M06冲的实际效应</x:v>
      </x:c>
      <x:c r="I6" s="76" t="str">
        <x:v>被冲地支所承载五行</x:v>
      </x:c>
      <x:c r="J6" s="76" t="str">
        <x:v>有根</x:v>
      </x:c>
      <x:c r="K6" s="76" t="str">
        <x:v>根支受冲</x:v>
      </x:c>
      <x:c r="L6" s="76" t="str">
        <x:v>按冲动、冲散、冲弱、冲开等实际效应调整</x:v>
      </x:c>
      <x:c r="M6" s="76" t="str">
        <x:v>条件性</x:v>
      </x:c>
      <x:c r="N6" s="76" t="str">
        <x:v>待定</x:v>
      </x:c>
      <x:c r="O6" s="76" t="str">
        <x:v>条件性</x:v>
      </x:c>
      <x:c r="P6" s="76" t="str">
        <x:v>条件性</x:v>
      </x:c>
      <x:c r="Q6" s="76" t="str">
        <x:v>条件性</x:v>
      </x:c>
      <x:c r="R6" s="76" t="str">
        <x:v>是</x:v>
      </x:c>
      <x:c r="S6" s="76" t="str">
        <x:v>M06已对双方强弱与叠加关系作出效应判断</x:v>
      </x:c>
      <x:c r="T6" s="76" t="str">
        <x:v>明确该根是否唯一、是否得令、是否有同党</x:v>
      </x:c>
      <x:c r="U6" s="76" t="str">
        <x:v>根支得令有援，冲可表现为引动而非失根</x:v>
      </x:c>
      <x:c r="V6" s="76" t="str">
        <x:v>唯一弱根被强支冲且无救应</x:v>
      </x:c>
      <x:c r="W6" s="76" t="str">
        <x:v>禁止将所有受冲根气统一记为零</x:v>
      </x:c>
      <x:c r="X6" s="76" t="str">
        <x:v>强弱悬殊且唯一根被实质冲散时可判根气失效</x:v>
      </x:c>
      <x:c r="Y6" s="76" t="str">
        <x:v>根气可能有效、受限或失效，需按证据分级</x:v>
      </x:c>
      <x:c r="Z6" s="76" t="str">
        <x:v>不得由“受冲”直接推出日主身弱</x:v>
      </x:c>
      <x:c r="AA6" s="76" t="str">
        <x:v>根气有效性修正</x:v>
      </x:c>
      <x:c r="AB6" s="76" t="str">
        <x:v>该根受冲，但是否减力及是否失效取决于双方有效力量与救应；当前标记为条件性修正。</x:v>
      </x:c>
      <x:c r="AC6" s="76" t="str">
        <x:v>较高</x:v>
      </x:c>
      <x:c r="AD6" s="76" t="str">
        <x:v>现代综合</x:v>
      </x:c>
      <x:c r="AE6" s="76" t="str">
        <x:v>有效旺衰必须承接效应层，而不是把关系名直接换算成固定分值。</x:v>
      </x:c>
      <x:c r="AF6" s="76" t="str">
        <x:v>唯一弱根被强冲且无援，可判根气明显受损。</x:v>
      </x:c>
      <x:c r="AG6" s="76" t="str">
        <x:v>得令强根受冲便直接按无根处理。</x:v>
      </x:c>
      <x:c r="AH6" s="76" t="str">
        <x:v>示例，仅演示字段用法</x:v>
      </x:c>
      <x:c r="AI6" s="76" t="str">
        <x:v>示例</x:v>
      </x:c>
      <x:c r="AJ6" s="76" t="str">
        <x:v>未审核</x:v>
      </x:c>
      <x:c r="AK6" s="86" t="n">
        <x:v>46254</x:v>
      </x:c>
    </x:row>
    <x:row r="7">
      <x:c r="A7" s="72" t="str">
        <x:f>IF(OR(C7="",D7=""),"",B7&amp;"-"&amp;UPPER(C7)&amp;"-"&amp;TEXT(D7,"0000")&amp;"-"&amp;E7)</x:f>
        <x:v>M08-ROOT-0001-V1.0</x:v>
      </x:c>
      <x:c r="B7" s="74" t="str">
        <x:v>M08</x:v>
      </x:c>
      <x:c r="C7" s="74" t="str">
        <x:v>ROOT</x:v>
      </x:c>
      <x:c r="D7" s="79" t="n">
        <x:v>1</x:v>
      </x:c>
      <x:c r="E7" s="74" t="str">
        <x:v>V1.0</x:v>
      </x:c>
      <x:c r="F7" s="68" t="str">
        <x:v>唯一强根未被实质破坏时保留主要承载力</x:v>
      </x:c>
      <x:c r="G7" s="82" t="str">
        <x:v>结构层</x:v>
      </x:c>
      <x:c r="H7" s="68" t="str">
        <x:v>M03根气+M06关系效应</x:v>
      </x:c>
      <x:c r="I7" s="68" t="str">
        <x:v>目标五行</x:v>
      </x:c>
      <x:c r="J7" s="68" t="str">
        <x:v>有唯一强根</x:v>
      </x:c>
      <x:c r="K7" s="68" t="str">
        <x:v>一般合冲刑害但未冲散/改性</x:v>
      </x:c>
      <x:c r="L7" s="68" t="str">
        <x:v>根气有效等级原则维持</x:v>
      </x:c>
      <x:c r="M7" s="82" t="str">
        <x:v>不变</x:v>
      </x:c>
      <x:c r="N7" s="82" t="str">
        <x:v>中</x:v>
      </x:c>
      <x:c r="O7" s="82" t="str">
        <x:v>条件性</x:v>
      </x:c>
      <x:c r="P7" s="82" t="str">
        <x:v>否</x:v>
      </x:c>
      <x:c r="Q7" s="82" t="str">
        <x:v>否</x:v>
      </x:c>
      <x:c r="R7" s="82" t="str">
        <x:v>条件性</x:v>
      </x:c>
      <x:c r="S7" s="68" t="str">
        <x:v>前置模块已完成</x:v>
      </x:c>
      <x:c r="T7" s="68" t="str">
        <x:v>作用条件真实成立</x:v>
      </x:c>
      <x:c r="U7" s="68" t="str">
        <x:v>得令、有根、有援可增强</x:v>
      </x:c>
      <x:c r="V7" s="68" t="str">
        <x:v>失令、孤立或受制可削弱</x:v>
      </x:c>
      <x:c r="W7" s="90" t="str">
        <x:v>禁止用关系名称直接替代实际效应</x:v>
      </x:c>
      <x:c r="X7" s="68" t="str">
        <x:v>特殊格局与动态岁运另模块处理</x:v>
      </x:c>
      <x:c r="Y7" s="84" t="str">
        <x:v>按证据修正有效旺衰</x:v>
      </x:c>
      <x:c r="Z7" s="68" t="str">
        <x:v>不得直接推出喜忌用神</x:v>
      </x:c>
      <x:c r="AA7" s="84" t="str">
        <x:v>有效根保留</x:v>
      </x:c>
      <x:c r="AB7" s="84" t="str">
        <x:v>强根受扰但未被实质破坏，仍保留主要承载力。</x:v>
      </x:c>
      <x:c r="AC7" s="82" t="str">
        <x:v>较高</x:v>
      </x:c>
      <x:c r="AD7" s="82" t="str">
        <x:v>现代综合</x:v>
      </x:c>
      <x:c r="AE7" s="68" t="str">
        <x:v>有效力量必须承接原始力量与实际效应，逐对象、逐节点修正。</x:v>
      </x:c>
      <x:c r="AF7" s="68" t="str">
        <x:v>按该条件逐节点修正可得到不同有效根等级。</x:v>
      </x:c>
      <x:c r="AG7" s="90" t="str">
        <x:v>仅凭关系名称或固定百分比统一扣减根气。</x:v>
      </x:c>
      <x:c r="AH7" s="68" t="str">
        <x:v>https://zh.wikisource.org/zh-hans/滴天髓 ; https://zh.wikisource.org/zh-hans/淵海子平 ; https://zh.wikisource.org/wiki/三命通會</x:v>
      </x:c>
      <x:c r="AI7" s="82" t="str">
        <x:v>采用</x:v>
      </x:c>
      <x:c r="AJ7" s="82" t="str">
        <x:v>初审</x:v>
      </x:c>
      <x:c r="AK7" s="87" t="n">
        <x:v>46255</x:v>
      </x:c>
    </x:row>
    <x:row r="8">
      <x:c r="A8" s="72" t="str">
        <x:f>IF(OR(C8="",D8=""),"",B8&amp;"-"&amp;UPPER(C8)&amp;"-"&amp;TEXT(D8,"0000")&amp;"-"&amp;E8)</x:f>
        <x:v>M08-ROOT-0002-V1.0</x:v>
      </x:c>
      <x:c r="B8" s="74" t="str">
        <x:v>M08</x:v>
      </x:c>
      <x:c r="C8" s="74" t="str">
        <x:v>ROOT</x:v>
      </x:c>
      <x:c r="D8" s="79" t="n">
        <x:v>2</x:v>
      </x:c>
      <x:c r="E8" s="74" t="str">
        <x:v>V1.0</x:v>
      </x:c>
      <x:c r="F8" s="68" t="str">
        <x:v>唯一弱根被强力冲散时可判有效根失效</x:v>
      </x:c>
      <x:c r="G8" s="82" t="str">
        <x:v>结构层</x:v>
      </x:c>
      <x:c r="H8" s="68" t="str">
        <x:v>M06六冲效应</x:v>
      </x:c>
      <x:c r="I8" s="68" t="str">
        <x:v>目标五行</x:v>
      </x:c>
      <x:c r="J8" s="68" t="str">
        <x:v>仅有孤弱根</x:v>
      </x:c>
      <x:c r="K8" s="68" t="str">
        <x:v>唯一弱根被强支冲散且无援</x:v>
      </x:c>
      <x:c r="L8" s="68" t="str">
        <x:v>由弱根降为无有效根</x:v>
      </x:c>
      <x:c r="M8" s="82" t="str">
        <x:v>减弱</x:v>
      </x:c>
      <x:c r="N8" s="82" t="str">
        <x:v>强</x:v>
      </x:c>
      <x:c r="O8" s="82" t="str">
        <x:v>是</x:v>
      </x:c>
      <x:c r="P8" s="82" t="str">
        <x:v>否</x:v>
      </x:c>
      <x:c r="Q8" s="82" t="str">
        <x:v>条件性</x:v>
      </x:c>
      <x:c r="R8" s="82" t="str">
        <x:v>是</x:v>
      </x:c>
      <x:c r="S8" s="68" t="str">
        <x:v>前置模块已完成</x:v>
      </x:c>
      <x:c r="T8" s="68" t="str">
        <x:v>作用条件真实成立</x:v>
      </x:c>
      <x:c r="U8" s="68" t="str">
        <x:v>得令、有根、有援可增强</x:v>
      </x:c>
      <x:c r="V8" s="68" t="str">
        <x:v>失令、孤立或受制可削弱</x:v>
      </x:c>
      <x:c r="W8" s="90" t="str">
        <x:v>禁止用关系名称直接替代实际效应</x:v>
      </x:c>
      <x:c r="X8" s="68" t="str">
        <x:v>特殊格局与动态岁运另模块处理</x:v>
      </x:c>
      <x:c r="Y8" s="84" t="str">
        <x:v>按证据修正有效旺衰</x:v>
      </x:c>
      <x:c r="Z8" s="68" t="str">
        <x:v>不得直接推出喜忌用神</x:v>
      </x:c>
      <x:c r="AA8" s="84" t="str">
        <x:v>唯一弱根失效</x:v>
      </x:c>
      <x:c r="AB8" s="84" t="str">
        <x:v>唯一弱根被强势冲散且无救应时，原有得地证据失效。</x:v>
      </x:c>
      <x:c r="AC8" s="82" t="str">
        <x:v>较高</x:v>
      </x:c>
      <x:c r="AD8" s="82" t="str">
        <x:v>现代综合</x:v>
      </x:c>
      <x:c r="AE8" s="68" t="str">
        <x:v>有效力量必须承接原始力量与实际效应，逐对象、逐节点修正。</x:v>
      </x:c>
      <x:c r="AF8" s="68" t="str">
        <x:v>按该条件逐节点修正可得到不同有效根等级。</x:v>
      </x:c>
      <x:c r="AG8" s="90" t="str">
        <x:v>仅凭关系名称或固定百分比统一扣减根气。</x:v>
      </x:c>
      <x:c r="AH8" s="68" t="str">
        <x:v>https://zh.wikisource.org/zh-hans/滴天髓 ; https://zh.wikisource.org/zh-hans/淵海子平 ; https://zh.wikisource.org/wiki/三命通會</x:v>
      </x:c>
      <x:c r="AI8" s="82" t="str">
        <x:v>采用</x:v>
      </x:c>
      <x:c r="AJ8" s="82" t="str">
        <x:v>初审</x:v>
      </x:c>
      <x:c r="AK8" s="87" t="n">
        <x:v>46255</x:v>
      </x:c>
    </x:row>
    <x:row r="9">
      <x:c r="A9" s="72" t="str">
        <x:f>IF(OR(C9="",D9=""),"",B9&amp;"-"&amp;UPPER(C9)&amp;"-"&amp;TEXT(D9,"0000")&amp;"-"&amp;E9)</x:f>
        <x:v>M08-ROOT-0003-V1.0</x:v>
      </x:c>
      <x:c r="B9" s="74" t="str">
        <x:v>M08</x:v>
      </x:c>
      <x:c r="C9" s="74" t="str">
        <x:v>ROOT</x:v>
      </x:c>
      <x:c r="D9" s="79" t="n">
        <x:v>3</x:v>
      </x:c>
      <x:c r="E9" s="74" t="str">
        <x:v>V1.0</x:v>
      </x:c>
      <x:c r="F9" s="68" t="str">
        <x:v>强根受冲且得令有援多表现为冲动而非拔根</x:v>
      </x:c>
      <x:c r="G9" s="82" t="str">
        <x:v>结构层</x:v>
      </x:c>
      <x:c r="H9" s="68" t="str">
        <x:v>M06六冲效应</x:v>
      </x:c>
      <x:c r="I9" s="68" t="str">
        <x:v>目标五行</x:v>
      </x:c>
      <x:c r="J9" s="68" t="str">
        <x:v>强根/多重根</x:v>
      </x:c>
      <x:c r="K9" s="68" t="str">
        <x:v>受冲但根势强</x:v>
      </x:c>
      <x:c r="L9" s="68" t="str">
        <x:v>保留根气并提高扰动标签</x:v>
      </x:c>
      <x:c r="M9" s="82" t="str">
        <x:v>激活</x:v>
      </x:c>
      <x:c r="N9" s="82" t="str">
        <x:v>中</x:v>
      </x:c>
      <x:c r="O9" s="82" t="str">
        <x:v>条件性</x:v>
      </x:c>
      <x:c r="P9" s="82" t="str">
        <x:v>否</x:v>
      </x:c>
      <x:c r="Q9" s="82" t="str">
        <x:v>条件性</x:v>
      </x:c>
      <x:c r="R9" s="82" t="str">
        <x:v>是</x:v>
      </x:c>
      <x:c r="S9" s="68" t="str">
        <x:v>前置模块已完成</x:v>
      </x:c>
      <x:c r="T9" s="68" t="str">
        <x:v>作用条件真实成立</x:v>
      </x:c>
      <x:c r="U9" s="68" t="str">
        <x:v>得令、有根、有援可增强</x:v>
      </x:c>
      <x:c r="V9" s="68" t="str">
        <x:v>失令、孤立或受制可削弱</x:v>
      </x:c>
      <x:c r="W9" s="90" t="str">
        <x:v>禁止用关系名称直接替代实际效应</x:v>
      </x:c>
      <x:c r="X9" s="68" t="str">
        <x:v>特殊格局与动态岁运另模块处理</x:v>
      </x:c>
      <x:c r="Y9" s="84" t="str">
        <x:v>按证据修正有效旺衰</x:v>
      </x:c>
      <x:c r="Z9" s="68" t="str">
        <x:v>不得直接推出喜忌用神</x:v>
      </x:c>
      <x:c r="AA9" s="84" t="str">
        <x:v>强根受冲保留</x:v>
      </x:c>
      <x:c r="AB9" s="84" t="str">
        <x:v>强根受冲但得令有援，主要表现为被引动与稳定性下降。</x:v>
      </x:c>
      <x:c r="AC9" s="82" t="str">
        <x:v>较高</x:v>
      </x:c>
      <x:c r="AD9" s="82" t="str">
        <x:v>现代综合</x:v>
      </x:c>
      <x:c r="AE9" s="68" t="str">
        <x:v>有效力量必须承接原始力量与实际效应，逐对象、逐节点修正。</x:v>
      </x:c>
      <x:c r="AF9" s="68" t="str">
        <x:v>按该条件逐节点修正可得到不同有效根等级。</x:v>
      </x:c>
      <x:c r="AG9" s="90" t="str">
        <x:v>仅凭关系名称或固定百分比统一扣减根气。</x:v>
      </x:c>
      <x:c r="AH9" s="68" t="str">
        <x:v>https://zh.wikisource.org/zh-hans/滴天髓 ; https://zh.wikisource.org/zh-hans/淵海子平 ; https://zh.wikisource.org/wiki/三命通會</x:v>
      </x:c>
      <x:c r="AI9" s="82" t="str">
        <x:v>采用</x:v>
      </x:c>
      <x:c r="AJ9" s="82" t="str">
        <x:v>初审</x:v>
      </x:c>
      <x:c r="AK9" s="87" t="n">
        <x:v>46255</x:v>
      </x:c>
    </x:row>
    <x:row r="10">
      <x:c r="A10" s="72" t="str">
        <x:f>IF(OR(C10="",D10=""),"",B10&amp;"-"&amp;UPPER(C10)&amp;"-"&amp;TEXT(D10,"0000")&amp;"-"&amp;E10)</x:f>
        <x:v>M08-ROOT-0004-V1.0</x:v>
      </x:c>
      <x:c r="B10" s="74" t="str">
        <x:v>M08</x:v>
      </x:c>
      <x:c r="C10" s="74" t="str">
        <x:v>ROOT</x:v>
      </x:c>
      <x:c r="D10" s="79" t="n">
        <x:v>4</x:v>
      </x:c>
      <x:c r="E10" s="74" t="str">
        <x:v>V1.0</x:v>
      </x:c>
      <x:c r="F10" s="68" t="str">
        <x:v>多重独立根可分散单一根受损风险</x:v>
      </x:c>
      <x:c r="G10" s="82" t="str">
        <x:v>结构层</x:v>
      </x:c>
      <x:c r="H10" s="68" t="str">
        <x:v>M07多根+M06效应</x:v>
      </x:c>
      <x:c r="I10" s="68" t="str">
        <x:v>目标五行</x:v>
      </x:c>
      <x:c r="J10" s="68" t="str">
        <x:v>多根</x:v>
      </x:c>
      <x:c r="K10" s="68" t="str">
        <x:v>其中一根受损</x:v>
      </x:c>
      <x:c r="L10" s="68" t="str">
        <x:v>只下调受损节点</x:v>
      </x:c>
      <x:c r="M10" s="82" t="str">
        <x:v>减弱</x:v>
      </x:c>
      <x:c r="N10" s="82" t="str">
        <x:v>中</x:v>
      </x:c>
      <x:c r="O10" s="82" t="str">
        <x:v>条件性</x:v>
      </x:c>
      <x:c r="P10" s="82" t="str">
        <x:v>否</x:v>
      </x:c>
      <x:c r="Q10" s="82" t="str">
        <x:v>否</x:v>
      </x:c>
      <x:c r="R10" s="82" t="str">
        <x:v>条件性</x:v>
      </x:c>
      <x:c r="S10" s="68" t="str">
        <x:v>前置模块已完成</x:v>
      </x:c>
      <x:c r="T10" s="68" t="str">
        <x:v>作用条件真实成立</x:v>
      </x:c>
      <x:c r="U10" s="68" t="str">
        <x:v>得令、有根、有援可增强</x:v>
      </x:c>
      <x:c r="V10" s="68" t="str">
        <x:v>失令、孤立或受制可削弱</x:v>
      </x:c>
      <x:c r="W10" s="90" t="str">
        <x:v>禁止用关系名称直接替代实际效应</x:v>
      </x:c>
      <x:c r="X10" s="68" t="str">
        <x:v>特殊格局与动态岁运另模块处理</x:v>
      </x:c>
      <x:c r="Y10" s="84" t="str">
        <x:v>按证据修正有效旺衰</x:v>
      </x:c>
      <x:c r="Z10" s="68" t="str">
        <x:v>不得直接推出喜忌用神</x:v>
      </x:c>
      <x:c r="AA10" s="84" t="str">
        <x:v>多根风险分散</x:v>
      </x:c>
      <x:c r="AB10" s="84" t="str">
        <x:v>多处独立根中一根受损，不应扩大为全部根气失效。</x:v>
      </x:c>
      <x:c r="AC10" s="82" t="str">
        <x:v>较高</x:v>
      </x:c>
      <x:c r="AD10" s="82" t="str">
        <x:v>现代综合</x:v>
      </x:c>
      <x:c r="AE10" s="68" t="str">
        <x:v>有效力量必须承接原始力量与实际效应，逐对象、逐节点修正。</x:v>
      </x:c>
      <x:c r="AF10" s="68" t="str">
        <x:v>按该条件逐节点修正可得到不同有效根等级。</x:v>
      </x:c>
      <x:c r="AG10" s="90" t="str">
        <x:v>仅凭关系名称或固定百分比统一扣减根气。</x:v>
      </x:c>
      <x:c r="AH10" s="68" t="str">
        <x:v>https://zh.wikisource.org/zh-hans/滴天髓 ; https://zh.wikisource.org/zh-hans/淵海子平 ; https://zh.wikisource.org/wiki/三命通會</x:v>
      </x:c>
      <x:c r="AI10" s="82" t="str">
        <x:v>采用</x:v>
      </x:c>
      <x:c r="AJ10" s="82" t="str">
        <x:v>初审</x:v>
      </x:c>
      <x:c r="AK10" s="87" t="n">
        <x:v>46255</x:v>
      </x:c>
    </x:row>
    <x:row r="11">
      <x:c r="A11" s="72" t="str">
        <x:f>IF(OR(C11="",D11=""),"",B11&amp;"-"&amp;UPPER(C11)&amp;"-"&amp;TEXT(D11,"0000")&amp;"-"&amp;E11)</x:f>
        <x:v>M08-ROOT-0005-V1.0</x:v>
      </x:c>
      <x:c r="B11" s="74" t="str">
        <x:v>M08</x:v>
      </x:c>
      <x:c r="C11" s="74" t="str">
        <x:v>ROOT</x:v>
      </x:c>
      <x:c r="D11" s="79" t="n">
        <x:v>5</x:v>
      </x:c>
      <x:c r="E11" s="74" t="str">
        <x:v>V1.0</x:v>
      </x:c>
      <x:c r="F11" s="68" t="str">
        <x:v>根支合绊通常先限制功能而非删除根性</x:v>
      </x:c>
      <x:c r="G11" s="82" t="str">
        <x:v>结构层</x:v>
      </x:c>
      <x:c r="H11" s="68" t="str">
        <x:v>M06六合/三合效应</x:v>
      </x:c>
      <x:c r="I11" s="68" t="str">
        <x:v>目标五行</x:v>
      </x:c>
      <x:c r="J11" s="68" t="str">
        <x:v>有根</x:v>
      </x:c>
      <x:c r="K11" s="68" t="str">
        <x:v>根支被合绊未化</x:v>
      </x:c>
      <x:c r="L11" s="68" t="str">
        <x:v>保留根性、下调调用能力</x:v>
      </x:c>
      <x:c r="M11" s="82" t="str">
        <x:v>冻结</x:v>
      </x:c>
      <x:c r="N11" s="82" t="str">
        <x:v>中</x:v>
      </x:c>
      <x:c r="O11" s="82" t="str">
        <x:v>条件性</x:v>
      </x:c>
      <x:c r="P11" s="82" t="str">
        <x:v>否</x:v>
      </x:c>
      <x:c r="Q11" s="82" t="str">
        <x:v>条件性</x:v>
      </x:c>
      <x:c r="R11" s="82" t="str">
        <x:v>是</x:v>
      </x:c>
      <x:c r="S11" s="68" t="str">
        <x:v>前置模块已完成</x:v>
      </x:c>
      <x:c r="T11" s="68" t="str">
        <x:v>作用条件真实成立</x:v>
      </x:c>
      <x:c r="U11" s="68" t="str">
        <x:v>得令、有根、有援可增强</x:v>
      </x:c>
      <x:c r="V11" s="68" t="str">
        <x:v>失令、孤立或受制可削弱</x:v>
      </x:c>
      <x:c r="W11" s="90" t="str">
        <x:v>禁止用关系名称直接替代实际效应</x:v>
      </x:c>
      <x:c r="X11" s="68" t="str">
        <x:v>特殊格局与动态岁运另模块处理</x:v>
      </x:c>
      <x:c r="Y11" s="84" t="str">
        <x:v>按证据修正有效旺衰</x:v>
      </x:c>
      <x:c r="Z11" s="68" t="str">
        <x:v>不得直接推出喜忌用神</x:v>
      </x:c>
      <x:c r="AA11" s="84" t="str">
        <x:v>根气合绊</x:v>
      </x:c>
      <x:c r="AB11" s="84" t="str">
        <x:v>根支被合绊时仍保留原五行根性，但调用受限。</x:v>
      </x:c>
      <x:c r="AC11" s="82" t="str">
        <x:v>较高</x:v>
      </x:c>
      <x:c r="AD11" s="82" t="str">
        <x:v>现代综合</x:v>
      </x:c>
      <x:c r="AE11" s="68" t="str">
        <x:v>有效力量必须承接原始力量与实际效应，逐对象、逐节点修正。</x:v>
      </x:c>
      <x:c r="AF11" s="68" t="str">
        <x:v>按该条件逐节点修正可得到不同有效根等级。</x:v>
      </x:c>
      <x:c r="AG11" s="90" t="str">
        <x:v>仅凭关系名称或固定百分比统一扣减根气。</x:v>
      </x:c>
      <x:c r="AH11" s="68" t="str">
        <x:v>https://zh.wikisource.org/zh-hans/滴天髓 ; https://zh.wikisource.org/zh-hans/淵海子平 ; https://zh.wikisource.org/wiki/三命通會</x:v>
      </x:c>
      <x:c r="AI11" s="82" t="str">
        <x:v>采用</x:v>
      </x:c>
      <x:c r="AJ11" s="82" t="str">
        <x:v>初审</x:v>
      </x:c>
      <x:c r="AK11" s="87" t="n">
        <x:v>46255</x:v>
      </x:c>
    </x:row>
    <x:row r="12">
      <x:c r="A12" s="72" t="str">
        <x:f>IF(OR(C12="",D12=""),"",B12&amp;"-"&amp;UPPER(C12)&amp;"-"&amp;TEXT(D12,"0000")&amp;"-"&amp;E12)</x:f>
        <x:v>M08-ROOT-0006-V1.0</x:v>
      </x:c>
      <x:c r="B12" s="74" t="str">
        <x:v>M08</x:v>
      </x:c>
      <x:c r="C12" s="74" t="str">
        <x:v>ROOT</x:v>
      </x:c>
      <x:c r="D12" s="79" t="n">
        <x:v>6</x:v>
      </x:c>
      <x:c r="E12" s="74" t="str">
        <x:v>V1.0</x:v>
      </x:c>
      <x:c r="F12" s="68" t="str">
        <x:v>根支合化成立时原五行根性按改性程度下调</x:v>
      </x:c>
      <x:c r="G12" s="82" t="str">
        <x:v>结构层</x:v>
      </x:c>
      <x:c r="H12" s="68" t="str">
        <x:v>M06合化成局</x:v>
      </x:c>
      <x:c r="I12" s="68" t="str">
        <x:v>目标五行</x:v>
      </x:c>
      <x:c r="J12" s="68" t="str">
        <x:v>有根</x:v>
      </x:c>
      <x:c r="K12" s="68" t="str">
        <x:v>根支参与合化且化局成立</x:v>
      </x:c>
      <x:c r="L12" s="68" t="str">
        <x:v>原根受限/失效，力量转入化神</x:v>
      </x:c>
      <x:c r="M12" s="82" t="str">
        <x:v>转化</x:v>
      </x:c>
      <x:c r="N12" s="82" t="str">
        <x:v>强</x:v>
      </x:c>
      <x:c r="O12" s="82" t="str">
        <x:v>是</x:v>
      </x:c>
      <x:c r="P12" s="82" t="str">
        <x:v>条件性</x:v>
      </x:c>
      <x:c r="Q12" s="82" t="str">
        <x:v>条件性</x:v>
      </x:c>
      <x:c r="R12" s="82" t="str">
        <x:v>是</x:v>
      </x:c>
      <x:c r="S12" s="68" t="str">
        <x:v>前置模块已完成</x:v>
      </x:c>
      <x:c r="T12" s="68" t="str">
        <x:v>作用条件真实成立</x:v>
      </x:c>
      <x:c r="U12" s="68" t="str">
        <x:v>得令、有根、有援可增强</x:v>
      </x:c>
      <x:c r="V12" s="68" t="str">
        <x:v>失令、孤立或受制可削弱</x:v>
      </x:c>
      <x:c r="W12" s="90" t="str">
        <x:v>禁止用关系名称直接替代实际效应</x:v>
      </x:c>
      <x:c r="X12" s="68" t="str">
        <x:v>特殊格局与动态岁运另模块处理</x:v>
      </x:c>
      <x:c r="Y12" s="84" t="str">
        <x:v>按证据修正有效旺衰</x:v>
      </x:c>
      <x:c r="Z12" s="68" t="str">
        <x:v>不得直接推出喜忌用神</x:v>
      </x:c>
      <x:c r="AA12" s="84" t="str">
        <x:v>根气合化改性</x:v>
      </x:c>
      <x:c r="AB12" s="84" t="str">
        <x:v>根支实质合化后，原五行根性需按改性程度下调。</x:v>
      </x:c>
      <x:c r="AC12" s="82" t="str">
        <x:v>较高</x:v>
      </x:c>
      <x:c r="AD12" s="82" t="str">
        <x:v>现代综合</x:v>
      </x:c>
      <x:c r="AE12" s="68" t="str">
        <x:v>有效力量必须承接原始力量与实际效应，逐对象、逐节点修正。</x:v>
      </x:c>
      <x:c r="AF12" s="68" t="str">
        <x:v>按该条件逐节点修正可得到不同有效根等级。</x:v>
      </x:c>
      <x:c r="AG12" s="90" t="str">
        <x:v>仅凭关系名称或固定百分比统一扣减根气。</x:v>
      </x:c>
      <x:c r="AH12" s="68" t="str">
        <x:v>https://zh.wikisource.org/zh-hans/滴天髓 ; https://zh.wikisource.org/zh-hans/淵海子平 ; https://zh.wikisource.org/wiki/三命通會</x:v>
      </x:c>
      <x:c r="AI12" s="82" t="str">
        <x:v>采用</x:v>
      </x:c>
      <x:c r="AJ12" s="82" t="str">
        <x:v>初审</x:v>
      </x:c>
      <x:c r="AK12" s="87" t="n">
        <x:v>46255</x:v>
      </x:c>
    </x:row>
    <x:row r="13">
      <x:c r="A13" s="72" t="str">
        <x:f>IF(OR(C13="",D13=""),"",B13&amp;"-"&amp;UPPER(C13)&amp;"-"&amp;TEXT(D13,"0000")&amp;"-"&amp;E13)</x:f>
        <x:v>M08-ROOT-0007-V1.0</x:v>
      </x:c>
      <x:c r="B13" s="74" t="str">
        <x:v>M08</x:v>
      </x:c>
      <x:c r="C13" s="74" t="str">
        <x:v>ROOT</x:v>
      </x:c>
      <x:c r="D13" s="79" t="n">
        <x:v>7</x:v>
      </x:c>
      <x:c r="E13" s="74" t="str">
        <x:v>V1.0</x:v>
      </x:c>
      <x:c r="F13" s="68" t="str">
        <x:v>根支被刑以刑动为主时不自动减根</x:v>
      </x:c>
      <x:c r="G13" s="82" t="str">
        <x:v>结构层</x:v>
      </x:c>
      <x:c r="H13" s="68" t="str">
        <x:v>M06三刑效应</x:v>
      </x:c>
      <x:c r="I13" s="68" t="str">
        <x:v>目标五行</x:v>
      </x:c>
      <x:c r="J13" s="68" t="str">
        <x:v>有根</x:v>
      </x:c>
      <x:c r="K13" s="68" t="str">
        <x:v>刑动无强克改性</x:v>
      </x:c>
      <x:c r="L13" s="68" t="str">
        <x:v>保留根气、增加不稳定标签</x:v>
      </x:c>
      <x:c r="M13" s="82" t="str">
        <x:v>激活</x:v>
      </x:c>
      <x:c r="N13" s="82" t="str">
        <x:v>弱</x:v>
      </x:c>
      <x:c r="O13" s="82" t="str">
        <x:v>条件性</x:v>
      </x:c>
      <x:c r="P13" s="82" t="str">
        <x:v>否</x:v>
      </x:c>
      <x:c r="Q13" s="82" t="str">
        <x:v>条件性</x:v>
      </x:c>
      <x:c r="R13" s="82" t="str">
        <x:v>是</x:v>
      </x:c>
      <x:c r="S13" s="68" t="str">
        <x:v>前置模块已完成</x:v>
      </x:c>
      <x:c r="T13" s="68" t="str">
        <x:v>作用条件真实成立</x:v>
      </x:c>
      <x:c r="U13" s="68" t="str">
        <x:v>得令、有根、有援可增强</x:v>
      </x:c>
      <x:c r="V13" s="68" t="str">
        <x:v>失令、孤立或受制可削弱</x:v>
      </x:c>
      <x:c r="W13" s="90" t="str">
        <x:v>禁止用关系名称直接替代实际效应</x:v>
      </x:c>
      <x:c r="X13" s="68" t="str">
        <x:v>特殊格局与动态岁运另模块处理</x:v>
      </x:c>
      <x:c r="Y13" s="84" t="str">
        <x:v>按证据修正有效旺衰</x:v>
      </x:c>
      <x:c r="Z13" s="68" t="str">
        <x:v>不得直接推出喜忌用神</x:v>
      </x:c>
      <x:c r="AA13" s="84" t="str">
        <x:v>刑动不拔根</x:v>
      </x:c>
      <x:c r="AB13" s="84" t="str">
        <x:v>刑动本身不等于根气受损，无强制约时根仍有效。</x:v>
      </x:c>
      <x:c r="AC13" s="82" t="str">
        <x:v>较高</x:v>
      </x:c>
      <x:c r="AD13" s="82" t="str">
        <x:v>现代综合</x:v>
      </x:c>
      <x:c r="AE13" s="68" t="str">
        <x:v>有效力量必须承接原始力量与实际效应，逐对象、逐节点修正。</x:v>
      </x:c>
      <x:c r="AF13" s="68" t="str">
        <x:v>按该条件逐节点修正可得到不同有效根等级。</x:v>
      </x:c>
      <x:c r="AG13" s="90" t="str">
        <x:v>仅凭关系名称或固定百分比统一扣减根气。</x:v>
      </x:c>
      <x:c r="AH13" s="68" t="str">
        <x:v>https://zh.wikisource.org/zh-hans/滴天髓 ; https://zh.wikisource.org/zh-hans/淵海子平 ; https://zh.wikisource.org/wiki/三命通會</x:v>
      </x:c>
      <x:c r="AI13" s="82" t="str">
        <x:v>采用</x:v>
      </x:c>
      <x:c r="AJ13" s="82" t="str">
        <x:v>初审</x:v>
      </x:c>
      <x:c r="AK13" s="87" t="n">
        <x:v>46255</x:v>
      </x:c>
    </x:row>
    <x:row r="14">
      <x:c r="A14" s="72" t="str">
        <x:f>IF(OR(C14="",D14=""),"",B14&amp;"-"&amp;UPPER(C14)&amp;"-"&amp;TEXT(D14,"0000")&amp;"-"&amp;E14)</x:f>
        <x:v>M08-ROOT-0008-V1.0</x:v>
      </x:c>
      <x:c r="B14" s="74" t="str">
        <x:v>M08</x:v>
      </x:c>
      <x:c r="C14" s="74" t="str">
        <x:v>ROOT</x:v>
      </x:c>
      <x:c r="D14" s="79" t="n">
        <x:v>8</x:v>
      </x:c>
      <x:c r="E14" s="74" t="str">
        <x:v>V1.0</x:v>
      </x:c>
      <x:c r="F14" s="68" t="str">
        <x:v>刑伤叠加强克时可下调根气有效等级</x:v>
      </x:c>
      <x:c r="G14" s="82" t="str">
        <x:v>结构层</x:v>
      </x:c>
      <x:c r="H14" s="68" t="str">
        <x:v>M06三刑+相克</x:v>
      </x:c>
      <x:c r="I14" s="68" t="str">
        <x:v>目标五行</x:v>
      </x:c>
      <x:c r="J14" s="68" t="str">
        <x:v>有根</x:v>
      </x:c>
      <x:c r="K14" s="68" t="str">
        <x:v>刑伤与独立强克/冲并见</x:v>
      </x:c>
      <x:c r="L14" s="68" t="str">
        <x:v>下调根气一至多个证据等级</x:v>
      </x:c>
      <x:c r="M14" s="82" t="str">
        <x:v>减弱</x:v>
      </x:c>
      <x:c r="N14" s="82" t="str">
        <x:v>强</x:v>
      </x:c>
      <x:c r="O14" s="82" t="str">
        <x:v>是</x:v>
      </x:c>
      <x:c r="P14" s="82" t="str">
        <x:v>否</x:v>
      </x:c>
      <x:c r="Q14" s="82" t="str">
        <x:v>条件性</x:v>
      </x:c>
      <x:c r="R14" s="82" t="str">
        <x:v>是</x:v>
      </x:c>
      <x:c r="S14" s="68" t="str">
        <x:v>前置模块已完成</x:v>
      </x:c>
      <x:c r="T14" s="68" t="str">
        <x:v>作用条件真实成立</x:v>
      </x:c>
      <x:c r="U14" s="68" t="str">
        <x:v>得令、有根、有援可增强</x:v>
      </x:c>
      <x:c r="V14" s="68" t="str">
        <x:v>失令、孤立或受制可削弱</x:v>
      </x:c>
      <x:c r="W14" s="90" t="str">
        <x:v>禁止用关系名称直接替代实际效应</x:v>
      </x:c>
      <x:c r="X14" s="68" t="str">
        <x:v>特殊格局与动态岁运另模块处理</x:v>
      </x:c>
      <x:c r="Y14" s="84" t="str">
        <x:v>按证据修正有效旺衰</x:v>
      </x:c>
      <x:c r="Z14" s="68" t="str">
        <x:v>不得直接推出喜忌用神</x:v>
      </x:c>
      <x:c r="AA14" s="84" t="str">
        <x:v>刑伤根气修正</x:v>
      </x:c>
      <x:c r="AB14" s="84" t="str">
        <x:v>刑伤叠加强克时可明显下调根气，但需去除同源重复计权。</x:v>
      </x:c>
      <x:c r="AC14" s="82" t="str">
        <x:v>较高</x:v>
      </x:c>
      <x:c r="AD14" s="82" t="str">
        <x:v>现代综合</x:v>
      </x:c>
      <x:c r="AE14" s="68" t="str">
        <x:v>有效力量必须承接原始力量与实际效应，逐对象、逐节点修正。</x:v>
      </x:c>
      <x:c r="AF14" s="68" t="str">
        <x:v>按该条件逐节点修正可得到不同有效根等级。</x:v>
      </x:c>
      <x:c r="AG14" s="90" t="str">
        <x:v>仅凭关系名称或固定百分比统一扣减根气。</x:v>
      </x:c>
      <x:c r="AH14" s="68" t="str">
        <x:v>https://zh.wikisource.org/zh-hans/滴天髓 ; https://zh.wikisource.org/zh-hans/淵海子平 ; https://zh.wikisource.org/wiki/三命通會</x:v>
      </x:c>
      <x:c r="AI14" s="82" t="str">
        <x:v>采用</x:v>
      </x:c>
      <x:c r="AJ14" s="82" t="str">
        <x:v>初审</x:v>
      </x:c>
      <x:c r="AK14" s="87" t="n">
        <x:v>46255</x:v>
      </x:c>
    </x:row>
    <x:row r="15">
      <x:c r="A15" s="72" t="str">
        <x:f>IF(OR(C15="",D15=""),"",B15&amp;"-"&amp;UPPER(C15)&amp;"-"&amp;TEXT(D15,"0000")&amp;"-"&amp;E15)</x:f>
        <x:v>M08-ROOT-0009-V1.0</x:v>
      </x:c>
      <x:c r="B15" s="74" t="str">
        <x:v>M08</x:v>
      </x:c>
      <x:c r="C15" s="74" t="str">
        <x:v>ROOT</x:v>
      </x:c>
      <x:c r="D15" s="79" t="n">
        <x:v>9</x:v>
      </x:c>
      <x:c r="E15" s="74" t="str">
        <x:v>V1.0</x:v>
      </x:c>
      <x:c r="F15" s="68" t="str">
        <x:v>害破通常只作低至中度根气修正</x:v>
      </x:c>
      <x:c r="G15" s="82" t="str">
        <x:v>结构层</x:v>
      </x:c>
      <x:c r="H15" s="68" t="str">
        <x:v>M06六害六破</x:v>
      </x:c>
      <x:c r="I15" s="68" t="str">
        <x:v>目标五行</x:v>
      </x:c>
      <x:c r="J15" s="68" t="str">
        <x:v>有根</x:v>
      </x:c>
      <x:c r="K15" s="68" t="str">
        <x:v>受害或受破</x:v>
      </x:c>
      <x:c r="L15" s="68" t="str">
        <x:v>默认只下调稳定性</x:v>
      </x:c>
      <x:c r="M15" s="82" t="str">
        <x:v>减弱</x:v>
      </x:c>
      <x:c r="N15" s="82" t="str">
        <x:v>弱</x:v>
      </x:c>
      <x:c r="O15" s="82" t="str">
        <x:v>条件性</x:v>
      </x:c>
      <x:c r="P15" s="82" t="str">
        <x:v>否</x:v>
      </x:c>
      <x:c r="Q15" s="82" t="str">
        <x:v>否</x:v>
      </x:c>
      <x:c r="R15" s="82" t="str">
        <x:v>是</x:v>
      </x:c>
      <x:c r="S15" s="68" t="str">
        <x:v>前置模块已完成</x:v>
      </x:c>
      <x:c r="T15" s="68" t="str">
        <x:v>作用条件真实成立</x:v>
      </x:c>
      <x:c r="U15" s="68" t="str">
        <x:v>得令、有根、有援可增强</x:v>
      </x:c>
      <x:c r="V15" s="68" t="str">
        <x:v>失令、孤立或受制可削弱</x:v>
      </x:c>
      <x:c r="W15" s="90" t="str">
        <x:v>禁止用关系名称直接替代实际效应</x:v>
      </x:c>
      <x:c r="X15" s="68" t="str">
        <x:v>特殊格局与动态岁运另模块处理</x:v>
      </x:c>
      <x:c r="Y15" s="84" t="str">
        <x:v>按证据修正有效旺衰</x:v>
      </x:c>
      <x:c r="Z15" s="68" t="str">
        <x:v>不得直接推出喜忌用神</x:v>
      </x:c>
      <x:c r="AA15" s="84" t="str">
        <x:v>害破低权重</x:v>
      </x:c>
      <x:c r="AB15" s="84" t="str">
        <x:v>害破默认只作低权重根气修正，叠加强作用时才升级。</x:v>
      </x:c>
      <x:c r="AC15" s="82" t="str">
        <x:v>较高</x:v>
      </x:c>
      <x:c r="AD15" s="82" t="str">
        <x:v>现代综合</x:v>
      </x:c>
      <x:c r="AE15" s="68" t="str">
        <x:v>有效力量必须承接原始力量与实际效应，逐对象、逐节点修正。</x:v>
      </x:c>
      <x:c r="AF15" s="68" t="str">
        <x:v>按该条件逐节点修正可得到不同有效根等级。</x:v>
      </x:c>
      <x:c r="AG15" s="90" t="str">
        <x:v>仅凭关系名称或固定百分比统一扣减根气。</x:v>
      </x:c>
      <x:c r="AH15" s="68" t="str">
        <x:v>https://zh.wikisource.org/zh-hans/滴天髓 ; https://zh.wikisource.org/zh-hans/淵海子平 ; https://zh.wikisource.org/wiki/三命通會</x:v>
      </x:c>
      <x:c r="AI15" s="82" t="str">
        <x:v>采用</x:v>
      </x:c>
      <x:c r="AJ15" s="82" t="str">
        <x:v>初审</x:v>
      </x:c>
      <x:c r="AK15" s="87" t="n">
        <x:v>46255</x:v>
      </x:c>
    </x:row>
    <x:row r="16">
      <x:c r="A16" s="72" t="str">
        <x:f>IF(OR(C16="",D16=""),"",B16&amp;"-"&amp;UPPER(C16)&amp;"-"&amp;TEXT(D16,"0000")&amp;"-"&amp;E16)</x:f>
        <x:v>M08-ROOT-0010-V1.0</x:v>
      </x:c>
      <x:c r="B16" s="74" t="str">
        <x:v>M08</x:v>
      </x:c>
      <x:c r="C16" s="74" t="str">
        <x:v>ROOT</x:v>
      </x:c>
      <x:c r="D16" s="79" t="n">
        <x:v>10</x:v>
      </x:c>
      <x:c r="E16" s="74" t="str">
        <x:v>V1.0</x:v>
      </x:c>
      <x:c r="F16" s="68" t="str">
        <x:v>墓库根被冲需区分开库、冲动与冲坏</x:v>
      </x:c>
      <x:c r="G16" s="82" t="str">
        <x:v>结构层</x:v>
      </x:c>
      <x:c r="H16" s="68" t="str">
        <x:v>M06六冲/墓库</x:v>
      </x:c>
      <x:c r="I16" s="68" t="str">
        <x:v>目标五行</x:v>
      </x:c>
      <x:c r="J16" s="68" t="str">
        <x:v>库根</x:v>
      </x:c>
      <x:c r="K16" s="68" t="str">
        <x:v>墓库逢冲</x:v>
      </x:c>
      <x:c r="L16" s="68" t="str">
        <x:v>按开库/冲动/冲坏分别修正</x:v>
      </x:c>
      <x:c r="M16" s="82" t="str">
        <x:v>条件性</x:v>
      </x:c>
      <x:c r="N16" s="82" t="str">
        <x:v>强</x:v>
      </x:c>
      <x:c r="O16" s="82" t="str">
        <x:v>条件性</x:v>
      </x:c>
      <x:c r="P16" s="82" t="str">
        <x:v>条件性</x:v>
      </x:c>
      <x:c r="Q16" s="82" t="str">
        <x:v>条件性</x:v>
      </x:c>
      <x:c r="R16" s="82" t="str">
        <x:v>是</x:v>
      </x:c>
      <x:c r="S16" s="68" t="str">
        <x:v>前置模块已完成</x:v>
      </x:c>
      <x:c r="T16" s="68" t="str">
        <x:v>作用条件真实成立</x:v>
      </x:c>
      <x:c r="U16" s="68" t="str">
        <x:v>得令、有根、有援可增强</x:v>
      </x:c>
      <x:c r="V16" s="68" t="str">
        <x:v>失令、孤立或受制可削弱</x:v>
      </x:c>
      <x:c r="W16" s="90" t="str">
        <x:v>禁止用关系名称直接替代实际效应</x:v>
      </x:c>
      <x:c r="X16" s="68" t="str">
        <x:v>特殊格局与动态岁运另模块处理</x:v>
      </x:c>
      <x:c r="Y16" s="84" t="str">
        <x:v>按证据修正有效旺衰</x:v>
      </x:c>
      <x:c r="Z16" s="68" t="str">
        <x:v>不得直接推出喜忌用神</x:v>
      </x:c>
      <x:c r="AA16" s="84" t="str">
        <x:v>墓库冲效应</x:v>
      </x:c>
      <x:c r="AB16" s="84" t="str">
        <x:v>墓库逢冲不得一律开库，应按实际藏干可用性调整。</x:v>
      </x:c>
      <x:c r="AC16" s="82" t="str">
        <x:v>较高</x:v>
      </x:c>
      <x:c r="AD16" s="82" t="str">
        <x:v>现代综合</x:v>
      </x:c>
      <x:c r="AE16" s="68" t="str">
        <x:v>有效力量必须承接原始力量与实际效应，逐对象、逐节点修正。</x:v>
      </x:c>
      <x:c r="AF16" s="68" t="str">
        <x:v>按该条件逐节点修正可得到不同有效根等级。</x:v>
      </x:c>
      <x:c r="AG16" s="90" t="str">
        <x:v>仅凭关系名称或固定百分比统一扣减根气。</x:v>
      </x:c>
      <x:c r="AH16" s="68" t="str">
        <x:v>https://zh.wikisource.org/zh-hans/滴天髓 ; https://zh.wikisource.org/zh-hans/淵海子平 ; https://zh.wikisource.org/wiki/三命通會</x:v>
      </x:c>
      <x:c r="AI16" s="82" t="str">
        <x:v>采用</x:v>
      </x:c>
      <x:c r="AJ16" s="82" t="str">
        <x:v>初审</x:v>
      </x:c>
      <x:c r="AK16" s="87" t="n">
        <x:v>46255</x:v>
      </x:c>
    </x:row>
    <x:row r="17">
      <x:c r="A17" s="72" t="str">
        <x:f>IF(OR(C17="",D17=""),"",B17&amp;"-"&amp;UPPER(C17)&amp;"-"&amp;TEXT(D17,"0000")&amp;"-"&amp;E17)</x:f>
        <x:v>M08-ROOT-0011-V1.0</x:v>
      </x:c>
      <x:c r="B17" s="74" t="str">
        <x:v>M08</x:v>
      </x:c>
      <x:c r="C17" s="74" t="str">
        <x:v>ROOT</x:v>
      </x:c>
      <x:c r="D17" s="79" t="n">
        <x:v>11</x:v>
      </x:c>
      <x:c r="E17" s="74" t="str">
        <x:v>V1.0</x:v>
      </x:c>
      <x:c r="F17" s="68" t="str">
        <x:v>墓库被合住时藏干调用能力下降</x:v>
      </x:c>
      <x:c r="G17" s="82" t="str">
        <x:v>结构层</x:v>
      </x:c>
      <x:c r="H17" s="68" t="str">
        <x:v>M06六合/合绊</x:v>
      </x:c>
      <x:c r="I17" s="68" t="str">
        <x:v>目标五行</x:v>
      </x:c>
      <x:c r="J17" s="68" t="str">
        <x:v>库根</x:v>
      </x:c>
      <x:c r="K17" s="68" t="str">
        <x:v>库支被合绊</x:v>
      </x:c>
      <x:c r="L17" s="68" t="str">
        <x:v>库根存在、藏干调用下降</x:v>
      </x:c>
      <x:c r="M17" s="82" t="str">
        <x:v>冻结</x:v>
      </x:c>
      <x:c r="N17" s="82" t="str">
        <x:v>中</x:v>
      </x:c>
      <x:c r="O17" s="82" t="str">
        <x:v>条件性</x:v>
      </x:c>
      <x:c r="P17" s="82" t="str">
        <x:v>否</x:v>
      </x:c>
      <x:c r="Q17" s="82" t="str">
        <x:v>条件性</x:v>
      </x:c>
      <x:c r="R17" s="82" t="str">
        <x:v>是</x:v>
      </x:c>
      <x:c r="S17" s="68" t="str">
        <x:v>前置模块已完成</x:v>
      </x:c>
      <x:c r="T17" s="68" t="str">
        <x:v>作用条件真实成立</x:v>
      </x:c>
      <x:c r="U17" s="68" t="str">
        <x:v>得令、有根、有援可增强</x:v>
      </x:c>
      <x:c r="V17" s="68" t="str">
        <x:v>失令、孤立或受制可削弱</x:v>
      </x:c>
      <x:c r="W17" s="90" t="str">
        <x:v>禁止用关系名称直接替代实际效应</x:v>
      </x:c>
      <x:c r="X17" s="68" t="str">
        <x:v>特殊格局与动态岁运另模块处理</x:v>
      </x:c>
      <x:c r="Y17" s="84" t="str">
        <x:v>按证据修正有效旺衰</x:v>
      </x:c>
      <x:c r="Z17" s="68" t="str">
        <x:v>不得直接推出喜忌用神</x:v>
      </x:c>
      <x:c r="AA17" s="84" t="str">
        <x:v>库根合绊</x:v>
      </x:c>
      <x:c r="AB17" s="84" t="str">
        <x:v>库支被合绊时藏干仍存在，但有效调用能力下降。</x:v>
      </x:c>
      <x:c r="AC17" s="82" t="str">
        <x:v>较高</x:v>
      </x:c>
      <x:c r="AD17" s="82" t="str">
        <x:v>现代综合</x:v>
      </x:c>
      <x:c r="AE17" s="68" t="str">
        <x:v>有效力量必须承接原始力量与实际效应，逐对象、逐节点修正。</x:v>
      </x:c>
      <x:c r="AF17" s="68" t="str">
        <x:v>按该条件逐节点修正可得到不同有效根等级。</x:v>
      </x:c>
      <x:c r="AG17" s="90" t="str">
        <x:v>仅凭关系名称或固定百分比统一扣减根气。</x:v>
      </x:c>
      <x:c r="AH17" s="68" t="str">
        <x:v>https://zh.wikisource.org/zh-hans/滴天髓 ; https://zh.wikisource.org/zh-hans/淵海子平 ; https://zh.wikisource.org/wiki/三命通會</x:v>
      </x:c>
      <x:c r="AI17" s="82" t="str">
        <x:v>采用</x:v>
      </x:c>
      <x:c r="AJ17" s="82" t="str">
        <x:v>初审</x:v>
      </x:c>
      <x:c r="AK17" s="87" t="n">
        <x:v>46255</x:v>
      </x:c>
    </x:row>
    <x:row r="18">
      <x:c r="A18" s="72" t="str">
        <x:f>IF(OR(C18="",D18=""),"",B18&amp;"-"&amp;UPPER(C18)&amp;"-"&amp;TEXT(D18,"0000")&amp;"-"&amp;E18)</x:f>
        <x:v>M08-ROOT-0012-V1.0</x:v>
      </x:c>
      <x:c r="B18" s="74" t="str">
        <x:v>M08</x:v>
      </x:c>
      <x:c r="C18" s="74" t="str">
        <x:v>ROOT</x:v>
      </x:c>
      <x:c r="D18" s="79" t="n">
        <x:v>12</x:v>
      </x:c>
      <x:c r="E18" s="74" t="str">
        <x:v>V1.0</x:v>
      </x:c>
      <x:c r="F18" s="68" t="str">
        <x:v>透干可缓冲受损根的可调用性但不能凭空造根</x:v>
      </x:c>
      <x:c r="G18" s="82" t="str">
        <x:v>结构层</x:v>
      </x:c>
      <x:c r="H18" s="68" t="str">
        <x:v>M07透干+M06根效应</x:v>
      </x:c>
      <x:c r="I18" s="68" t="str">
        <x:v>目标五行</x:v>
      </x:c>
      <x:c r="J18" s="68" t="str">
        <x:v>根受限且同五行透干</x:v>
      </x:c>
      <x:c r="K18" s="68" t="str">
        <x:v>透根相应</x:v>
      </x:c>
      <x:c r="L18" s="68" t="str">
        <x:v>部分缓冲根损伤</x:v>
      </x:c>
      <x:c r="M18" s="82" t="str">
        <x:v>增强</x:v>
      </x:c>
      <x:c r="N18" s="82" t="str">
        <x:v>中</x:v>
      </x:c>
      <x:c r="O18" s="82" t="str">
        <x:v>条件性</x:v>
      </x:c>
      <x:c r="P18" s="82" t="str">
        <x:v>否</x:v>
      </x:c>
      <x:c r="Q18" s="82" t="str">
        <x:v>是</x:v>
      </x:c>
      <x:c r="R18" s="82" t="str">
        <x:v>条件性</x:v>
      </x:c>
      <x:c r="S18" s="68" t="str">
        <x:v>前置模块已完成</x:v>
      </x:c>
      <x:c r="T18" s="68" t="str">
        <x:v>作用条件真实成立</x:v>
      </x:c>
      <x:c r="U18" s="68" t="str">
        <x:v>得令、有根、有援可增强</x:v>
      </x:c>
      <x:c r="V18" s="68" t="str">
        <x:v>失令、孤立或受制可削弱</x:v>
      </x:c>
      <x:c r="W18" s="90" t="str">
        <x:v>禁止用关系名称直接替代实际效应</x:v>
      </x:c>
      <x:c r="X18" s="68" t="str">
        <x:v>特殊格局与动态岁运另模块处理</x:v>
      </x:c>
      <x:c r="Y18" s="84" t="str">
        <x:v>按证据修正有效旺衰</x:v>
      </x:c>
      <x:c r="Z18" s="68" t="str">
        <x:v>不得直接推出喜忌用神</x:v>
      </x:c>
      <x:c r="AA18" s="84" t="str">
        <x:v>透干缓冲根损</x:v>
      </x:c>
      <x:c r="AB18" s="84" t="str">
        <x:v>有同五行透干可缓冲根损，但不能恢复已不存在的根位。</x:v>
      </x:c>
      <x:c r="AC18" s="82" t="str">
        <x:v>较高</x:v>
      </x:c>
      <x:c r="AD18" s="82" t="str">
        <x:v>现代综合</x:v>
      </x:c>
      <x:c r="AE18" s="68" t="str">
        <x:v>有效力量必须承接原始力量与实际效应，逐对象、逐节点修正。</x:v>
      </x:c>
      <x:c r="AF18" s="68" t="str">
        <x:v>按该条件逐节点修正可得到不同有效根等级。</x:v>
      </x:c>
      <x:c r="AG18" s="90" t="str">
        <x:v>仅凭关系名称或固定百分比统一扣减根气。</x:v>
      </x:c>
      <x:c r="AH18" s="68" t="str">
        <x:v>https://zh.wikisource.org/zh-hans/滴天髓 ; https://zh.wikisource.org/zh-hans/淵海子平 ; https://zh.wikisource.org/wiki/三命通會</x:v>
      </x:c>
      <x:c r="AI18" s="82" t="str">
        <x:v>采用</x:v>
      </x:c>
      <x:c r="AJ18" s="82" t="str">
        <x:v>初审</x:v>
      </x:c>
      <x:c r="AK18" s="87" t="n">
        <x:v>46255</x:v>
      </x:c>
    </x:row>
    <x:row r="19">
      <x:c r="A19" s="72" t="str">
        <x:f>IF(OR(C19="",D19=""),"",B19&amp;"-"&amp;UPPER(C19)&amp;"-"&amp;TEXT(D19,"0000")&amp;"-"&amp;E19)</x:f>
        <x:v>M08-ROOT-0013-V1.0</x:v>
      </x:c>
      <x:c r="B19" s="74" t="str">
        <x:v>M08</x:v>
      </x:c>
      <x:c r="C19" s="74" t="str">
        <x:v>ROOT</x:v>
      </x:c>
      <x:c r="D19" s="79" t="n">
        <x:v>13</x:v>
      </x:c>
      <x:c r="E19" s="74" t="str">
        <x:v>V1.0</x:v>
      </x:c>
      <x:c r="F19" s="68" t="str">
        <x:v>多重根共同参与成局时避免原根与化神双算</x:v>
      </x:c>
      <x:c r="G19" s="82" t="str">
        <x:v>结构层</x:v>
      </x:c>
      <x:c r="H19" s="68" t="str">
        <x:v>M06成局+M07多根</x:v>
      </x:c>
      <x:c r="I19" s="68" t="str">
        <x:v>目标五行</x:v>
      </x:c>
      <x:c r="J19" s="68" t="str">
        <x:v>多根</x:v>
      </x:c>
      <x:c r="K19" s="68" t="str">
        <x:v>多支共同合会化局</x:v>
      </x:c>
      <x:c r="L19" s="68" t="str">
        <x:v>按节点分配残余原性</x:v>
      </x:c>
      <x:c r="M19" s="82" t="str">
        <x:v>转化</x:v>
      </x:c>
      <x:c r="N19" s="82" t="str">
        <x:v>强</x:v>
      </x:c>
      <x:c r="O19" s="82" t="str">
        <x:v>是</x:v>
      </x:c>
      <x:c r="P19" s="82" t="str">
        <x:v>条件性</x:v>
      </x:c>
      <x:c r="Q19" s="82" t="str">
        <x:v>条件性</x:v>
      </x:c>
      <x:c r="R19" s="82" t="str">
        <x:v>是</x:v>
      </x:c>
      <x:c r="S19" s="68" t="str">
        <x:v>前置模块已完成</x:v>
      </x:c>
      <x:c r="T19" s="68" t="str">
        <x:v>作用条件真实成立</x:v>
      </x:c>
      <x:c r="U19" s="68" t="str">
        <x:v>得令、有根、有援可增强</x:v>
      </x:c>
      <x:c r="V19" s="68" t="str">
        <x:v>失令、孤立或受制可削弱</x:v>
      </x:c>
      <x:c r="W19" s="90" t="str">
        <x:v>禁止用关系名称直接替代实际效应</x:v>
      </x:c>
      <x:c r="X19" s="68" t="str">
        <x:v>特殊格局与动态岁运另模块处理</x:v>
      </x:c>
      <x:c r="Y19" s="84" t="str">
        <x:v>按证据修正有效旺衰</x:v>
      </x:c>
      <x:c r="Z19" s="68" t="str">
        <x:v>不得直接推出喜忌用神</x:v>
      </x:c>
      <x:c r="AA19" s="84" t="str">
        <x:v>成局根气去重</x:v>
      </x:c>
      <x:c r="AB19" s="84" t="str">
        <x:v>合会成局后原根与化神力量必须去重分配。</x:v>
      </x:c>
      <x:c r="AC19" s="82" t="str">
        <x:v>较高</x:v>
      </x:c>
      <x:c r="AD19" s="82" t="str">
        <x:v>现代综合</x:v>
      </x:c>
      <x:c r="AE19" s="68" t="str">
        <x:v>有效力量必须承接原始力量与实际效应，逐对象、逐节点修正。</x:v>
      </x:c>
      <x:c r="AF19" s="68" t="str">
        <x:v>按该条件逐节点修正可得到不同有效根等级。</x:v>
      </x:c>
      <x:c r="AG19" s="90" t="str">
        <x:v>仅凭关系名称或固定百分比统一扣减根气。</x:v>
      </x:c>
      <x:c r="AH19" s="68" t="str">
        <x:v>https://zh.wikisource.org/zh-hans/滴天髓 ; https://zh.wikisource.org/zh-hans/淵海子平 ; https://zh.wikisource.org/wiki/三命通會</x:v>
      </x:c>
      <x:c r="AI19" s="82" t="str">
        <x:v>采用</x:v>
      </x:c>
      <x:c r="AJ19" s="82" t="str">
        <x:v>初审</x:v>
      </x:c>
      <x:c r="AK19" s="87" t="n">
        <x:v>46255</x:v>
      </x:c>
    </x:row>
    <x:row r="20">
      <x:c r="A20" s="72" t="str">
        <x:f>IF(OR(C20="",D20=""),"",B20&amp;"-"&amp;UPPER(C20)&amp;"-"&amp;TEXT(D20,"0000")&amp;"-"&amp;E20)</x:f>
        <x:v>M08-ROOT-0014-V1.0</x:v>
      </x:c>
      <x:c r="B20" s="74" t="str">
        <x:v>M08</x:v>
      </x:c>
      <x:c r="C20" s="74" t="str">
        <x:v>ROOT</x:v>
      </x:c>
      <x:c r="D20" s="79" t="n">
        <x:v>14</x:v>
      </x:c>
      <x:c r="E20" s="74" t="str">
        <x:v>V1.0</x:v>
      </x:c>
      <x:c r="F20" s="68" t="str">
        <x:v>根气有效性以独立节点而非标签数量汇总</x:v>
      </x:c>
      <x:c r="G20" s="82" t="str">
        <x:v>结构层</x:v>
      </x:c>
      <x:c r="H20" s="68" t="str">
        <x:v>M07证据容量</x:v>
      </x:c>
      <x:c r="I20" s="68" t="str">
        <x:v>目标五行</x:v>
      </x:c>
      <x:c r="J20" s="68" t="str">
        <x:v>多标签根证据</x:v>
      </x:c>
      <x:c r="K20" s="68" t="str">
        <x:v>同一节点被多种标签描述</x:v>
      </x:c>
      <x:c r="L20" s="68" t="str">
        <x:v>压缩为单一节点容量</x:v>
      </x:c>
      <x:c r="M20" s="82" t="str">
        <x:v>不变</x:v>
      </x:c>
      <x:c r="N20" s="82" t="str">
        <x:v>中</x:v>
      </x:c>
      <x:c r="O20" s="82" t="str">
        <x:v>否</x:v>
      </x:c>
      <x:c r="P20" s="82" t="str">
        <x:v>否</x:v>
      </x:c>
      <x:c r="Q20" s="82" t="str">
        <x:v>否</x:v>
      </x:c>
      <x:c r="R20" s="82" t="str">
        <x:v>否</x:v>
      </x:c>
      <x:c r="S20" s="68" t="str">
        <x:v>前置模块已完成</x:v>
      </x:c>
      <x:c r="T20" s="68" t="str">
        <x:v>作用条件真实成立</x:v>
      </x:c>
      <x:c r="U20" s="68" t="str">
        <x:v>得令、有根、有援可增强</x:v>
      </x:c>
      <x:c r="V20" s="68" t="str">
        <x:v>失令、孤立或受制可削弱</x:v>
      </x:c>
      <x:c r="W20" s="90" t="str">
        <x:v>禁止用关系名称直接替代实际效应</x:v>
      </x:c>
      <x:c r="X20" s="68" t="str">
        <x:v>特殊格局与动态岁运另模块处理</x:v>
      </x:c>
      <x:c r="Y20" s="84" t="str">
        <x:v>按证据修正有效旺衰</x:v>
      </x:c>
      <x:c r="Z20" s="68" t="str">
        <x:v>不得直接推出喜忌用神</x:v>
      </x:c>
      <x:c r="AA20" s="84" t="str">
        <x:v>根气证据去重</x:v>
      </x:c>
      <x:c r="AB20" s="84" t="str">
        <x:v>同一支位的根、同党、得地等标签不得重复满额加权。</x:v>
      </x:c>
      <x:c r="AC20" s="82" t="str">
        <x:v>较高</x:v>
      </x:c>
      <x:c r="AD20" s="82" t="str">
        <x:v>现代综合</x:v>
      </x:c>
      <x:c r="AE20" s="68" t="str">
        <x:v>有效力量必须承接原始力量与实际效应，逐对象、逐节点修正。</x:v>
      </x:c>
      <x:c r="AF20" s="68" t="str">
        <x:v>按该条件逐节点修正可得到不同有效根等级。</x:v>
      </x:c>
      <x:c r="AG20" s="90" t="str">
        <x:v>仅凭关系名称或固定百分比统一扣减根气。</x:v>
      </x:c>
      <x:c r="AH20" s="68" t="str">
        <x:v>https://zh.wikisource.org/zh-hans/滴天髓 ; https://zh.wikisource.org/zh-hans/淵海子平 ; https://zh.wikisource.org/wiki/三命通會</x:v>
      </x:c>
      <x:c r="AI20" s="82" t="str">
        <x:v>采用</x:v>
      </x:c>
      <x:c r="AJ20" s="82" t="str">
        <x:v>初审</x:v>
      </x:c>
      <x:c r="AK20" s="87" t="n">
        <x:v>46255</x:v>
      </x:c>
    </x:row>
    <x:row r="21">
      <x:c r="A21" s="72" t="str">
        <x:f>IF(OR(C21="",D21=""),"",B21&amp;"-"&amp;UPPER(C21)&amp;"-"&amp;TEXT(D21,"0000")&amp;"-"&amp;E21)</x:f>
        <x:v>M08-ROOT-0015-V1.0</x:v>
      </x:c>
      <x:c r="B21" s="74" t="str">
        <x:v>M08</x:v>
      </x:c>
      <x:c r="C21" s="74" t="str">
        <x:v>ROOT</x:v>
      </x:c>
      <x:c r="D21" s="79" t="n">
        <x:v>15</x:v>
      </x:c>
      <x:c r="E21" s="74" t="str">
        <x:v>V1.0</x:v>
      </x:c>
      <x:c r="F21" s="68" t="str">
        <x:v>原始无根若因已成立化局可生成条件性新根</x:v>
      </x:c>
      <x:c r="G21" s="82" t="str">
        <x:v>结构层</x:v>
      </x:c>
      <x:c r="H21" s="68" t="str">
        <x:v>M06转化接口</x:v>
      </x:c>
      <x:c r="I21" s="68" t="str">
        <x:v>目标五行</x:v>
      </x:c>
      <x:c r="J21" s="68" t="str">
        <x:v>M07判无根</x:v>
      </x:c>
      <x:c r="K21" s="68" t="str">
        <x:v>化局化出目标五行</x:v>
      </x:c>
      <x:c r="L21" s="68" t="str">
        <x:v>由无根修正为条件性新根</x:v>
      </x:c>
      <x:c r="M21" s="82" t="str">
        <x:v>转化</x:v>
      </x:c>
      <x:c r="N21" s="82" t="str">
        <x:v>中</x:v>
      </x:c>
      <x:c r="O21" s="82" t="str">
        <x:v>是</x:v>
      </x:c>
      <x:c r="P21" s="82" t="str">
        <x:v>条件性</x:v>
      </x:c>
      <x:c r="Q21" s="82" t="str">
        <x:v>条件性</x:v>
      </x:c>
      <x:c r="R21" s="82" t="str">
        <x:v>是</x:v>
      </x:c>
      <x:c r="S21" s="68" t="str">
        <x:v>前置模块已完成</x:v>
      </x:c>
      <x:c r="T21" s="68" t="str">
        <x:v>作用条件真实成立</x:v>
      </x:c>
      <x:c r="U21" s="68" t="str">
        <x:v>得令、有根、有援可增强</x:v>
      </x:c>
      <x:c r="V21" s="68" t="str">
        <x:v>失令、孤立或受制可削弱</x:v>
      </x:c>
      <x:c r="W21" s="90" t="str">
        <x:v>禁止用关系名称直接替代实际效应</x:v>
      </x:c>
      <x:c r="X21" s="68" t="str">
        <x:v>特殊格局与动态岁运另模块处理</x:v>
      </x:c>
      <x:c r="Y21" s="84" t="str">
        <x:v>按证据修正有效旺衰</x:v>
      </x:c>
      <x:c r="Z21" s="68" t="str">
        <x:v>不得直接推出喜忌用神</x:v>
      </x:c>
      <x:c r="AA21" s="84" t="str">
        <x:v>化局新生根</x:v>
      </x:c>
      <x:c r="AB21" s="84" t="str">
        <x:v>原始无根若因严格成立的化局产生目标五行，可新增条件性有效根。</x:v>
      </x:c>
      <x:c r="AC21" s="82" t="str">
        <x:v>较高</x:v>
      </x:c>
      <x:c r="AD21" s="82" t="str">
        <x:v>现代综合</x:v>
      </x:c>
      <x:c r="AE21" s="68" t="str">
        <x:v>有效力量必须承接原始力量与实际效应，逐对象、逐节点修正。</x:v>
      </x:c>
      <x:c r="AF21" s="68" t="str">
        <x:v>按该条件逐节点修正可得到不同有效根等级。</x:v>
      </x:c>
      <x:c r="AG21" s="90" t="str">
        <x:v>仅凭关系名称或固定百分比统一扣减根气。</x:v>
      </x:c>
      <x:c r="AH21" s="68" t="str">
        <x:v>https://zh.wikisource.org/zh-hans/滴天髓 ; https://zh.wikisource.org/zh-hans/淵海子平 ; https://zh.wikisource.org/wiki/三命通會</x:v>
      </x:c>
      <x:c r="AI21" s="82" t="str">
        <x:v>采用</x:v>
      </x:c>
      <x:c r="AJ21" s="82" t="str">
        <x:v>初审</x:v>
      </x:c>
      <x:c r="AK21" s="87" t="n">
        <x:v>46255</x:v>
      </x:c>
    </x:row>
    <x:row r="22">
      <x:c r="A22" s="72" t="str">
        <x:f>IF(OR(C22="",D22=""),"",B22&amp;"-"&amp;UPPER(C22)&amp;"-"&amp;TEXT(D22,"0000")&amp;"-"&amp;E22)</x:f>
        <x:v>M08-ROOT-0016-V1.0</x:v>
      </x:c>
      <x:c r="B22" s="74" t="str">
        <x:v>M08</x:v>
      </x:c>
      <x:c r="C22" s="74" t="str">
        <x:v>ROOT</x:v>
      </x:c>
      <x:c r="D22" s="79" t="n">
        <x:v>16</x:v>
      </x:c>
      <x:c r="E22" s="74" t="str">
        <x:v>V1.0</x:v>
      </x:c>
      <x:c r="F22" s="68" t="str">
        <x:v>根气强弱修正不得脱离季令与全局势能</x:v>
      </x:c>
      <x:c r="G22" s="82" t="str">
        <x:v>结构层</x:v>
      </x:c>
      <x:c r="H22" s="68" t="str">
        <x:v>M03/M07/M06综合</x:v>
      </x:c>
      <x:c r="I22" s="68" t="str">
        <x:v>目标五行</x:v>
      </x:c>
      <x:c r="J22" s="68" t="str">
        <x:v>有根</x:v>
      </x:c>
      <x:c r="K22" s="68" t="str">
        <x:v>根支处于不同全局环境</x:v>
      </x:c>
      <x:c r="L22" s="68" t="str">
        <x:v>由季令、同党、生源和对手共同限定</x:v>
      </x:c>
      <x:c r="M22" s="82" t="str">
        <x:v>条件性</x:v>
      </x:c>
      <x:c r="N22" s="82" t="str">
        <x:v>中</x:v>
      </x:c>
      <x:c r="O22" s="82" t="str">
        <x:v>条件性</x:v>
      </x:c>
      <x:c r="P22" s="82" t="str">
        <x:v>否</x:v>
      </x:c>
      <x:c r="Q22" s="82" t="str">
        <x:v>否</x:v>
      </x:c>
      <x:c r="R22" s="82" t="str">
        <x:v>条件性</x:v>
      </x:c>
      <x:c r="S22" s="68" t="str">
        <x:v>前置模块已完成</x:v>
      </x:c>
      <x:c r="T22" s="68" t="str">
        <x:v>作用条件真实成立</x:v>
      </x:c>
      <x:c r="U22" s="68" t="str">
        <x:v>得令、有根、有援可增强</x:v>
      </x:c>
      <x:c r="V22" s="68" t="str">
        <x:v>失令、孤立或受制可削弱</x:v>
      </x:c>
      <x:c r="W22" s="90" t="str">
        <x:v>禁止用关系名称直接替代实际效应</x:v>
      </x:c>
      <x:c r="X22" s="68" t="str">
        <x:v>特殊格局与动态岁运另模块处理</x:v>
      </x:c>
      <x:c r="Y22" s="84" t="str">
        <x:v>按证据修正有效旺衰</x:v>
      </x:c>
      <x:c r="Z22" s="68" t="str">
        <x:v>不得直接推出喜忌用神</x:v>
      </x:c>
      <x:c r="AA22" s="84" t="str">
        <x:v>根气综合修正</x:v>
      </x:c>
      <x:c r="AB22" s="84" t="str">
        <x:v>本气、中气、余气只是起点，有效根强弱仍需结合全局修正。</x:v>
      </x:c>
      <x:c r="AC22" s="82" t="str">
        <x:v>较高</x:v>
      </x:c>
      <x:c r="AD22" s="82" t="str">
        <x:v>现代综合</x:v>
      </x:c>
      <x:c r="AE22" s="68" t="str">
        <x:v>有效力量必须承接原始力量与实际效应，逐对象、逐节点修正。</x:v>
      </x:c>
      <x:c r="AF22" s="68" t="str">
        <x:v>按该条件逐节点修正可得到不同有效根等级。</x:v>
      </x:c>
      <x:c r="AG22" s="90" t="str">
        <x:v>仅凭关系名称或固定百分比统一扣减根气。</x:v>
      </x:c>
      <x:c r="AH22" s="68" t="str">
        <x:v>https://zh.wikisource.org/zh-hans/滴天髓 ; https://zh.wikisource.org/zh-hans/淵海子平 ; https://zh.wikisource.org/wiki/三命通會</x:v>
      </x:c>
      <x:c r="AI22" s="82" t="str">
        <x:v>采用</x:v>
      </x:c>
      <x:c r="AJ22" s="82" t="str">
        <x:v>初审</x:v>
      </x:c>
      <x:c r="AK22" s="87" t="n">
        <x:v>46255</x:v>
      </x:c>
    </x:row>
    <x:row r="23">
      <x:c r="A23" s="72" t="str">
        <x:f>IF(OR(C23="",D23=""),"",B23&amp;"-"&amp;UPPER(C23)&amp;"-"&amp;TEXT(D23,"0000")&amp;"-"&amp;E23)</x:f>
        <x:v>M08-SOURCE-0017-V1.0</x:v>
      </x:c>
      <x:c r="B23" s="74" t="str">
        <x:v>M08</x:v>
      </x:c>
      <x:c r="C23" s="74" t="str">
        <x:v>SOURCE</x:v>
      </x:c>
      <x:c r="D23" s="79" t="n">
        <x:v>17</x:v>
      </x:c>
      <x:c r="E23" s="74" t="str">
        <x:v>V1.0</x:v>
      </x:c>
      <x:c r="F23" s="68" t="str">
        <x:v>强生源自身有效时才可提供高等级支持</x:v>
      </x:c>
      <x:c r="G23" s="82" t="str">
        <x:v>结构层</x:v>
      </x:c>
      <x:c r="H23" s="68" t="str">
        <x:v>M07生源+M08生源自身有效性</x:v>
      </x:c>
      <x:c r="I23" s="68" t="str">
        <x:v>目标五行</x:v>
      </x:c>
      <x:c r="J23" s="68" t="str">
        <x:v>有生源</x:v>
      </x:c>
      <x:c r="K23" s="68" t="str">
        <x:v>生源经修正后仍旺而可达</x:v>
      </x:c>
      <x:c r="L23" s="68" t="str">
        <x:v>保留高等级生扶</x:v>
      </x:c>
      <x:c r="M23" s="82" t="str">
        <x:v>增强</x:v>
      </x:c>
      <x:c r="N23" s="82" t="str">
        <x:v>强</x:v>
      </x:c>
      <x:c r="O23" s="82" t="str">
        <x:v>否</x:v>
      </x:c>
      <x:c r="P23" s="82" t="str">
        <x:v>条件性</x:v>
      </x:c>
      <x:c r="Q23" s="82" t="str">
        <x:v>条件性</x:v>
      </x:c>
      <x:c r="R23" s="82" t="str">
        <x:v>是</x:v>
      </x:c>
      <x:c r="S23" s="68" t="str">
        <x:v>前置模块已完成</x:v>
      </x:c>
      <x:c r="T23" s="68" t="str">
        <x:v>作用条件真实成立</x:v>
      </x:c>
      <x:c r="U23" s="68" t="str">
        <x:v>得令、有根、有援可增强</x:v>
      </x:c>
      <x:c r="V23" s="68" t="str">
        <x:v>失令、孤立或受制可削弱</x:v>
      </x:c>
      <x:c r="W23" s="90" t="str">
        <x:v>禁止用关系名称直接替代实际效应</x:v>
      </x:c>
      <x:c r="X23" s="68" t="str">
        <x:v>特殊格局与动态岁运另模块处理</x:v>
      </x:c>
      <x:c r="Y23" s="84" t="str">
        <x:v>按证据修正有效旺衰</x:v>
      </x:c>
      <x:c r="Z23" s="68" t="str">
        <x:v>不得直接推出喜忌用神</x:v>
      </x:c>
      <x:c r="AA23" s="84" t="str">
        <x:v>有效生源强支持</x:v>
      </x:c>
      <x:c r="AB23" s="84" t="str">
        <x:v>生源自身有效且生路可达时，目标获得真实高等级生扶。</x:v>
      </x:c>
      <x:c r="AC23" s="82" t="str">
        <x:v>较高</x:v>
      </x:c>
      <x:c r="AD23" s="82" t="str">
        <x:v>现代综合</x:v>
      </x:c>
      <x:c r="AE23" s="68" t="str">
        <x:v>有效力量必须承接原始力量与实际效应，逐对象、逐节点修正。</x:v>
      </x:c>
      <x:c r="AF23" s="68" t="str">
        <x:v>生源自身有效且路径可达时，支持才进入高等级。</x:v>
      </x:c>
      <x:c r="AG23" s="90" t="str">
        <x:v>只要出现相生五行就按满额生扶。</x:v>
      </x:c>
      <x:c r="AH23" s="68" t="str">
        <x:v>https://zh.wikisource.org/zh-hans/滴天髓 ; https://zh.wikisource.org/zh-hans/淵海子平 ; https://zh.wikisource.org/wiki/三命通會</x:v>
      </x:c>
      <x:c r="AI23" s="82" t="str">
        <x:v>采用</x:v>
      </x:c>
      <x:c r="AJ23" s="82" t="str">
        <x:v>初审</x:v>
      </x:c>
      <x:c r="AK23" s="87" t="n">
        <x:v>46255</x:v>
      </x:c>
    </x:row>
    <x:row r="24">
      <x:c r="A24" s="72" t="str">
        <x:f>IF(OR(C24="",D24=""),"",B24&amp;"-"&amp;UPPER(C24)&amp;"-"&amp;TEXT(D24,"0000")&amp;"-"&amp;E24)</x:f>
        <x:v>M08-SOURCE-0018-V1.0</x:v>
      </x:c>
      <x:c r="B24" s="74" t="str">
        <x:v>M08</x:v>
      </x:c>
      <x:c r="C24" s="74" t="str">
        <x:v>SOURCE</x:v>
      </x:c>
      <x:c r="D24" s="79" t="n">
        <x:v>18</x:v>
      </x:c>
      <x:c r="E24" s="74" t="str">
        <x:v>V1.0</x:v>
      </x:c>
      <x:c r="F24" s="68" t="str">
        <x:v>弱生源仅形成低等级名义支持</x:v>
      </x:c>
      <x:c r="G24" s="82" t="str">
        <x:v>结构层</x:v>
      </x:c>
      <x:c r="H24" s="68" t="str">
        <x:v>M07生源</x:v>
      </x:c>
      <x:c r="I24" s="68" t="str">
        <x:v>目标五行</x:v>
      </x:c>
      <x:c r="J24" s="68" t="str">
        <x:v>有弱生源</x:v>
      </x:c>
      <x:c r="K24" s="68" t="str">
        <x:v>生源无根或受制</x:v>
      </x:c>
      <x:c r="L24" s="68" t="str">
        <x:v>将生源支持下调为弱或无效</x:v>
      </x:c>
      <x:c r="M24" s="82" t="str">
        <x:v>减弱</x:v>
      </x:c>
      <x:c r="N24" s="82" t="str">
        <x:v>中</x:v>
      </x:c>
      <x:c r="O24" s="82" t="str">
        <x:v>否</x:v>
      </x:c>
      <x:c r="P24" s="82" t="str">
        <x:v>条件性</x:v>
      </x:c>
      <x:c r="Q24" s="82" t="str">
        <x:v>条件性</x:v>
      </x:c>
      <x:c r="R24" s="82" t="str">
        <x:v>是</x:v>
      </x:c>
      <x:c r="S24" s="68" t="str">
        <x:v>前置模块已完成</x:v>
      </x:c>
      <x:c r="T24" s="68" t="str">
        <x:v>作用条件真实成立</x:v>
      </x:c>
      <x:c r="U24" s="68" t="str">
        <x:v>得令、有根、有援可增强</x:v>
      </x:c>
      <x:c r="V24" s="68" t="str">
        <x:v>失令、孤立或受制可削弱</x:v>
      </x:c>
      <x:c r="W24" s="90" t="str">
        <x:v>禁止用关系名称直接替代实际效应</x:v>
      </x:c>
      <x:c r="X24" s="68" t="str">
        <x:v>特殊格局与动态岁运另模块处理</x:v>
      </x:c>
      <x:c r="Y24" s="84" t="str">
        <x:v>按证据修正有效旺衰</x:v>
      </x:c>
      <x:c r="Z24" s="68" t="str">
        <x:v>不得直接推出喜忌用神</x:v>
      </x:c>
      <x:c r="AA24" s="84" t="str">
        <x:v>弱生源降权</x:v>
      </x:c>
      <x:c r="AB24" s="84" t="str">
        <x:v>生源自身弱而无承载，对目标只形成低等级支持。</x:v>
      </x:c>
      <x:c r="AC24" s="82" t="str">
        <x:v>较高</x:v>
      </x:c>
      <x:c r="AD24" s="82" t="str">
        <x:v>现代综合</x:v>
      </x:c>
      <x:c r="AE24" s="68" t="str">
        <x:v>有效力量必须承接原始力量与实际效应，逐对象、逐节点修正。</x:v>
      </x:c>
      <x:c r="AF24" s="68" t="str">
        <x:v>生源自身有效且路径可达时，支持才进入高等级。</x:v>
      </x:c>
      <x:c r="AG24" s="90" t="str">
        <x:v>只要出现相生五行就按满额生扶。</x:v>
      </x:c>
      <x:c r="AH24" s="68" t="str">
        <x:v>https://zh.wikisource.org/zh-hans/滴天髓 ; https://zh.wikisource.org/zh-hans/淵海子平 ; https://zh.wikisource.org/wiki/三命通會</x:v>
      </x:c>
      <x:c r="AI24" s="82" t="str">
        <x:v>采用</x:v>
      </x:c>
      <x:c r="AJ24" s="82" t="str">
        <x:v>初审</x:v>
      </x:c>
      <x:c r="AK24" s="87" t="n">
        <x:v>46255</x:v>
      </x:c>
    </x:row>
    <x:row r="25">
      <x:c r="A25" s="72" t="str">
        <x:f>IF(OR(C25="",D25=""),"",B25&amp;"-"&amp;UPPER(C25)&amp;"-"&amp;TEXT(D25,"0000")&amp;"-"&amp;E25)</x:f>
        <x:v>M08-SOURCE-0019-V1.0</x:v>
      </x:c>
      <x:c r="B25" s="74" t="str">
        <x:v>M08</x:v>
      </x:c>
      <x:c r="C25" s="74" t="str">
        <x:v>SOURCE</x:v>
      </x:c>
      <x:c r="D25" s="79" t="n">
        <x:v>19</x:v>
      </x:c>
      <x:c r="E25" s="74" t="str">
        <x:v>V1.0</x:v>
      </x:c>
      <x:c r="F25" s="68" t="str">
        <x:v>生源被合绊时供给能力下降</x:v>
      </x:c>
      <x:c r="G25" s="82" t="str">
        <x:v>结构层</x:v>
      </x:c>
      <x:c r="H25" s="68" t="str">
        <x:v>M06合绊</x:v>
      </x:c>
      <x:c r="I25" s="68" t="str">
        <x:v>目标五行</x:v>
      </x:c>
      <x:c r="J25" s="68" t="str">
        <x:v>原有有效生源</x:v>
      </x:c>
      <x:c r="K25" s="68" t="str">
        <x:v>生源被合绊</x:v>
      </x:c>
      <x:c r="L25" s="68" t="str">
        <x:v>下调对目标的输出</x:v>
      </x:c>
      <x:c r="M25" s="82" t="str">
        <x:v>冻结</x:v>
      </x:c>
      <x:c r="N25" s="82" t="str">
        <x:v>中</x:v>
      </x:c>
      <x:c r="O25" s="82" t="str">
        <x:v>否</x:v>
      </x:c>
      <x:c r="P25" s="82" t="str">
        <x:v>条件性</x:v>
      </x:c>
      <x:c r="Q25" s="82" t="str">
        <x:v>条件性</x:v>
      </x:c>
      <x:c r="R25" s="82" t="str">
        <x:v>是</x:v>
      </x:c>
      <x:c r="S25" s="68" t="str">
        <x:v>前置模块已完成</x:v>
      </x:c>
      <x:c r="T25" s="68" t="str">
        <x:v>作用条件真实成立</x:v>
      </x:c>
      <x:c r="U25" s="68" t="str">
        <x:v>得令、有根、有援可增强</x:v>
      </x:c>
      <x:c r="V25" s="68" t="str">
        <x:v>失令、孤立或受制可削弱</x:v>
      </x:c>
      <x:c r="W25" s="90" t="str">
        <x:v>禁止用关系名称直接替代实际效应</x:v>
      </x:c>
      <x:c r="X25" s="68" t="str">
        <x:v>特殊格局与动态岁运另模块处理</x:v>
      </x:c>
      <x:c r="Y25" s="84" t="str">
        <x:v>按证据修正有效旺衰</x:v>
      </x:c>
      <x:c r="Z25" s="68" t="str">
        <x:v>不得直接推出喜忌用神</x:v>
      </x:c>
      <x:c r="AA25" s="84" t="str">
        <x:v>生源合绊</x:v>
      </x:c>
      <x:c r="AB25" s="84" t="str">
        <x:v>生源被合绊仍存在，但向目标输送力量的能力下降。</x:v>
      </x:c>
      <x:c r="AC25" s="82" t="str">
        <x:v>较高</x:v>
      </x:c>
      <x:c r="AD25" s="82" t="str">
        <x:v>现代综合</x:v>
      </x:c>
      <x:c r="AE25" s="68" t="str">
        <x:v>有效力量必须承接原始力量与实际效应，逐对象、逐节点修正。</x:v>
      </x:c>
      <x:c r="AF25" s="68" t="str">
        <x:v>生源自身有效且路径可达时，支持才进入高等级。</x:v>
      </x:c>
      <x:c r="AG25" s="90" t="str">
        <x:v>只要出现相生五行就按满额生扶。</x:v>
      </x:c>
      <x:c r="AH25" s="68" t="str">
        <x:v>https://zh.wikisource.org/zh-hans/滴天髓 ; https://zh.wikisource.org/zh-hans/淵海子平 ; https://zh.wikisource.org/wiki/三命通會</x:v>
      </x:c>
      <x:c r="AI25" s="82" t="str">
        <x:v>采用</x:v>
      </x:c>
      <x:c r="AJ25" s="82" t="str">
        <x:v>初审</x:v>
      </x:c>
      <x:c r="AK25" s="87" t="n">
        <x:v>46255</x:v>
      </x:c>
    </x:row>
    <x:row r="26">
      <x:c r="A26" s="72" t="str">
        <x:f>IF(OR(C26="",D26=""),"",B26&amp;"-"&amp;UPPER(C26)&amp;"-"&amp;TEXT(D26,"0000")&amp;"-"&amp;E26)</x:f>
        <x:v>M08-SOURCE-0020-V1.0</x:v>
      </x:c>
      <x:c r="B26" s="74" t="str">
        <x:v>M08</x:v>
      </x:c>
      <x:c r="C26" s="74" t="str">
        <x:v>SOURCE</x:v>
      </x:c>
      <x:c r="D26" s="79" t="n">
        <x:v>20</x:v>
      </x:c>
      <x:c r="E26" s="74" t="str">
        <x:v>V1.0</x:v>
      </x:c>
      <x:c r="F26" s="68" t="str">
        <x:v>生源合化为非生源五行时原供给功能失效</x:v>
      </x:c>
      <x:c r="G26" s="82" t="str">
        <x:v>结构层</x:v>
      </x:c>
      <x:c r="H26" s="68" t="str">
        <x:v>M06合化</x:v>
      </x:c>
      <x:c r="I26" s="68" t="str">
        <x:v>目标五行</x:v>
      </x:c>
      <x:c r="J26" s="68" t="str">
        <x:v>原有生源</x:v>
      </x:c>
      <x:c r="K26" s="68" t="str">
        <x:v>生源合化改性</x:v>
      </x:c>
      <x:c r="L26" s="68" t="str">
        <x:v>删除原生扶并按化后关系重建</x:v>
      </x:c>
      <x:c r="M26" s="82" t="str">
        <x:v>转化</x:v>
      </x:c>
      <x:c r="N26" s="82" t="str">
        <x:v>强</x:v>
      </x:c>
      <x:c r="O26" s="82" t="str">
        <x:v>否</x:v>
      </x:c>
      <x:c r="P26" s="82" t="str">
        <x:v>条件性</x:v>
      </x:c>
      <x:c r="Q26" s="82" t="str">
        <x:v>条件性</x:v>
      </x:c>
      <x:c r="R26" s="82" t="str">
        <x:v>是</x:v>
      </x:c>
      <x:c r="S26" s="68" t="str">
        <x:v>前置模块已完成</x:v>
      </x:c>
      <x:c r="T26" s="68" t="str">
        <x:v>作用条件真实成立</x:v>
      </x:c>
      <x:c r="U26" s="68" t="str">
        <x:v>得令、有根、有援可增强</x:v>
      </x:c>
      <x:c r="V26" s="68" t="str">
        <x:v>失令、孤立或受制可削弱</x:v>
      </x:c>
      <x:c r="W26" s="90" t="str">
        <x:v>禁止用关系名称直接替代实际效应</x:v>
      </x:c>
      <x:c r="X26" s="68" t="str">
        <x:v>特殊格局与动态岁运另模块处理</x:v>
      </x:c>
      <x:c r="Y26" s="84" t="str">
        <x:v>按证据修正有效旺衰</x:v>
      </x:c>
      <x:c r="Z26" s="68" t="str">
        <x:v>不得直接推出喜忌用神</x:v>
      </x:c>
      <x:c r="AA26" s="84" t="str">
        <x:v>生源改性</x:v>
      </x:c>
      <x:c r="AB26" s="84" t="str">
        <x:v>生源实质改性后，原供给功能失效，需按化后五行重建生扶链。</x:v>
      </x:c>
      <x:c r="AC26" s="82" t="str">
        <x:v>较高</x:v>
      </x:c>
      <x:c r="AD26" s="82" t="str">
        <x:v>现代综合</x:v>
      </x:c>
      <x:c r="AE26" s="68" t="str">
        <x:v>有效力量必须承接原始力量与实际效应，逐对象、逐节点修正。</x:v>
      </x:c>
      <x:c r="AF26" s="68" t="str">
        <x:v>生源自身有效且路径可达时，支持才进入高等级。</x:v>
      </x:c>
      <x:c r="AG26" s="90" t="str">
        <x:v>只要出现相生五行就按满额生扶。</x:v>
      </x:c>
      <x:c r="AH26" s="68" t="str">
        <x:v>https://zh.wikisource.org/zh-hans/滴天髓 ; https://zh.wikisource.org/zh-hans/淵海子平 ; https://zh.wikisource.org/wiki/三命通會</x:v>
      </x:c>
      <x:c r="AI26" s="82" t="str">
        <x:v>采用</x:v>
      </x:c>
      <x:c r="AJ26" s="82" t="str">
        <x:v>初审</x:v>
      </x:c>
      <x:c r="AK26" s="87" t="n">
        <x:v>46255</x:v>
      </x:c>
    </x:row>
    <x:row r="27">
      <x:c r="A27" s="72" t="str">
        <x:f>IF(OR(C27="",D27=""),"",B27&amp;"-"&amp;UPPER(C27)&amp;"-"&amp;TEXT(D27,"0000")&amp;"-"&amp;E27)</x:f>
        <x:v>M08-SOURCE-0021-V1.0</x:v>
      </x:c>
      <x:c r="B27" s="74" t="str">
        <x:v>M08</x:v>
      </x:c>
      <x:c r="C27" s="74" t="str">
        <x:v>SOURCE</x:v>
      </x:c>
      <x:c r="D27" s="79" t="n">
        <x:v>21</x:v>
      </x:c>
      <x:c r="E27" s="74" t="str">
        <x:v>V1.0</x:v>
      </x:c>
      <x:c r="F27" s="68" t="str">
        <x:v>唯一生源被强克且无根时供给链中断</x:v>
      </x:c>
      <x:c r="G27" s="82" t="str">
        <x:v>结构层</x:v>
      </x:c>
      <x:c r="H27" s="68" t="str">
        <x:v>M08克制修正</x:v>
      </x:c>
      <x:c r="I27" s="68" t="str">
        <x:v>目标五行</x:v>
      </x:c>
      <x:c r="J27" s="68" t="str">
        <x:v>依赖单一生源</x:v>
      </x:c>
      <x:c r="K27" s="68" t="str">
        <x:v>生源遭强克且无承载</x:v>
      </x:c>
      <x:c r="L27" s="68" t="str">
        <x:v>标记生扶链中断</x:v>
      </x:c>
      <x:c r="M27" s="82" t="str">
        <x:v>阻断</x:v>
      </x:c>
      <x:c r="N27" s="82" t="str">
        <x:v>强</x:v>
      </x:c>
      <x:c r="O27" s="82" t="str">
        <x:v>否</x:v>
      </x:c>
      <x:c r="P27" s="82" t="str">
        <x:v>条件性</x:v>
      </x:c>
      <x:c r="Q27" s="82" t="str">
        <x:v>条件性</x:v>
      </x:c>
      <x:c r="R27" s="82" t="str">
        <x:v>是</x:v>
      </x:c>
      <x:c r="S27" s="68" t="str">
        <x:v>前置模块已完成</x:v>
      </x:c>
      <x:c r="T27" s="68" t="str">
        <x:v>作用条件真实成立</x:v>
      </x:c>
      <x:c r="U27" s="68" t="str">
        <x:v>得令、有根、有援可增强</x:v>
      </x:c>
      <x:c r="V27" s="68" t="str">
        <x:v>失令、孤立或受制可削弱</x:v>
      </x:c>
      <x:c r="W27" s="90" t="str">
        <x:v>禁止用关系名称直接替代实际效应</x:v>
      </x:c>
      <x:c r="X27" s="68" t="str">
        <x:v>特殊格局与动态岁运另模块处理</x:v>
      </x:c>
      <x:c r="Y27" s="84" t="str">
        <x:v>按证据修正有效旺衰</x:v>
      </x:c>
      <x:c r="Z27" s="68" t="str">
        <x:v>不得直接推出喜忌用神</x:v>
      </x:c>
      <x:c r="AA27" s="84" t="str">
        <x:v>生扶链中断</x:v>
      </x:c>
      <x:c r="AB27" s="84" t="str">
        <x:v>唯一生源被强克且无承载时，该生扶链失效。</x:v>
      </x:c>
      <x:c r="AC27" s="82" t="str">
        <x:v>较高</x:v>
      </x:c>
      <x:c r="AD27" s="82" t="str">
        <x:v>现代综合</x:v>
      </x:c>
      <x:c r="AE27" s="68" t="str">
        <x:v>有效力量必须承接原始力量与实际效应，逐对象、逐节点修正。</x:v>
      </x:c>
      <x:c r="AF27" s="68" t="str">
        <x:v>生源自身有效且路径可达时，支持才进入高等级。</x:v>
      </x:c>
      <x:c r="AG27" s="90" t="str">
        <x:v>只要出现相生五行就按满额生扶。</x:v>
      </x:c>
      <x:c r="AH27" s="68" t="str">
        <x:v>https://zh.wikisource.org/zh-hans/滴天髓 ; https://zh.wikisource.org/zh-hans/淵海子平 ; https://zh.wikisource.org/wiki/三命通會</x:v>
      </x:c>
      <x:c r="AI27" s="82" t="str">
        <x:v>采用</x:v>
      </x:c>
      <x:c r="AJ27" s="82" t="str">
        <x:v>初审</x:v>
      </x:c>
      <x:c r="AK27" s="87" t="n">
        <x:v>46255</x:v>
      </x:c>
    </x:row>
    <x:row r="28">
      <x:c r="A28" s="72" t="str">
        <x:f>IF(OR(C28="",D28=""),"",B28&amp;"-"&amp;UPPER(C28)&amp;"-"&amp;TEXT(D28,"0000")&amp;"-"&amp;E28)</x:f>
        <x:v>M08-SOURCE-0022-V1.0</x:v>
      </x:c>
      <x:c r="B28" s="74" t="str">
        <x:v>M08</x:v>
      </x:c>
      <x:c r="C28" s="74" t="str">
        <x:v>SOURCE</x:v>
      </x:c>
      <x:c r="D28" s="79" t="n">
        <x:v>22</x:v>
      </x:c>
      <x:c r="E28" s="74" t="str">
        <x:v>V1.0</x:v>
      </x:c>
      <x:c r="F28" s="68" t="str">
        <x:v>多个独立生源可形成供给冗余</x:v>
      </x:c>
      <x:c r="G28" s="82" t="str">
        <x:v>结构层</x:v>
      </x:c>
      <x:c r="H28" s="68" t="str">
        <x:v>M07多源</x:v>
      </x:c>
      <x:c r="I28" s="68" t="str">
        <x:v>目标五行</x:v>
      </x:c>
      <x:c r="J28" s="68" t="str">
        <x:v>多生源</x:v>
      </x:c>
      <x:c r="K28" s="68" t="str">
        <x:v>其中一个生源受损</x:v>
      </x:c>
      <x:c r="L28" s="68" t="str">
        <x:v>保留其他独立生源</x:v>
      </x:c>
      <x:c r="M28" s="82" t="str">
        <x:v>减弱</x:v>
      </x:c>
      <x:c r="N28" s="82" t="str">
        <x:v>中</x:v>
      </x:c>
      <x:c r="O28" s="82" t="str">
        <x:v>否</x:v>
      </x:c>
      <x:c r="P28" s="82" t="str">
        <x:v>条件性</x:v>
      </x:c>
      <x:c r="Q28" s="82" t="str">
        <x:v>条件性</x:v>
      </x:c>
      <x:c r="R28" s="82" t="str">
        <x:v>是</x:v>
      </x:c>
      <x:c r="S28" s="68" t="str">
        <x:v>前置模块已完成</x:v>
      </x:c>
      <x:c r="T28" s="68" t="str">
        <x:v>作用条件真实成立</x:v>
      </x:c>
      <x:c r="U28" s="68" t="str">
        <x:v>得令、有根、有援可增强</x:v>
      </x:c>
      <x:c r="V28" s="68" t="str">
        <x:v>失令、孤立或受制可削弱</x:v>
      </x:c>
      <x:c r="W28" s="90" t="str">
        <x:v>禁止用关系名称直接替代实际效应</x:v>
      </x:c>
      <x:c r="X28" s="68" t="str">
        <x:v>特殊格局与动态岁运另模块处理</x:v>
      </x:c>
      <x:c r="Y28" s="84" t="str">
        <x:v>按证据修正有效旺衰</x:v>
      </x:c>
      <x:c r="Z28" s="68" t="str">
        <x:v>不得直接推出喜忌用神</x:v>
      </x:c>
      <x:c r="AA28" s="84" t="str">
        <x:v>生源冗余</x:v>
      </x:c>
      <x:c r="AB28" s="84" t="str">
        <x:v>多个独立生源可分散单一路径受损风险。</x:v>
      </x:c>
      <x:c r="AC28" s="82" t="str">
        <x:v>较高</x:v>
      </x:c>
      <x:c r="AD28" s="82" t="str">
        <x:v>现代综合</x:v>
      </x:c>
      <x:c r="AE28" s="68" t="str">
        <x:v>有效力量必须承接原始力量与实际效应，逐对象、逐节点修正。</x:v>
      </x:c>
      <x:c r="AF28" s="68" t="str">
        <x:v>生源自身有效且路径可达时，支持才进入高等级。</x:v>
      </x:c>
      <x:c r="AG28" s="90" t="str">
        <x:v>只要出现相生五行就按满额生扶。</x:v>
      </x:c>
      <x:c r="AH28" s="68" t="str">
        <x:v>https://zh.wikisource.org/zh-hans/滴天髓 ; https://zh.wikisource.org/zh-hans/淵海子平 ; https://zh.wikisource.org/wiki/三命通會</x:v>
      </x:c>
      <x:c r="AI28" s="82" t="str">
        <x:v>采用</x:v>
      </x:c>
      <x:c r="AJ28" s="82" t="str">
        <x:v>初审</x:v>
      </x:c>
      <x:c r="AK28" s="87" t="n">
        <x:v>46255</x:v>
      </x:c>
    </x:row>
    <x:row r="29">
      <x:c r="A29" s="72" t="str">
        <x:f>IF(OR(C29="",D29=""),"",B29&amp;"-"&amp;UPPER(C29)&amp;"-"&amp;TEXT(D29,"0000")&amp;"-"&amp;E29)</x:f>
        <x:v>M08-SOURCE-0023-V1.0</x:v>
      </x:c>
      <x:c r="B29" s="74" t="str">
        <x:v>M08</x:v>
      </x:c>
      <x:c r="C29" s="74" t="str">
        <x:v>SOURCE</x:v>
      </x:c>
      <x:c r="D29" s="79" t="n">
        <x:v>23</x:v>
      </x:c>
      <x:c r="E29" s="74" t="str">
        <x:v>V1.0</x:v>
      </x:c>
      <x:c r="F29" s="68" t="str">
        <x:v>两段生扶必须以中间五行为有效桥梁</x:v>
      </x:c>
      <x:c r="G29" s="82" t="str">
        <x:v>结构层</x:v>
      </x:c>
      <x:c r="H29" s="68" t="str">
        <x:v>M07连续生扶+M12接口</x:v>
      </x:c>
      <x:c r="I29" s="68" t="str">
        <x:v>目标五行</x:v>
      </x:c>
      <x:c r="J29" s="68" t="str">
        <x:v>两段生扶链</x:v>
      </x:c>
      <x:c r="K29" s="68" t="str">
        <x:v>源→桥→目标</x:v>
      </x:c>
      <x:c r="L29" s="68" t="str">
        <x:v>桥有效时保留折减后的间接支持</x:v>
      </x:c>
      <x:c r="M29" s="82" t="str">
        <x:v>增强</x:v>
      </x:c>
      <x:c r="N29" s="82" t="str">
        <x:v>中</x:v>
      </x:c>
      <x:c r="O29" s="82" t="str">
        <x:v>否</x:v>
      </x:c>
      <x:c r="P29" s="82" t="str">
        <x:v>条件性</x:v>
      </x:c>
      <x:c r="Q29" s="82" t="str">
        <x:v>条件性</x:v>
      </x:c>
      <x:c r="R29" s="82" t="str">
        <x:v>是</x:v>
      </x:c>
      <x:c r="S29" s="68" t="str">
        <x:v>前置模块已完成</x:v>
      </x:c>
      <x:c r="T29" s="68" t="str">
        <x:v>作用条件真实成立</x:v>
      </x:c>
      <x:c r="U29" s="68" t="str">
        <x:v>得令、有根、有援可增强</x:v>
      </x:c>
      <x:c r="V29" s="68" t="str">
        <x:v>失令、孤立或受制可削弱</x:v>
      </x:c>
      <x:c r="W29" s="90" t="str">
        <x:v>禁止用关系名称直接替代实际效应</x:v>
      </x:c>
      <x:c r="X29" s="68" t="str">
        <x:v>特殊格局与动态岁运另模块处理</x:v>
      </x:c>
      <x:c r="Y29" s="84" t="str">
        <x:v>按证据修正有效旺衰</x:v>
      </x:c>
      <x:c r="Z29" s="68" t="str">
        <x:v>不得直接推出喜忌用神</x:v>
      </x:c>
      <x:c r="AA29" s="84" t="str">
        <x:v>桥梁有效生扶</x:v>
      </x:c>
      <x:c r="AB29" s="84" t="str">
        <x:v>两段生扶只有中间桥梁有效时才成立，且低于直接生源权重。</x:v>
      </x:c>
      <x:c r="AC29" s="82" t="str">
        <x:v>较高</x:v>
      </x:c>
      <x:c r="AD29" s="82" t="str">
        <x:v>现代综合</x:v>
      </x:c>
      <x:c r="AE29" s="68" t="str">
        <x:v>有效力量必须承接原始力量与实际效应，逐对象、逐节点修正。</x:v>
      </x:c>
      <x:c r="AF29" s="68" t="str">
        <x:v>生源自身有效且路径可达时，支持才进入高等级。</x:v>
      </x:c>
      <x:c r="AG29" s="90" t="str">
        <x:v>只要出现相生五行就按满额生扶。</x:v>
      </x:c>
      <x:c r="AH29" s="68" t="str">
        <x:v>https://zh.wikisource.org/zh-hans/滴天髓 ; https://zh.wikisource.org/zh-hans/淵海子平 ; https://zh.wikisource.org/wiki/三命通會</x:v>
      </x:c>
      <x:c r="AI29" s="82" t="str">
        <x:v>采用</x:v>
      </x:c>
      <x:c r="AJ29" s="82" t="str">
        <x:v>初审</x:v>
      </x:c>
      <x:c r="AK29" s="87" t="n">
        <x:v>46255</x:v>
      </x:c>
    </x:row>
    <x:row r="30">
      <x:c r="A30" s="72" t="str">
        <x:f>IF(OR(C30="",D30=""),"",B30&amp;"-"&amp;UPPER(C30)&amp;"-"&amp;TEXT(D30,"0000")&amp;"-"&amp;E30)</x:f>
        <x:v>M08-SOURCE-0024-V1.0</x:v>
      </x:c>
      <x:c r="B30" s="74" t="str">
        <x:v>M08</x:v>
      </x:c>
      <x:c r="C30" s="74" t="str">
        <x:v>SOURCE</x:v>
      </x:c>
      <x:c r="D30" s="79" t="n">
        <x:v>24</x:v>
      </x:c>
      <x:c r="E30" s="74" t="str">
        <x:v>V1.0</x:v>
      </x:c>
      <x:c r="F30" s="68" t="str">
        <x:v>生源过旺而目标过弱时供给不等于可承载</x:v>
      </x:c>
      <x:c r="G30" s="82" t="str">
        <x:v>结构层</x:v>
      </x:c>
      <x:c r="H30" s="68" t="str">
        <x:v>M08综合+M12接口</x:v>
      </x:c>
      <x:c r="I30" s="68" t="str">
        <x:v>目标五行</x:v>
      </x:c>
      <x:c r="J30" s="68" t="str">
        <x:v>弱目标遇强生源</x:v>
      </x:c>
      <x:c r="K30" s="68" t="str">
        <x:v>大量输入</x:v>
      </x:c>
      <x:c r="L30" s="68" t="str">
        <x:v>提高来源证据但设置承载上限</x:v>
      </x:c>
      <x:c r="M30" s="82" t="str">
        <x:v>条件性</x:v>
      </x:c>
      <x:c r="N30" s="82" t="str">
        <x:v>中</x:v>
      </x:c>
      <x:c r="O30" s="82" t="str">
        <x:v>否</x:v>
      </x:c>
      <x:c r="P30" s="82" t="str">
        <x:v>条件性</x:v>
      </x:c>
      <x:c r="Q30" s="82" t="str">
        <x:v>条件性</x:v>
      </x:c>
      <x:c r="R30" s="82" t="str">
        <x:v>是</x:v>
      </x:c>
      <x:c r="S30" s="68" t="str">
        <x:v>前置模块已完成</x:v>
      </x:c>
      <x:c r="T30" s="68" t="str">
        <x:v>作用条件真实成立</x:v>
      </x:c>
      <x:c r="U30" s="68" t="str">
        <x:v>得令、有根、有援可增强</x:v>
      </x:c>
      <x:c r="V30" s="68" t="str">
        <x:v>失令、孤立或受制可削弱</x:v>
      </x:c>
      <x:c r="W30" s="90" t="str">
        <x:v>禁止用关系名称直接替代实际效应</x:v>
      </x:c>
      <x:c r="X30" s="68" t="str">
        <x:v>特殊格局与动态岁运另模块处理</x:v>
      </x:c>
      <x:c r="Y30" s="84" t="str">
        <x:v>按证据修正有效旺衰</x:v>
      </x:c>
      <x:c r="Z30" s="68" t="str">
        <x:v>不得直接推出喜忌用神</x:v>
      </x:c>
      <x:c r="AA30" s="84" t="str">
        <x:v>生多不受</x:v>
      </x:c>
      <x:c r="AB30" s="84" t="str">
        <x:v>强生源输入弱目标时仍需检查目标承载，不能直接推升为旺。</x:v>
      </x:c>
      <x:c r="AC30" s="82" t="str">
        <x:v>较高</x:v>
      </x:c>
      <x:c r="AD30" s="82" t="str">
        <x:v>现代综合</x:v>
      </x:c>
      <x:c r="AE30" s="68" t="str">
        <x:v>有效力量必须承接原始力量与实际效应，逐对象、逐节点修正。</x:v>
      </x:c>
      <x:c r="AF30" s="68" t="str">
        <x:v>生源自身有效且路径可达时，支持才进入高等级。</x:v>
      </x:c>
      <x:c r="AG30" s="90" t="str">
        <x:v>只要出现相生五行就按满额生扶。</x:v>
      </x:c>
      <x:c r="AH30" s="68" t="str">
        <x:v>https://zh.wikisource.org/zh-hans/滴天髓 ; https://zh.wikisource.org/zh-hans/淵海子平 ; https://zh.wikisource.org/wiki/三命通會</x:v>
      </x:c>
      <x:c r="AI30" s="82" t="str">
        <x:v>采用</x:v>
      </x:c>
      <x:c r="AJ30" s="82" t="str">
        <x:v>初审</x:v>
      </x:c>
      <x:c r="AK30" s="87" t="n">
        <x:v>46255</x:v>
      </x:c>
    </x:row>
    <x:row r="31">
      <x:c r="A31" s="72" t="str">
        <x:f>IF(OR(C31="",D31=""),"",B31&amp;"-"&amp;UPPER(C31)&amp;"-"&amp;TEXT(D31,"0000")&amp;"-"&amp;E31)</x:f>
        <x:v>M08-SOURCE-0025-V1.0</x:v>
      </x:c>
      <x:c r="B31" s="74" t="str">
        <x:v>M08</x:v>
      </x:c>
      <x:c r="C31" s="74" t="str">
        <x:v>SOURCE</x:v>
      </x:c>
      <x:c r="D31" s="79" t="n">
        <x:v>25</x:v>
      </x:c>
      <x:c r="E31" s="74" t="str">
        <x:v>V1.0</x:v>
      </x:c>
      <x:c r="F31" s="68" t="str">
        <x:v>生源被泄耗过度时实际供给下降</x:v>
      </x:c>
      <x:c r="G31" s="82" t="str">
        <x:v>结构层</x:v>
      </x:c>
      <x:c r="H31" s="68" t="str">
        <x:v>M08泄耗修正</x:v>
      </x:c>
      <x:c r="I31" s="68" t="str">
        <x:v>目标五行</x:v>
      </x:c>
      <x:c r="J31" s="68" t="str">
        <x:v>有生源</x:v>
      </x:c>
      <x:c r="K31" s="68" t="str">
        <x:v>生源同时大量输出</x:v>
      </x:c>
      <x:c r="L31" s="68" t="str">
        <x:v>按剩余容量下调生扶</x:v>
      </x:c>
      <x:c r="M31" s="82" t="str">
        <x:v>减弱</x:v>
      </x:c>
      <x:c r="N31" s="82" t="str">
        <x:v>中</x:v>
      </x:c>
      <x:c r="O31" s="82" t="str">
        <x:v>否</x:v>
      </x:c>
      <x:c r="P31" s="82" t="str">
        <x:v>条件性</x:v>
      </x:c>
      <x:c r="Q31" s="82" t="str">
        <x:v>条件性</x:v>
      </x:c>
      <x:c r="R31" s="82" t="str">
        <x:v>是</x:v>
      </x:c>
      <x:c r="S31" s="68" t="str">
        <x:v>前置模块已完成</x:v>
      </x:c>
      <x:c r="T31" s="68" t="str">
        <x:v>作用条件真实成立</x:v>
      </x:c>
      <x:c r="U31" s="68" t="str">
        <x:v>得令、有根、有援可增强</x:v>
      </x:c>
      <x:c r="V31" s="68" t="str">
        <x:v>失令、孤立或受制可削弱</x:v>
      </x:c>
      <x:c r="W31" s="90" t="str">
        <x:v>禁止用关系名称直接替代实际效应</x:v>
      </x:c>
      <x:c r="X31" s="68" t="str">
        <x:v>特殊格局与动态岁运另模块处理</x:v>
      </x:c>
      <x:c r="Y31" s="84" t="str">
        <x:v>按证据修正有效旺衰</x:v>
      </x:c>
      <x:c r="Z31" s="68" t="str">
        <x:v>不得直接推出喜忌用神</x:v>
      </x:c>
      <x:c r="AA31" s="84" t="str">
        <x:v>生源容量分配</x:v>
      </x:c>
      <x:c r="AB31" s="84" t="str">
        <x:v>生源同时承担多条强输出路径时，对单一目标的供给应下调。</x:v>
      </x:c>
      <x:c r="AC31" s="82" t="str">
        <x:v>较高</x:v>
      </x:c>
      <x:c r="AD31" s="82" t="str">
        <x:v>现代综合</x:v>
      </x:c>
      <x:c r="AE31" s="68" t="str">
        <x:v>有效力量必须承接原始力量与实际效应，逐对象、逐节点修正。</x:v>
      </x:c>
      <x:c r="AF31" s="68" t="str">
        <x:v>生源自身有效且路径可达时，支持才进入高等级。</x:v>
      </x:c>
      <x:c r="AG31" s="90" t="str">
        <x:v>只要出现相生五行就按满额生扶。</x:v>
      </x:c>
      <x:c r="AH31" s="68" t="str">
        <x:v>https://zh.wikisource.org/zh-hans/滴天髓 ; https://zh.wikisource.org/zh-hans/淵海子平 ; https://zh.wikisource.org/wiki/三命通會</x:v>
      </x:c>
      <x:c r="AI31" s="82" t="str">
        <x:v>采用</x:v>
      </x:c>
      <x:c r="AJ31" s="82" t="str">
        <x:v>初审</x:v>
      </x:c>
      <x:c r="AK31" s="87" t="n">
        <x:v>46255</x:v>
      </x:c>
    </x:row>
    <x:row r="32">
      <x:c r="A32" s="72" t="str">
        <x:f>IF(OR(C32="",D32=""),"",B32&amp;"-"&amp;UPPER(C32)&amp;"-"&amp;TEXT(D32,"0000")&amp;"-"&amp;E32)</x:f>
        <x:v>M08-SOURCE-0026-V1.0</x:v>
      </x:c>
      <x:c r="B32" s="74" t="str">
        <x:v>M08</x:v>
      </x:c>
      <x:c r="C32" s="74" t="str">
        <x:v>SOURCE</x:v>
      </x:c>
      <x:c r="D32" s="79" t="n">
        <x:v>26</x:v>
      </x:c>
      <x:c r="E32" s="74" t="str">
        <x:v>V1.0</x:v>
      </x:c>
      <x:c r="F32" s="68" t="str">
        <x:v>透而无根且被截脚的生源供给效率下降</x:v>
      </x:c>
      <x:c r="G32" s="82" t="str">
        <x:v>结构层</x:v>
      </x:c>
      <x:c r="H32" s="68" t="str">
        <x:v>M07透干+M06地支作用</x:v>
      </x:c>
      <x:c r="I32" s="68" t="str">
        <x:v>目标五行</x:v>
      </x:c>
      <x:c r="J32" s="68" t="str">
        <x:v>透干生源</x:v>
      </x:c>
      <x:c r="K32" s="68" t="str">
        <x:v>浮透无根且坐下受制</x:v>
      </x:c>
      <x:c r="L32" s="68" t="str">
        <x:v>下调持续供给</x:v>
      </x:c>
      <x:c r="M32" s="82" t="str">
        <x:v>减弱</x:v>
      </x:c>
      <x:c r="N32" s="82" t="str">
        <x:v>中</x:v>
      </x:c>
      <x:c r="O32" s="82" t="str">
        <x:v>否</x:v>
      </x:c>
      <x:c r="P32" s="82" t="str">
        <x:v>条件性</x:v>
      </x:c>
      <x:c r="Q32" s="82" t="str">
        <x:v>条件性</x:v>
      </x:c>
      <x:c r="R32" s="82" t="str">
        <x:v>是</x:v>
      </x:c>
      <x:c r="S32" s="68" t="str">
        <x:v>前置模块已完成</x:v>
      </x:c>
      <x:c r="T32" s="68" t="str">
        <x:v>作用条件真实成立</x:v>
      </x:c>
      <x:c r="U32" s="68" t="str">
        <x:v>得令、有根、有援可增强</x:v>
      </x:c>
      <x:c r="V32" s="68" t="str">
        <x:v>失令、孤立或受制可削弱</x:v>
      </x:c>
      <x:c r="W32" s="90" t="str">
        <x:v>禁止用关系名称直接替代实际效应</x:v>
      </x:c>
      <x:c r="X32" s="68" t="str">
        <x:v>特殊格局与动态岁运另模块处理</x:v>
      </x:c>
      <x:c r="Y32" s="84" t="str">
        <x:v>按证据修正有效旺衰</x:v>
      </x:c>
      <x:c r="Z32" s="68" t="str">
        <x:v>不得直接推出喜忌用神</x:v>
      </x:c>
      <x:c r="AA32" s="84" t="str">
        <x:v>浮源降权</x:v>
      </x:c>
      <x:c r="AB32" s="84" t="str">
        <x:v>生源虽透干但无根且受制时，持续供给明显低于有根透干。</x:v>
      </x:c>
      <x:c r="AC32" s="82" t="str">
        <x:v>较高</x:v>
      </x:c>
      <x:c r="AD32" s="82" t="str">
        <x:v>现代综合</x:v>
      </x:c>
      <x:c r="AE32" s="68" t="str">
        <x:v>有效力量必须承接原始力量与实际效应，逐对象、逐节点修正。</x:v>
      </x:c>
      <x:c r="AF32" s="68" t="str">
        <x:v>生源自身有效且路径可达时，支持才进入高等级。</x:v>
      </x:c>
      <x:c r="AG32" s="90" t="str">
        <x:v>只要出现相生五行就按满额生扶。</x:v>
      </x:c>
      <x:c r="AH32" s="68" t="str">
        <x:v>https://zh.wikisource.org/zh-hans/滴天髓 ; https://zh.wikisource.org/zh-hans/淵海子平 ; https://zh.wikisource.org/wiki/三命通會</x:v>
      </x:c>
      <x:c r="AI32" s="82" t="str">
        <x:v>采用</x:v>
      </x:c>
      <x:c r="AJ32" s="82" t="str">
        <x:v>初审</x:v>
      </x:c>
      <x:c r="AK32" s="87" t="n">
        <x:v>46255</x:v>
      </x:c>
    </x:row>
    <x:row r="33">
      <x:c r="A33" s="72" t="str">
        <x:f>IF(OR(C33="",D33=""),"",B33&amp;"-"&amp;UPPER(C33)&amp;"-"&amp;TEXT(D33,"0000")&amp;"-"&amp;E33)</x:f>
        <x:v>M08-SOURCE-0027-V1.0</x:v>
      </x:c>
      <x:c r="B33" s="74" t="str">
        <x:v>M08</x:v>
      </x:c>
      <x:c r="C33" s="74" t="str">
        <x:v>SOURCE</x:v>
      </x:c>
      <x:c r="D33" s="79" t="n">
        <x:v>27</x:v>
      </x:c>
      <x:c r="E33" s="74" t="str">
        <x:v>V1.0</x:v>
      </x:c>
      <x:c r="F33" s="68" t="str">
        <x:v>生源被通关保护时可恢复部分供给</x:v>
      </x:c>
      <x:c r="G33" s="82" t="str">
        <x:v>结构层</x:v>
      </x:c>
      <x:c r="H33" s="68" t="str">
        <x:v>M08克制+M12接口</x:v>
      </x:c>
      <x:c r="I33" s="68" t="str">
        <x:v>目标五行</x:v>
      </x:c>
      <x:c r="J33" s="68" t="str">
        <x:v>生源受克</x:v>
      </x:c>
      <x:c r="K33" s="68" t="str">
        <x:v>有有效通关</x:v>
      </x:c>
      <x:c r="L33" s="68" t="str">
        <x:v>按通关有效程度恢复供给</x:v>
      </x:c>
      <x:c r="M33" s="82" t="str">
        <x:v>增强</x:v>
      </x:c>
      <x:c r="N33" s="82" t="str">
        <x:v>中</x:v>
      </x:c>
      <x:c r="O33" s="82" t="str">
        <x:v>否</x:v>
      </x:c>
      <x:c r="P33" s="82" t="str">
        <x:v>条件性</x:v>
      </x:c>
      <x:c r="Q33" s="82" t="str">
        <x:v>条件性</x:v>
      </x:c>
      <x:c r="R33" s="82" t="str">
        <x:v>是</x:v>
      </x:c>
      <x:c r="S33" s="68" t="str">
        <x:v>前置模块已完成</x:v>
      </x:c>
      <x:c r="T33" s="68" t="str">
        <x:v>作用条件真实成立</x:v>
      </x:c>
      <x:c r="U33" s="68" t="str">
        <x:v>得令、有根、有援可增强</x:v>
      </x:c>
      <x:c r="V33" s="68" t="str">
        <x:v>失令、孤立或受制可削弱</x:v>
      </x:c>
      <x:c r="W33" s="90" t="str">
        <x:v>禁止用关系名称直接替代实际效应</x:v>
      </x:c>
      <x:c r="X33" s="68" t="str">
        <x:v>特殊格局与动态岁运另模块处理</x:v>
      </x:c>
      <x:c r="Y33" s="84" t="str">
        <x:v>按证据修正有效旺衰</x:v>
      </x:c>
      <x:c r="Z33" s="68" t="str">
        <x:v>不得直接推出喜忌用神</x:v>
      </x:c>
      <x:c r="AA33" s="84" t="str">
        <x:v>通关恢复生源</x:v>
      </x:c>
      <x:c r="AB33" s="84" t="str">
        <x:v>生源受克但有有效通关时，可恢复部分供给能力。</x:v>
      </x:c>
      <x:c r="AC33" s="82" t="str">
        <x:v>较高</x:v>
      </x:c>
      <x:c r="AD33" s="82" t="str">
        <x:v>现代综合</x:v>
      </x:c>
      <x:c r="AE33" s="68" t="str">
        <x:v>有效力量必须承接原始力量与实际效应，逐对象、逐节点修正。</x:v>
      </x:c>
      <x:c r="AF33" s="68" t="str">
        <x:v>生源自身有效且路径可达时，支持才进入高等级。</x:v>
      </x:c>
      <x:c r="AG33" s="90" t="str">
        <x:v>只要出现相生五行就按满额生扶。</x:v>
      </x:c>
      <x:c r="AH33" s="68" t="str">
        <x:v>https://zh.wikisource.org/zh-hans/滴天髓 ; https://zh.wikisource.org/zh-hans/淵海子平 ; https://zh.wikisource.org/wiki/三命通會</x:v>
      </x:c>
      <x:c r="AI33" s="82" t="str">
        <x:v>采用</x:v>
      </x:c>
      <x:c r="AJ33" s="82" t="str">
        <x:v>初审</x:v>
      </x:c>
      <x:c r="AK33" s="87" t="n">
        <x:v>46255</x:v>
      </x:c>
    </x:row>
    <x:row r="34">
      <x:c r="A34" s="72" t="str">
        <x:f>IF(OR(C34="",D34=""),"",B34&amp;"-"&amp;UPPER(C34)&amp;"-"&amp;TEXT(D34,"0000")&amp;"-"&amp;E34)</x:f>
        <x:v>M08-SOURCE-0028-V1.0</x:v>
      </x:c>
      <x:c r="B34" s="74" t="str">
        <x:v>M08</x:v>
      </x:c>
      <x:c r="C34" s="74" t="str">
        <x:v>SOURCE</x:v>
      </x:c>
      <x:c r="D34" s="79" t="n">
        <x:v>28</x:v>
      </x:c>
      <x:c r="E34" s="74" t="str">
        <x:v>V1.0</x:v>
      </x:c>
      <x:c r="F34" s="68" t="str">
        <x:v>有效生源汇总需避免与季令相重复满额加权</x:v>
      </x:c>
      <x:c r="G34" s="82" t="str">
        <x:v>结构层</x:v>
      </x:c>
      <x:c r="H34" s="68" t="str">
        <x:v>M07证据去重</x:v>
      </x:c>
      <x:c r="I34" s="68" t="str">
        <x:v>目标五行</x:v>
      </x:c>
      <x:c r="J34" s="68" t="str">
        <x:v>相令且有同源生源</x:v>
      </x:c>
      <x:c r="K34" s="68" t="str">
        <x:v>季令相与具体生源共源</x:v>
      </x:c>
      <x:c r="L34" s="68" t="str">
        <x:v>合并同源证据并设置容量上限</x:v>
      </x:c>
      <x:c r="M34" s="82" t="str">
        <x:v>不变</x:v>
      </x:c>
      <x:c r="N34" s="82" t="str">
        <x:v>中</x:v>
      </x:c>
      <x:c r="O34" s="82" t="str">
        <x:v>否</x:v>
      </x:c>
      <x:c r="P34" s="82" t="str">
        <x:v>条件性</x:v>
      </x:c>
      <x:c r="Q34" s="82" t="str">
        <x:v>条件性</x:v>
      </x:c>
      <x:c r="R34" s="82" t="str">
        <x:v>是</x:v>
      </x:c>
      <x:c r="S34" s="68" t="str">
        <x:v>前置模块已完成</x:v>
      </x:c>
      <x:c r="T34" s="68" t="str">
        <x:v>作用条件真实成立</x:v>
      </x:c>
      <x:c r="U34" s="68" t="str">
        <x:v>得令、有根、有援可增强</x:v>
      </x:c>
      <x:c r="V34" s="68" t="str">
        <x:v>失令、孤立或受制可削弱</x:v>
      </x:c>
      <x:c r="W34" s="90" t="str">
        <x:v>禁止用关系名称直接替代实际效应</x:v>
      </x:c>
      <x:c r="X34" s="68" t="str">
        <x:v>特殊格局与动态岁运另模块处理</x:v>
      </x:c>
      <x:c r="Y34" s="84" t="str">
        <x:v>按证据修正有效旺衰</x:v>
      </x:c>
      <x:c r="Z34" s="68" t="str">
        <x:v>不得直接推出喜忌用神</x:v>
      </x:c>
      <x:c r="AA34" s="84" t="str">
        <x:v>生源证据去重</x:v>
      </x:c>
      <x:c r="AB34" s="84" t="str">
        <x:v>季令相与月令生源若来自同一事实，应合并计权。</x:v>
      </x:c>
      <x:c r="AC34" s="82" t="str">
        <x:v>较高</x:v>
      </x:c>
      <x:c r="AD34" s="82" t="str">
        <x:v>现代综合</x:v>
      </x:c>
      <x:c r="AE34" s="68" t="str">
        <x:v>有效力量必须承接原始力量与实际效应，逐对象、逐节点修正。</x:v>
      </x:c>
      <x:c r="AF34" s="68" t="str">
        <x:v>生源自身有效且路径可达时，支持才进入高等级。</x:v>
      </x:c>
      <x:c r="AG34" s="90" t="str">
        <x:v>只要出现相生五行就按满额生扶。</x:v>
      </x:c>
      <x:c r="AH34" s="68" t="str">
        <x:v>https://zh.wikisource.org/zh-hans/滴天髓 ; https://zh.wikisource.org/zh-hans/淵海子平 ; https://zh.wikisource.org/wiki/三命通會</x:v>
      </x:c>
      <x:c r="AI34" s="82" t="str">
        <x:v>采用</x:v>
      </x:c>
      <x:c r="AJ34" s="82" t="str">
        <x:v>初审</x:v>
      </x:c>
      <x:c r="AK34" s="87" t="n">
        <x:v>46255</x:v>
      </x:c>
    </x:row>
    <x:row r="35">
      <x:c r="A35" s="72" t="str">
        <x:f>IF(OR(C35="",D35=""),"",B35&amp;"-"&amp;UPPER(C35)&amp;"-"&amp;TEXT(D35,"0000")&amp;"-"&amp;E35)</x:f>
        <x:v>M08-STEM-0029-V1.0</x:v>
      </x:c>
      <x:c r="B35" s="74" t="str">
        <x:v>M08</x:v>
      </x:c>
      <x:c r="C35" s="74" t="str">
        <x:v>STEM</x:v>
      </x:c>
      <x:c r="D35" s="79" t="n">
        <x:v>29</x:v>
      </x:c>
      <x:c r="E35" s="74" t="str">
        <x:v>V1.0</x:v>
      </x:c>
      <x:c r="F35" s="68" t="str">
        <x:v>有根透干的有效显露度通常高于藏而不透</x:v>
      </x:c>
      <x:c r="G35" s="82" t="str">
        <x:v>结构层</x:v>
      </x:c>
      <x:c r="H35" s="68" t="str">
        <x:v>M07透干+M08根气</x:v>
      </x:c>
      <x:c r="I35" s="68" t="str">
        <x:v>目标五行</x:v>
      </x:c>
      <x:c r="J35" s="68" t="str">
        <x:v>有根透干</x:v>
      </x:c>
      <x:c r="K35" s="68" t="str">
        <x:v>根未失效</x:v>
      </x:c>
      <x:c r="L35" s="68" t="str">
        <x:v>保留高可调用性</x:v>
      </x:c>
      <x:c r="M35" s="82" t="str">
        <x:v>增强</x:v>
      </x:c>
      <x:c r="N35" s="82" t="str">
        <x:v>中</x:v>
      </x:c>
      <x:c r="O35" s="82" t="str">
        <x:v>否</x:v>
      </x:c>
      <x:c r="P35" s="82" t="str">
        <x:v>否</x:v>
      </x:c>
      <x:c r="Q35" s="82" t="str">
        <x:v>是</x:v>
      </x:c>
      <x:c r="R35" s="82" t="str">
        <x:v>是</x:v>
      </x:c>
      <x:c r="S35" s="68" t="str">
        <x:v>前置模块已完成</x:v>
      </x:c>
      <x:c r="T35" s="68" t="str">
        <x:v>作用条件真实成立</x:v>
      </x:c>
      <x:c r="U35" s="68" t="str">
        <x:v>得令、有根、有援可增强</x:v>
      </x:c>
      <x:c r="V35" s="68" t="str">
        <x:v>失令、孤立或受制可削弱</x:v>
      </x:c>
      <x:c r="W35" s="90" t="str">
        <x:v>禁止用关系名称直接替代实际效应</x:v>
      </x:c>
      <x:c r="X35" s="68" t="str">
        <x:v>特殊格局与动态岁运另模块处理</x:v>
      </x:c>
      <x:c r="Y35" s="84" t="str">
        <x:v>按证据修正有效旺衰</x:v>
      </x:c>
      <x:c r="Z35" s="68" t="str">
        <x:v>不得直接推出喜忌用神</x:v>
      </x:c>
      <x:c r="AA35" s="84" t="str">
        <x:v>有根透干有效</x:v>
      </x:c>
      <x:c r="AB35" s="84" t="str">
        <x:v>有根又透干时，可调用性较高，更能直接参与全局生克。</x:v>
      </x:c>
      <x:c r="AC35" s="82" t="str">
        <x:v>较高</x:v>
      </x:c>
      <x:c r="AD35" s="82" t="str">
        <x:v>现代综合</x:v>
      </x:c>
      <x:c r="AE35" s="68" t="str">
        <x:v>有效力量必须承接原始力量与实际效应，逐对象、逐节点修正。</x:v>
      </x:c>
      <x:c r="AF35" s="68" t="str">
        <x:v>显露度与根气、作用路径同时评估。</x:v>
      </x:c>
      <x:c r="AG35" s="90" t="str">
        <x:v>透了就旺、不透就弱，或按柱位固定打折。</x:v>
      </x:c>
      <x:c r="AH35" s="68" t="str">
        <x:v>https://zh.wikisource.org/zh-hans/滴天髓 ; https://zh.wikisource.org/zh-hans/淵海子平 ; https://zh.wikisource.org/wiki/三命通會</x:v>
      </x:c>
      <x:c r="AI35" s="82" t="str">
        <x:v>采用</x:v>
      </x:c>
      <x:c r="AJ35" s="82" t="str">
        <x:v>初审</x:v>
      </x:c>
      <x:c r="AK35" s="87" t="n">
        <x:v>46255</x:v>
      </x:c>
    </x:row>
    <x:row r="36">
      <x:c r="A36" s="72" t="str">
        <x:f>IF(OR(C36="",D36=""),"",B36&amp;"-"&amp;UPPER(C36)&amp;"-"&amp;TEXT(D36,"0000")&amp;"-"&amp;E36)</x:f>
        <x:v>M08-STEM-0030-V1.0</x:v>
      </x:c>
      <x:c r="B36" s="74" t="str">
        <x:v>M08</x:v>
      </x:c>
      <x:c r="C36" s="74" t="str">
        <x:v>STEM</x:v>
      </x:c>
      <x:c r="D36" s="79" t="n">
        <x:v>30</x:v>
      </x:c>
      <x:c r="E36" s="74" t="str">
        <x:v>V1.0</x:v>
      </x:c>
      <x:c r="F36" s="68" t="str">
        <x:v>透干被合绊时显露功能下降但本体不消失</x:v>
      </x:c>
      <x:c r="G36" s="82" t="str">
        <x:v>结构层</x:v>
      </x:c>
      <x:c r="H36" s="68" t="str">
        <x:v>M06天干合</x:v>
      </x:c>
      <x:c r="I36" s="68" t="str">
        <x:v>目标五行</x:v>
      </x:c>
      <x:c r="J36" s="68" t="str">
        <x:v>透干</x:v>
      </x:c>
      <x:c r="K36" s="68" t="str">
        <x:v>被合绊未化</x:v>
      </x:c>
      <x:c r="L36" s="68" t="str">
        <x:v>下调直接作用能力</x:v>
      </x:c>
      <x:c r="M36" s="82" t="str">
        <x:v>冻结</x:v>
      </x:c>
      <x:c r="N36" s="82" t="str">
        <x:v>中</x:v>
      </x:c>
      <x:c r="O36" s="82" t="str">
        <x:v>否</x:v>
      </x:c>
      <x:c r="P36" s="82" t="str">
        <x:v>否</x:v>
      </x:c>
      <x:c r="Q36" s="82" t="str">
        <x:v>是</x:v>
      </x:c>
      <x:c r="R36" s="82" t="str">
        <x:v>是</x:v>
      </x:c>
      <x:c r="S36" s="68" t="str">
        <x:v>前置模块已完成</x:v>
      </x:c>
      <x:c r="T36" s="68" t="str">
        <x:v>作用条件真实成立</x:v>
      </x:c>
      <x:c r="U36" s="68" t="str">
        <x:v>得令、有根、有援可增强</x:v>
      </x:c>
      <x:c r="V36" s="68" t="str">
        <x:v>失令、孤立或受制可削弱</x:v>
      </x:c>
      <x:c r="W36" s="90" t="str">
        <x:v>禁止用关系名称直接替代实际效应</x:v>
      </x:c>
      <x:c r="X36" s="68" t="str">
        <x:v>特殊格局与动态岁运另模块处理</x:v>
      </x:c>
      <x:c r="Y36" s="84" t="str">
        <x:v>按证据修正有效旺衰</x:v>
      </x:c>
      <x:c r="Z36" s="68" t="str">
        <x:v>不得直接推出喜忌用神</x:v>
      </x:c>
      <x:c r="AA36" s="84" t="str">
        <x:v>透干合绊</x:v>
      </x:c>
      <x:c r="AB36" s="84" t="str">
        <x:v>透干被合绊时直接作用能力下降，但五行存在性与根气仍需保留。</x:v>
      </x:c>
      <x:c r="AC36" s="82" t="str">
        <x:v>较高</x:v>
      </x:c>
      <x:c r="AD36" s="82" t="str">
        <x:v>现代综合</x:v>
      </x:c>
      <x:c r="AE36" s="68" t="str">
        <x:v>有效力量必须承接原始力量与实际效应，逐对象、逐节点修正。</x:v>
      </x:c>
      <x:c r="AF36" s="68" t="str">
        <x:v>显露度与根气、作用路径同时评估。</x:v>
      </x:c>
      <x:c r="AG36" s="90" t="str">
        <x:v>透了就旺、不透就弱，或按柱位固定打折。</x:v>
      </x:c>
      <x:c r="AH36" s="68" t="str">
        <x:v>https://zh.wikisource.org/zh-hans/滴天髓 ; https://zh.wikisource.org/zh-hans/淵海子平 ; https://zh.wikisource.org/wiki/三命通會</x:v>
      </x:c>
      <x:c r="AI36" s="82" t="str">
        <x:v>采用</x:v>
      </x:c>
      <x:c r="AJ36" s="82" t="str">
        <x:v>初审</x:v>
      </x:c>
      <x:c r="AK36" s="87" t="n">
        <x:v>46255</x:v>
      </x:c>
    </x:row>
    <x:row r="37">
      <x:c r="A37" s="72" t="str">
        <x:f>IF(OR(C37="",D37=""),"",B37&amp;"-"&amp;UPPER(C37)&amp;"-"&amp;TEXT(D37,"0000")&amp;"-"&amp;E37)</x:f>
        <x:v>M08-STEM-0031-V1.0</x:v>
      </x:c>
      <x:c r="B37" s="74" t="str">
        <x:v>M08</x:v>
      </x:c>
      <x:c r="C37" s="74" t="str">
        <x:v>STEM</x:v>
      </x:c>
      <x:c r="D37" s="79" t="n">
        <x:v>31</x:v>
      </x:c>
      <x:c r="E37" s="74" t="str">
        <x:v>V1.0</x:v>
      </x:c>
      <x:c r="F37" s="68" t="str">
        <x:v>透干合化成立时按化后五行重建作用关系</x:v>
      </x:c>
      <x:c r="G37" s="82" t="str">
        <x:v>结构层</x:v>
      </x:c>
      <x:c r="H37" s="68" t="str">
        <x:v>M06天干合化</x:v>
      </x:c>
      <x:c r="I37" s="68" t="str">
        <x:v>目标五行</x:v>
      </x:c>
      <x:c r="J37" s="68" t="str">
        <x:v>透干</x:v>
      </x:c>
      <x:c r="K37" s="68" t="str">
        <x:v>合化成立</x:v>
      </x:c>
      <x:c r="L37" s="68" t="str">
        <x:v>原五行显露转为化神功能</x:v>
      </x:c>
      <x:c r="M37" s="82" t="str">
        <x:v>转化</x:v>
      </x:c>
      <x:c r="N37" s="82" t="str">
        <x:v>强</x:v>
      </x:c>
      <x:c r="O37" s="82" t="str">
        <x:v>否</x:v>
      </x:c>
      <x:c r="P37" s="82" t="str">
        <x:v>否</x:v>
      </x:c>
      <x:c r="Q37" s="82" t="str">
        <x:v>是</x:v>
      </x:c>
      <x:c r="R37" s="82" t="str">
        <x:v>是</x:v>
      </x:c>
      <x:c r="S37" s="68" t="str">
        <x:v>前置模块已完成</x:v>
      </x:c>
      <x:c r="T37" s="68" t="str">
        <x:v>作用条件真实成立</x:v>
      </x:c>
      <x:c r="U37" s="68" t="str">
        <x:v>得令、有根、有援可增强</x:v>
      </x:c>
      <x:c r="V37" s="68" t="str">
        <x:v>失令、孤立或受制可削弱</x:v>
      </x:c>
      <x:c r="W37" s="90" t="str">
        <x:v>禁止用关系名称直接替代实际效应</x:v>
      </x:c>
      <x:c r="X37" s="68" t="str">
        <x:v>特殊格局与动态岁运另模块处理</x:v>
      </x:c>
      <x:c r="Y37" s="84" t="str">
        <x:v>按证据修正有效旺衰</x:v>
      </x:c>
      <x:c r="Z37" s="68" t="str">
        <x:v>不得直接推出喜忌用神</x:v>
      </x:c>
      <x:c r="AA37" s="84" t="str">
        <x:v>透干改性</x:v>
      </x:c>
      <x:c r="AB37" s="84" t="str">
        <x:v>天干合化成立后，应按化神重建作用路径并避免双算。</x:v>
      </x:c>
      <x:c r="AC37" s="82" t="str">
        <x:v>较高</x:v>
      </x:c>
      <x:c r="AD37" s="82" t="str">
        <x:v>现代综合</x:v>
      </x:c>
      <x:c r="AE37" s="68" t="str">
        <x:v>有效力量必须承接原始力量与实际效应，逐对象、逐节点修正。</x:v>
      </x:c>
      <x:c r="AF37" s="68" t="str">
        <x:v>显露度与根气、作用路径同时评估。</x:v>
      </x:c>
      <x:c r="AG37" s="90" t="str">
        <x:v>透了就旺、不透就弱，或按柱位固定打折。</x:v>
      </x:c>
      <x:c r="AH37" s="68" t="str">
        <x:v>https://zh.wikisource.org/zh-hans/滴天髓 ; https://zh.wikisource.org/zh-hans/淵海子平 ; https://zh.wikisource.org/wiki/三命通會</x:v>
      </x:c>
      <x:c r="AI37" s="82" t="str">
        <x:v>采用</x:v>
      </x:c>
      <x:c r="AJ37" s="82" t="str">
        <x:v>初审</x:v>
      </x:c>
      <x:c r="AK37" s="87" t="n">
        <x:v>46255</x:v>
      </x:c>
    </x:row>
    <x:row r="38">
      <x:c r="A38" s="72" t="str">
        <x:f>IF(OR(C38="",D38=""),"",B38&amp;"-"&amp;UPPER(C38)&amp;"-"&amp;TEXT(D38,"0000")&amp;"-"&amp;E38)</x:f>
        <x:v>M08-STEM-0032-V1.0</x:v>
      </x:c>
      <x:c r="B38" s="74" t="str">
        <x:v>M08</x:v>
      </x:c>
      <x:c r="C38" s="74" t="str">
        <x:v>STEM</x:v>
      </x:c>
      <x:c r="D38" s="79" t="n">
        <x:v>32</x:v>
      </x:c>
      <x:c r="E38" s="74" t="str">
        <x:v>V1.0</x:v>
      </x:c>
      <x:c r="F38" s="68" t="str">
        <x:v>浮干受强克且无根时显露功能可近失效</x:v>
      </x:c>
      <x:c r="G38" s="82" t="str">
        <x:v>结构层</x:v>
      </x:c>
      <x:c r="H38" s="68" t="str">
        <x:v>M08克制</x:v>
      </x:c>
      <x:c r="I38" s="68" t="str">
        <x:v>目标五行</x:v>
      </x:c>
      <x:c r="J38" s="68" t="str">
        <x:v>浮干</x:v>
      </x:c>
      <x:c r="K38" s="68" t="str">
        <x:v>被强势直接克制</x:v>
      </x:c>
      <x:c r="L38" s="68" t="str">
        <x:v>大幅下调直接作用</x:v>
      </x:c>
      <x:c r="M38" s="82" t="str">
        <x:v>减弱</x:v>
      </x:c>
      <x:c r="N38" s="82" t="str">
        <x:v>强</x:v>
      </x:c>
      <x:c r="O38" s="82" t="str">
        <x:v>否</x:v>
      </x:c>
      <x:c r="P38" s="82" t="str">
        <x:v>否</x:v>
      </x:c>
      <x:c r="Q38" s="82" t="str">
        <x:v>是</x:v>
      </x:c>
      <x:c r="R38" s="82" t="str">
        <x:v>是</x:v>
      </x:c>
      <x:c r="S38" s="68" t="str">
        <x:v>前置模块已完成</x:v>
      </x:c>
      <x:c r="T38" s="68" t="str">
        <x:v>作用条件真实成立</x:v>
      </x:c>
      <x:c r="U38" s="68" t="str">
        <x:v>得令、有根、有援可增强</x:v>
      </x:c>
      <x:c r="V38" s="68" t="str">
        <x:v>失令、孤立或受制可削弱</x:v>
      </x:c>
      <x:c r="W38" s="90" t="str">
        <x:v>禁止用关系名称直接替代实际效应</x:v>
      </x:c>
      <x:c r="X38" s="68" t="str">
        <x:v>特殊格局与动态岁运另模块处理</x:v>
      </x:c>
      <x:c r="Y38" s="84" t="str">
        <x:v>按证据修正有效旺衰</x:v>
      </x:c>
      <x:c r="Z38" s="68" t="str">
        <x:v>不得直接推出喜忌用神</x:v>
      </x:c>
      <x:c r="AA38" s="84" t="str">
        <x:v>浮干受克</x:v>
      </x:c>
      <x:c r="AB38" s="84" t="str">
        <x:v>无根浮干遭强克且无救援时，显露功能可接近失效。</x:v>
      </x:c>
      <x:c r="AC38" s="82" t="str">
        <x:v>较高</x:v>
      </x:c>
      <x:c r="AD38" s="82" t="str">
        <x:v>现代综合</x:v>
      </x:c>
      <x:c r="AE38" s="68" t="str">
        <x:v>有效力量必须承接原始力量与实际效应，逐对象、逐节点修正。</x:v>
      </x:c>
      <x:c r="AF38" s="68" t="str">
        <x:v>显露度与根气、作用路径同时评估。</x:v>
      </x:c>
      <x:c r="AG38" s="90" t="str">
        <x:v>透了就旺、不透就弱，或按柱位固定打折。</x:v>
      </x:c>
      <x:c r="AH38" s="68" t="str">
        <x:v>https://zh.wikisource.org/zh-hans/滴天髓 ; https://zh.wikisource.org/zh-hans/淵海子平 ; https://zh.wikisource.org/wiki/三命通會</x:v>
      </x:c>
      <x:c r="AI38" s="82" t="str">
        <x:v>采用</x:v>
      </x:c>
      <x:c r="AJ38" s="82" t="str">
        <x:v>初审</x:v>
      </x:c>
      <x:c r="AK38" s="87" t="n">
        <x:v>46255</x:v>
      </x:c>
    </x:row>
    <x:row r="39">
      <x:c r="A39" s="72" t="str">
        <x:f>IF(OR(C39="",D39=""),"",B39&amp;"-"&amp;UPPER(C39)&amp;"-"&amp;TEXT(D39,"0000")&amp;"-"&amp;E39)</x:f>
        <x:v>M08-STEM-0033-V1.0</x:v>
      </x:c>
      <x:c r="B39" s="74" t="str">
        <x:v>M08</x:v>
      </x:c>
      <x:c r="C39" s="74" t="str">
        <x:v>STEM</x:v>
      </x:c>
      <x:c r="D39" s="79" t="n">
        <x:v>33</x:v>
      </x:c>
      <x:c r="E39" s="74" t="str">
        <x:v>V1.0</x:v>
      </x:c>
      <x:c r="F39" s="68" t="str">
        <x:v>有根透干受克多表现为受制而非消失</x:v>
      </x:c>
      <x:c r="G39" s="82" t="str">
        <x:v>结构层</x:v>
      </x:c>
      <x:c r="H39" s="68" t="str">
        <x:v>M08克制+根气</x:v>
      </x:c>
      <x:c r="I39" s="68" t="str">
        <x:v>目标五行</x:v>
      </x:c>
      <x:c r="J39" s="68" t="str">
        <x:v>有根透干</x:v>
      </x:c>
      <x:c r="K39" s="68" t="str">
        <x:v>受克</x:v>
      </x:c>
      <x:c r="L39" s="68" t="str">
        <x:v>下调功能但保留本体</x:v>
      </x:c>
      <x:c r="M39" s="82" t="str">
        <x:v>减弱</x:v>
      </x:c>
      <x:c r="N39" s="82" t="str">
        <x:v>中</x:v>
      </x:c>
      <x:c r="O39" s="82" t="str">
        <x:v>否</x:v>
      </x:c>
      <x:c r="P39" s="82" t="str">
        <x:v>否</x:v>
      </x:c>
      <x:c r="Q39" s="82" t="str">
        <x:v>是</x:v>
      </x:c>
      <x:c r="R39" s="82" t="str">
        <x:v>是</x:v>
      </x:c>
      <x:c r="S39" s="68" t="str">
        <x:v>前置模块已完成</x:v>
      </x:c>
      <x:c r="T39" s="68" t="str">
        <x:v>作用条件真实成立</x:v>
      </x:c>
      <x:c r="U39" s="68" t="str">
        <x:v>得令、有根、有援可增强</x:v>
      </x:c>
      <x:c r="V39" s="68" t="str">
        <x:v>失令、孤立或受制可削弱</x:v>
      </x:c>
      <x:c r="W39" s="90" t="str">
        <x:v>禁止用关系名称直接替代实际效应</x:v>
      </x:c>
      <x:c r="X39" s="68" t="str">
        <x:v>特殊格局与动态岁运另模块处理</x:v>
      </x:c>
      <x:c r="Y39" s="84" t="str">
        <x:v>按证据修正有效旺衰</x:v>
      </x:c>
      <x:c r="Z39" s="68" t="str">
        <x:v>不得直接推出喜忌用神</x:v>
      </x:c>
      <x:c r="AA39" s="84" t="str">
        <x:v>有根透干受制</x:v>
      </x:c>
      <x:c r="AB39" s="84" t="str">
        <x:v>有根透干受克时通常是受制，不应直接归零。</x:v>
      </x:c>
      <x:c r="AC39" s="82" t="str">
        <x:v>较高</x:v>
      </x:c>
      <x:c r="AD39" s="82" t="str">
        <x:v>现代综合</x:v>
      </x:c>
      <x:c r="AE39" s="68" t="str">
        <x:v>有效力量必须承接原始力量与实际效应，逐对象、逐节点修正。</x:v>
      </x:c>
      <x:c r="AF39" s="68" t="str">
        <x:v>显露度与根气、作用路径同时评估。</x:v>
      </x:c>
      <x:c r="AG39" s="90" t="str">
        <x:v>透了就旺、不透就弱，或按柱位固定打折。</x:v>
      </x:c>
      <x:c r="AH39" s="68" t="str">
        <x:v>https://zh.wikisource.org/zh-hans/滴天髓 ; https://zh.wikisource.org/zh-hans/淵海子平 ; https://zh.wikisource.org/wiki/三命通會</x:v>
      </x:c>
      <x:c r="AI39" s="82" t="str">
        <x:v>采用</x:v>
      </x:c>
      <x:c r="AJ39" s="82" t="str">
        <x:v>初审</x:v>
      </x:c>
      <x:c r="AK39" s="87" t="n">
        <x:v>46255</x:v>
      </x:c>
    </x:row>
    <x:row r="40">
      <x:c r="A40" s="72" t="str">
        <x:f>IF(OR(C40="",D40=""),"",B40&amp;"-"&amp;UPPER(C40)&amp;"-"&amp;TEXT(D40,"0000")&amp;"-"&amp;E40)</x:f>
        <x:v>M08-STEM-0034-V1.0</x:v>
      </x:c>
      <x:c r="B40" s="74" t="str">
        <x:v>M08</x:v>
      </x:c>
      <x:c r="C40" s="74" t="str">
        <x:v>STEM</x:v>
      </x:c>
      <x:c r="D40" s="79" t="n">
        <x:v>34</x:v>
      </x:c>
      <x:c r="E40" s="74" t="str">
        <x:v>V1.0</x:v>
      </x:c>
      <x:c r="F40" s="68" t="str">
        <x:v>藏而不透但得令成势时仍可有高有效力量</x:v>
      </x:c>
      <x:c r="G40" s="82" t="str">
        <x:v>结构层</x:v>
      </x:c>
      <x:c r="H40" s="68" t="str">
        <x:v>M07季令根气</x:v>
      </x:c>
      <x:c r="I40" s="68" t="str">
        <x:v>目标五行</x:v>
      </x:c>
      <x:c r="J40" s="68" t="str">
        <x:v>藏支不透</x:v>
      </x:c>
      <x:c r="K40" s="68" t="str">
        <x:v>得令多根成势</x:v>
      </x:c>
      <x:c r="L40" s="68" t="str">
        <x:v>保持较高力量但显露度低</x:v>
      </x:c>
      <x:c r="M40" s="82" t="str">
        <x:v>不变</x:v>
      </x:c>
      <x:c r="N40" s="82" t="str">
        <x:v>中</x:v>
      </x:c>
      <x:c r="O40" s="82" t="str">
        <x:v>否</x:v>
      </x:c>
      <x:c r="P40" s="82" t="str">
        <x:v>否</x:v>
      </x:c>
      <x:c r="Q40" s="82" t="str">
        <x:v>是</x:v>
      </x:c>
      <x:c r="R40" s="82" t="str">
        <x:v>是</x:v>
      </x:c>
      <x:c r="S40" s="68" t="str">
        <x:v>前置模块已完成</x:v>
      </x:c>
      <x:c r="T40" s="68" t="str">
        <x:v>作用条件真实成立</x:v>
      </x:c>
      <x:c r="U40" s="68" t="str">
        <x:v>得令、有根、有援可增强</x:v>
      </x:c>
      <x:c r="V40" s="68" t="str">
        <x:v>失令、孤立或受制可削弱</x:v>
      </x:c>
      <x:c r="W40" s="90" t="str">
        <x:v>禁止用关系名称直接替代实际效应</x:v>
      </x:c>
      <x:c r="X40" s="68" t="str">
        <x:v>特殊格局与动态岁运另模块处理</x:v>
      </x:c>
      <x:c r="Y40" s="84" t="str">
        <x:v>按证据修正有效旺衰</x:v>
      </x:c>
      <x:c r="Z40" s="68" t="str">
        <x:v>不得直接推出喜忌用神</x:v>
      </x:c>
      <x:c r="AA40" s="84" t="str">
        <x:v>藏旺不透</x:v>
      </x:c>
      <x:c r="AB40" s="84" t="str">
        <x:v>五行虽不透干，但若得令多根成势，实际力量仍可较高。</x:v>
      </x:c>
      <x:c r="AC40" s="82" t="str">
        <x:v>较高</x:v>
      </x:c>
      <x:c r="AD40" s="82" t="str">
        <x:v>现代综合</x:v>
      </x:c>
      <x:c r="AE40" s="68" t="str">
        <x:v>有效力量必须承接原始力量与实际效应，逐对象、逐节点修正。</x:v>
      </x:c>
      <x:c r="AF40" s="68" t="str">
        <x:v>显露度与根气、作用路径同时评估。</x:v>
      </x:c>
      <x:c r="AG40" s="90" t="str">
        <x:v>透了就旺、不透就弱，或按柱位固定打折。</x:v>
      </x:c>
      <x:c r="AH40" s="68" t="str">
        <x:v>https://zh.wikisource.org/zh-hans/滴天髓 ; https://zh.wikisource.org/zh-hans/淵海子平 ; https://zh.wikisource.org/wiki/三命通會</x:v>
      </x:c>
      <x:c r="AI40" s="82" t="str">
        <x:v>采用</x:v>
      </x:c>
      <x:c r="AJ40" s="82" t="str">
        <x:v>初审</x:v>
      </x:c>
      <x:c r="AK40" s="87" t="n">
        <x:v>46255</x:v>
      </x:c>
    </x:row>
    <x:row r="41">
      <x:c r="A41" s="72" t="str">
        <x:f>IF(OR(C41="",D41=""),"",B41&amp;"-"&amp;UPPER(C41)&amp;"-"&amp;TEXT(D41,"0000")&amp;"-"&amp;E41)</x:f>
        <x:v>M08-STEM-0035-V1.0</x:v>
      </x:c>
      <x:c r="B41" s="74" t="str">
        <x:v>M08</x:v>
      </x:c>
      <x:c r="C41" s="74" t="str">
        <x:v>STEM</x:v>
      </x:c>
      <x:c r="D41" s="79" t="n">
        <x:v>35</x:v>
      </x:c>
      <x:c r="E41" s="74" t="str">
        <x:v>V1.0</x:v>
      </x:c>
      <x:c r="F41" s="68" t="str">
        <x:v>多透同五行按承载能力实行边际递减</x:v>
      </x:c>
      <x:c r="G41" s="82" t="str">
        <x:v>结构层</x:v>
      </x:c>
      <x:c r="H41" s="68" t="str">
        <x:v>M07多透</x:v>
      </x:c>
      <x:c r="I41" s="68" t="str">
        <x:v>目标五行</x:v>
      </x:c>
      <x:c r="J41" s="68" t="str">
        <x:v>多透</x:v>
      </x:c>
      <x:c r="K41" s="68" t="str">
        <x:v>多个同类天干显露</x:v>
      </x:c>
      <x:c r="L41" s="68" t="str">
        <x:v>增加显用但不线性累加</x:v>
      </x:c>
      <x:c r="M41" s="82" t="str">
        <x:v>增强</x:v>
      </x:c>
      <x:c r="N41" s="82" t="str">
        <x:v>中</x:v>
      </x:c>
      <x:c r="O41" s="82" t="str">
        <x:v>否</x:v>
      </x:c>
      <x:c r="P41" s="82" t="str">
        <x:v>否</x:v>
      </x:c>
      <x:c r="Q41" s="82" t="str">
        <x:v>是</x:v>
      </x:c>
      <x:c r="R41" s="82" t="str">
        <x:v>是</x:v>
      </x:c>
      <x:c r="S41" s="68" t="str">
        <x:v>前置模块已完成</x:v>
      </x:c>
      <x:c r="T41" s="68" t="str">
        <x:v>作用条件真实成立</x:v>
      </x:c>
      <x:c r="U41" s="68" t="str">
        <x:v>得令、有根、有援可增强</x:v>
      </x:c>
      <x:c r="V41" s="68" t="str">
        <x:v>失令、孤立或受制可削弱</x:v>
      </x:c>
      <x:c r="W41" s="90" t="str">
        <x:v>禁止用关系名称直接替代实际效应</x:v>
      </x:c>
      <x:c r="X41" s="68" t="str">
        <x:v>特殊格局与动态岁运另模块处理</x:v>
      </x:c>
      <x:c r="Y41" s="84" t="str">
        <x:v>按证据修正有效旺衰</x:v>
      </x:c>
      <x:c r="Z41" s="68" t="str">
        <x:v>不得直接推出喜忌用神</x:v>
      </x:c>
      <x:c r="AA41" s="84" t="str">
        <x:v>多透边际递减</x:v>
      </x:c>
      <x:c r="AB41" s="84" t="str">
        <x:v>同五行多透可增强显用，但第二、第三透干不应线性满额累加。</x:v>
      </x:c>
      <x:c r="AC41" s="82" t="str">
        <x:v>较高</x:v>
      </x:c>
      <x:c r="AD41" s="82" t="str">
        <x:v>现代综合</x:v>
      </x:c>
      <x:c r="AE41" s="68" t="str">
        <x:v>有效力量必须承接原始力量与实际效应，逐对象、逐节点修正。</x:v>
      </x:c>
      <x:c r="AF41" s="68" t="str">
        <x:v>显露度与根气、作用路径同时评估。</x:v>
      </x:c>
      <x:c r="AG41" s="90" t="str">
        <x:v>透了就旺、不透就弱，或按柱位固定打折。</x:v>
      </x:c>
      <x:c r="AH41" s="68" t="str">
        <x:v>https://zh.wikisource.org/zh-hans/滴天髓 ; https://zh.wikisource.org/zh-hans/淵海子平 ; https://zh.wikisource.org/wiki/三命通會</x:v>
      </x:c>
      <x:c r="AI41" s="82" t="str">
        <x:v>采用</x:v>
      </x:c>
      <x:c r="AJ41" s="82" t="str">
        <x:v>初审</x:v>
      </x:c>
      <x:c r="AK41" s="87" t="n">
        <x:v>46255</x:v>
      </x:c>
    </x:row>
    <x:row r="42">
      <x:c r="A42" s="72" t="str">
        <x:f>IF(OR(C42="",D42=""),"",B42&amp;"-"&amp;UPPER(C42)&amp;"-"&amp;TEXT(D42,"0000")&amp;"-"&amp;E42)</x:f>
        <x:v>M08-STEM-0036-V1.0</x:v>
      </x:c>
      <x:c r="B42" s="74" t="str">
        <x:v>M08</x:v>
      </x:c>
      <x:c r="C42" s="74" t="str">
        <x:v>STEM</x:v>
      </x:c>
      <x:c r="D42" s="79" t="n">
        <x:v>36</x:v>
      </x:c>
      <x:c r="E42" s="74" t="str">
        <x:v>V1.0</x:v>
      </x:c>
      <x:c r="F42" s="68" t="str">
        <x:v>透干位置影响直接作用路径而不设固定旺衰分数</x:v>
      </x:c>
      <x:c r="G42" s="82" t="str">
        <x:v>结构层</x:v>
      </x:c>
      <x:c r="H42" s="68" t="str">
        <x:v>M07位置+M06作用路径</x:v>
      </x:c>
      <x:c r="I42" s="68" t="str">
        <x:v>目标五行</x:v>
      </x:c>
      <x:c r="J42" s="68" t="str">
        <x:v>透干</x:v>
      </x:c>
      <x:c r="K42" s="68" t="str">
        <x:v>位于不同柱位</x:v>
      </x:c>
      <x:c r="L42" s="68" t="str">
        <x:v>修正可接触对象与路径</x:v>
      </x:c>
      <x:c r="M42" s="82" t="str">
        <x:v>条件性</x:v>
      </x:c>
      <x:c r="N42" s="82" t="str">
        <x:v>弱</x:v>
      </x:c>
      <x:c r="O42" s="82" t="str">
        <x:v>否</x:v>
      </x:c>
      <x:c r="P42" s="82" t="str">
        <x:v>否</x:v>
      </x:c>
      <x:c r="Q42" s="82" t="str">
        <x:v>是</x:v>
      </x:c>
      <x:c r="R42" s="82" t="str">
        <x:v>是</x:v>
      </x:c>
      <x:c r="S42" s="68" t="str">
        <x:v>前置模块已完成</x:v>
      </x:c>
      <x:c r="T42" s="68" t="str">
        <x:v>作用条件真实成立</x:v>
      </x:c>
      <x:c r="U42" s="68" t="str">
        <x:v>得令、有根、有援可增强</x:v>
      </x:c>
      <x:c r="V42" s="68" t="str">
        <x:v>失令、孤立或受制可削弱</x:v>
      </x:c>
      <x:c r="W42" s="90" t="str">
        <x:v>禁止用关系名称直接替代实际效应</x:v>
      </x:c>
      <x:c r="X42" s="68" t="str">
        <x:v>特殊格局与动态岁运另模块处理</x:v>
      </x:c>
      <x:c r="Y42" s="84" t="str">
        <x:v>按证据修正有效旺衰</x:v>
      </x:c>
      <x:c r="Z42" s="68" t="str">
        <x:v>不得直接推出喜忌用神</x:v>
      </x:c>
      <x:c r="AA42" s="84" t="str">
        <x:v>位置路径</x:v>
      </x:c>
      <x:c r="AB42" s="84" t="str">
        <x:v>透干位置主要决定作用路径，不应机械换算为固定旺衰分数。</x:v>
      </x:c>
      <x:c r="AC42" s="82" t="str">
        <x:v>较高</x:v>
      </x:c>
      <x:c r="AD42" s="82" t="str">
        <x:v>现代综合</x:v>
      </x:c>
      <x:c r="AE42" s="68" t="str">
        <x:v>有效力量必须承接原始力量与实际效应，逐对象、逐节点修正。</x:v>
      </x:c>
      <x:c r="AF42" s="68" t="str">
        <x:v>显露度与根气、作用路径同时评估。</x:v>
      </x:c>
      <x:c r="AG42" s="90" t="str">
        <x:v>透了就旺、不透就弱，或按柱位固定打折。</x:v>
      </x:c>
      <x:c r="AH42" s="68" t="str">
        <x:v>https://zh.wikisource.org/zh-hans/滴天髓 ; https://zh.wikisource.org/zh-hans/淵海子平 ; https://zh.wikisource.org/wiki/三命通會</x:v>
      </x:c>
      <x:c r="AI42" s="82" t="str">
        <x:v>采用</x:v>
      </x:c>
      <x:c r="AJ42" s="82" t="str">
        <x:v>初审</x:v>
      </x:c>
      <x:c r="AK42" s="87" t="n">
        <x:v>46255</x:v>
      </x:c>
    </x:row>
    <x:row r="43">
      <x:c r="A43" s="72" t="str">
        <x:f>IF(OR(C43="",D43=""),"",B43&amp;"-"&amp;UPPER(C43)&amp;"-"&amp;TEXT(D43,"0000")&amp;"-"&amp;E43)</x:f>
        <x:v>M08-CONTROL-0037-V1.0</x:v>
      </x:c>
      <x:c r="B43" s="74" t="str">
        <x:v>M08</x:v>
      </x:c>
      <x:c r="C43" s="74" t="str">
        <x:v>CONTROL</x:v>
      </x:c>
      <x:c r="D43" s="79" t="n">
        <x:v>37</x:v>
      </x:c>
      <x:c r="E43" s="74" t="str">
        <x:v>V1.0</x:v>
      </x:c>
      <x:c r="F43" s="68" t="str">
        <x:v>强克弱形成显著有效减力</x:v>
      </x:c>
      <x:c r="G43" s="82" t="str">
        <x:v>结构层</x:v>
      </x:c>
      <x:c r="H43" s="68" t="str">
        <x:v>有效生克关系</x:v>
      </x:c>
      <x:c r="I43" s="68" t="str">
        <x:v>目标五行</x:v>
      </x:c>
      <x:c r="J43" s="68" t="str">
        <x:v>原始偏弱</x:v>
      </x:c>
      <x:c r="K43" s="68" t="str">
        <x:v>受强势克方直接克制</x:v>
      </x:c>
      <x:c r="L43" s="68" t="str">
        <x:v>下调一个或多个有效等级</x:v>
      </x:c>
      <x:c r="M43" s="82" t="str">
        <x:v>减弱</x:v>
      </x:c>
      <x:c r="N43" s="82" t="str">
        <x:v>强</x:v>
      </x:c>
      <x:c r="O43" s="82" t="str">
        <x:v>条件性</x:v>
      </x:c>
      <x:c r="P43" s="82" t="str">
        <x:v>条件性</x:v>
      </x:c>
      <x:c r="Q43" s="82" t="str">
        <x:v>条件性</x:v>
      </x:c>
      <x:c r="R43" s="82" t="str">
        <x:v>是</x:v>
      </x:c>
      <x:c r="S43" s="68" t="str">
        <x:v>前置模块已完成</x:v>
      </x:c>
      <x:c r="T43" s="68" t="str">
        <x:v>作用条件真实成立</x:v>
      </x:c>
      <x:c r="U43" s="68" t="str">
        <x:v>得令、有根、有援可增强</x:v>
      </x:c>
      <x:c r="V43" s="68" t="str">
        <x:v>失令、孤立或受制可削弱</x:v>
      </x:c>
      <x:c r="W43" s="90" t="str">
        <x:v>禁止用关系名称直接替代实际效应</x:v>
      </x:c>
      <x:c r="X43" s="68" t="str">
        <x:v>特殊格局与动态岁运另模块处理</x:v>
      </x:c>
      <x:c r="Y43" s="84" t="str">
        <x:v>按证据修正有效旺衰</x:v>
      </x:c>
      <x:c r="Z43" s="68" t="str">
        <x:v>不得直接推出喜忌用神</x:v>
      </x:c>
      <x:c r="AA43" s="84" t="str">
        <x:v>强克弱</x:v>
      </x:c>
      <x:c r="AB43" s="84" t="str">
        <x:v>克方明显强于目标且路径直接时，目标有效力量显著下降。</x:v>
      </x:c>
      <x:c r="AC43" s="82" t="str">
        <x:v>较高</x:v>
      </x:c>
      <x:c r="AD43" s="82" t="str">
        <x:v>现代综合</x:v>
      </x:c>
      <x:c r="AE43" s="68" t="str">
        <x:v>有效力量必须承接原始力量与实际效应，逐对象、逐节点修正。</x:v>
      </x:c>
      <x:c r="AF43" s="68" t="str">
        <x:v>比较双方有效力量、路径与续航后再定减力幅度。</x:v>
      </x:c>
      <x:c r="AG43" s="90" t="str">
        <x:v>只见五行相克就固定扣分。</x:v>
      </x:c>
      <x:c r="AH43" s="68" t="str">
        <x:v>https://zh.wikisource.org/zh-hans/滴天髓 ; https://zh.wikisource.org/zh-hans/淵海子平 ; https://zh.wikisource.org/wiki/三命通會</x:v>
      </x:c>
      <x:c r="AI43" s="82" t="str">
        <x:v>采用</x:v>
      </x:c>
      <x:c r="AJ43" s="82" t="str">
        <x:v>初审</x:v>
      </x:c>
      <x:c r="AK43" s="87" t="n">
        <x:v>46255</x:v>
      </x:c>
    </x:row>
    <x:row r="44">
      <x:c r="A44" s="72" t="str">
        <x:f>IF(OR(C44="",D44=""),"",B44&amp;"-"&amp;UPPER(C44)&amp;"-"&amp;TEXT(D44,"0000")&amp;"-"&amp;E44)</x:f>
        <x:v>M08-CONTROL-0038-V1.0</x:v>
      </x:c>
      <x:c r="B44" s="74" t="str">
        <x:v>M08</x:v>
      </x:c>
      <x:c r="C44" s="74" t="str">
        <x:v>CONTROL</x:v>
      </x:c>
      <x:c r="D44" s="79" t="n">
        <x:v>38</x:v>
      </x:c>
      <x:c r="E44" s="74" t="str">
        <x:v>V1.0</x:v>
      </x:c>
      <x:c r="F44" s="68" t="str">
        <x:v>弱克强多表现为牵制而非实质压制</x:v>
      </x:c>
      <x:c r="G44" s="82" t="str">
        <x:v>结构层</x:v>
      </x:c>
      <x:c r="H44" s="68" t="str">
        <x:v>有效生克关系</x:v>
      </x:c>
      <x:c r="I44" s="68" t="str">
        <x:v>目标五行</x:v>
      </x:c>
      <x:c r="J44" s="68" t="str">
        <x:v>原始旺</x:v>
      </x:c>
      <x:c r="K44" s="68" t="str">
        <x:v>受弱克方克制</x:v>
      </x:c>
      <x:c r="L44" s="68" t="str">
        <x:v>轻微下调或仅标记牵制</x:v>
      </x:c>
      <x:c r="M44" s="82" t="str">
        <x:v>减弱</x:v>
      </x:c>
      <x:c r="N44" s="82" t="str">
        <x:v>弱</x:v>
      </x:c>
      <x:c r="O44" s="82" t="str">
        <x:v>条件性</x:v>
      </x:c>
      <x:c r="P44" s="82" t="str">
        <x:v>条件性</x:v>
      </x:c>
      <x:c r="Q44" s="82" t="str">
        <x:v>条件性</x:v>
      </x:c>
      <x:c r="R44" s="82" t="str">
        <x:v>是</x:v>
      </x:c>
      <x:c r="S44" s="68" t="str">
        <x:v>前置模块已完成</x:v>
      </x:c>
      <x:c r="T44" s="68" t="str">
        <x:v>作用条件真实成立</x:v>
      </x:c>
      <x:c r="U44" s="68" t="str">
        <x:v>得令、有根、有援可增强</x:v>
      </x:c>
      <x:c r="V44" s="68" t="str">
        <x:v>失令、孤立或受制可削弱</x:v>
      </x:c>
      <x:c r="W44" s="90" t="str">
        <x:v>禁止用关系名称直接替代实际效应</x:v>
      </x:c>
      <x:c r="X44" s="68" t="str">
        <x:v>特殊格局与动态岁运另模块处理</x:v>
      </x:c>
      <x:c r="Y44" s="84" t="str">
        <x:v>按证据修正有效旺衰</x:v>
      </x:c>
      <x:c r="Z44" s="68" t="str">
        <x:v>不得直接推出喜忌用神</x:v>
      </x:c>
      <x:c r="AA44" s="84" t="str">
        <x:v>弱克强</x:v>
      </x:c>
      <x:c r="AB44" s="84" t="str">
        <x:v>克方弱而目标强时，通常不足以改变目标主要旺衰等级。</x:v>
      </x:c>
      <x:c r="AC44" s="82" t="str">
        <x:v>较高</x:v>
      </x:c>
      <x:c r="AD44" s="82" t="str">
        <x:v>现代综合</x:v>
      </x:c>
      <x:c r="AE44" s="68" t="str">
        <x:v>有效力量必须承接原始力量与实际效应，逐对象、逐节点修正。</x:v>
      </x:c>
      <x:c r="AF44" s="68" t="str">
        <x:v>比较双方有效力量、路径与续航后再定减力幅度。</x:v>
      </x:c>
      <x:c r="AG44" s="90" t="str">
        <x:v>只见五行相克就固定扣分。</x:v>
      </x:c>
      <x:c r="AH44" s="68" t="str">
        <x:v>https://zh.wikisource.org/zh-hans/滴天髓 ; https://zh.wikisource.org/zh-hans/淵海子平 ; https://zh.wikisource.org/wiki/三命通會</x:v>
      </x:c>
      <x:c r="AI44" s="82" t="str">
        <x:v>采用</x:v>
      </x:c>
      <x:c r="AJ44" s="82" t="str">
        <x:v>初审</x:v>
      </x:c>
      <x:c r="AK44" s="87" t="n">
        <x:v>46255</x:v>
      </x:c>
    </x:row>
    <x:row r="45">
      <x:c r="A45" s="72" t="str">
        <x:f>IF(OR(C45="",D45=""),"",B45&amp;"-"&amp;UPPER(C45)&amp;"-"&amp;TEXT(D45,"0000")&amp;"-"&amp;E45)</x:f>
        <x:v>M08-CONTROL-0039-V1.0</x:v>
      </x:c>
      <x:c r="B45" s="74" t="str">
        <x:v>M08</x:v>
      </x:c>
      <x:c r="C45" s="74" t="str">
        <x:v>CONTROL</x:v>
      </x:c>
      <x:c r="D45" s="79" t="n">
        <x:v>39</x:v>
      </x:c>
      <x:c r="E45" s="74" t="str">
        <x:v>V1.0</x:v>
      </x:c>
      <x:c r="F45" s="68" t="str">
        <x:v>同级相克双方均有损但减力不必等量</x:v>
      </x:c>
      <x:c r="G45" s="82" t="str">
        <x:v>结构层</x:v>
      </x:c>
      <x:c r="H45" s="68" t="str">
        <x:v>双向耗损</x:v>
      </x:c>
      <x:c r="I45" s="68" t="str">
        <x:v>目标五行</x:v>
      </x:c>
      <x:c r="J45" s="68" t="str">
        <x:v>双方中强</x:v>
      </x:c>
      <x:c r="K45" s="68" t="str">
        <x:v>正面相克</x:v>
      </x:c>
      <x:c r="L45" s="68" t="str">
        <x:v>按根源与续航分别下调</x:v>
      </x:c>
      <x:c r="M45" s="82" t="str">
        <x:v>减弱</x:v>
      </x:c>
      <x:c r="N45" s="82" t="str">
        <x:v>中</x:v>
      </x:c>
      <x:c r="O45" s="82" t="str">
        <x:v>条件性</x:v>
      </x:c>
      <x:c r="P45" s="82" t="str">
        <x:v>条件性</x:v>
      </x:c>
      <x:c r="Q45" s="82" t="str">
        <x:v>条件性</x:v>
      </x:c>
      <x:c r="R45" s="82" t="str">
        <x:v>是</x:v>
      </x:c>
      <x:c r="S45" s="68" t="str">
        <x:v>前置模块已完成</x:v>
      </x:c>
      <x:c r="T45" s="68" t="str">
        <x:v>作用条件真实成立</x:v>
      </x:c>
      <x:c r="U45" s="68" t="str">
        <x:v>得令、有根、有援可增强</x:v>
      </x:c>
      <x:c r="V45" s="68" t="str">
        <x:v>失令、孤立或受制可削弱</x:v>
      </x:c>
      <x:c r="W45" s="90" t="str">
        <x:v>禁止用关系名称直接替代实际效应</x:v>
      </x:c>
      <x:c r="X45" s="68" t="str">
        <x:v>特殊格局与动态岁运另模块处理</x:v>
      </x:c>
      <x:c r="Y45" s="84" t="str">
        <x:v>按证据修正有效旺衰</x:v>
      </x:c>
      <x:c r="Z45" s="68" t="str">
        <x:v>不得直接推出喜忌用神</x:v>
      </x:c>
      <x:c r="AA45" s="84" t="str">
        <x:v>势均相克</x:v>
      </x:c>
      <x:c r="AB45" s="84" t="str">
        <x:v>双方势均相克时都存在耗损，但减力幅度不应机械相同。</x:v>
      </x:c>
      <x:c r="AC45" s="82" t="str">
        <x:v>较高</x:v>
      </x:c>
      <x:c r="AD45" s="82" t="str">
        <x:v>现代综合</x:v>
      </x:c>
      <x:c r="AE45" s="68" t="str">
        <x:v>有效力量必须承接原始力量与实际效应，逐对象、逐节点修正。</x:v>
      </x:c>
      <x:c r="AF45" s="68" t="str">
        <x:v>比较双方有效力量、路径与续航后再定减力幅度。</x:v>
      </x:c>
      <x:c r="AG45" s="90" t="str">
        <x:v>只见五行相克就固定扣分。</x:v>
      </x:c>
      <x:c r="AH45" s="68" t="str">
        <x:v>https://zh.wikisource.org/zh-hans/滴天髓 ; https://zh.wikisource.org/zh-hans/淵海子平 ; https://zh.wikisource.org/wiki/三命通會</x:v>
      </x:c>
      <x:c r="AI45" s="82" t="str">
        <x:v>采用</x:v>
      </x:c>
      <x:c r="AJ45" s="82" t="str">
        <x:v>初审</x:v>
      </x:c>
      <x:c r="AK45" s="87" t="n">
        <x:v>46255</x:v>
      </x:c>
    </x:row>
    <x:row r="46">
      <x:c r="A46" s="72" t="str">
        <x:f>IF(OR(C46="",D46=""),"",B46&amp;"-"&amp;UPPER(C46)&amp;"-"&amp;TEXT(D46,"0000")&amp;"-"&amp;E46)</x:f>
        <x:v>M08-CONTROL-0040-V1.0</x:v>
      </x:c>
      <x:c r="B46" s="74" t="str">
        <x:v>M08</x:v>
      </x:c>
      <x:c r="C46" s="74" t="str">
        <x:v>CONTROL</x:v>
      </x:c>
      <x:c r="D46" s="79" t="n">
        <x:v>40</x:v>
      </x:c>
      <x:c r="E46" s="74" t="str">
        <x:v>V1.0</x:v>
      </x:c>
      <x:c r="F46" s="68" t="str">
        <x:v>被克方有强生源时可抵消部分克制</x:v>
      </x:c>
      <x:c r="G46" s="82" t="str">
        <x:v>结构层</x:v>
      </x:c>
      <x:c r="H46" s="68" t="str">
        <x:v>生克制化</x:v>
      </x:c>
      <x:c r="I46" s="68" t="str">
        <x:v>目标五行</x:v>
      </x:c>
      <x:c r="J46" s="68" t="str">
        <x:v>受克</x:v>
      </x:c>
      <x:c r="K46" s="68" t="str">
        <x:v>同时有强生源补给</x:v>
      </x:c>
      <x:c r="L46" s="68" t="str">
        <x:v>降低克制减力幅度</x:v>
      </x:c>
      <x:c r="M46" s="82" t="str">
        <x:v>增强</x:v>
      </x:c>
      <x:c r="N46" s="82" t="str">
        <x:v>中</x:v>
      </x:c>
      <x:c r="O46" s="82" t="str">
        <x:v>条件性</x:v>
      </x:c>
      <x:c r="P46" s="82" t="str">
        <x:v>条件性</x:v>
      </x:c>
      <x:c r="Q46" s="82" t="str">
        <x:v>条件性</x:v>
      </x:c>
      <x:c r="R46" s="82" t="str">
        <x:v>是</x:v>
      </x:c>
      <x:c r="S46" s="68" t="str">
        <x:v>前置模块已完成</x:v>
      </x:c>
      <x:c r="T46" s="68" t="str">
        <x:v>作用条件真实成立</x:v>
      </x:c>
      <x:c r="U46" s="68" t="str">
        <x:v>得令、有根、有援可增强</x:v>
      </x:c>
      <x:c r="V46" s="68" t="str">
        <x:v>失令、孤立或受制可削弱</x:v>
      </x:c>
      <x:c r="W46" s="90" t="str">
        <x:v>禁止用关系名称直接替代实际效应</x:v>
      </x:c>
      <x:c r="X46" s="68" t="str">
        <x:v>特殊格局与动态岁运另模块处理</x:v>
      </x:c>
      <x:c r="Y46" s="84" t="str">
        <x:v>按证据修正有效旺衰</x:v>
      </x:c>
      <x:c r="Z46" s="68" t="str">
        <x:v>不得直接推出喜忌用神</x:v>
      </x:c>
      <x:c r="AA46" s="84" t="str">
        <x:v>生扶抗克</x:v>
      </x:c>
      <x:c r="AB46" s="84" t="str">
        <x:v>被克方若有强生源持续补给，可抵消部分克制。</x:v>
      </x:c>
      <x:c r="AC46" s="82" t="str">
        <x:v>较高</x:v>
      </x:c>
      <x:c r="AD46" s="82" t="str">
        <x:v>现代综合</x:v>
      </x:c>
      <x:c r="AE46" s="68" t="str">
        <x:v>有效力量必须承接原始力量与实际效应，逐对象、逐节点修正。</x:v>
      </x:c>
      <x:c r="AF46" s="68" t="str">
        <x:v>比较双方有效力量、路径与续航后再定减力幅度。</x:v>
      </x:c>
      <x:c r="AG46" s="90" t="str">
        <x:v>只见五行相克就固定扣分。</x:v>
      </x:c>
      <x:c r="AH46" s="68" t="str">
        <x:v>https://zh.wikisource.org/zh-hans/滴天髓 ; https://zh.wikisource.org/zh-hans/淵海子平 ; https://zh.wikisource.org/wiki/三命通會</x:v>
      </x:c>
      <x:c r="AI46" s="82" t="str">
        <x:v>采用</x:v>
      </x:c>
      <x:c r="AJ46" s="82" t="str">
        <x:v>初审</x:v>
      </x:c>
      <x:c r="AK46" s="87" t="n">
        <x:v>46255</x:v>
      </x:c>
    </x:row>
    <x:row r="47">
      <x:c r="A47" s="72" t="str">
        <x:f>IF(OR(C47="",D47=""),"",B47&amp;"-"&amp;UPPER(C47)&amp;"-"&amp;TEXT(D47,"0000")&amp;"-"&amp;E47)</x:f>
        <x:v>M08-CONTROL-0041-V1.0</x:v>
      </x:c>
      <x:c r="B47" s="74" t="str">
        <x:v>M08</x:v>
      </x:c>
      <x:c r="C47" s="74" t="str">
        <x:v>CONTROL</x:v>
      </x:c>
      <x:c r="D47" s="79" t="n">
        <x:v>41</x:v>
      </x:c>
      <x:c r="E47" s="74" t="str">
        <x:v>V1.0</x:v>
      </x:c>
      <x:c r="F47" s="68" t="str">
        <x:v>克方被制时其对目标的克制能力下降</x:v>
      </x:c>
      <x:c r="G47" s="82" t="str">
        <x:v>结构层</x:v>
      </x:c>
      <x:c r="H47" s="68" t="str">
        <x:v>制化链</x:v>
      </x:c>
      <x:c r="I47" s="68" t="str">
        <x:v>目标五行</x:v>
      </x:c>
      <x:c r="J47" s="68" t="str">
        <x:v>受克</x:v>
      </x:c>
      <x:c r="K47" s="68" t="str">
        <x:v>克方同时遭第三方有效克制</x:v>
      </x:c>
      <x:c r="L47" s="68" t="str">
        <x:v>下调克方实际伤害</x:v>
      </x:c>
      <x:c r="M47" s="82" t="str">
        <x:v>增强</x:v>
      </x:c>
      <x:c r="N47" s="82" t="str">
        <x:v>中</x:v>
      </x:c>
      <x:c r="O47" s="82" t="str">
        <x:v>条件性</x:v>
      </x:c>
      <x:c r="P47" s="82" t="str">
        <x:v>条件性</x:v>
      </x:c>
      <x:c r="Q47" s="82" t="str">
        <x:v>条件性</x:v>
      </x:c>
      <x:c r="R47" s="82" t="str">
        <x:v>是</x:v>
      </x:c>
      <x:c r="S47" s="68" t="str">
        <x:v>前置模块已完成</x:v>
      </x:c>
      <x:c r="T47" s="68" t="str">
        <x:v>作用条件真实成立</x:v>
      </x:c>
      <x:c r="U47" s="68" t="str">
        <x:v>得令、有根、有援可增强</x:v>
      </x:c>
      <x:c r="V47" s="68" t="str">
        <x:v>失令、孤立或受制可削弱</x:v>
      </x:c>
      <x:c r="W47" s="90" t="str">
        <x:v>禁止用关系名称直接替代实际效应</x:v>
      </x:c>
      <x:c r="X47" s="68" t="str">
        <x:v>特殊格局与动态岁运另模块处理</x:v>
      </x:c>
      <x:c r="Y47" s="84" t="str">
        <x:v>按证据修正有效旺衰</x:v>
      </x:c>
      <x:c r="Z47" s="68" t="str">
        <x:v>不得直接推出喜忌用神</x:v>
      </x:c>
      <x:c r="AA47" s="84" t="str">
        <x:v>制克缓冲</x:v>
      </x:c>
      <x:c r="AB47" s="84" t="str">
        <x:v>克方被第三方有效制约时，对目标的实际压制会下降。</x:v>
      </x:c>
      <x:c r="AC47" s="82" t="str">
        <x:v>较高</x:v>
      </x:c>
      <x:c r="AD47" s="82" t="str">
        <x:v>现代综合</x:v>
      </x:c>
      <x:c r="AE47" s="68" t="str">
        <x:v>有效力量必须承接原始力量与实际效应，逐对象、逐节点修正。</x:v>
      </x:c>
      <x:c r="AF47" s="68" t="str">
        <x:v>比较双方有效力量、路径与续航后再定减力幅度。</x:v>
      </x:c>
      <x:c r="AG47" s="90" t="str">
        <x:v>只见五行相克就固定扣分。</x:v>
      </x:c>
      <x:c r="AH47" s="68" t="str">
        <x:v>https://zh.wikisource.org/zh-hans/滴天髓 ; https://zh.wikisource.org/zh-hans/淵海子平 ; https://zh.wikisource.org/wiki/三命通會</x:v>
      </x:c>
      <x:c r="AI47" s="82" t="str">
        <x:v>采用</x:v>
      </x:c>
      <x:c r="AJ47" s="82" t="str">
        <x:v>初审</x:v>
      </x:c>
      <x:c r="AK47" s="87" t="n">
        <x:v>46255</x:v>
      </x:c>
    </x:row>
    <x:row r="48">
      <x:c r="A48" s="72" t="str">
        <x:f>IF(OR(C48="",D48=""),"",B48&amp;"-"&amp;UPPER(C48)&amp;"-"&amp;TEXT(D48,"0000")&amp;"-"&amp;E48)</x:f>
        <x:v>M08-CONTROL-0042-V1.0</x:v>
      </x:c>
      <x:c r="B48" s="74" t="str">
        <x:v>M08</x:v>
      </x:c>
      <x:c r="C48" s="74" t="str">
        <x:v>CONTROL</x:v>
      </x:c>
      <x:c r="D48" s="79" t="n">
        <x:v>42</x:v>
      </x:c>
      <x:c r="E48" s="74" t="str">
        <x:v>V1.0</x:v>
      </x:c>
      <x:c r="F48" s="68" t="str">
        <x:v>通关可把直接相克改写为生化链</x:v>
      </x:c>
      <x:c r="G48" s="82" t="str">
        <x:v>结构层</x:v>
      </x:c>
      <x:c r="H48" s="68" t="str">
        <x:v>M12通关接口</x:v>
      </x:c>
      <x:c r="I48" s="68" t="str">
        <x:v>目标五行</x:v>
      </x:c>
      <x:c r="J48" s="68" t="str">
        <x:v>两强相战</x:v>
      </x:c>
      <x:c r="K48" s="68" t="str">
        <x:v>中间五行有效承接</x:v>
      </x:c>
      <x:c r="L48" s="68" t="str">
        <x:v>减少直接克战并建立新路径</x:v>
      </x:c>
      <x:c r="M48" s="82" t="str">
        <x:v>转化</x:v>
      </x:c>
      <x:c r="N48" s="82" t="str">
        <x:v>强</x:v>
      </x:c>
      <x:c r="O48" s="82" t="str">
        <x:v>条件性</x:v>
      </x:c>
      <x:c r="P48" s="82" t="str">
        <x:v>条件性</x:v>
      </x:c>
      <x:c r="Q48" s="82" t="str">
        <x:v>条件性</x:v>
      </x:c>
      <x:c r="R48" s="82" t="str">
        <x:v>是</x:v>
      </x:c>
      <x:c r="S48" s="68" t="str">
        <x:v>前置模块已完成</x:v>
      </x:c>
      <x:c r="T48" s="68" t="str">
        <x:v>作用条件真实成立</x:v>
      </x:c>
      <x:c r="U48" s="68" t="str">
        <x:v>得令、有根、有援可增强</x:v>
      </x:c>
      <x:c r="V48" s="68" t="str">
        <x:v>失令、孤立或受制可削弱</x:v>
      </x:c>
      <x:c r="W48" s="90" t="str">
        <x:v>禁止用关系名称直接替代实际效应</x:v>
      </x:c>
      <x:c r="X48" s="68" t="str">
        <x:v>特殊格局与动态岁运另模块处理</x:v>
      </x:c>
      <x:c r="Y48" s="84" t="str">
        <x:v>按证据修正有效旺衰</x:v>
      </x:c>
      <x:c r="Z48" s="68" t="str">
        <x:v>不得直接推出喜忌用神</x:v>
      </x:c>
      <x:c r="AA48" s="84" t="str">
        <x:v>有效通关</x:v>
      </x:c>
      <x:c r="AB48" s="84" t="str">
        <x:v>有效通关可把直接克战转化为生化链，明显降低被克方损耗。</x:v>
      </x:c>
      <x:c r="AC48" s="82" t="str">
        <x:v>较高</x:v>
      </x:c>
      <x:c r="AD48" s="82" t="str">
        <x:v>现代综合</x:v>
      </x:c>
      <x:c r="AE48" s="68" t="str">
        <x:v>有效力量必须承接原始力量与实际效应，逐对象、逐节点修正。</x:v>
      </x:c>
      <x:c r="AF48" s="68" t="str">
        <x:v>比较双方有效力量、路径与续航后再定减力幅度。</x:v>
      </x:c>
      <x:c r="AG48" s="90" t="str">
        <x:v>只见五行相克就固定扣分。</x:v>
      </x:c>
      <x:c r="AH48" s="68" t="str">
        <x:v>https://zh.wikisource.org/zh-hans/滴天髓 ; https://zh.wikisource.org/zh-hans/淵海子平 ; https://zh.wikisource.org/wiki/三命通會</x:v>
      </x:c>
      <x:c r="AI48" s="82" t="str">
        <x:v>采用</x:v>
      </x:c>
      <x:c r="AJ48" s="82" t="str">
        <x:v>初审</x:v>
      </x:c>
      <x:c r="AK48" s="87" t="n">
        <x:v>46255</x:v>
      </x:c>
    </x:row>
    <x:row r="49">
      <x:c r="A49" s="72" t="str">
        <x:f>IF(OR(C49="",D49=""),"",B49&amp;"-"&amp;UPPER(C49)&amp;"-"&amp;TEXT(D49,"0000")&amp;"-"&amp;E49)</x:f>
        <x:v>M08-CONTROL-0043-V1.0</x:v>
      </x:c>
      <x:c r="B49" s="74" t="str">
        <x:v>M08</x:v>
      </x:c>
      <x:c r="C49" s="74" t="str">
        <x:v>CONTROL</x:v>
      </x:c>
      <x:c r="D49" s="79" t="n">
        <x:v>43</x:v>
      </x:c>
      <x:c r="E49" s="74" t="str">
        <x:v>V1.0</x:v>
      </x:c>
      <x:c r="F49" s="68" t="str">
        <x:v>藏干相克且无透达时权重低于显干直接克</x:v>
      </x:c>
      <x:c r="G49" s="82" t="str">
        <x:v>结构层</x:v>
      </x:c>
      <x:c r="H49" s="68" t="str">
        <x:v>作用路径</x:v>
      </x:c>
      <x:c r="I49" s="68" t="str">
        <x:v>目标五行</x:v>
      </x:c>
      <x:c r="J49" s="68" t="str">
        <x:v>藏支五行</x:v>
      </x:c>
      <x:c r="K49" s="68" t="str">
        <x:v>仅藏干潜在相克</x:v>
      </x:c>
      <x:c r="L49" s="68" t="str">
        <x:v>降低直接克制权重</x:v>
      </x:c>
      <x:c r="M49" s="82" t="str">
        <x:v>减弱</x:v>
      </x:c>
      <x:c r="N49" s="82" t="str">
        <x:v>弱</x:v>
      </x:c>
      <x:c r="O49" s="82" t="str">
        <x:v>条件性</x:v>
      </x:c>
      <x:c r="P49" s="82" t="str">
        <x:v>条件性</x:v>
      </x:c>
      <x:c r="Q49" s="82" t="str">
        <x:v>条件性</x:v>
      </x:c>
      <x:c r="R49" s="82" t="str">
        <x:v>是</x:v>
      </x:c>
      <x:c r="S49" s="68" t="str">
        <x:v>前置模块已完成</x:v>
      </x:c>
      <x:c r="T49" s="68" t="str">
        <x:v>作用条件真实成立</x:v>
      </x:c>
      <x:c r="U49" s="68" t="str">
        <x:v>得令、有根、有援可增强</x:v>
      </x:c>
      <x:c r="V49" s="68" t="str">
        <x:v>失令、孤立或受制可削弱</x:v>
      </x:c>
      <x:c r="W49" s="90" t="str">
        <x:v>禁止用关系名称直接替代实际效应</x:v>
      </x:c>
      <x:c r="X49" s="68" t="str">
        <x:v>特殊格局与动态岁运另模块处理</x:v>
      </x:c>
      <x:c r="Y49" s="84" t="str">
        <x:v>按证据修正有效旺衰</x:v>
      </x:c>
      <x:c r="Z49" s="68" t="str">
        <x:v>不得直接推出喜忌用神</x:v>
      </x:c>
      <x:c r="AA49" s="84" t="str">
        <x:v>藏克低权重</x:v>
      </x:c>
      <x:c r="AB49" s="84" t="str">
        <x:v>未透达的藏干相克通常只作低权重潜在制约。</x:v>
      </x:c>
      <x:c r="AC49" s="82" t="str">
        <x:v>较高</x:v>
      </x:c>
      <x:c r="AD49" s="82" t="str">
        <x:v>现代综合</x:v>
      </x:c>
      <x:c r="AE49" s="68" t="str">
        <x:v>有效力量必须承接原始力量与实际效应，逐对象、逐节点修正。</x:v>
      </x:c>
      <x:c r="AF49" s="68" t="str">
        <x:v>比较双方有效力量、路径与续航后再定减力幅度。</x:v>
      </x:c>
      <x:c r="AG49" s="90" t="str">
        <x:v>只见五行相克就固定扣分。</x:v>
      </x:c>
      <x:c r="AH49" s="68" t="str">
        <x:v>https://zh.wikisource.org/zh-hans/滴天髓 ; https://zh.wikisource.org/zh-hans/淵海子平 ; https://zh.wikisource.org/wiki/三命通會</x:v>
      </x:c>
      <x:c r="AI49" s="82" t="str">
        <x:v>采用</x:v>
      </x:c>
      <x:c r="AJ49" s="82" t="str">
        <x:v>初审</x:v>
      </x:c>
      <x:c r="AK49" s="87" t="n">
        <x:v>46255</x:v>
      </x:c>
    </x:row>
    <x:row r="50">
      <x:c r="A50" s="72" t="str">
        <x:f>IF(OR(C50="",D50=""),"",B50&amp;"-"&amp;UPPER(C50)&amp;"-"&amp;TEXT(D50,"0000")&amp;"-"&amp;E50)</x:f>
        <x:v>M08-CONTROL-0044-V1.0</x:v>
      </x:c>
      <x:c r="B50" s="74" t="str">
        <x:v>M08</x:v>
      </x:c>
      <x:c r="C50" s="74" t="str">
        <x:v>CONTROL</x:v>
      </x:c>
      <x:c r="D50" s="79" t="n">
        <x:v>44</x:v>
      </x:c>
      <x:c r="E50" s="74" t="str">
        <x:v>V1.0</x:v>
      </x:c>
      <x:c r="F50" s="68" t="str">
        <x:v>克制对象过多时克方输出需分配容量</x:v>
      </x:c>
      <x:c r="G50" s="82" t="str">
        <x:v>结构层</x:v>
      </x:c>
      <x:c r="H50" s="68" t="str">
        <x:v>容量约束</x:v>
      </x:c>
      <x:c r="I50" s="68" t="str">
        <x:v>目标五行</x:v>
      </x:c>
      <x:c r="J50" s="68" t="str">
        <x:v>多对象受同一克方</x:v>
      </x:c>
      <x:c r="K50" s="68" t="str">
        <x:v>同一克方同时制约多个对象</x:v>
      </x:c>
      <x:c r="L50" s="68" t="str">
        <x:v>降低单对象所受克力</x:v>
      </x:c>
      <x:c r="M50" s="82" t="str">
        <x:v>减弱</x:v>
      </x:c>
      <x:c r="N50" s="82" t="str">
        <x:v>中</x:v>
      </x:c>
      <x:c r="O50" s="82" t="str">
        <x:v>条件性</x:v>
      </x:c>
      <x:c r="P50" s="82" t="str">
        <x:v>条件性</x:v>
      </x:c>
      <x:c r="Q50" s="82" t="str">
        <x:v>条件性</x:v>
      </x:c>
      <x:c r="R50" s="82" t="str">
        <x:v>是</x:v>
      </x:c>
      <x:c r="S50" s="68" t="str">
        <x:v>前置模块已完成</x:v>
      </x:c>
      <x:c r="T50" s="68" t="str">
        <x:v>作用条件真实成立</x:v>
      </x:c>
      <x:c r="U50" s="68" t="str">
        <x:v>得令、有根、有援可增强</x:v>
      </x:c>
      <x:c r="V50" s="68" t="str">
        <x:v>失令、孤立或受制可削弱</x:v>
      </x:c>
      <x:c r="W50" s="90" t="str">
        <x:v>禁止用关系名称直接替代实际效应</x:v>
      </x:c>
      <x:c r="X50" s="68" t="str">
        <x:v>特殊格局与动态岁运另模块处理</x:v>
      </x:c>
      <x:c r="Y50" s="84" t="str">
        <x:v>按证据修正有效旺衰</x:v>
      </x:c>
      <x:c r="Z50" s="68" t="str">
        <x:v>不得直接推出喜忌用神</x:v>
      </x:c>
      <x:c r="AA50" s="84" t="str">
        <x:v>克力容量</x:v>
      </x:c>
      <x:c r="AB50" s="84" t="str">
        <x:v>同一克方同时制约多个对象时，其输出存在容量分配。</x:v>
      </x:c>
      <x:c r="AC50" s="82" t="str">
        <x:v>较高</x:v>
      </x:c>
      <x:c r="AD50" s="82" t="str">
        <x:v>现代综合</x:v>
      </x:c>
      <x:c r="AE50" s="68" t="str">
        <x:v>有效力量必须承接原始力量与实际效应，逐对象、逐节点修正。</x:v>
      </x:c>
      <x:c r="AF50" s="68" t="str">
        <x:v>比较双方有效力量、路径与续航后再定减力幅度。</x:v>
      </x:c>
      <x:c r="AG50" s="90" t="str">
        <x:v>只见五行相克就固定扣分。</x:v>
      </x:c>
      <x:c r="AH50" s="68" t="str">
        <x:v>https://zh.wikisource.org/zh-hans/滴天髓 ; https://zh.wikisource.org/zh-hans/淵海子平 ; https://zh.wikisource.org/wiki/三命通會</x:v>
      </x:c>
      <x:c r="AI50" s="82" t="str">
        <x:v>采用</x:v>
      </x:c>
      <x:c r="AJ50" s="82" t="str">
        <x:v>初审</x:v>
      </x:c>
      <x:c r="AK50" s="87" t="n">
        <x:v>46255</x:v>
      </x:c>
    </x:row>
    <x:row r="51">
      <x:c r="A51" s="72" t="str">
        <x:f>IF(OR(C51="",D51=""),"",B51&amp;"-"&amp;UPPER(C51)&amp;"-"&amp;TEXT(D51,"0000")&amp;"-"&amp;E51)</x:f>
        <x:v>M08-CONTROL-0045-V1.0</x:v>
      </x:c>
      <x:c r="B51" s="74" t="str">
        <x:v>M08</x:v>
      </x:c>
      <x:c r="C51" s="74" t="str">
        <x:v>CONTROL</x:v>
      </x:c>
      <x:c r="D51" s="79" t="n">
        <x:v>45</x:v>
      </x:c>
      <x:c r="E51" s="74" t="str">
        <x:v>V1.0</x:v>
      </x:c>
      <x:c r="F51" s="68" t="str">
        <x:v>克方同时大量泄耗时持续压制能力下降</x:v>
      </x:c>
      <x:c r="G51" s="82" t="str">
        <x:v>结构层</x:v>
      </x:c>
      <x:c r="H51" s="68" t="str">
        <x:v>双向作用</x:v>
      </x:c>
      <x:c r="I51" s="68" t="str">
        <x:v>目标五行</x:v>
      </x:c>
      <x:c r="J51" s="68" t="str">
        <x:v>被克方</x:v>
      </x:c>
      <x:c r="K51" s="68" t="str">
        <x:v>克方同时有显著泄出</x:v>
      </x:c>
      <x:c r="L51" s="68" t="str">
        <x:v>下调克方续航</x:v>
      </x:c>
      <x:c r="M51" s="82" t="str">
        <x:v>增强</x:v>
      </x:c>
      <x:c r="N51" s="82" t="str">
        <x:v>弱</x:v>
      </x:c>
      <x:c r="O51" s="82" t="str">
        <x:v>条件性</x:v>
      </x:c>
      <x:c r="P51" s="82" t="str">
        <x:v>条件性</x:v>
      </x:c>
      <x:c r="Q51" s="82" t="str">
        <x:v>条件性</x:v>
      </x:c>
      <x:c r="R51" s="82" t="str">
        <x:v>是</x:v>
      </x:c>
      <x:c r="S51" s="68" t="str">
        <x:v>前置模块已完成</x:v>
      </x:c>
      <x:c r="T51" s="68" t="str">
        <x:v>作用条件真实成立</x:v>
      </x:c>
      <x:c r="U51" s="68" t="str">
        <x:v>得令、有根、有援可增强</x:v>
      </x:c>
      <x:c r="V51" s="68" t="str">
        <x:v>失令、孤立或受制可削弱</x:v>
      </x:c>
      <x:c r="W51" s="90" t="str">
        <x:v>禁止用关系名称直接替代实际效应</x:v>
      </x:c>
      <x:c r="X51" s="68" t="str">
        <x:v>特殊格局与动态岁运另模块处理</x:v>
      </x:c>
      <x:c r="Y51" s="84" t="str">
        <x:v>按证据修正有效旺衰</x:v>
      </x:c>
      <x:c r="Z51" s="68" t="str">
        <x:v>不得直接推出喜忌用神</x:v>
      </x:c>
      <x:c r="AA51" s="84" t="str">
        <x:v>克方续航下降</x:v>
      </x:c>
      <x:c r="AB51" s="84" t="str">
        <x:v>克制不是无限输出，克方若同时大量泄耗，其持续压制能力会下降。</x:v>
      </x:c>
      <x:c r="AC51" s="82" t="str">
        <x:v>较高</x:v>
      </x:c>
      <x:c r="AD51" s="82" t="str">
        <x:v>现代综合</x:v>
      </x:c>
      <x:c r="AE51" s="68" t="str">
        <x:v>有效力量必须承接原始力量与实际效应，逐对象、逐节点修正。</x:v>
      </x:c>
      <x:c r="AF51" s="68" t="str">
        <x:v>比较双方有效力量、路径与续航后再定减力幅度。</x:v>
      </x:c>
      <x:c r="AG51" s="90" t="str">
        <x:v>只见五行相克就固定扣分。</x:v>
      </x:c>
      <x:c r="AH51" s="68" t="str">
        <x:v>https://zh.wikisource.org/zh-hans/滴天髓 ; https://zh.wikisource.org/zh-hans/淵海子平 ; https://zh.wikisource.org/wiki/三命通會</x:v>
      </x:c>
      <x:c r="AI51" s="82" t="str">
        <x:v>采用</x:v>
      </x:c>
      <x:c r="AJ51" s="82" t="str">
        <x:v>初审</x:v>
      </x:c>
      <x:c r="AK51" s="87" t="n">
        <x:v>46255</x:v>
      </x:c>
    </x:row>
    <x:row r="52">
      <x:c r="A52" s="72" t="str">
        <x:f>IF(OR(C52="",D52=""),"",B52&amp;"-"&amp;UPPER(C52)&amp;"-"&amp;TEXT(D52,"0000")&amp;"-"&amp;E52)</x:f>
        <x:v>M08-CONTROL-0046-V1.0</x:v>
      </x:c>
      <x:c r="B52" s="74" t="str">
        <x:v>M08</x:v>
      </x:c>
      <x:c r="C52" s="74" t="str">
        <x:v>CONTROL</x:v>
      </x:c>
      <x:c r="D52" s="79" t="n">
        <x:v>46</x:v>
      </x:c>
      <x:c r="E52" s="74" t="str">
        <x:v>V1.0</x:v>
      </x:c>
      <x:c r="F52" s="68" t="str">
        <x:v>克制结果不得越级等同十神功能成败</x:v>
      </x:c>
      <x:c r="G52" s="82" t="str">
        <x:v>结构层</x:v>
      </x:c>
      <x:c r="H52" s="68" t="str">
        <x:v>M08边界</x:v>
      </x:c>
      <x:c r="I52" s="68" t="str">
        <x:v>目标五行</x:v>
      </x:c>
      <x:c r="J52" s="68" t="str">
        <x:v>任意</x:v>
      </x:c>
      <x:c r="K52" s="68" t="str">
        <x:v>五行间克制</x:v>
      </x:c>
      <x:c r="L52" s="68" t="str">
        <x:v>只修正五行力量，不判组合成败</x:v>
      </x:c>
      <x:c r="M52" s="82" t="str">
        <x:v>不变</x:v>
      </x:c>
      <x:c r="N52" s="82" t="str">
        <x:v>弱</x:v>
      </x:c>
      <x:c r="O52" s="82" t="str">
        <x:v>条件性</x:v>
      </x:c>
      <x:c r="P52" s="82" t="str">
        <x:v>条件性</x:v>
      </x:c>
      <x:c r="Q52" s="82" t="str">
        <x:v>条件性</x:v>
      </x:c>
      <x:c r="R52" s="82" t="str">
        <x:v>是</x:v>
      </x:c>
      <x:c r="S52" s="68" t="str">
        <x:v>前置模块已完成</x:v>
      </x:c>
      <x:c r="T52" s="68" t="str">
        <x:v>作用条件真实成立</x:v>
      </x:c>
      <x:c r="U52" s="68" t="str">
        <x:v>得令、有根、有援可增强</x:v>
      </x:c>
      <x:c r="V52" s="68" t="str">
        <x:v>失令、孤立或受制可削弱</x:v>
      </x:c>
      <x:c r="W52" s="90" t="str">
        <x:v>禁止用关系名称直接替代实际效应</x:v>
      </x:c>
      <x:c r="X52" s="68" t="str">
        <x:v>特殊格局与动态岁运另模块处理</x:v>
      </x:c>
      <x:c r="Y52" s="84" t="str">
        <x:v>按证据修正有效旺衰</x:v>
      </x:c>
      <x:c r="Z52" s="68" t="str">
        <x:v>不得直接推出喜忌用神</x:v>
      </x:c>
      <x:c r="AA52" s="84" t="str">
        <x:v>五行克制边界</x:v>
      </x:c>
      <x:c r="AB52" s="84" t="str">
        <x:v>M08只确认克制对五行力量的影响，十神功能与组合交由M10/M11。</x:v>
      </x:c>
      <x:c r="AC52" s="82" t="str">
        <x:v>较高</x:v>
      </x:c>
      <x:c r="AD52" s="82" t="str">
        <x:v>现代综合</x:v>
      </x:c>
      <x:c r="AE52" s="68" t="str">
        <x:v>有效力量必须承接原始力量与实际效应，逐对象、逐节点修正。</x:v>
      </x:c>
      <x:c r="AF52" s="68" t="str">
        <x:v>比较双方有效力量、路径与续航后再定减力幅度。</x:v>
      </x:c>
      <x:c r="AG52" s="90" t="str">
        <x:v>只见五行相克就固定扣分。</x:v>
      </x:c>
      <x:c r="AH52" s="68" t="str">
        <x:v>https://zh.wikisource.org/zh-hans/滴天髓 ; https://zh.wikisource.org/zh-hans/淵海子平 ; https://zh.wikisource.org/wiki/三命通會</x:v>
      </x:c>
      <x:c r="AI52" s="82" t="str">
        <x:v>采用</x:v>
      </x:c>
      <x:c r="AJ52" s="82" t="str">
        <x:v>初审</x:v>
      </x:c>
      <x:c r="AK52" s="87" t="n">
        <x:v>46255</x:v>
      </x:c>
    </x:row>
    <x:row r="53">
      <x:c r="A53" s="72" t="str">
        <x:f>IF(OR(C53="",D53=""),"",B53&amp;"-"&amp;UPPER(C53)&amp;"-"&amp;TEXT(D53,"0000")&amp;"-"&amp;E53)</x:f>
        <x:v>M08-LEAK-0047-V1.0</x:v>
      </x:c>
      <x:c r="B53" s="74" t="str">
        <x:v>M08</x:v>
      </x:c>
      <x:c r="C53" s="74" t="str">
        <x:v>LEAK</x:v>
      </x:c>
      <x:c r="D53" s="79" t="n">
        <x:v>47</x:v>
      </x:c>
      <x:c r="E53" s="74" t="str">
        <x:v>V1.0</x:v>
      </x:c>
      <x:c r="F53" s="68" t="str">
        <x:v>目标主动生出强泄神时有效力量下降</x:v>
      </x:c>
      <x:c r="G53" s="82" t="str">
        <x:v>结构层</x:v>
      </x:c>
      <x:c r="H53" s="68" t="str">
        <x:v>五行相生/泄</x:v>
      </x:c>
      <x:c r="I53" s="68" t="str">
        <x:v>目标五行</x:v>
      </x:c>
      <x:c r="J53" s="68" t="str">
        <x:v>原始有力</x:v>
      </x:c>
      <x:c r="K53" s="68" t="str">
        <x:v>持续生出强下游五行</x:v>
      </x:c>
      <x:c r="L53" s="68" t="str">
        <x:v>下调目标可保有力量</x:v>
      </x:c>
      <x:c r="M53" s="82" t="str">
        <x:v>减弱</x:v>
      </x:c>
      <x:c r="N53" s="82" t="str">
        <x:v>中</x:v>
      </x:c>
      <x:c r="O53" s="82" t="str">
        <x:v>否</x:v>
      </x:c>
      <x:c r="P53" s="82" t="str">
        <x:v>否</x:v>
      </x:c>
      <x:c r="Q53" s="82" t="str">
        <x:v>否</x:v>
      </x:c>
      <x:c r="R53" s="82" t="str">
        <x:v>是</x:v>
      </x:c>
      <x:c r="S53" s="68" t="str">
        <x:v>前置模块已完成</x:v>
      </x:c>
      <x:c r="T53" s="68" t="str">
        <x:v>作用条件真实成立</x:v>
      </x:c>
      <x:c r="U53" s="68" t="str">
        <x:v>得令、有根、有援可增强</x:v>
      </x:c>
      <x:c r="V53" s="68" t="str">
        <x:v>失令、孤立或受制可削弱</x:v>
      </x:c>
      <x:c r="W53" s="90" t="str">
        <x:v>禁止用关系名称直接替代实际效应</x:v>
      </x:c>
      <x:c r="X53" s="68" t="str">
        <x:v>特殊格局与动态岁运另模块处理</x:v>
      </x:c>
      <x:c r="Y53" s="84" t="str">
        <x:v>按证据修正有效旺衰</x:v>
      </x:c>
      <x:c r="Z53" s="68" t="str">
        <x:v>不得直接推出喜忌用神</x:v>
      </x:c>
      <x:c r="AA53" s="84" t="str">
        <x:v>主动泄气</x:v>
      </x:c>
      <x:c r="AB53" s="84" t="str">
        <x:v>目标持续生出有承载的下游五行时，自身有效力量下降。</x:v>
      </x:c>
      <x:c r="AC53" s="82" t="str">
        <x:v>较高</x:v>
      </x:c>
      <x:c r="AD53" s="82" t="str">
        <x:v>现代综合</x:v>
      </x:c>
      <x:c r="AE53" s="68" t="str">
        <x:v>有效力量必须承接原始力量与实际效应，逐对象、逐节点修正。</x:v>
      </x:c>
      <x:c r="AF53" s="68" t="str">
        <x:v>泄神有承载、链路顺畅时泄力才高。</x:v>
      </x:c>
      <x:c r="AG53" s="90" t="str">
        <x:v>只要出现下游五行就按重泄处理。</x:v>
      </x:c>
      <x:c r="AH53" s="68" t="str">
        <x:v>https://zh.wikisource.org/zh-hans/滴天髓 ; https://zh.wikisource.org/zh-hans/淵海子平 ; https://zh.wikisource.org/wiki/三命通會</x:v>
      </x:c>
      <x:c r="AI53" s="82" t="str">
        <x:v>采用</x:v>
      </x:c>
      <x:c r="AJ53" s="82" t="str">
        <x:v>初审</x:v>
      </x:c>
      <x:c r="AK53" s="87" t="n">
        <x:v>46255</x:v>
      </x:c>
    </x:row>
    <x:row r="54">
      <x:c r="A54" s="72" t="str">
        <x:f>IF(OR(C54="",D54=""),"",B54&amp;"-"&amp;UPPER(C54)&amp;"-"&amp;TEXT(D54,"0000")&amp;"-"&amp;E54)</x:f>
        <x:v>M08-LEAK-0048-V1.0</x:v>
      </x:c>
      <x:c r="B54" s="74" t="str">
        <x:v>M08</x:v>
      </x:c>
      <x:c r="C54" s="74" t="str">
        <x:v>LEAK</x:v>
      </x:c>
      <x:c r="D54" s="79" t="n">
        <x:v>48</x:v>
      </x:c>
      <x:c r="E54" s="74" t="str">
        <x:v>V1.0</x:v>
      </x:c>
      <x:c r="F54" s="68" t="str">
        <x:v>泄神弱或无根时对目标泄力有限</x:v>
      </x:c>
      <x:c r="G54" s="82" t="str">
        <x:v>结构层</x:v>
      </x:c>
      <x:c r="H54" s="68" t="str">
        <x:v>五行相生/泄</x:v>
      </x:c>
      <x:c r="I54" s="68" t="str">
        <x:v>目标五行</x:v>
      </x:c>
      <x:c r="J54" s="68" t="str">
        <x:v>原始有力</x:v>
      </x:c>
      <x:c r="K54" s="68" t="str">
        <x:v>生出弱下游</x:v>
      </x:c>
      <x:c r="L54" s="68" t="str">
        <x:v>仅作轻度泄气</x:v>
      </x:c>
      <x:c r="M54" s="82" t="str">
        <x:v>减弱</x:v>
      </x:c>
      <x:c r="N54" s="82" t="str">
        <x:v>弱</x:v>
      </x:c>
      <x:c r="O54" s="82" t="str">
        <x:v>否</x:v>
      </x:c>
      <x:c r="P54" s="82" t="str">
        <x:v>否</x:v>
      </x:c>
      <x:c r="Q54" s="82" t="str">
        <x:v>否</x:v>
      </x:c>
      <x:c r="R54" s="82" t="str">
        <x:v>是</x:v>
      </x:c>
      <x:c r="S54" s="68" t="str">
        <x:v>前置模块已完成</x:v>
      </x:c>
      <x:c r="T54" s="68" t="str">
        <x:v>作用条件真实成立</x:v>
      </x:c>
      <x:c r="U54" s="68" t="str">
        <x:v>得令、有根、有援可增强</x:v>
      </x:c>
      <x:c r="V54" s="68" t="str">
        <x:v>失令、孤立或受制可削弱</x:v>
      </x:c>
      <x:c r="W54" s="90" t="str">
        <x:v>禁止用关系名称直接替代实际效应</x:v>
      </x:c>
      <x:c r="X54" s="68" t="str">
        <x:v>特殊格局与动态岁运另模块处理</x:v>
      </x:c>
      <x:c r="Y54" s="84" t="str">
        <x:v>按证据修正有效旺衰</x:v>
      </x:c>
      <x:c r="Z54" s="68" t="str">
        <x:v>不得直接推出喜忌用神</x:v>
      </x:c>
      <x:c r="AA54" s="84" t="str">
        <x:v>弱泄低权重</x:v>
      </x:c>
      <x:c r="AB54" s="84" t="str">
        <x:v>泄神弱而无承载时，对目标的实际泄力有限。</x:v>
      </x:c>
      <x:c r="AC54" s="82" t="str">
        <x:v>较高</x:v>
      </x:c>
      <x:c r="AD54" s="82" t="str">
        <x:v>现代综合</x:v>
      </x:c>
      <x:c r="AE54" s="68" t="str">
        <x:v>有效力量必须承接原始力量与实际效应，逐对象、逐节点修正。</x:v>
      </x:c>
      <x:c r="AF54" s="68" t="str">
        <x:v>泄神有承载、链路顺畅时泄力才高。</x:v>
      </x:c>
      <x:c r="AG54" s="90" t="str">
        <x:v>只要出现下游五行就按重泄处理。</x:v>
      </x:c>
      <x:c r="AH54" s="68" t="str">
        <x:v>https://zh.wikisource.org/zh-hans/滴天髓 ; https://zh.wikisource.org/zh-hans/淵海子平 ; https://zh.wikisource.org/wiki/三命通會</x:v>
      </x:c>
      <x:c r="AI54" s="82" t="str">
        <x:v>采用</x:v>
      </x:c>
      <x:c r="AJ54" s="82" t="str">
        <x:v>初审</x:v>
      </x:c>
      <x:c r="AK54" s="87" t="n">
        <x:v>46255</x:v>
      </x:c>
    </x:row>
    <x:row r="55">
      <x:c r="A55" s="72" t="str">
        <x:f>IF(OR(C55="",D55=""),"",B55&amp;"-"&amp;UPPER(C55)&amp;"-"&amp;TEXT(D55,"0000")&amp;"-"&amp;E55)</x:f>
        <x:v>M08-LEAK-0049-V1.0</x:v>
      </x:c>
      <x:c r="B55" s="74" t="str">
        <x:v>M08</x:v>
      </x:c>
      <x:c r="C55" s="74" t="str">
        <x:v>LEAK</x:v>
      </x:c>
      <x:c r="D55" s="79" t="n">
        <x:v>49</x:v>
      </x:c>
      <x:c r="E55" s="74" t="str">
        <x:v>V1.0</x:v>
      </x:c>
      <x:c r="F55" s="68" t="str">
        <x:v>多重泄出需按目标容量与下游承载共同判断</x:v>
      </x:c>
      <x:c r="G55" s="82" t="str">
        <x:v>结构层</x:v>
      </x:c>
      <x:c r="H55" s="68" t="str">
        <x:v>容量约束</x:v>
      </x:c>
      <x:c r="I55" s="68" t="str">
        <x:v>目标五行</x:v>
      </x:c>
      <x:c r="J55" s="68" t="str">
        <x:v>多下游</x:v>
      </x:c>
      <x:c r="K55" s="68" t="str">
        <x:v>目标同时生多个有效对象</x:v>
      </x:c>
      <x:c r="L55" s="68" t="str">
        <x:v>提高总泄力但设置容量上限</x:v>
      </x:c>
      <x:c r="M55" s="82" t="str">
        <x:v>减弱</x:v>
      </x:c>
      <x:c r="N55" s="82" t="str">
        <x:v>强</x:v>
      </x:c>
      <x:c r="O55" s="82" t="str">
        <x:v>否</x:v>
      </x:c>
      <x:c r="P55" s="82" t="str">
        <x:v>否</x:v>
      </x:c>
      <x:c r="Q55" s="82" t="str">
        <x:v>否</x:v>
      </x:c>
      <x:c r="R55" s="82" t="str">
        <x:v>是</x:v>
      </x:c>
      <x:c r="S55" s="68" t="str">
        <x:v>前置模块已完成</x:v>
      </x:c>
      <x:c r="T55" s="68" t="str">
        <x:v>作用条件真实成立</x:v>
      </x:c>
      <x:c r="U55" s="68" t="str">
        <x:v>得令、有根、有援可增强</x:v>
      </x:c>
      <x:c r="V55" s="68" t="str">
        <x:v>失令、孤立或受制可削弱</x:v>
      </x:c>
      <x:c r="W55" s="90" t="str">
        <x:v>禁止用关系名称直接替代实际效应</x:v>
      </x:c>
      <x:c r="X55" s="68" t="str">
        <x:v>特殊格局与动态岁运另模块处理</x:v>
      </x:c>
      <x:c r="Y55" s="84" t="str">
        <x:v>按证据修正有效旺衰</x:v>
      </x:c>
      <x:c r="Z55" s="68" t="str">
        <x:v>不得直接推出喜忌用神</x:v>
      </x:c>
      <x:c r="AA55" s="84" t="str">
        <x:v>多路泄气</x:v>
      </x:c>
      <x:c r="AB55" s="84" t="str">
        <x:v>多路有效泄出会提高总泄力，但受目标自身容量约束。</x:v>
      </x:c>
      <x:c r="AC55" s="82" t="str">
        <x:v>较高</x:v>
      </x:c>
      <x:c r="AD55" s="82" t="str">
        <x:v>现代综合</x:v>
      </x:c>
      <x:c r="AE55" s="68" t="str">
        <x:v>有效力量必须承接原始力量与实际效应，逐对象、逐节点修正。</x:v>
      </x:c>
      <x:c r="AF55" s="68" t="str">
        <x:v>泄神有承载、链路顺畅时泄力才高。</x:v>
      </x:c>
      <x:c r="AG55" s="90" t="str">
        <x:v>只要出现下游五行就按重泄处理。</x:v>
      </x:c>
      <x:c r="AH55" s="68" t="str">
        <x:v>https://zh.wikisource.org/zh-hans/滴天髓 ; https://zh.wikisource.org/zh-hans/淵海子平 ; https://zh.wikisource.org/wiki/三命通會</x:v>
      </x:c>
      <x:c r="AI55" s="82" t="str">
        <x:v>采用</x:v>
      </x:c>
      <x:c r="AJ55" s="82" t="str">
        <x:v>初审</x:v>
      </x:c>
      <x:c r="AK55" s="87" t="n">
        <x:v>46255</x:v>
      </x:c>
    </x:row>
    <x:row r="56">
      <x:c r="A56" s="72" t="str">
        <x:f>IF(OR(C56="",D56=""),"",B56&amp;"-"&amp;UPPER(C56)&amp;"-"&amp;TEXT(D56,"0000")&amp;"-"&amp;E56)</x:f>
        <x:v>M08-LEAK-0050-V1.0</x:v>
      </x:c>
      <x:c r="B56" s="74" t="str">
        <x:v>M08</x:v>
      </x:c>
      <x:c r="C56" s="74" t="str">
        <x:v>LEAK</x:v>
      </x:c>
      <x:c r="D56" s="79" t="n">
        <x:v>50</x:v>
      </x:c>
      <x:c r="E56" s="74" t="str">
        <x:v>V1.0</x:v>
      </x:c>
      <x:c r="F56" s="68" t="str">
        <x:v>泄神被合绊时目标泄力下降</x:v>
      </x:c>
      <x:c r="G56" s="82" t="str">
        <x:v>结构层</x:v>
      </x:c>
      <x:c r="H56" s="68" t="str">
        <x:v>M06合绊</x:v>
      </x:c>
      <x:c r="I56" s="68" t="str">
        <x:v>目标五行</x:v>
      </x:c>
      <x:c r="J56" s="68" t="str">
        <x:v>原有泄出</x:v>
      </x:c>
      <x:c r="K56" s="68" t="str">
        <x:v>泄神被合绊</x:v>
      </x:c>
      <x:c r="L56" s="68" t="str">
        <x:v>减少有效泄出通道</x:v>
      </x:c>
      <x:c r="M56" s="82" t="str">
        <x:v>增强</x:v>
      </x:c>
      <x:c r="N56" s="82" t="str">
        <x:v>中</x:v>
      </x:c>
      <x:c r="O56" s="82" t="str">
        <x:v>否</x:v>
      </x:c>
      <x:c r="P56" s="82" t="str">
        <x:v>否</x:v>
      </x:c>
      <x:c r="Q56" s="82" t="str">
        <x:v>否</x:v>
      </x:c>
      <x:c r="R56" s="82" t="str">
        <x:v>是</x:v>
      </x:c>
      <x:c r="S56" s="68" t="str">
        <x:v>前置模块已完成</x:v>
      </x:c>
      <x:c r="T56" s="68" t="str">
        <x:v>作用条件真实成立</x:v>
      </x:c>
      <x:c r="U56" s="68" t="str">
        <x:v>得令、有根、有援可增强</x:v>
      </x:c>
      <x:c r="V56" s="68" t="str">
        <x:v>失令、孤立或受制可削弱</x:v>
      </x:c>
      <x:c r="W56" s="90" t="str">
        <x:v>禁止用关系名称直接替代实际效应</x:v>
      </x:c>
      <x:c r="X56" s="68" t="str">
        <x:v>特殊格局与动态岁运另模块处理</x:v>
      </x:c>
      <x:c r="Y56" s="84" t="str">
        <x:v>按证据修正有效旺衰</x:v>
      </x:c>
      <x:c r="Z56" s="68" t="str">
        <x:v>不得直接推出喜忌用神</x:v>
      </x:c>
      <x:c r="AA56" s="84" t="str">
        <x:v>泄路受阻</x:v>
      </x:c>
      <x:c r="AB56" s="84" t="str">
        <x:v>泄神被合绊后，目标的泄出通道受限，实际泄气减轻。</x:v>
      </x:c>
      <x:c r="AC56" s="82" t="str">
        <x:v>较高</x:v>
      </x:c>
      <x:c r="AD56" s="82" t="str">
        <x:v>现代综合</x:v>
      </x:c>
      <x:c r="AE56" s="68" t="str">
        <x:v>有效力量必须承接原始力量与实际效应，逐对象、逐节点修正。</x:v>
      </x:c>
      <x:c r="AF56" s="68" t="str">
        <x:v>泄神有承载、链路顺畅时泄力才高。</x:v>
      </x:c>
      <x:c r="AG56" s="90" t="str">
        <x:v>只要出现下游五行就按重泄处理。</x:v>
      </x:c>
      <x:c r="AH56" s="68" t="str">
        <x:v>https://zh.wikisource.org/zh-hans/滴天髓 ; https://zh.wikisource.org/zh-hans/淵海子平 ; https://zh.wikisource.org/wiki/三命通會</x:v>
      </x:c>
      <x:c r="AI56" s="82" t="str">
        <x:v>采用</x:v>
      </x:c>
      <x:c r="AJ56" s="82" t="str">
        <x:v>初审</x:v>
      </x:c>
      <x:c r="AK56" s="87" t="n">
        <x:v>46255</x:v>
      </x:c>
    </x:row>
    <x:row r="57">
      <x:c r="A57" s="72" t="str">
        <x:f>IF(OR(C57="",D57=""),"",B57&amp;"-"&amp;UPPER(C57)&amp;"-"&amp;TEXT(D57,"0000")&amp;"-"&amp;E57)</x:f>
        <x:v>M08-LEAK-0051-V1.0</x:v>
      </x:c>
      <x:c r="B57" s="74" t="str">
        <x:v>M08</x:v>
      </x:c>
      <x:c r="C57" s="74" t="str">
        <x:v>LEAK</x:v>
      </x:c>
      <x:c r="D57" s="79" t="n">
        <x:v>51</x:v>
      </x:c>
      <x:c r="E57" s="74" t="str">
        <x:v>V1.0</x:v>
      </x:c>
      <x:c r="F57" s="68" t="str">
        <x:v>泄神被克制时目标泄气能力下降</x:v>
      </x:c>
      <x:c r="G57" s="82" t="str">
        <x:v>结构层</x:v>
      </x:c>
      <x:c r="H57" s="68" t="str">
        <x:v>制化关系</x:v>
      </x:c>
      <x:c r="I57" s="68" t="str">
        <x:v>目标五行</x:v>
      </x:c>
      <x:c r="J57" s="68" t="str">
        <x:v>有泄出</x:v>
      </x:c>
      <x:c r="K57" s="68" t="str">
        <x:v>泄神遭强克</x:v>
      </x:c>
      <x:c r="L57" s="68" t="str">
        <x:v>下调泄出效率</x:v>
      </x:c>
      <x:c r="M57" s="82" t="str">
        <x:v>增强</x:v>
      </x:c>
      <x:c r="N57" s="82" t="str">
        <x:v>中</x:v>
      </x:c>
      <x:c r="O57" s="82" t="str">
        <x:v>否</x:v>
      </x:c>
      <x:c r="P57" s="82" t="str">
        <x:v>否</x:v>
      </x:c>
      <x:c r="Q57" s="82" t="str">
        <x:v>否</x:v>
      </x:c>
      <x:c r="R57" s="82" t="str">
        <x:v>是</x:v>
      </x:c>
      <x:c r="S57" s="68" t="str">
        <x:v>前置模块已完成</x:v>
      </x:c>
      <x:c r="T57" s="68" t="str">
        <x:v>作用条件真实成立</x:v>
      </x:c>
      <x:c r="U57" s="68" t="str">
        <x:v>得令、有根、有援可增强</x:v>
      </x:c>
      <x:c r="V57" s="68" t="str">
        <x:v>失令、孤立或受制可削弱</x:v>
      </x:c>
      <x:c r="W57" s="90" t="str">
        <x:v>禁止用关系名称直接替代实际效应</x:v>
      </x:c>
      <x:c r="X57" s="68" t="str">
        <x:v>特殊格局与动态岁运另模块处理</x:v>
      </x:c>
      <x:c r="Y57" s="84" t="str">
        <x:v>按证据修正有效旺衰</x:v>
      </x:c>
      <x:c r="Z57" s="68" t="str">
        <x:v>不得直接推出喜忌用神</x:v>
      </x:c>
      <x:c r="AA57" s="84" t="str">
        <x:v>泄神受制</x:v>
      </x:c>
      <x:c r="AB57" s="84" t="str">
        <x:v>泄神自身受制会降低承接能力，使目标实际泄气减轻。</x:v>
      </x:c>
      <x:c r="AC57" s="82" t="str">
        <x:v>较高</x:v>
      </x:c>
      <x:c r="AD57" s="82" t="str">
        <x:v>现代综合</x:v>
      </x:c>
      <x:c r="AE57" s="68" t="str">
        <x:v>有效力量必须承接原始力量与实际效应，逐对象、逐节点修正。</x:v>
      </x:c>
      <x:c r="AF57" s="68" t="str">
        <x:v>泄神有承载、链路顺畅时泄力才高。</x:v>
      </x:c>
      <x:c r="AG57" s="90" t="str">
        <x:v>只要出现下游五行就按重泄处理。</x:v>
      </x:c>
      <x:c r="AH57" s="68" t="str">
        <x:v>https://zh.wikisource.org/zh-hans/滴天髓 ; https://zh.wikisource.org/zh-hans/淵海子平 ; https://zh.wikisource.org/wiki/三命通會</x:v>
      </x:c>
      <x:c r="AI57" s="82" t="str">
        <x:v>采用</x:v>
      </x:c>
      <x:c r="AJ57" s="82" t="str">
        <x:v>初审</x:v>
      </x:c>
      <x:c r="AK57" s="87" t="n">
        <x:v>46255</x:v>
      </x:c>
    </x:row>
    <x:row r="58">
      <x:c r="A58" s="72" t="str">
        <x:f>IF(OR(C58="",D58=""),"",B58&amp;"-"&amp;UPPER(C58)&amp;"-"&amp;TEXT(D58,"0000")&amp;"-"&amp;E58)</x:f>
        <x:v>M08-LEAK-0052-V1.0</x:v>
      </x:c>
      <x:c r="B58" s="74" t="str">
        <x:v>M08</x:v>
      </x:c>
      <x:c r="C58" s="74" t="str">
        <x:v>LEAK</x:v>
      </x:c>
      <x:c r="D58" s="79" t="n">
        <x:v>52</x:v>
      </x:c>
      <x:c r="E58" s="74" t="str">
        <x:v>V1.0</x:v>
      </x:c>
      <x:c r="F58" s="68" t="str">
        <x:v>泄出后继续顺生可形成连续导流</x:v>
      </x:c>
      <x:c r="G58" s="82" t="str">
        <x:v>结构层</x:v>
      </x:c>
      <x:c r="H58" s="68" t="str">
        <x:v>M12流通接口</x:v>
      </x:c>
      <x:c r="I58" s="68" t="str">
        <x:v>目标五行</x:v>
      </x:c>
      <x:c r="J58" s="68" t="str">
        <x:v>有泄出链</x:v>
      </x:c>
      <x:c r="K58" s="68" t="str">
        <x:v>目标→A→B连续有效</x:v>
      </x:c>
      <x:c r="L58" s="68" t="str">
        <x:v>提高源头力量外流程度</x:v>
      </x:c>
      <x:c r="M58" s="82" t="str">
        <x:v>减弱</x:v>
      </x:c>
      <x:c r="N58" s="82" t="str">
        <x:v>中</x:v>
      </x:c>
      <x:c r="O58" s="82" t="str">
        <x:v>否</x:v>
      </x:c>
      <x:c r="P58" s="82" t="str">
        <x:v>否</x:v>
      </x:c>
      <x:c r="Q58" s="82" t="str">
        <x:v>否</x:v>
      </x:c>
      <x:c r="R58" s="82" t="str">
        <x:v>是</x:v>
      </x:c>
      <x:c r="S58" s="68" t="str">
        <x:v>前置模块已完成</x:v>
      </x:c>
      <x:c r="T58" s="68" t="str">
        <x:v>作用条件真实成立</x:v>
      </x:c>
      <x:c r="U58" s="68" t="str">
        <x:v>得令、有根、有援可增强</x:v>
      </x:c>
      <x:c r="V58" s="68" t="str">
        <x:v>失令、孤立或受制可削弱</x:v>
      </x:c>
      <x:c r="W58" s="90" t="str">
        <x:v>禁止用关系名称直接替代实际效应</x:v>
      </x:c>
      <x:c r="X58" s="68" t="str">
        <x:v>特殊格局与动态岁运另模块处理</x:v>
      </x:c>
      <x:c r="Y58" s="84" t="str">
        <x:v>按证据修正有效旺衰</x:v>
      </x:c>
      <x:c r="Z58" s="68" t="str">
        <x:v>不得直接推出喜忌用神</x:v>
      </x:c>
      <x:c r="AA58" s="84" t="str">
        <x:v>连续泄流</x:v>
      </x:c>
      <x:c r="AB58" s="84" t="str">
        <x:v>力量沿连续生化链顺畅导出时，源头泄力通常高于单段泄出。</x:v>
      </x:c>
      <x:c r="AC58" s="82" t="str">
        <x:v>较高</x:v>
      </x:c>
      <x:c r="AD58" s="82" t="str">
        <x:v>现代综合</x:v>
      </x:c>
      <x:c r="AE58" s="68" t="str">
        <x:v>有效力量必须承接原始力量与实际效应，逐对象、逐节点修正。</x:v>
      </x:c>
      <x:c r="AF58" s="68" t="str">
        <x:v>泄神有承载、链路顺畅时泄力才高。</x:v>
      </x:c>
      <x:c r="AG58" s="90" t="str">
        <x:v>只要出现下游五行就按重泄处理。</x:v>
      </x:c>
      <x:c r="AH58" s="68" t="str">
        <x:v>https://zh.wikisource.org/zh-hans/滴天髓 ; https://zh.wikisource.org/zh-hans/淵海子平 ; https://zh.wikisource.org/wiki/三命通會</x:v>
      </x:c>
      <x:c r="AI58" s="82" t="str">
        <x:v>采用</x:v>
      </x:c>
      <x:c r="AJ58" s="82" t="str">
        <x:v>初审</x:v>
      </x:c>
      <x:c r="AK58" s="87" t="n">
        <x:v>46255</x:v>
      </x:c>
    </x:row>
    <x:row r="59">
      <x:c r="A59" s="72" t="str">
        <x:f>IF(OR(C59="",D59=""),"",B59&amp;"-"&amp;UPPER(C59)&amp;"-"&amp;TEXT(D59,"0000")&amp;"-"&amp;E59)</x:f>
        <x:v>M08-LEAK-0053-V1.0</x:v>
      </x:c>
      <x:c r="B59" s="74" t="str">
        <x:v>M08</x:v>
      </x:c>
      <x:c r="C59" s="74" t="str">
        <x:v>LEAK</x:v>
      </x:c>
      <x:c r="D59" s="79" t="n">
        <x:v>53</x:v>
      </x:c>
      <x:c r="E59" s="74" t="str">
        <x:v>V1.0</x:v>
      </x:c>
      <x:c r="F59" s="68" t="str">
        <x:v>目标极弱时再遇强泄可形成过泄候选</x:v>
      </x:c>
      <x:c r="G59" s="82" t="str">
        <x:v>结构层</x:v>
      </x:c>
      <x:c r="H59" s="68" t="str">
        <x:v>旺衰极端修正</x:v>
      </x:c>
      <x:c r="I59" s="68" t="str">
        <x:v>目标五行</x:v>
      </x:c>
      <x:c r="J59" s="68" t="str">
        <x:v>原始弱</x:v>
      </x:c>
      <x:c r="K59" s="68" t="str">
        <x:v>强泄神有效</x:v>
      </x:c>
      <x:c r="L59" s="68" t="str">
        <x:v>显著下调并标记过泄风险</x:v>
      </x:c>
      <x:c r="M59" s="82" t="str">
        <x:v>减弱</x:v>
      </x:c>
      <x:c r="N59" s="82" t="str">
        <x:v>强</x:v>
      </x:c>
      <x:c r="O59" s="82" t="str">
        <x:v>否</x:v>
      </x:c>
      <x:c r="P59" s="82" t="str">
        <x:v>否</x:v>
      </x:c>
      <x:c r="Q59" s="82" t="str">
        <x:v>否</x:v>
      </x:c>
      <x:c r="R59" s="82" t="str">
        <x:v>是</x:v>
      </x:c>
      <x:c r="S59" s="68" t="str">
        <x:v>前置模块已完成</x:v>
      </x:c>
      <x:c r="T59" s="68" t="str">
        <x:v>作用条件真实成立</x:v>
      </x:c>
      <x:c r="U59" s="68" t="str">
        <x:v>得令、有根、有援可增强</x:v>
      </x:c>
      <x:c r="V59" s="68" t="str">
        <x:v>失令、孤立或受制可削弱</x:v>
      </x:c>
      <x:c r="W59" s="90" t="str">
        <x:v>禁止用关系名称直接替代实际效应</x:v>
      </x:c>
      <x:c r="X59" s="68" t="str">
        <x:v>特殊格局与动态岁运另模块处理</x:v>
      </x:c>
      <x:c r="Y59" s="84" t="str">
        <x:v>按证据修正有效旺衰</x:v>
      </x:c>
      <x:c r="Z59" s="68" t="str">
        <x:v>不得直接推出喜忌用神</x:v>
      </x:c>
      <x:c r="AA59" s="84" t="str">
        <x:v>过泄</x:v>
      </x:c>
      <x:c r="AB59" s="84" t="str">
        <x:v>弱目标再遇强泄时，有效力量可能进一步下探。</x:v>
      </x:c>
      <x:c r="AC59" s="82" t="str">
        <x:v>较高</x:v>
      </x:c>
      <x:c r="AD59" s="82" t="str">
        <x:v>现代综合</x:v>
      </x:c>
      <x:c r="AE59" s="68" t="str">
        <x:v>有效力量必须承接原始力量与实际效应，逐对象、逐节点修正。</x:v>
      </x:c>
      <x:c r="AF59" s="68" t="str">
        <x:v>泄神有承载、链路顺畅时泄力才高。</x:v>
      </x:c>
      <x:c r="AG59" s="90" t="str">
        <x:v>只要出现下游五行就按重泄处理。</x:v>
      </x:c>
      <x:c r="AH59" s="68" t="str">
        <x:v>https://zh.wikisource.org/zh-hans/滴天髓 ; https://zh.wikisource.org/zh-hans/淵海子平 ; https://zh.wikisource.org/wiki/三命通會</x:v>
      </x:c>
      <x:c r="AI59" s="82" t="str">
        <x:v>采用</x:v>
      </x:c>
      <x:c r="AJ59" s="82" t="str">
        <x:v>初审</x:v>
      </x:c>
      <x:c r="AK59" s="87" t="n">
        <x:v>46255</x:v>
      </x:c>
    </x:row>
    <x:row r="60">
      <x:c r="A60" s="72" t="str">
        <x:f>IF(OR(C60="",D60=""),"",B60&amp;"-"&amp;UPPER(C60)&amp;"-"&amp;TEXT(D60,"0000")&amp;"-"&amp;E60)</x:f>
        <x:v>M08-LEAK-0054-V1.0</x:v>
      </x:c>
      <x:c r="B60" s="74" t="str">
        <x:v>M08</x:v>
      </x:c>
      <x:c r="C60" s="74" t="str">
        <x:v>LEAK</x:v>
      </x:c>
      <x:c r="D60" s="79" t="n">
        <x:v>54</x:v>
      </x:c>
      <x:c r="E60" s="74" t="str">
        <x:v>V1.0</x:v>
      </x:c>
      <x:c r="F60" s="68" t="str">
        <x:v>泄气修正与喜忌判断分离</x:v>
      </x:c>
      <x:c r="G60" s="82" t="str">
        <x:v>结构层</x:v>
      </x:c>
      <x:c r="H60" s="68" t="str">
        <x:v>M08边界</x:v>
      </x:c>
      <x:c r="I60" s="68" t="str">
        <x:v>目标五行</x:v>
      </x:c>
      <x:c r="J60" s="68" t="str">
        <x:v>任意</x:v>
      </x:c>
      <x:c r="K60" s="68" t="str">
        <x:v>发生泄气</x:v>
      </x:c>
      <x:c r="L60" s="68" t="str">
        <x:v>只修正力量，不判断泄秀是否为喜</x:v>
      </x:c>
      <x:c r="M60" s="82" t="str">
        <x:v>不变</x:v>
      </x:c>
      <x:c r="N60" s="82" t="str">
        <x:v>弱</x:v>
      </x:c>
      <x:c r="O60" s="82" t="str">
        <x:v>否</x:v>
      </x:c>
      <x:c r="P60" s="82" t="str">
        <x:v>否</x:v>
      </x:c>
      <x:c r="Q60" s="82" t="str">
        <x:v>否</x:v>
      </x:c>
      <x:c r="R60" s="82" t="str">
        <x:v>是</x:v>
      </x:c>
      <x:c r="S60" s="68" t="str">
        <x:v>前置模块已完成</x:v>
      </x:c>
      <x:c r="T60" s="68" t="str">
        <x:v>作用条件真实成立</x:v>
      </x:c>
      <x:c r="U60" s="68" t="str">
        <x:v>得令、有根、有援可增强</x:v>
      </x:c>
      <x:c r="V60" s="68" t="str">
        <x:v>失令、孤立或受制可削弱</x:v>
      </x:c>
      <x:c r="W60" s="90" t="str">
        <x:v>禁止用关系名称直接替代实际效应</x:v>
      </x:c>
      <x:c r="X60" s="68" t="str">
        <x:v>特殊格局与动态岁运另模块处理</x:v>
      </x:c>
      <x:c r="Y60" s="84" t="str">
        <x:v>按证据修正有效旺衰</x:v>
      </x:c>
      <x:c r="Z60" s="68" t="str">
        <x:v>不得直接推出喜忌用神</x:v>
      </x:c>
      <x:c r="AA60" s="84" t="str">
        <x:v>泄气边界</x:v>
      </x:c>
      <x:c r="AB60" s="84" t="str">
        <x:v>泄气在M08只代表力量外流，是否形成好结构由后续模块判断。</x:v>
      </x:c>
      <x:c r="AC60" s="82" t="str">
        <x:v>较高</x:v>
      </x:c>
      <x:c r="AD60" s="82" t="str">
        <x:v>现代综合</x:v>
      </x:c>
      <x:c r="AE60" s="68" t="str">
        <x:v>有效力量必须承接原始力量与实际效应，逐对象、逐节点修正。</x:v>
      </x:c>
      <x:c r="AF60" s="68" t="str">
        <x:v>泄神有承载、链路顺畅时泄力才高。</x:v>
      </x:c>
      <x:c r="AG60" s="90" t="str">
        <x:v>只要出现下游五行就按重泄处理。</x:v>
      </x:c>
      <x:c r="AH60" s="68" t="str">
        <x:v>https://zh.wikisource.org/zh-hans/滴天髓 ; https://zh.wikisource.org/zh-hans/淵海子平 ; https://zh.wikisource.org/wiki/三命通會</x:v>
      </x:c>
      <x:c r="AI60" s="82" t="str">
        <x:v>采用</x:v>
      </x:c>
      <x:c r="AJ60" s="82" t="str">
        <x:v>初审</x:v>
      </x:c>
      <x:c r="AK60" s="87" t="n">
        <x:v>46255</x:v>
      </x:c>
    </x:row>
    <x:row r="61">
      <x:c r="A61" s="72" t="str">
        <x:f>IF(OR(C61="",D61=""),"",B61&amp;"-"&amp;UPPER(C61)&amp;"-"&amp;TEXT(D61,"0000")&amp;"-"&amp;E61)</x:f>
        <x:v>M08-DRAIN-0055-V1.0</x:v>
      </x:c>
      <x:c r="B61" s="74" t="str">
        <x:v>M08</x:v>
      </x:c>
      <x:c r="C61" s="74" t="str">
        <x:v>DRAIN</x:v>
      </x:c>
      <x:c r="D61" s="79" t="n">
        <x:v>55</x:v>
      </x:c>
      <x:c r="E61" s="74" t="str">
        <x:v>V1.0</x:v>
      </x:c>
      <x:c r="F61" s="68" t="str">
        <x:v>目标克制强耗对象时自身发生明显耗力</x:v>
      </x:c>
      <x:c r="G61" s="82" t="str">
        <x:v>结构层</x:v>
      </x:c>
      <x:c r="H61" s="68" t="str">
        <x:v>五行相克/耗</x:v>
      </x:c>
      <x:c r="I61" s="68" t="str">
        <x:v>目标五行</x:v>
      </x:c>
      <x:c r="J61" s="68" t="str">
        <x:v>原始有力</x:v>
      </x:c>
      <x:c r="K61" s="68" t="str">
        <x:v>主动克制强对象</x:v>
      </x:c>
      <x:c r="L61" s="68" t="str">
        <x:v>下调目标可保有力量</x:v>
      </x:c>
      <x:c r="M61" s="82" t="str">
        <x:v>减弱</x:v>
      </x:c>
      <x:c r="N61" s="82" t="str">
        <x:v>中</x:v>
      </x:c>
      <x:c r="O61" s="82" t="str">
        <x:v>否</x:v>
      </x:c>
      <x:c r="P61" s="82" t="str">
        <x:v>否</x:v>
      </x:c>
      <x:c r="Q61" s="82" t="str">
        <x:v>否</x:v>
      </x:c>
      <x:c r="R61" s="82" t="str">
        <x:v>是</x:v>
      </x:c>
      <x:c r="S61" s="68" t="str">
        <x:v>前置模块已完成</x:v>
      </x:c>
      <x:c r="T61" s="68" t="str">
        <x:v>作用条件真实成立</x:v>
      </x:c>
      <x:c r="U61" s="68" t="str">
        <x:v>得令、有根、有援可增强</x:v>
      </x:c>
      <x:c r="V61" s="68" t="str">
        <x:v>失令、孤立或受制可削弱</x:v>
      </x:c>
      <x:c r="W61" s="90" t="str">
        <x:v>禁止用关系名称直接替代实际效应</x:v>
      </x:c>
      <x:c r="X61" s="68" t="str">
        <x:v>特殊格局与动态岁运另模块处理</x:v>
      </x:c>
      <x:c r="Y61" s="84" t="str">
        <x:v>按证据修正有效旺衰</x:v>
      </x:c>
      <x:c r="Z61" s="68" t="str">
        <x:v>不得直接推出喜忌用神</x:v>
      </x:c>
      <x:c r="AA61" s="84" t="str">
        <x:v>主动耗力</x:v>
      </x:c>
      <x:c r="AB61" s="84" t="str">
        <x:v>目标长期克制强对象会消耗自身有效力量。</x:v>
      </x:c>
      <x:c r="AC61" s="82" t="str">
        <x:v>较高</x:v>
      </x:c>
      <x:c r="AD61" s="82" t="str">
        <x:v>现代综合</x:v>
      </x:c>
      <x:c r="AE61" s="68" t="str">
        <x:v>有效力量必须承接原始力量与实际效应，逐对象、逐节点修正。</x:v>
      </x:c>
      <x:c r="AF61" s="68" t="str">
        <x:v>被克对象越强、越多、越能承载，目标耗力越明显。</x:v>
      </x:c>
      <x:c r="AG61" s="90" t="str">
        <x:v>见到被克五行就按固定耗损处理。</x:v>
      </x:c>
      <x:c r="AH61" s="68" t="str">
        <x:v>https://zh.wikisource.org/zh-hans/滴天髓 ; https://zh.wikisource.org/zh-hans/淵海子平 ; https://zh.wikisource.org/wiki/三命通會</x:v>
      </x:c>
      <x:c r="AI61" s="82" t="str">
        <x:v>采用</x:v>
      </x:c>
      <x:c r="AJ61" s="82" t="str">
        <x:v>初审</x:v>
      </x:c>
      <x:c r="AK61" s="87" t="n">
        <x:v>46255</x:v>
      </x:c>
    </x:row>
    <x:row r="62">
      <x:c r="A62" s="72" t="str">
        <x:f>IF(OR(C62="",D62=""),"",B62&amp;"-"&amp;UPPER(C62)&amp;"-"&amp;TEXT(D62,"0000")&amp;"-"&amp;E62)</x:f>
        <x:v>M08-DRAIN-0056-V1.0</x:v>
      </x:c>
      <x:c r="B62" s="74" t="str">
        <x:v>M08</x:v>
      </x:c>
      <x:c r="C62" s="74" t="str">
        <x:v>DRAIN</x:v>
      </x:c>
      <x:c r="D62" s="79" t="n">
        <x:v>56</x:v>
      </x:c>
      <x:c r="E62" s="74" t="str">
        <x:v>V1.0</x:v>
      </x:c>
      <x:c r="F62" s="68" t="str">
        <x:v>被克对象弱时目标耗力有限</x:v>
      </x:c>
      <x:c r="G62" s="82" t="str">
        <x:v>结构层</x:v>
      </x:c>
      <x:c r="H62" s="68" t="str">
        <x:v>五行相克/耗</x:v>
      </x:c>
      <x:c r="I62" s="68" t="str">
        <x:v>目标五行</x:v>
      </x:c>
      <x:c r="J62" s="68" t="str">
        <x:v>原始有力</x:v>
      </x:c>
      <x:c r="K62" s="68" t="str">
        <x:v>主动克制弱对象</x:v>
      </x:c>
      <x:c r="L62" s="68" t="str">
        <x:v>只作轻度耗力</x:v>
      </x:c>
      <x:c r="M62" s="82" t="str">
        <x:v>减弱</x:v>
      </x:c>
      <x:c r="N62" s="82" t="str">
        <x:v>弱</x:v>
      </x:c>
      <x:c r="O62" s="82" t="str">
        <x:v>否</x:v>
      </x:c>
      <x:c r="P62" s="82" t="str">
        <x:v>否</x:v>
      </x:c>
      <x:c r="Q62" s="82" t="str">
        <x:v>否</x:v>
      </x:c>
      <x:c r="R62" s="82" t="str">
        <x:v>是</x:v>
      </x:c>
      <x:c r="S62" s="68" t="str">
        <x:v>前置模块已完成</x:v>
      </x:c>
      <x:c r="T62" s="68" t="str">
        <x:v>作用条件真实成立</x:v>
      </x:c>
      <x:c r="U62" s="68" t="str">
        <x:v>得令、有根、有援可增强</x:v>
      </x:c>
      <x:c r="V62" s="68" t="str">
        <x:v>失令、孤立或受制可削弱</x:v>
      </x:c>
      <x:c r="W62" s="90" t="str">
        <x:v>禁止用关系名称直接替代实际效应</x:v>
      </x:c>
      <x:c r="X62" s="68" t="str">
        <x:v>特殊格局与动态岁运另模块处理</x:v>
      </x:c>
      <x:c r="Y62" s="84" t="str">
        <x:v>按证据修正有效旺衰</x:v>
      </x:c>
      <x:c r="Z62" s="68" t="str">
        <x:v>不得直接推出喜忌用神</x:v>
      </x:c>
      <x:c r="AA62" s="84" t="str">
        <x:v>弱耗低权重</x:v>
      </x:c>
      <x:c r="AB62" s="84" t="str">
        <x:v>被克对象弱时，目标为维持克制所付出的实际耗力有限。</x:v>
      </x:c>
      <x:c r="AC62" s="82" t="str">
        <x:v>较高</x:v>
      </x:c>
      <x:c r="AD62" s="82" t="str">
        <x:v>现代综合</x:v>
      </x:c>
      <x:c r="AE62" s="68" t="str">
        <x:v>有效力量必须承接原始力量与实际效应，逐对象、逐节点修正。</x:v>
      </x:c>
      <x:c r="AF62" s="68" t="str">
        <x:v>被克对象越强、越多、越能承载，目标耗力越明显。</x:v>
      </x:c>
      <x:c r="AG62" s="90" t="str">
        <x:v>见到被克五行就按固定耗损处理。</x:v>
      </x:c>
      <x:c r="AH62" s="68" t="str">
        <x:v>https://zh.wikisource.org/zh-hans/滴天髓 ; https://zh.wikisource.org/zh-hans/淵海子平 ; https://zh.wikisource.org/wiki/三命通會</x:v>
      </x:c>
      <x:c r="AI62" s="82" t="str">
        <x:v>采用</x:v>
      </x:c>
      <x:c r="AJ62" s="82" t="str">
        <x:v>初审</x:v>
      </x:c>
      <x:c r="AK62" s="87" t="n">
        <x:v>46255</x:v>
      </x:c>
    </x:row>
    <x:row r="63">
      <x:c r="A63" s="72" t="str">
        <x:f>IF(OR(C63="",D63=""),"",B63&amp;"-"&amp;UPPER(C63)&amp;"-"&amp;TEXT(D63,"0000")&amp;"-"&amp;E63)</x:f>
        <x:v>M08-DRAIN-0057-V1.0</x:v>
      </x:c>
      <x:c r="B63" s="74" t="str">
        <x:v>M08</x:v>
      </x:c>
      <x:c r="C63" s="74" t="str">
        <x:v>DRAIN</x:v>
      </x:c>
      <x:c r="D63" s="79" t="n">
        <x:v>57</x:v>
      </x:c>
      <x:c r="E63" s="74" t="str">
        <x:v>V1.0</x:v>
      </x:c>
      <x:c r="F63" s="68" t="str">
        <x:v>多个强耗对象会提高总耗但受目标容量上限</x:v>
      </x:c>
      <x:c r="G63" s="82" t="str">
        <x:v>结构层</x:v>
      </x:c>
      <x:c r="H63" s="68" t="str">
        <x:v>容量约束</x:v>
      </x:c>
      <x:c r="I63" s="68" t="str">
        <x:v>目标五行</x:v>
      </x:c>
      <x:c r="J63" s="68" t="str">
        <x:v>多耗对象</x:v>
      </x:c>
      <x:c r="K63" s="68" t="str">
        <x:v>同时克制多个有效对象</x:v>
      </x:c>
      <x:c r="L63" s="68" t="str">
        <x:v>提高总耗力并设置上限</x:v>
      </x:c>
      <x:c r="M63" s="82" t="str">
        <x:v>减弱</x:v>
      </x:c>
      <x:c r="N63" s="82" t="str">
        <x:v>强</x:v>
      </x:c>
      <x:c r="O63" s="82" t="str">
        <x:v>否</x:v>
      </x:c>
      <x:c r="P63" s="82" t="str">
        <x:v>否</x:v>
      </x:c>
      <x:c r="Q63" s="82" t="str">
        <x:v>否</x:v>
      </x:c>
      <x:c r="R63" s="82" t="str">
        <x:v>是</x:v>
      </x:c>
      <x:c r="S63" s="68" t="str">
        <x:v>前置模块已完成</x:v>
      </x:c>
      <x:c r="T63" s="68" t="str">
        <x:v>作用条件真实成立</x:v>
      </x:c>
      <x:c r="U63" s="68" t="str">
        <x:v>得令、有根、有援可增强</x:v>
      </x:c>
      <x:c r="V63" s="68" t="str">
        <x:v>失令、孤立或受制可削弱</x:v>
      </x:c>
      <x:c r="W63" s="90" t="str">
        <x:v>禁止用关系名称直接替代实际效应</x:v>
      </x:c>
      <x:c r="X63" s="68" t="str">
        <x:v>特殊格局与动态岁运另模块处理</x:v>
      </x:c>
      <x:c r="Y63" s="84" t="str">
        <x:v>按证据修正有效旺衰</x:v>
      </x:c>
      <x:c r="Z63" s="68" t="str">
        <x:v>不得直接推出喜忌用神</x:v>
      </x:c>
      <x:c r="AA63" s="84" t="str">
        <x:v>多路耗力</x:v>
      </x:c>
      <x:c r="AB63" s="84" t="str">
        <x:v>多个强耗对象会增加总消耗，但仍受目标自身容量约束。</x:v>
      </x:c>
      <x:c r="AC63" s="82" t="str">
        <x:v>较高</x:v>
      </x:c>
      <x:c r="AD63" s="82" t="str">
        <x:v>现代综合</x:v>
      </x:c>
      <x:c r="AE63" s="68" t="str">
        <x:v>有效力量必须承接原始力量与实际效应，逐对象、逐节点修正。</x:v>
      </x:c>
      <x:c r="AF63" s="68" t="str">
        <x:v>被克对象越强、越多、越能承载，目标耗力越明显。</x:v>
      </x:c>
      <x:c r="AG63" s="90" t="str">
        <x:v>见到被克五行就按固定耗损处理。</x:v>
      </x:c>
      <x:c r="AH63" s="68" t="str">
        <x:v>https://zh.wikisource.org/zh-hans/滴天髓 ; https://zh.wikisource.org/zh-hans/淵海子平 ; https://zh.wikisource.org/wiki/三命通會</x:v>
      </x:c>
      <x:c r="AI63" s="82" t="str">
        <x:v>采用</x:v>
      </x:c>
      <x:c r="AJ63" s="82" t="str">
        <x:v>初审</x:v>
      </x:c>
      <x:c r="AK63" s="87" t="n">
        <x:v>46255</x:v>
      </x:c>
    </x:row>
    <x:row r="64">
      <x:c r="A64" s="72" t="str">
        <x:f>IF(OR(C64="",D64=""),"",B64&amp;"-"&amp;UPPER(C64)&amp;"-"&amp;TEXT(D64,"0000")&amp;"-"&amp;E64)</x:f>
        <x:v>M08-DRAIN-0058-V1.0</x:v>
      </x:c>
      <x:c r="B64" s="74" t="str">
        <x:v>M08</x:v>
      </x:c>
      <x:c r="C64" s="74" t="str">
        <x:v>DRAIN</x:v>
      </x:c>
      <x:c r="D64" s="79" t="n">
        <x:v>58</x:v>
      </x:c>
      <x:c r="E64" s="74" t="str">
        <x:v>V1.0</x:v>
      </x:c>
      <x:c r="F64" s="68" t="str">
        <x:v>耗对象被第三方削弱时目标耗力下降</x:v>
      </x:c>
      <x:c r="G64" s="82" t="str">
        <x:v>结构层</x:v>
      </x:c>
      <x:c r="H64" s="68" t="str">
        <x:v>制化链</x:v>
      </x:c>
      <x:c r="I64" s="68" t="str">
        <x:v>目标五行</x:v>
      </x:c>
      <x:c r="J64" s="68" t="str">
        <x:v>主动克耗</x:v>
      </x:c>
      <x:c r="K64" s="68" t="str">
        <x:v>被克对象同时受第三方克泄</x:v>
      </x:c>
      <x:c r="L64" s="68" t="str">
        <x:v>减少目标维持克制的输出</x:v>
      </x:c>
      <x:c r="M64" s="82" t="str">
        <x:v>增强</x:v>
      </x:c>
      <x:c r="N64" s="82" t="str">
        <x:v>中</x:v>
      </x:c>
      <x:c r="O64" s="82" t="str">
        <x:v>否</x:v>
      </x:c>
      <x:c r="P64" s="82" t="str">
        <x:v>否</x:v>
      </x:c>
      <x:c r="Q64" s="82" t="str">
        <x:v>否</x:v>
      </x:c>
      <x:c r="R64" s="82" t="str">
        <x:v>是</x:v>
      </x:c>
      <x:c r="S64" s="68" t="str">
        <x:v>前置模块已完成</x:v>
      </x:c>
      <x:c r="T64" s="68" t="str">
        <x:v>作用条件真实成立</x:v>
      </x:c>
      <x:c r="U64" s="68" t="str">
        <x:v>得令、有根、有援可增强</x:v>
      </x:c>
      <x:c r="V64" s="68" t="str">
        <x:v>失令、孤立或受制可削弱</x:v>
      </x:c>
      <x:c r="W64" s="90" t="str">
        <x:v>禁止用关系名称直接替代实际效应</x:v>
      </x:c>
      <x:c r="X64" s="68" t="str">
        <x:v>特殊格局与动态岁运另模块处理</x:v>
      </x:c>
      <x:c r="Y64" s="84" t="str">
        <x:v>按证据修正有效旺衰</x:v>
      </x:c>
      <x:c r="Z64" s="68" t="str">
        <x:v>不得直接推出喜忌用神</x:v>
      </x:c>
      <x:c r="AA64" s="84" t="str">
        <x:v>耗对象被削</x:v>
      </x:c>
      <x:c r="AB64" s="84" t="str">
        <x:v>被克对象被其他力量削弱后，目标用于克制它的耗力相应下降。</x:v>
      </x:c>
      <x:c r="AC64" s="82" t="str">
        <x:v>较高</x:v>
      </x:c>
      <x:c r="AD64" s="82" t="str">
        <x:v>现代综合</x:v>
      </x:c>
      <x:c r="AE64" s="68" t="str">
        <x:v>有效力量必须承接原始力量与实际效应，逐对象、逐节点修正。</x:v>
      </x:c>
      <x:c r="AF64" s="68" t="str">
        <x:v>被克对象越强、越多、越能承载，目标耗力越明显。</x:v>
      </x:c>
      <x:c r="AG64" s="90" t="str">
        <x:v>见到被克五行就按固定耗损处理。</x:v>
      </x:c>
      <x:c r="AH64" s="68" t="str">
        <x:v>https://zh.wikisource.org/zh-hans/滴天髓 ; https://zh.wikisource.org/zh-hans/淵海子平 ; https://zh.wikisource.org/wiki/三命通會</x:v>
      </x:c>
      <x:c r="AI64" s="82" t="str">
        <x:v>采用</x:v>
      </x:c>
      <x:c r="AJ64" s="82" t="str">
        <x:v>初审</x:v>
      </x:c>
      <x:c r="AK64" s="87" t="n">
        <x:v>46255</x:v>
      </x:c>
    </x:row>
    <x:row r="65">
      <x:c r="A65" s="72" t="str">
        <x:f>IF(OR(C65="",D65=""),"",B65&amp;"-"&amp;UPPER(C65)&amp;"-"&amp;TEXT(D65,"0000")&amp;"-"&amp;E65)</x:f>
        <x:v>M08-DRAIN-0059-V1.0</x:v>
      </x:c>
      <x:c r="B65" s="74" t="str">
        <x:v>M08</x:v>
      </x:c>
      <x:c r="C65" s="74" t="str">
        <x:v>DRAIN</x:v>
      </x:c>
      <x:c r="D65" s="79" t="n">
        <x:v>59</x:v>
      </x:c>
      <x:c r="E65" s="74" t="str">
        <x:v>V1.0</x:v>
      </x:c>
      <x:c r="F65" s="68" t="str">
        <x:v>目标被合绊时主动克耗下降但功能也受限</x:v>
      </x:c>
      <x:c r="G65" s="82" t="str">
        <x:v>结构层</x:v>
      </x:c>
      <x:c r="H65" s="68" t="str">
        <x:v>M06合绊</x:v>
      </x:c>
      <x:c r="I65" s="68" t="str">
        <x:v>目标五行</x:v>
      </x:c>
      <x:c r="J65" s="68" t="str">
        <x:v>本可克耗</x:v>
      </x:c>
      <x:c r="K65" s="68" t="str">
        <x:v>目标自身被合绊</x:v>
      </x:c>
      <x:c r="L65" s="68" t="str">
        <x:v>减少主动耗出，同时降低克制功能</x:v>
      </x:c>
      <x:c r="M65" s="82" t="str">
        <x:v>冻结</x:v>
      </x:c>
      <x:c r="N65" s="82" t="str">
        <x:v>中</x:v>
      </x:c>
      <x:c r="O65" s="82" t="str">
        <x:v>否</x:v>
      </x:c>
      <x:c r="P65" s="82" t="str">
        <x:v>否</x:v>
      </x:c>
      <x:c r="Q65" s="82" t="str">
        <x:v>否</x:v>
      </x:c>
      <x:c r="R65" s="82" t="str">
        <x:v>是</x:v>
      </x:c>
      <x:c r="S65" s="68" t="str">
        <x:v>前置模块已完成</x:v>
      </x:c>
      <x:c r="T65" s="68" t="str">
        <x:v>作用条件真实成立</x:v>
      </x:c>
      <x:c r="U65" s="68" t="str">
        <x:v>得令、有根、有援可增强</x:v>
      </x:c>
      <x:c r="V65" s="68" t="str">
        <x:v>失令、孤立或受制可削弱</x:v>
      </x:c>
      <x:c r="W65" s="90" t="str">
        <x:v>禁止用关系名称直接替代实际效应</x:v>
      </x:c>
      <x:c r="X65" s="68" t="str">
        <x:v>特殊格局与动态岁运另模块处理</x:v>
      </x:c>
      <x:c r="Y65" s="84" t="str">
        <x:v>按证据修正有效旺衰</x:v>
      </x:c>
      <x:c r="Z65" s="68" t="str">
        <x:v>不得直接推出喜忌用神</x:v>
      </x:c>
      <x:c r="AA65" s="84" t="str">
        <x:v>合绊减耗</x:v>
      </x:c>
      <x:c r="AB65" s="84" t="str">
        <x:v>目标被合绊后少耗不等于纯增力，应同时记录功能受限。</x:v>
      </x:c>
      <x:c r="AC65" s="82" t="str">
        <x:v>较高</x:v>
      </x:c>
      <x:c r="AD65" s="82" t="str">
        <x:v>现代综合</x:v>
      </x:c>
      <x:c r="AE65" s="68" t="str">
        <x:v>有效力量必须承接原始力量与实际效应，逐对象、逐节点修正。</x:v>
      </x:c>
      <x:c r="AF65" s="68" t="str">
        <x:v>被克对象越强、越多、越能承载，目标耗力越明显。</x:v>
      </x:c>
      <x:c r="AG65" s="90" t="str">
        <x:v>见到被克五行就按固定耗损处理。</x:v>
      </x:c>
      <x:c r="AH65" s="68" t="str">
        <x:v>https://zh.wikisource.org/zh-hans/滴天髓 ; https://zh.wikisource.org/zh-hans/淵海子平 ; https://zh.wikisource.org/wiki/三命通會</x:v>
      </x:c>
      <x:c r="AI65" s="82" t="str">
        <x:v>采用</x:v>
      </x:c>
      <x:c r="AJ65" s="82" t="str">
        <x:v>初审</x:v>
      </x:c>
      <x:c r="AK65" s="87" t="n">
        <x:v>46255</x:v>
      </x:c>
    </x:row>
    <x:row r="66">
      <x:c r="A66" s="72" t="str">
        <x:f>IF(OR(C66="",D66=""),"",B66&amp;"-"&amp;UPPER(C66)&amp;"-"&amp;TEXT(D66,"0000")&amp;"-"&amp;E66)</x:f>
        <x:v>M08-DRAIN-0060-V1.0</x:v>
      </x:c>
      <x:c r="B66" s="74" t="str">
        <x:v>M08</x:v>
      </x:c>
      <x:c r="C66" s="74" t="str">
        <x:v>DRAIN</x:v>
      </x:c>
      <x:c r="D66" s="79" t="n">
        <x:v>60</x:v>
      </x:c>
      <x:c r="E66" s="74" t="str">
        <x:v>V1.0</x:v>
      </x:c>
      <x:c r="F66" s="68" t="str">
        <x:v>目标极弱却面对强耗对象时可形成不任耗候选</x:v>
      </x:c>
      <x:c r="G66" s="82" t="str">
        <x:v>结构层</x:v>
      </x:c>
      <x:c r="H66" s="68" t="str">
        <x:v>旺衰承载</x:v>
      </x:c>
      <x:c r="I66" s="68" t="str">
        <x:v>目标五行</x:v>
      </x:c>
      <x:c r="J66" s="68" t="str">
        <x:v>原始弱</x:v>
      </x:c>
      <x:c r="K66" s="68" t="str">
        <x:v>被迫制约强对象</x:v>
      </x:c>
      <x:c r="L66" s="68" t="str">
        <x:v>有效力量进一步下降</x:v>
      </x:c>
      <x:c r="M66" s="82" t="str">
        <x:v>减弱</x:v>
      </x:c>
      <x:c r="N66" s="82" t="str">
        <x:v>强</x:v>
      </x:c>
      <x:c r="O66" s="82" t="str">
        <x:v>否</x:v>
      </x:c>
      <x:c r="P66" s="82" t="str">
        <x:v>否</x:v>
      </x:c>
      <x:c r="Q66" s="82" t="str">
        <x:v>否</x:v>
      </x:c>
      <x:c r="R66" s="82" t="str">
        <x:v>是</x:v>
      </x:c>
      <x:c r="S66" s="68" t="str">
        <x:v>前置模块已完成</x:v>
      </x:c>
      <x:c r="T66" s="68" t="str">
        <x:v>作用条件真实成立</x:v>
      </x:c>
      <x:c r="U66" s="68" t="str">
        <x:v>得令、有根、有援可增强</x:v>
      </x:c>
      <x:c r="V66" s="68" t="str">
        <x:v>失令、孤立或受制可削弱</x:v>
      </x:c>
      <x:c r="W66" s="90" t="str">
        <x:v>禁止用关系名称直接替代实际效应</x:v>
      </x:c>
      <x:c r="X66" s="68" t="str">
        <x:v>特殊格局与动态岁运另模块处理</x:v>
      </x:c>
      <x:c r="Y66" s="84" t="str">
        <x:v>按证据修正有效旺衰</x:v>
      </x:c>
      <x:c r="Z66" s="68" t="str">
        <x:v>不得直接推出喜忌用神</x:v>
      </x:c>
      <x:c r="AA66" s="84" t="str">
        <x:v>不任耗</x:v>
      </x:c>
      <x:c r="AB66" s="84" t="str">
        <x:v>弱目标面对强耗对象时，承载不足会使有效力量进一步下降。</x:v>
      </x:c>
      <x:c r="AC66" s="82" t="str">
        <x:v>较高</x:v>
      </x:c>
      <x:c r="AD66" s="82" t="str">
        <x:v>现代综合</x:v>
      </x:c>
      <x:c r="AE66" s="68" t="str">
        <x:v>有效力量必须承接原始力量与实际效应，逐对象、逐节点修正。</x:v>
      </x:c>
      <x:c r="AF66" s="68" t="str">
        <x:v>被克对象越强、越多、越能承载，目标耗力越明显。</x:v>
      </x:c>
      <x:c r="AG66" s="90" t="str">
        <x:v>见到被克五行就按固定耗损处理。</x:v>
      </x:c>
      <x:c r="AH66" s="68" t="str">
        <x:v>https://zh.wikisource.org/zh-hans/滴天髓 ; https://zh.wikisource.org/zh-hans/淵海子平 ; https://zh.wikisource.org/wiki/三命通會</x:v>
      </x:c>
      <x:c r="AI66" s="82" t="str">
        <x:v>采用</x:v>
      </x:c>
      <x:c r="AJ66" s="82" t="str">
        <x:v>初审</x:v>
      </x:c>
      <x:c r="AK66" s="87" t="n">
        <x:v>46255</x:v>
      </x:c>
    </x:row>
    <x:row r="67">
      <x:c r="A67" s="72" t="str">
        <x:f>IF(OR(C67="",D67=""),"",B67&amp;"-"&amp;UPPER(C67)&amp;"-"&amp;TEXT(D67,"0000")&amp;"-"&amp;E67)</x:f>
        <x:v>M08-DRAIN-0061-V1.0</x:v>
      </x:c>
      <x:c r="B67" s="74" t="str">
        <x:v>M08</x:v>
      </x:c>
      <x:c r="C67" s="74" t="str">
        <x:v>DRAIN</x:v>
      </x:c>
      <x:c r="D67" s="79" t="n">
        <x:v>61</x:v>
      </x:c>
      <x:c r="E67" s="74" t="str">
        <x:v>V1.0</x:v>
      </x:c>
      <x:c r="F67" s="68" t="str">
        <x:v>耗力与克制成果必须分别记录</x:v>
      </x:c>
      <x:c r="G67" s="82" t="str">
        <x:v>结构层</x:v>
      </x:c>
      <x:c r="H67" s="68" t="str">
        <x:v>双向生克</x:v>
      </x:c>
      <x:c r="I67" s="68" t="str">
        <x:v>目标五行</x:v>
      </x:c>
      <x:c r="J67" s="68" t="str">
        <x:v>主动克对象</x:v>
      </x:c>
      <x:c r="K67" s="68" t="str">
        <x:v>发生克制</x:v>
      </x:c>
      <x:c r="L67" s="68" t="str">
        <x:v>同时记录施克者耗力与对象受制</x:v>
      </x:c>
      <x:c r="M67" s="82" t="str">
        <x:v>条件性</x:v>
      </x:c>
      <x:c r="N67" s="82" t="str">
        <x:v>中</x:v>
      </x:c>
      <x:c r="O67" s="82" t="str">
        <x:v>否</x:v>
      </x:c>
      <x:c r="P67" s="82" t="str">
        <x:v>否</x:v>
      </x:c>
      <x:c r="Q67" s="82" t="str">
        <x:v>否</x:v>
      </x:c>
      <x:c r="R67" s="82" t="str">
        <x:v>是</x:v>
      </x:c>
      <x:c r="S67" s="68" t="str">
        <x:v>前置模块已完成</x:v>
      </x:c>
      <x:c r="T67" s="68" t="str">
        <x:v>作用条件真实成立</x:v>
      </x:c>
      <x:c r="U67" s="68" t="str">
        <x:v>得令、有根、有援可增强</x:v>
      </x:c>
      <x:c r="V67" s="68" t="str">
        <x:v>失令、孤立或受制可削弱</x:v>
      </x:c>
      <x:c r="W67" s="90" t="str">
        <x:v>禁止用关系名称直接替代实际效应</x:v>
      </x:c>
      <x:c r="X67" s="68" t="str">
        <x:v>特殊格局与动态岁运另模块处理</x:v>
      </x:c>
      <x:c r="Y67" s="84" t="str">
        <x:v>按证据修正有效旺衰</x:v>
      </x:c>
      <x:c r="Z67" s="68" t="str">
        <x:v>不得直接推出喜忌用神</x:v>
      </x:c>
      <x:c r="AA67" s="84" t="str">
        <x:v>克耗双向</x:v>
      </x:c>
      <x:c r="AB67" s="84" t="str">
        <x:v>主动克制既削弱对象，也会消耗施克者，两方修正必须分开记录。</x:v>
      </x:c>
      <x:c r="AC67" s="82" t="str">
        <x:v>较高</x:v>
      </x:c>
      <x:c r="AD67" s="82" t="str">
        <x:v>现代综合</x:v>
      </x:c>
      <x:c r="AE67" s="68" t="str">
        <x:v>有效力量必须承接原始力量与实际效应，逐对象、逐节点修正。</x:v>
      </x:c>
      <x:c r="AF67" s="68" t="str">
        <x:v>被克对象越强、越多、越能承载，目标耗力越明显。</x:v>
      </x:c>
      <x:c r="AG67" s="90" t="str">
        <x:v>见到被克五行就按固定耗损处理。</x:v>
      </x:c>
      <x:c r="AH67" s="68" t="str">
        <x:v>https://zh.wikisource.org/zh-hans/滴天髓 ; https://zh.wikisource.org/zh-hans/淵海子平 ; https://zh.wikisource.org/wiki/三命通會</x:v>
      </x:c>
      <x:c r="AI67" s="82" t="str">
        <x:v>采用</x:v>
      </x:c>
      <x:c r="AJ67" s="82" t="str">
        <x:v>初审</x:v>
      </x:c>
      <x:c r="AK67" s="87" t="n">
        <x:v>46255</x:v>
      </x:c>
    </x:row>
    <x:row r="68">
      <x:c r="A68" s="72" t="str">
        <x:f>IF(OR(C68="",D68=""),"",B68&amp;"-"&amp;UPPER(C68)&amp;"-"&amp;TEXT(D68,"0000")&amp;"-"&amp;E68)</x:f>
        <x:v>M08-DRAIN-0062-V1.0</x:v>
      </x:c>
      <x:c r="B68" s="74" t="str">
        <x:v>M08</x:v>
      </x:c>
      <x:c r="C68" s="74" t="str">
        <x:v>DRAIN</x:v>
      </x:c>
      <x:c r="D68" s="79" t="n">
        <x:v>62</x:v>
      </x:c>
      <x:c r="E68" s="74" t="str">
        <x:v>V1.0</x:v>
      </x:c>
      <x:c r="F68" s="68" t="str">
        <x:v>耗力修正不直接等同财星喜忌</x:v>
      </x:c>
      <x:c r="G68" s="82" t="str">
        <x:v>结构层</x:v>
      </x:c>
      <x:c r="H68" s="68" t="str">
        <x:v>M08边界</x:v>
      </x:c>
      <x:c r="I68" s="68" t="str">
        <x:v>目标五行</x:v>
      </x:c>
      <x:c r="J68" s="68" t="str">
        <x:v>任意</x:v>
      </x:c>
      <x:c r="K68" s="68" t="str">
        <x:v>发生耗力</x:v>
      </x:c>
      <x:c r="L68" s="68" t="str">
        <x:v>只判断五行力量变化</x:v>
      </x:c>
      <x:c r="M68" s="82" t="str">
        <x:v>不变</x:v>
      </x:c>
      <x:c r="N68" s="82" t="str">
        <x:v>弱</x:v>
      </x:c>
      <x:c r="O68" s="82" t="str">
        <x:v>否</x:v>
      </x:c>
      <x:c r="P68" s="82" t="str">
        <x:v>否</x:v>
      </x:c>
      <x:c r="Q68" s="82" t="str">
        <x:v>否</x:v>
      </x:c>
      <x:c r="R68" s="82" t="str">
        <x:v>是</x:v>
      </x:c>
      <x:c r="S68" s="68" t="str">
        <x:v>前置模块已完成</x:v>
      </x:c>
      <x:c r="T68" s="68" t="str">
        <x:v>作用条件真实成立</x:v>
      </x:c>
      <x:c r="U68" s="68" t="str">
        <x:v>得令、有根、有援可增强</x:v>
      </x:c>
      <x:c r="V68" s="68" t="str">
        <x:v>失令、孤立或受制可削弱</x:v>
      </x:c>
      <x:c r="W68" s="90" t="str">
        <x:v>禁止用关系名称直接替代实际效应</x:v>
      </x:c>
      <x:c r="X68" s="68" t="str">
        <x:v>特殊格局与动态岁运另模块处理</x:v>
      </x:c>
      <x:c r="Y68" s="84" t="str">
        <x:v>按证据修正有效旺衰</x:v>
      </x:c>
      <x:c r="Z68" s="68" t="str">
        <x:v>不得直接推出喜忌用神</x:v>
      </x:c>
      <x:c r="AA68" s="84" t="str">
        <x:v>耗力边界</x:v>
      </x:c>
      <x:c r="AB68" s="84" t="str">
        <x:v>耗力只说明力量付出，不代表对应十神必为忌神。</x:v>
      </x:c>
      <x:c r="AC68" s="82" t="str">
        <x:v>较高</x:v>
      </x:c>
      <x:c r="AD68" s="82" t="str">
        <x:v>现代综合</x:v>
      </x:c>
      <x:c r="AE68" s="68" t="str">
        <x:v>有效力量必须承接原始力量与实际效应，逐对象、逐节点修正。</x:v>
      </x:c>
      <x:c r="AF68" s="68" t="str">
        <x:v>被克对象越强、越多、越能承载，目标耗力越明显。</x:v>
      </x:c>
      <x:c r="AG68" s="90" t="str">
        <x:v>见到被克五行就按固定耗损处理。</x:v>
      </x:c>
      <x:c r="AH68" s="68" t="str">
        <x:v>https://zh.wikisource.org/zh-hans/滴天髓 ; https://zh.wikisource.org/zh-hans/淵海子平 ; https://zh.wikisource.org/wiki/三命通會</x:v>
      </x:c>
      <x:c r="AI68" s="82" t="str">
        <x:v>采用</x:v>
      </x:c>
      <x:c r="AJ68" s="82" t="str">
        <x:v>初审</x:v>
      </x:c>
      <x:c r="AK68" s="87" t="n">
        <x:v>46255</x:v>
      </x:c>
    </x:row>
    <x:row r="69">
      <x:c r="A69" s="72" t="str">
        <x:f>IF(OR(C69="",D69=""),"",B69&amp;"-"&amp;UPPER(C69)&amp;"-"&amp;TEXT(D69,"0000")&amp;"-"&amp;E69)</x:f>
        <x:v>M08-TRANS-0063-V1.0</x:v>
      </x:c>
      <x:c r="B69" s="74" t="str">
        <x:v>M08</x:v>
      </x:c>
      <x:c r="C69" s="74" t="str">
        <x:v>TRANS</x:v>
      </x:c>
      <x:c r="D69" s="79" t="n">
        <x:v>63</x:v>
      </x:c>
      <x:c r="E69" s="74" t="str">
        <x:v>V1.0</x:v>
      </x:c>
      <x:c r="F69" s="68" t="str">
        <x:v>天干五合仅合意时不改变五行有效属性</x:v>
      </x:c>
      <x:c r="G69" s="82" t="str">
        <x:v>结构层</x:v>
      </x:c>
      <x:c r="H69" s="68" t="str">
        <x:v>M06天干合</x:v>
      </x:c>
      <x:c r="I69" s="68" t="str">
        <x:v>参与/化神五行</x:v>
      </x:c>
      <x:c r="J69" s="68" t="str">
        <x:v>原始属性</x:v>
      </x:c>
      <x:c r="K69" s="68" t="str">
        <x:v>五合未化</x:v>
      </x:c>
      <x:c r="L69" s="68" t="str">
        <x:v>保留原属性，仅修正牵制</x:v>
      </x:c>
      <x:c r="M69" s="82" t="str">
        <x:v>条件性</x:v>
      </x:c>
      <x:c r="N69" s="82" t="str">
        <x:v>中</x:v>
      </x:c>
      <x:c r="O69" s="82" t="str">
        <x:v>条件性</x:v>
      </x:c>
      <x:c r="P69" s="82" t="str">
        <x:v>条件性</x:v>
      </x:c>
      <x:c r="Q69" s="82" t="str">
        <x:v>条件性</x:v>
      </x:c>
      <x:c r="R69" s="82" t="str">
        <x:v>是</x:v>
      </x:c>
      <x:c r="S69" s="68" t="str">
        <x:v>M06已完成合化/成局效应判断</x:v>
      </x:c>
      <x:c r="T69" s="68" t="str">
        <x:v>必须区分合意、合绊、候选与实质成局</x:v>
      </x:c>
      <x:c r="U69" s="68" t="str">
        <x:v>得令、有根、有援可增强</x:v>
      </x:c>
      <x:c r="V69" s="68" t="str">
        <x:v>失令、孤立或受制可削弱</x:v>
      </x:c>
      <x:c r="W69" s="90" t="str">
        <x:v>禁止用关系名称直接替代实际效应</x:v>
      </x:c>
      <x:c r="X69" s="68" t="str">
        <x:v>特殊格局与动态岁运另模块处理</x:v>
      </x:c>
      <x:c r="Y69" s="84" t="str">
        <x:v>按证据修正有效旺衰</x:v>
      </x:c>
      <x:c r="Z69" s="68" t="str">
        <x:v>不得直接推出喜忌用神</x:v>
      </x:c>
      <x:c r="AA69" s="84" t="str">
        <x:v>五合未化</x:v>
      </x:c>
      <x:c r="AB69" s="84" t="str">
        <x:v>天干五合未满足合化条件时，原五行属性继续有效。</x:v>
      </x:c>
      <x:c r="AC69" s="82" t="str">
        <x:v>较高</x:v>
      </x:c>
      <x:c r="AD69" s="82" t="str">
        <x:v>现代综合</x:v>
      </x:c>
      <x:c r="AE69" s="68" t="str">
        <x:v>有效力量必须承接原始力量与实际效应，逐对象、逐节点修正。</x:v>
      </x:c>
      <x:c r="AF69" s="68" t="str">
        <x:v>成局严格成立时才重分配属性与势能。</x:v>
      </x:c>
      <x:c r="AG69" s="90" t="str">
        <x:v>固定配对或三支齐全就直接全量改性。</x:v>
      </x:c>
      <x:c r="AH69" s="68" t="str">
        <x:v>https://zh.wikisource.org/zh-hans/滴天髓 ; https://zh.wikisource.org/zh-hans/淵海子平 ; https://zh.wikisource.org/wiki/三命通會</x:v>
      </x:c>
      <x:c r="AI69" s="82" t="str">
        <x:v>采用</x:v>
      </x:c>
      <x:c r="AJ69" s="82" t="str">
        <x:v>初审</x:v>
      </x:c>
      <x:c r="AK69" s="87" t="n">
        <x:v>46255</x:v>
      </x:c>
    </x:row>
    <x:row r="70">
      <x:c r="A70" s="72" t="str">
        <x:f>IF(OR(C70="",D70=""),"",B70&amp;"-"&amp;UPPER(C70)&amp;"-"&amp;TEXT(D70,"0000")&amp;"-"&amp;E70)</x:f>
        <x:v>M08-TRANS-0064-V1.0</x:v>
      </x:c>
      <x:c r="B70" s="74" t="str">
        <x:v>M08</x:v>
      </x:c>
      <x:c r="C70" s="74" t="str">
        <x:v>TRANS</x:v>
      </x:c>
      <x:c r="D70" s="79" t="n">
        <x:v>64</x:v>
      </x:c>
      <x:c r="E70" s="74" t="str">
        <x:v>V1.0</x:v>
      </x:c>
      <x:c r="F70" s="68" t="str">
        <x:v>天干五合化神成立时按化神重新分配力量</x:v>
      </x:c>
      <x:c r="G70" s="82" t="str">
        <x:v>结构层</x:v>
      </x:c>
      <x:c r="H70" s="68" t="str">
        <x:v>M06天干合化</x:v>
      </x:c>
      <x:c r="I70" s="68" t="str">
        <x:v>参与/化神五行</x:v>
      </x:c>
      <x:c r="J70" s="68" t="str">
        <x:v>原始属性</x:v>
      </x:c>
      <x:c r="K70" s="68" t="str">
        <x:v>合化成立</x:v>
      </x:c>
      <x:c r="L70" s="68" t="str">
        <x:v>降低原五行并增加化神势能</x:v>
      </x:c>
      <x:c r="M70" s="82" t="str">
        <x:v>转化</x:v>
      </x:c>
      <x:c r="N70" s="82" t="str">
        <x:v>强</x:v>
      </x:c>
      <x:c r="O70" s="82" t="str">
        <x:v>条件性</x:v>
      </x:c>
      <x:c r="P70" s="82" t="str">
        <x:v>条件性</x:v>
      </x:c>
      <x:c r="Q70" s="82" t="str">
        <x:v>条件性</x:v>
      </x:c>
      <x:c r="R70" s="82" t="str">
        <x:v>是</x:v>
      </x:c>
      <x:c r="S70" s="68" t="str">
        <x:v>M06已完成合化/成局效应判断</x:v>
      </x:c>
      <x:c r="T70" s="68" t="str">
        <x:v>必须区分合意、合绊、候选与实质成局</x:v>
      </x:c>
      <x:c r="U70" s="68" t="str">
        <x:v>得令、有根、有援可增强</x:v>
      </x:c>
      <x:c r="V70" s="68" t="str">
        <x:v>失令、孤立或受制可削弱</x:v>
      </x:c>
      <x:c r="W70" s="90" t="str">
        <x:v>禁止用关系名称直接替代实际效应</x:v>
      </x:c>
      <x:c r="X70" s="68" t="str">
        <x:v>特殊格局与动态岁运另模块处理</x:v>
      </x:c>
      <x:c r="Y70" s="84" t="str">
        <x:v>按证据修正有效旺衰</x:v>
      </x:c>
      <x:c r="Z70" s="68" t="str">
        <x:v>不得直接推出喜忌用神</x:v>
      </x:c>
      <x:c r="AA70" s="84" t="str">
        <x:v>天干合化</x:v>
      </x:c>
      <x:c r="AB70" s="84" t="str">
        <x:v>天干合化成立后，参与干的有效属性需转入化神并避免双算。</x:v>
      </x:c>
      <x:c r="AC70" s="82" t="str">
        <x:v>较高</x:v>
      </x:c>
      <x:c r="AD70" s="82" t="str">
        <x:v>现代综合</x:v>
      </x:c>
      <x:c r="AE70" s="68" t="str">
        <x:v>有效力量必须承接原始力量与实际效应，逐对象、逐节点修正。</x:v>
      </x:c>
      <x:c r="AF70" s="68" t="str">
        <x:v>成局严格成立时才重分配属性与势能。</x:v>
      </x:c>
      <x:c r="AG70" s="90" t="str">
        <x:v>固定配对或三支齐全就直接全量改性。</x:v>
      </x:c>
      <x:c r="AH70" s="68" t="str">
        <x:v>https://zh.wikisource.org/zh-hans/滴天髓 ; https://zh.wikisource.org/zh-hans/淵海子平 ; https://zh.wikisource.org/wiki/三命通會</x:v>
      </x:c>
      <x:c r="AI70" s="82" t="str">
        <x:v>采用</x:v>
      </x:c>
      <x:c r="AJ70" s="82" t="str">
        <x:v>初审</x:v>
      </x:c>
      <x:c r="AK70" s="87" t="n">
        <x:v>46255</x:v>
      </x:c>
    </x:row>
    <x:row r="71">
      <x:c r="A71" s="72" t="str">
        <x:f>IF(OR(C71="",D71=""),"",B71&amp;"-"&amp;UPPER(C71)&amp;"-"&amp;TEXT(D71,"0000")&amp;"-"&amp;E71)</x:f>
        <x:v>M08-TRANS-0065-V1.0</x:v>
      </x:c>
      <x:c r="B71" s="74" t="str">
        <x:v>M08</x:v>
      </x:c>
      <x:c r="C71" s="74" t="str">
        <x:v>TRANS</x:v>
      </x:c>
      <x:c r="D71" s="79" t="n">
        <x:v>65</x:v>
      </x:c>
      <x:c r="E71" s="74" t="str">
        <x:v>V1.0</x:v>
      </x:c>
      <x:c r="F71" s="68" t="str">
        <x:v>六合未化时以牵引与合绊修正为主</x:v>
      </x:c>
      <x:c r="G71" s="82" t="str">
        <x:v>结构层</x:v>
      </x:c>
      <x:c r="H71" s="68" t="str">
        <x:v>M06六合</x:v>
      </x:c>
      <x:c r="I71" s="68" t="str">
        <x:v>参与/化神五行</x:v>
      </x:c>
      <x:c r="J71" s="68" t="str">
        <x:v>原支五行</x:v>
      </x:c>
      <x:c r="K71" s="68" t="str">
        <x:v>六合未化</x:v>
      </x:c>
      <x:c r="L71" s="68" t="str">
        <x:v>保留原五行，仅调整调用</x:v>
      </x:c>
      <x:c r="M71" s="82" t="str">
        <x:v>冻结</x:v>
      </x:c>
      <x:c r="N71" s="82" t="str">
        <x:v>中</x:v>
      </x:c>
      <x:c r="O71" s="82" t="str">
        <x:v>条件性</x:v>
      </x:c>
      <x:c r="P71" s="82" t="str">
        <x:v>条件性</x:v>
      </x:c>
      <x:c r="Q71" s="82" t="str">
        <x:v>条件性</x:v>
      </x:c>
      <x:c r="R71" s="82" t="str">
        <x:v>是</x:v>
      </x:c>
      <x:c r="S71" s="68" t="str">
        <x:v>M06已完成合化/成局效应判断</x:v>
      </x:c>
      <x:c r="T71" s="68" t="str">
        <x:v>必须区分合意、合绊、候选与实质成局</x:v>
      </x:c>
      <x:c r="U71" s="68" t="str">
        <x:v>得令、有根、有援可增强</x:v>
      </x:c>
      <x:c r="V71" s="68" t="str">
        <x:v>失令、孤立或受制可削弱</x:v>
      </x:c>
      <x:c r="W71" s="90" t="str">
        <x:v>禁止用关系名称直接替代实际效应</x:v>
      </x:c>
      <x:c r="X71" s="68" t="str">
        <x:v>特殊格局与动态岁运另模块处理</x:v>
      </x:c>
      <x:c r="Y71" s="84" t="str">
        <x:v>按证据修正有效旺衰</x:v>
      </x:c>
      <x:c r="Z71" s="68" t="str">
        <x:v>不得直接推出喜忌用神</x:v>
      </x:c>
      <x:c r="AA71" s="84" t="str">
        <x:v>六合未化</x:v>
      </x:c>
      <x:c r="AB71" s="84" t="str">
        <x:v>六合未化时不改变支的基本五行归属，主要修正合绊与作用路径。</x:v>
      </x:c>
      <x:c r="AC71" s="82" t="str">
        <x:v>较高</x:v>
      </x:c>
      <x:c r="AD71" s="82" t="str">
        <x:v>现代综合</x:v>
      </x:c>
      <x:c r="AE71" s="68" t="str">
        <x:v>有效力量必须承接原始力量与实际效应，逐对象、逐节点修正。</x:v>
      </x:c>
      <x:c r="AF71" s="68" t="str">
        <x:v>成局严格成立时才重分配属性与势能。</x:v>
      </x:c>
      <x:c r="AG71" s="90" t="str">
        <x:v>固定配对或三支齐全就直接全量改性。</x:v>
      </x:c>
      <x:c r="AH71" s="68" t="str">
        <x:v>https://zh.wikisource.org/zh-hans/滴天髓 ; https://zh.wikisource.org/zh-hans/淵海子平 ; https://zh.wikisource.org/wiki/三命通會</x:v>
      </x:c>
      <x:c r="AI71" s="82" t="str">
        <x:v>采用</x:v>
      </x:c>
      <x:c r="AJ71" s="82" t="str">
        <x:v>初审</x:v>
      </x:c>
      <x:c r="AK71" s="87" t="n">
        <x:v>46255</x:v>
      </x:c>
    </x:row>
    <x:row r="72">
      <x:c r="A72" s="72" t="str">
        <x:f>IF(OR(C72="",D72=""),"",B72&amp;"-"&amp;UPPER(C72)&amp;"-"&amp;TEXT(D72,"0000")&amp;"-"&amp;E72)</x:f>
        <x:v>M08-TRANS-0066-V1.0</x:v>
      </x:c>
      <x:c r="B72" s="74" t="str">
        <x:v>M08</x:v>
      </x:c>
      <x:c r="C72" s="74" t="str">
        <x:v>TRANS</x:v>
      </x:c>
      <x:c r="D72" s="79" t="n">
        <x:v>66</x:v>
      </x:c>
      <x:c r="E72" s="74" t="str">
        <x:v>V1.0</x:v>
      </x:c>
      <x:c r="F72" s="68" t="str">
        <x:v>六合合化成立时逐支评估原性残余</x:v>
      </x:c>
      <x:c r="G72" s="82" t="str">
        <x:v>结构层</x:v>
      </x:c>
      <x:c r="H72" s="68" t="str">
        <x:v>M06六合合化</x:v>
      </x:c>
      <x:c r="I72" s="68" t="str">
        <x:v>参与/化神五行</x:v>
      </x:c>
      <x:c r="J72" s="68" t="str">
        <x:v>原支五行</x:v>
      </x:c>
      <x:c r="K72" s="68" t="str">
        <x:v>六合实质化向成立</x:v>
      </x:c>
      <x:c r="L72" s="68" t="str">
        <x:v>按双方强弱转移到化神</x:v>
      </x:c>
      <x:c r="M72" s="82" t="str">
        <x:v>转化</x:v>
      </x:c>
      <x:c r="N72" s="82" t="str">
        <x:v>强</x:v>
      </x:c>
      <x:c r="O72" s="82" t="str">
        <x:v>条件性</x:v>
      </x:c>
      <x:c r="P72" s="82" t="str">
        <x:v>条件性</x:v>
      </x:c>
      <x:c r="Q72" s="82" t="str">
        <x:v>条件性</x:v>
      </x:c>
      <x:c r="R72" s="82" t="str">
        <x:v>是</x:v>
      </x:c>
      <x:c r="S72" s="68" t="str">
        <x:v>M06已完成合化/成局效应判断</x:v>
      </x:c>
      <x:c r="T72" s="68" t="str">
        <x:v>必须区分合意、合绊、候选与实质成局</x:v>
      </x:c>
      <x:c r="U72" s="68" t="str">
        <x:v>得令、有根、有援可增强</x:v>
      </x:c>
      <x:c r="V72" s="68" t="str">
        <x:v>失令、孤立或受制可削弱</x:v>
      </x:c>
      <x:c r="W72" s="90" t="str">
        <x:v>禁止用关系名称直接替代实际效应</x:v>
      </x:c>
      <x:c r="X72" s="68" t="str">
        <x:v>特殊格局与动态岁运另模块处理</x:v>
      </x:c>
      <x:c r="Y72" s="84" t="str">
        <x:v>按证据修正有效旺衰</x:v>
      </x:c>
      <x:c r="Z72" s="68" t="str">
        <x:v>不得直接推出喜忌用神</x:v>
      </x:c>
      <x:c r="AA72" s="84" t="str">
        <x:v>六合改性</x:v>
      </x:c>
      <x:c r="AB72" s="84" t="str">
        <x:v>六合合化成立后，应逐支评估原五行残余，转移可以不对称。</x:v>
      </x:c>
      <x:c r="AC72" s="82" t="str">
        <x:v>较高</x:v>
      </x:c>
      <x:c r="AD72" s="82" t="str">
        <x:v>现代综合</x:v>
      </x:c>
      <x:c r="AE72" s="68" t="str">
        <x:v>有效力量必须承接原始力量与实际效应，逐对象、逐节点修正。</x:v>
      </x:c>
      <x:c r="AF72" s="68" t="str">
        <x:v>成局严格成立时才重分配属性与势能。</x:v>
      </x:c>
      <x:c r="AG72" s="90" t="str">
        <x:v>固定配对或三支齐全就直接全量改性。</x:v>
      </x:c>
      <x:c r="AH72" s="68" t="str">
        <x:v>https://zh.wikisource.org/zh-hans/滴天髓 ; https://zh.wikisource.org/zh-hans/淵海子平 ; https://zh.wikisource.org/wiki/三命通會</x:v>
      </x:c>
      <x:c r="AI72" s="82" t="str">
        <x:v>采用</x:v>
      </x:c>
      <x:c r="AJ72" s="82" t="str">
        <x:v>初审</x:v>
      </x:c>
      <x:c r="AK72" s="87" t="n">
        <x:v>46255</x:v>
      </x:c>
    </x:row>
    <x:row r="73">
      <x:c r="A73" s="72" t="str">
        <x:f>IF(OR(C73="",D73=""),"",B73&amp;"-"&amp;UPPER(C73)&amp;"-"&amp;TEXT(D73,"0000")&amp;"-"&amp;E73)</x:f>
        <x:v>M08-TRANS-0067-V1.0</x:v>
      </x:c>
      <x:c r="B73" s="74" t="str">
        <x:v>M08</x:v>
      </x:c>
      <x:c r="C73" s="74" t="str">
        <x:v>TRANS</x:v>
      </x:c>
      <x:c r="D73" s="79" t="n">
        <x:v>67</x:v>
      </x:c>
      <x:c r="E73" s="74" t="str">
        <x:v>V1.0</x:v>
      </x:c>
      <x:c r="F73" s="68" t="str">
        <x:v>三合完整但不成局时只记聚势候选</x:v>
      </x:c>
      <x:c r="G73" s="82" t="str">
        <x:v>结构层</x:v>
      </x:c>
      <x:c r="H73" s="68" t="str">
        <x:v>M06三合</x:v>
      </x:c>
      <x:c r="I73" s="68" t="str">
        <x:v>参与/化神五行</x:v>
      </x:c>
      <x:c r="J73" s="68" t="str">
        <x:v>原始未成局</x:v>
      </x:c>
      <x:c r="K73" s="68" t="str">
        <x:v>三支齐全但门槛不足</x:v>
      </x:c>
      <x:c r="L73" s="68" t="str">
        <x:v>只提高化神趋向</x:v>
      </x:c>
      <x:c r="M73" s="82" t="str">
        <x:v>增强</x:v>
      </x:c>
      <x:c r="N73" s="82" t="str">
        <x:v>中</x:v>
      </x:c>
      <x:c r="O73" s="82" t="str">
        <x:v>条件性</x:v>
      </x:c>
      <x:c r="P73" s="82" t="str">
        <x:v>条件性</x:v>
      </x:c>
      <x:c r="Q73" s="82" t="str">
        <x:v>条件性</x:v>
      </x:c>
      <x:c r="R73" s="82" t="str">
        <x:v>是</x:v>
      </x:c>
      <x:c r="S73" s="68" t="str">
        <x:v>M06已完成合化/成局效应判断</x:v>
      </x:c>
      <x:c r="T73" s="68" t="str">
        <x:v>必须区分合意、合绊、候选与实质成局</x:v>
      </x:c>
      <x:c r="U73" s="68" t="str">
        <x:v>得令、有根、有援可增强</x:v>
      </x:c>
      <x:c r="V73" s="68" t="str">
        <x:v>失令、孤立或受制可削弱</x:v>
      </x:c>
      <x:c r="W73" s="90" t="str">
        <x:v>禁止用关系名称直接替代实际效应</x:v>
      </x:c>
      <x:c r="X73" s="68" t="str">
        <x:v>特殊格局与动态岁运另模块处理</x:v>
      </x:c>
      <x:c r="Y73" s="84" t="str">
        <x:v>按证据修正有效旺衰</x:v>
      </x:c>
      <x:c r="Z73" s="68" t="str">
        <x:v>不得直接推出喜忌用神</x:v>
      </x:c>
      <x:c r="AA73" s="84" t="str">
        <x:v>三合候选</x:v>
      </x:c>
      <x:c r="AB73" s="84" t="str">
        <x:v>三合结构完整但未成局时，只作为化神聚势候选，不能全量改性。</x:v>
      </x:c>
      <x:c r="AC73" s="82" t="str">
        <x:v>较高</x:v>
      </x:c>
      <x:c r="AD73" s="82" t="str">
        <x:v>现代综合</x:v>
      </x:c>
      <x:c r="AE73" s="68" t="str">
        <x:v>有效力量必须承接原始力量与实际效应，逐对象、逐节点修正。</x:v>
      </x:c>
      <x:c r="AF73" s="68" t="str">
        <x:v>成局严格成立时才重分配属性与势能。</x:v>
      </x:c>
      <x:c r="AG73" s="90" t="str">
        <x:v>固定配对或三支齐全就直接全量改性。</x:v>
      </x:c>
      <x:c r="AH73" s="68" t="str">
        <x:v>https://zh.wikisource.org/zh-hans/滴天髓 ; https://zh.wikisource.org/zh-hans/淵海子平 ; https://zh.wikisource.org/wiki/三命通會</x:v>
      </x:c>
      <x:c r="AI73" s="82" t="str">
        <x:v>采用</x:v>
      </x:c>
      <x:c r="AJ73" s="82" t="str">
        <x:v>初审</x:v>
      </x:c>
      <x:c r="AK73" s="87" t="n">
        <x:v>46255</x:v>
      </x:c>
    </x:row>
    <x:row r="74">
      <x:c r="A74" s="72" t="str">
        <x:f>IF(OR(C74="",D74=""),"",B74&amp;"-"&amp;UPPER(C74)&amp;"-"&amp;TEXT(D74,"0000")&amp;"-"&amp;E74)</x:f>
        <x:v>M08-TRANS-0068-V1.0</x:v>
      </x:c>
      <x:c r="B74" s="74" t="str">
        <x:v>M08</x:v>
      </x:c>
      <x:c r="C74" s="74" t="str">
        <x:v>TRANS</x:v>
      </x:c>
      <x:c r="D74" s="79" t="n">
        <x:v>68</x:v>
      </x:c>
      <x:c r="E74" s="74" t="str">
        <x:v>V1.0</x:v>
      </x:c>
      <x:c r="F74" s="68" t="str">
        <x:v>三合成局时化神成为主要势能池</x:v>
      </x:c>
      <x:c r="G74" s="82" t="str">
        <x:v>结构层</x:v>
      </x:c>
      <x:c r="H74" s="68" t="str">
        <x:v>M06三合成局</x:v>
      </x:c>
      <x:c r="I74" s="68" t="str">
        <x:v>参与/化神五行</x:v>
      </x:c>
      <x:c r="J74" s="68" t="str">
        <x:v>原始力量</x:v>
      </x:c>
      <x:c r="K74" s="68" t="str">
        <x:v>完整三合并成局</x:v>
      </x:c>
      <x:c r="L74" s="68" t="str">
        <x:v>显著提高化神并重算参与支属性</x:v>
      </x:c>
      <x:c r="M74" s="82" t="str">
        <x:v>转化</x:v>
      </x:c>
      <x:c r="N74" s="82" t="str">
        <x:v>决定性</x:v>
      </x:c>
      <x:c r="O74" s="82" t="str">
        <x:v>条件性</x:v>
      </x:c>
      <x:c r="P74" s="82" t="str">
        <x:v>条件性</x:v>
      </x:c>
      <x:c r="Q74" s="82" t="str">
        <x:v>条件性</x:v>
      </x:c>
      <x:c r="R74" s="82" t="str">
        <x:v>是</x:v>
      </x:c>
      <x:c r="S74" s="68" t="str">
        <x:v>M06已完成合化/成局效应判断</x:v>
      </x:c>
      <x:c r="T74" s="68" t="str">
        <x:v>必须区分合意、合绊、候选与实质成局</x:v>
      </x:c>
      <x:c r="U74" s="68" t="str">
        <x:v>得令、有根、有援可增强</x:v>
      </x:c>
      <x:c r="V74" s="68" t="str">
        <x:v>失令、孤立或受制可削弱</x:v>
      </x:c>
      <x:c r="W74" s="90" t="str">
        <x:v>禁止用关系名称直接替代实际效应</x:v>
      </x:c>
      <x:c r="X74" s="68" t="str">
        <x:v>特殊格局与动态岁运另模块处理</x:v>
      </x:c>
      <x:c r="Y74" s="84" t="str">
        <x:v>按证据修正有效旺衰</x:v>
      </x:c>
      <x:c r="Z74" s="68" t="str">
        <x:v>不得直接推出喜忌用神</x:v>
      </x:c>
      <x:c r="AA74" s="84" t="str">
        <x:v>三合成局</x:v>
      </x:c>
      <x:c r="AB74" s="84" t="str">
        <x:v>三合成局时，化神成为主要势能方向，参与支原性按残余程度重算。</x:v>
      </x:c>
      <x:c r="AC74" s="82" t="str">
        <x:v>较高</x:v>
      </x:c>
      <x:c r="AD74" s="82" t="str">
        <x:v>现代综合</x:v>
      </x:c>
      <x:c r="AE74" s="68" t="str">
        <x:v>有效力量必须承接原始力量与实际效应，逐对象、逐节点修正。</x:v>
      </x:c>
      <x:c r="AF74" s="68" t="str">
        <x:v>成局严格成立时才重分配属性与势能。</x:v>
      </x:c>
      <x:c r="AG74" s="90" t="str">
        <x:v>固定配对或三支齐全就直接全量改性。</x:v>
      </x:c>
      <x:c r="AH74" s="68" t="str">
        <x:v>https://zh.wikisource.org/zh-hans/滴天髓 ; https://zh.wikisource.org/zh-hans/淵海子平 ; https://zh.wikisource.org/wiki/三命通會</x:v>
      </x:c>
      <x:c r="AI74" s="82" t="str">
        <x:v>采用</x:v>
      </x:c>
      <x:c r="AJ74" s="82" t="str">
        <x:v>初审</x:v>
      </x:c>
      <x:c r="AK74" s="87" t="n">
        <x:v>46255</x:v>
      </x:c>
    </x:row>
    <x:row r="75">
      <x:c r="A75" s="72" t="str">
        <x:f>IF(OR(C75="",D75=""),"",B75&amp;"-"&amp;UPPER(C75)&amp;"-"&amp;TEXT(D75,"0000")&amp;"-"&amp;E75)</x:f>
        <x:v>M08-TRANS-0069-V1.0</x:v>
      </x:c>
      <x:c r="B75" s="74" t="str">
        <x:v>M08</x:v>
      </x:c>
      <x:c r="C75" s="74" t="str">
        <x:v>TRANS</x:v>
      </x:c>
      <x:c r="D75" s="79" t="n">
        <x:v>69</x:v>
      </x:c>
      <x:c r="E75" s="74" t="str">
        <x:v>V1.0</x:v>
      </x:c>
      <x:c r="F75" s="68" t="str">
        <x:v>三会成局时方局五行获得强势能支持</x:v>
      </x:c>
      <x:c r="G75" s="82" t="str">
        <x:v>结构层</x:v>
      </x:c>
      <x:c r="H75" s="68" t="str">
        <x:v>M06三会</x:v>
      </x:c>
      <x:c r="I75" s="68" t="str">
        <x:v>参与/化神五行</x:v>
      </x:c>
      <x:c r="J75" s="68" t="str">
        <x:v>原始力量</x:v>
      </x:c>
      <x:c r="K75" s="68" t="str">
        <x:v>三会完整并成势</x:v>
      </x:c>
      <x:c r="L75" s="68" t="str">
        <x:v>显著提高方局五行有效力量</x:v>
      </x:c>
      <x:c r="M75" s="82" t="str">
        <x:v>增强</x:v>
      </x:c>
      <x:c r="N75" s="82" t="str">
        <x:v>决定性</x:v>
      </x:c>
      <x:c r="O75" s="82" t="str">
        <x:v>条件性</x:v>
      </x:c>
      <x:c r="P75" s="82" t="str">
        <x:v>条件性</x:v>
      </x:c>
      <x:c r="Q75" s="82" t="str">
        <x:v>条件性</x:v>
      </x:c>
      <x:c r="R75" s="82" t="str">
        <x:v>是</x:v>
      </x:c>
      <x:c r="S75" s="68" t="str">
        <x:v>M06已完成合化/成局效应判断</x:v>
      </x:c>
      <x:c r="T75" s="68" t="str">
        <x:v>必须区分合意、合绊、候选与实质成局</x:v>
      </x:c>
      <x:c r="U75" s="68" t="str">
        <x:v>得令、有根、有援可增强</x:v>
      </x:c>
      <x:c r="V75" s="68" t="str">
        <x:v>失令、孤立或受制可削弱</x:v>
      </x:c>
      <x:c r="W75" s="90" t="str">
        <x:v>禁止用关系名称直接替代实际效应</x:v>
      </x:c>
      <x:c r="X75" s="68" t="str">
        <x:v>特殊格局与动态岁运另模块处理</x:v>
      </x:c>
      <x:c r="Y75" s="84" t="str">
        <x:v>按证据修正有效旺衰</x:v>
      </x:c>
      <x:c r="Z75" s="68" t="str">
        <x:v>不得直接推出喜忌用神</x:v>
      </x:c>
      <x:c r="AA75" s="84" t="str">
        <x:v>三会成势</x:v>
      </x:c>
      <x:c r="AB75" s="84" t="str">
        <x:v>三会完整且成势时，方局五行获得强势能支持。</x:v>
      </x:c>
      <x:c r="AC75" s="82" t="str">
        <x:v>较高</x:v>
      </x:c>
      <x:c r="AD75" s="82" t="str">
        <x:v>现代综合</x:v>
      </x:c>
      <x:c r="AE75" s="68" t="str">
        <x:v>有效力量必须承接原始力量与实际效应，逐对象、逐节点修正。</x:v>
      </x:c>
      <x:c r="AF75" s="68" t="str">
        <x:v>成局严格成立时才重分配属性与势能。</x:v>
      </x:c>
      <x:c r="AG75" s="90" t="str">
        <x:v>固定配对或三支齐全就直接全量改性。</x:v>
      </x:c>
      <x:c r="AH75" s="68" t="str">
        <x:v>https://zh.wikisource.org/zh-hans/滴天髓 ; https://zh.wikisource.org/zh-hans/淵海子平 ; https://zh.wikisource.org/wiki/三命通會</x:v>
      </x:c>
      <x:c r="AI75" s="82" t="str">
        <x:v>采用</x:v>
      </x:c>
      <x:c r="AJ75" s="82" t="str">
        <x:v>初审</x:v>
      </x:c>
      <x:c r="AK75" s="87" t="n">
        <x:v>46255</x:v>
      </x:c>
    </x:row>
    <x:row r="76">
      <x:c r="A76" s="72" t="str">
        <x:f>IF(OR(C76="",D76=""),"",B76&amp;"-"&amp;UPPER(C76)&amp;"-"&amp;TEXT(D76,"0000")&amp;"-"&amp;E76)</x:f>
        <x:v>M08-TRANS-0070-V1.0</x:v>
      </x:c>
      <x:c r="B76" s="74" t="str">
        <x:v>M08</x:v>
      </x:c>
      <x:c r="C76" s="74" t="str">
        <x:v>TRANS</x:v>
      </x:c>
      <x:c r="D76" s="79" t="n">
        <x:v>70</x:v>
      </x:c>
      <x:c r="E76" s="74" t="str">
        <x:v>V1.0</x:v>
      </x:c>
      <x:c r="F76" s="68" t="str">
        <x:v>半合有效时可形成中等级聚势</x:v>
      </x:c>
      <x:c r="G76" s="82" t="str">
        <x:v>结构层</x:v>
      </x:c>
      <x:c r="H76" s="68" t="str">
        <x:v>M06半合</x:v>
      </x:c>
      <x:c r="I76" s="68" t="str">
        <x:v>参与/化神五行</x:v>
      </x:c>
      <x:c r="J76" s="68" t="str">
        <x:v>原始力量</x:v>
      </x:c>
      <x:c r="K76" s="68" t="str">
        <x:v>半合成立</x:v>
      </x:c>
      <x:c r="L76" s="68" t="str">
        <x:v>提高化神势能但低于完整三合</x:v>
      </x:c>
      <x:c r="M76" s="82" t="str">
        <x:v>增强</x:v>
      </x:c>
      <x:c r="N76" s="82" t="str">
        <x:v>中</x:v>
      </x:c>
      <x:c r="O76" s="82" t="str">
        <x:v>条件性</x:v>
      </x:c>
      <x:c r="P76" s="82" t="str">
        <x:v>条件性</x:v>
      </x:c>
      <x:c r="Q76" s="82" t="str">
        <x:v>条件性</x:v>
      </x:c>
      <x:c r="R76" s="82" t="str">
        <x:v>是</x:v>
      </x:c>
      <x:c r="S76" s="68" t="str">
        <x:v>M06已完成合化/成局效应判断</x:v>
      </x:c>
      <x:c r="T76" s="68" t="str">
        <x:v>必须区分合意、合绊、候选与实质成局</x:v>
      </x:c>
      <x:c r="U76" s="68" t="str">
        <x:v>得令、有根、有援可增强</x:v>
      </x:c>
      <x:c r="V76" s="68" t="str">
        <x:v>失令、孤立或受制可削弱</x:v>
      </x:c>
      <x:c r="W76" s="90" t="str">
        <x:v>禁止用关系名称直接替代实际效应</x:v>
      </x:c>
      <x:c r="X76" s="68" t="str">
        <x:v>特殊格局与动态岁运另模块处理</x:v>
      </x:c>
      <x:c r="Y76" s="84" t="str">
        <x:v>按证据修正有效旺衰</x:v>
      </x:c>
      <x:c r="Z76" s="68" t="str">
        <x:v>不得直接推出喜忌用神</x:v>
      </x:c>
      <x:c r="AA76" s="84" t="str">
        <x:v>半合聚势</x:v>
      </x:c>
      <x:c r="AB76" s="84" t="str">
        <x:v>半合可形成中等级聚势，但通常不能替代完整三合成局。</x:v>
      </x:c>
      <x:c r="AC76" s="82" t="str">
        <x:v>较高</x:v>
      </x:c>
      <x:c r="AD76" s="82" t="str">
        <x:v>现代综合</x:v>
      </x:c>
      <x:c r="AE76" s="68" t="str">
        <x:v>有效力量必须承接原始力量与实际效应，逐对象、逐节点修正。</x:v>
      </x:c>
      <x:c r="AF76" s="68" t="str">
        <x:v>成局严格成立时才重分配属性与势能。</x:v>
      </x:c>
      <x:c r="AG76" s="90" t="str">
        <x:v>固定配对或三支齐全就直接全量改性。</x:v>
      </x:c>
      <x:c r="AH76" s="68" t="str">
        <x:v>https://zh.wikisource.org/zh-hans/滴天髓 ; https://zh.wikisource.org/zh-hans/淵海子平 ; https://zh.wikisource.org/wiki/三命通會</x:v>
      </x:c>
      <x:c r="AI76" s="82" t="str">
        <x:v>采用</x:v>
      </x:c>
      <x:c r="AJ76" s="82" t="str">
        <x:v>初审</x:v>
      </x:c>
      <x:c r="AK76" s="87" t="n">
        <x:v>46255</x:v>
      </x:c>
    </x:row>
    <x:row r="77">
      <x:c r="A77" s="72" t="str">
        <x:f>IF(OR(C77="",D77=""),"",B77&amp;"-"&amp;UPPER(C77)&amp;"-"&amp;TEXT(D77,"0000")&amp;"-"&amp;E77)</x:f>
        <x:v>M08-TRANS-0071-V1.0</x:v>
      </x:c>
      <x:c r="B77" s="74" t="str">
        <x:v>M08</x:v>
      </x:c>
      <x:c r="C77" s="74" t="str">
        <x:v>TRANS</x:v>
      </x:c>
      <x:c r="D77" s="79" t="n">
        <x:v>71</x:v>
      </x:c>
      <x:c r="E77" s="74" t="str">
        <x:v>V1.0</x:v>
      </x:c>
      <x:c r="F77" s="68" t="str">
        <x:v>拱合缺中神时通常只作低等级趋向</x:v>
      </x:c>
      <x:c r="G77" s="82" t="str">
        <x:v>结构层</x:v>
      </x:c>
      <x:c r="H77" s="68" t="str">
        <x:v>M06拱合</x:v>
      </x:c>
      <x:c r="I77" s="68" t="str">
        <x:v>参与/化神五行</x:v>
      </x:c>
      <x:c r="J77" s="68" t="str">
        <x:v>原始力量</x:v>
      </x:c>
      <x:c r="K77" s="68" t="str">
        <x:v>两端拱合而中神缺失</x:v>
      </x:c>
      <x:c r="L77" s="68" t="str">
        <x:v>轻度提高化神趋向</x:v>
      </x:c>
      <x:c r="M77" s="82" t="str">
        <x:v>增强</x:v>
      </x:c>
      <x:c r="N77" s="82" t="str">
        <x:v>弱</x:v>
      </x:c>
      <x:c r="O77" s="82" t="str">
        <x:v>条件性</x:v>
      </x:c>
      <x:c r="P77" s="82" t="str">
        <x:v>条件性</x:v>
      </x:c>
      <x:c r="Q77" s="82" t="str">
        <x:v>条件性</x:v>
      </x:c>
      <x:c r="R77" s="82" t="str">
        <x:v>是</x:v>
      </x:c>
      <x:c r="S77" s="68" t="str">
        <x:v>M06已完成合化/成局效应判断</x:v>
      </x:c>
      <x:c r="T77" s="68" t="str">
        <x:v>必须区分合意、合绊、候选与实质成局</x:v>
      </x:c>
      <x:c r="U77" s="68" t="str">
        <x:v>得令、有根、有援可增强</x:v>
      </x:c>
      <x:c r="V77" s="68" t="str">
        <x:v>失令、孤立或受制可削弱</x:v>
      </x:c>
      <x:c r="W77" s="90" t="str">
        <x:v>禁止用关系名称直接替代实际效应</x:v>
      </x:c>
      <x:c r="X77" s="68" t="str">
        <x:v>特殊格局与动态岁运另模块处理</x:v>
      </x:c>
      <x:c r="Y77" s="84" t="str">
        <x:v>按证据修正有效旺衰</x:v>
      </x:c>
      <x:c r="Z77" s="68" t="str">
        <x:v>不得直接推出喜忌用神</x:v>
      </x:c>
      <x:c r="AA77" s="84" t="str">
        <x:v>拱合低权重</x:v>
      </x:c>
      <x:c r="AB77" s="84" t="str">
        <x:v>拱合只表示结构趋向，不能把缺失中神当作实际根气。</x:v>
      </x:c>
      <x:c r="AC77" s="82" t="str">
        <x:v>较高</x:v>
      </x:c>
      <x:c r="AD77" s="82" t="str">
        <x:v>现代综合</x:v>
      </x:c>
      <x:c r="AE77" s="68" t="str">
        <x:v>有效力量必须承接原始力量与实际效应，逐对象、逐节点修正。</x:v>
      </x:c>
      <x:c r="AF77" s="68" t="str">
        <x:v>成局严格成立时才重分配属性与势能。</x:v>
      </x:c>
      <x:c r="AG77" s="90" t="str">
        <x:v>固定配对或三支齐全就直接全量改性。</x:v>
      </x:c>
      <x:c r="AH77" s="68" t="str">
        <x:v>https://zh.wikisource.org/zh-hans/滴天髓 ; https://zh.wikisource.org/zh-hans/淵海子平 ; https://zh.wikisource.org/wiki/三命通會</x:v>
      </x:c>
      <x:c r="AI77" s="82" t="str">
        <x:v>采用</x:v>
      </x:c>
      <x:c r="AJ77" s="82" t="str">
        <x:v>初审</x:v>
      </x:c>
      <x:c r="AK77" s="87" t="n">
        <x:v>46255</x:v>
      </x:c>
    </x:row>
    <x:row r="78">
      <x:c r="A78" s="72" t="str">
        <x:f>IF(OR(C78="",D78=""),"",B78&amp;"-"&amp;UPPER(C78)&amp;"-"&amp;TEXT(D78,"0000")&amp;"-"&amp;E78)</x:f>
        <x:v>M08-TRANS-0072-V1.0</x:v>
      </x:c>
      <x:c r="B78" s="74" t="str">
        <x:v>M08</x:v>
      </x:c>
      <x:c r="C78" s="74" t="str">
        <x:v>TRANS</x:v>
      </x:c>
      <x:c r="D78" s="79" t="n">
        <x:v>72</x:v>
      </x:c>
      <x:c r="E78" s="74" t="str">
        <x:v>V1.0</x:v>
      </x:c>
      <x:c r="F78" s="68" t="str">
        <x:v>成局受关键冲破时化神下调并恢复部分原性</x:v>
      </x:c>
      <x:c r="G78" s="82" t="str">
        <x:v>结构层</x:v>
      </x:c>
      <x:c r="H78" s="68" t="str">
        <x:v>M06成局破坏</x:v>
      </x:c>
      <x:c r="I78" s="68" t="str">
        <x:v>参与/化神五行</x:v>
      </x:c>
      <x:c r="J78" s="68" t="str">
        <x:v>已成局候选</x:v>
      </x:c>
      <x:c r="K78" s="68" t="str">
        <x:v>关键成员遭强冲破</x:v>
      </x:c>
      <x:c r="L78" s="68" t="str">
        <x:v>降低成局度并回补原支五行</x:v>
      </x:c>
      <x:c r="M78" s="82" t="str">
        <x:v>转化</x:v>
      </x:c>
      <x:c r="N78" s="82" t="str">
        <x:v>强</x:v>
      </x:c>
      <x:c r="O78" s="82" t="str">
        <x:v>条件性</x:v>
      </x:c>
      <x:c r="P78" s="82" t="str">
        <x:v>条件性</x:v>
      </x:c>
      <x:c r="Q78" s="82" t="str">
        <x:v>条件性</x:v>
      </x:c>
      <x:c r="R78" s="82" t="str">
        <x:v>是</x:v>
      </x:c>
      <x:c r="S78" s="68" t="str">
        <x:v>M06已完成合化/成局效应判断</x:v>
      </x:c>
      <x:c r="T78" s="68" t="str">
        <x:v>必须区分合意、合绊、候选与实质成局</x:v>
      </x:c>
      <x:c r="U78" s="68" t="str">
        <x:v>得令、有根、有援可增强</x:v>
      </x:c>
      <x:c r="V78" s="68" t="str">
        <x:v>失令、孤立或受制可削弱</x:v>
      </x:c>
      <x:c r="W78" s="90" t="str">
        <x:v>禁止用关系名称直接替代实际效应</x:v>
      </x:c>
      <x:c r="X78" s="68" t="str">
        <x:v>特殊格局与动态岁运另模块处理</x:v>
      </x:c>
      <x:c r="Y78" s="84" t="str">
        <x:v>按证据修正有效旺衰</x:v>
      </x:c>
      <x:c r="Z78" s="68" t="str">
        <x:v>不得直接推出喜忌用神</x:v>
      </x:c>
      <x:c r="AA78" s="84" t="str">
        <x:v>成局破坏</x:v>
      </x:c>
      <x:c r="AB78" s="84" t="str">
        <x:v>合会局遭关键冲破时，应同步下调化神势能并恢复部分原性。</x:v>
      </x:c>
      <x:c r="AC78" s="82" t="str">
        <x:v>较高</x:v>
      </x:c>
      <x:c r="AD78" s="82" t="str">
        <x:v>现代综合</x:v>
      </x:c>
      <x:c r="AE78" s="68" t="str">
        <x:v>有效力量必须承接原始力量与实际效应，逐对象、逐节点修正。</x:v>
      </x:c>
      <x:c r="AF78" s="68" t="str">
        <x:v>成局严格成立时才重分配属性与势能。</x:v>
      </x:c>
      <x:c r="AG78" s="90" t="str">
        <x:v>固定配对或三支齐全就直接全量改性。</x:v>
      </x:c>
      <x:c r="AH78" s="68" t="str">
        <x:v>https://zh.wikisource.org/zh-hans/滴天髓 ; https://zh.wikisource.org/zh-hans/淵海子平 ; https://zh.wikisource.org/wiki/三命通會</x:v>
      </x:c>
      <x:c r="AI78" s="82" t="str">
        <x:v>采用</x:v>
      </x:c>
      <x:c r="AJ78" s="82" t="str">
        <x:v>初审</x:v>
      </x:c>
      <x:c r="AK78" s="87" t="n">
        <x:v>46255</x:v>
      </x:c>
    </x:row>
    <x:row r="79">
      <x:c r="A79" s="72" t="str">
        <x:f>IF(OR(C79="",D79=""),"",B79&amp;"-"&amp;UPPER(C79)&amp;"-"&amp;TEXT(D79,"0000")&amp;"-"&amp;E79)</x:f>
        <x:v>M08-TRANS-0073-V1.0</x:v>
      </x:c>
      <x:c r="B79" s="74" t="str">
        <x:v>M08</x:v>
      </x:c>
      <x:c r="C79" s="74" t="str">
        <x:v>TRANS</x:v>
      </x:c>
      <x:c r="D79" s="79" t="n">
        <x:v>73</x:v>
      </x:c>
      <x:c r="E79" s="74" t="str">
        <x:v>V1.0</x:v>
      </x:c>
      <x:c r="F79" s="68" t="str">
        <x:v>共享地支参与多个合会时只能有一个主导势能归属</x:v>
      </x:c>
      <x:c r="G79" s="82" t="str">
        <x:v>结构层</x:v>
      </x:c>
      <x:c r="H79" s="68" t="str">
        <x:v>M06多重关系</x:v>
      </x:c>
      <x:c r="I79" s="68" t="str">
        <x:v>参与/化神五行</x:v>
      </x:c>
      <x:c r="J79" s="68" t="str">
        <x:v>多局候选</x:v>
      </x:c>
      <x:c r="K79" s="68" t="str">
        <x:v>同一支被多个结构争夺</x:v>
      </x:c>
      <x:c r="L79" s="68" t="str">
        <x:v>按得令、完整度与强弱选主导归属</x:v>
      </x:c>
      <x:c r="M79" s="82" t="str">
        <x:v>条件性</x:v>
      </x:c>
      <x:c r="N79" s="82" t="str">
        <x:v>强</x:v>
      </x:c>
      <x:c r="O79" s="82" t="str">
        <x:v>条件性</x:v>
      </x:c>
      <x:c r="P79" s="82" t="str">
        <x:v>条件性</x:v>
      </x:c>
      <x:c r="Q79" s="82" t="str">
        <x:v>条件性</x:v>
      </x:c>
      <x:c r="R79" s="82" t="str">
        <x:v>是</x:v>
      </x:c>
      <x:c r="S79" s="68" t="str">
        <x:v>M06已完成合化/成局效应判断</x:v>
      </x:c>
      <x:c r="T79" s="68" t="str">
        <x:v>必须区分合意、合绊、候选与实质成局</x:v>
      </x:c>
      <x:c r="U79" s="68" t="str">
        <x:v>得令、有根、有援可增强</x:v>
      </x:c>
      <x:c r="V79" s="68" t="str">
        <x:v>失令、孤立或受制可削弱</x:v>
      </x:c>
      <x:c r="W79" s="90" t="str">
        <x:v>禁止用关系名称直接替代实际效应</x:v>
      </x:c>
      <x:c r="X79" s="68" t="str">
        <x:v>特殊格局与动态岁运另模块处理</x:v>
      </x:c>
      <x:c r="Y79" s="84" t="str">
        <x:v>按证据修正有效旺衰</x:v>
      </x:c>
      <x:c r="Z79" s="68" t="str">
        <x:v>不得直接推出喜忌用神</x:v>
      </x:c>
      <x:c r="AA79" s="84" t="str">
        <x:v>共享节点归属</x:v>
      </x:c>
      <x:c r="AB79" s="84" t="str">
        <x:v>共享地支不能被两个合会结构同时满额调用。</x:v>
      </x:c>
      <x:c r="AC79" s="82" t="str">
        <x:v>较高</x:v>
      </x:c>
      <x:c r="AD79" s="82" t="str">
        <x:v>现代综合</x:v>
      </x:c>
      <x:c r="AE79" s="68" t="str">
        <x:v>有效力量必须承接原始力量与实际效应，逐对象、逐节点修正。</x:v>
      </x:c>
      <x:c r="AF79" s="68" t="str">
        <x:v>成局严格成立时才重分配属性与势能。</x:v>
      </x:c>
      <x:c r="AG79" s="90" t="str">
        <x:v>固定配对或三支齐全就直接全量改性。</x:v>
      </x:c>
      <x:c r="AH79" s="68" t="str">
        <x:v>https://zh.wikisource.org/zh-hans/滴天髓 ; https://zh.wikisource.org/zh-hans/淵海子平 ; https://zh.wikisource.org/wiki/三命通會</x:v>
      </x:c>
      <x:c r="AI79" s="82" t="str">
        <x:v>采用</x:v>
      </x:c>
      <x:c r="AJ79" s="82" t="str">
        <x:v>初审</x:v>
      </x:c>
      <x:c r="AK79" s="87" t="n">
        <x:v>46255</x:v>
      </x:c>
    </x:row>
    <x:row r="80">
      <x:c r="A80" s="72" t="str">
        <x:f>IF(OR(C80="",D80=""),"",B80&amp;"-"&amp;UPPER(C80)&amp;"-"&amp;TEXT(D80,"0000")&amp;"-"&amp;E80)</x:f>
        <x:v>M08-TRANS-0074-V1.0</x:v>
      </x:c>
      <x:c r="B80" s="74" t="str">
        <x:v>M08</x:v>
      </x:c>
      <x:c r="C80" s="74" t="str">
        <x:v>TRANS</x:v>
      </x:c>
      <x:c r="D80" s="79" t="n">
        <x:v>74</x:v>
      </x:c>
      <x:c r="E80" s="74" t="str">
        <x:v>V1.0</x:v>
      </x:c>
      <x:c r="F80" s="68" t="str">
        <x:v>化神形成后仍需接受后续克泄耗修正</x:v>
      </x:c>
      <x:c r="G80" s="82" t="str">
        <x:v>结构层</x:v>
      </x:c>
      <x:c r="H80" s="68" t="str">
        <x:v>改性后再平衡</x:v>
      </x:c>
      <x:c r="I80" s="68" t="str">
        <x:v>参与/化神五行</x:v>
      </x:c>
      <x:c r="J80" s="68" t="str">
        <x:v>化局成立</x:v>
      </x:c>
      <x:c r="K80" s="68" t="str">
        <x:v>化神参与全局生克</x:v>
      </x:c>
      <x:c r="L80" s="68" t="str">
        <x:v>按化后五行继续接受克泄耗</x:v>
      </x:c>
      <x:c r="M80" s="82" t="str">
        <x:v>条件性</x:v>
      </x:c>
      <x:c r="N80" s="82" t="str">
        <x:v>中</x:v>
      </x:c>
      <x:c r="O80" s="82" t="str">
        <x:v>条件性</x:v>
      </x:c>
      <x:c r="P80" s="82" t="str">
        <x:v>条件性</x:v>
      </x:c>
      <x:c r="Q80" s="82" t="str">
        <x:v>条件性</x:v>
      </x:c>
      <x:c r="R80" s="82" t="str">
        <x:v>是</x:v>
      </x:c>
      <x:c r="S80" s="68" t="str">
        <x:v>M06已完成合化/成局效应判断</x:v>
      </x:c>
      <x:c r="T80" s="68" t="str">
        <x:v>必须区分合意、合绊、候选与实质成局</x:v>
      </x:c>
      <x:c r="U80" s="68" t="str">
        <x:v>得令、有根、有援可增强</x:v>
      </x:c>
      <x:c r="V80" s="68" t="str">
        <x:v>失令、孤立或受制可削弱</x:v>
      </x:c>
      <x:c r="W80" s="90" t="str">
        <x:v>禁止用关系名称直接替代实际效应</x:v>
      </x:c>
      <x:c r="X80" s="68" t="str">
        <x:v>特殊格局与动态岁运另模块处理</x:v>
      </x:c>
      <x:c r="Y80" s="84" t="str">
        <x:v>按证据修正有效旺衰</x:v>
      </x:c>
      <x:c r="Z80" s="68" t="str">
        <x:v>不得直接推出喜忌用神</x:v>
      </x:c>
      <x:c r="AA80" s="84" t="str">
        <x:v>化后再修正</x:v>
      </x:c>
      <x:c r="AB80" s="84" t="str">
        <x:v>合化成局只改变力量归属，化神形成后仍要接受全局生克泄耗。</x:v>
      </x:c>
      <x:c r="AC80" s="82" t="str">
        <x:v>较高</x:v>
      </x:c>
      <x:c r="AD80" s="82" t="str">
        <x:v>现代综合</x:v>
      </x:c>
      <x:c r="AE80" s="68" t="str">
        <x:v>有效力量必须承接原始力量与实际效应，逐对象、逐节点修正。</x:v>
      </x:c>
      <x:c r="AF80" s="68" t="str">
        <x:v>成局严格成立时才重分配属性与势能。</x:v>
      </x:c>
      <x:c r="AG80" s="90" t="str">
        <x:v>固定配对或三支齐全就直接全量改性。</x:v>
      </x:c>
      <x:c r="AH80" s="68" t="str">
        <x:v>https://zh.wikisource.org/zh-hans/滴天髓 ; https://zh.wikisource.org/zh-hans/淵海子平 ; https://zh.wikisource.org/wiki/三命通會</x:v>
      </x:c>
      <x:c r="AI80" s="82" t="str">
        <x:v>采用</x:v>
      </x:c>
      <x:c r="AJ80" s="82" t="str">
        <x:v>初审</x:v>
      </x:c>
      <x:c r="AK80" s="87" t="n">
        <x:v>46255</x:v>
      </x:c>
    </x:row>
    <x:row r="81">
      <x:c r="A81" s="72" t="str">
        <x:f>IF(OR(C81="",D81=""),"",B81&amp;"-"&amp;UPPER(C81)&amp;"-"&amp;TEXT(D81,"0000")&amp;"-"&amp;E81)</x:f>
        <x:v>M08-REL-0075-V1.0</x:v>
      </x:c>
      <x:c r="B81" s="74" t="str">
        <x:v>M08</x:v>
      </x:c>
      <x:c r="C81" s="74" t="str">
        <x:v>REL</x:v>
      </x:c>
      <x:c r="D81" s="79" t="n">
        <x:v>75</x:v>
      </x:c>
      <x:c r="E81" s="74" t="str">
        <x:v>V1.0</x:v>
      </x:c>
      <x:c r="F81" s="68" t="str">
        <x:v>六冲的有效修正按冲动冲弱冲散分级</x:v>
      </x:c>
      <x:c r="G81" s="82" t="str">
        <x:v>结构层</x:v>
      </x:c>
      <x:c r="H81" s="68" t="str">
        <x:v>M06六冲</x:v>
      </x:c>
      <x:c r="I81" s="68" t="str">
        <x:v>参与五行</x:v>
      </x:c>
      <x:c r="J81" s="68" t="str">
        <x:v>原始力量</x:v>
      </x:c>
      <x:c r="K81" s="68" t="str">
        <x:v>受冲</x:v>
      </x:c>
      <x:c r="L81" s="68" t="str">
        <x:v>按M06效应给予不同修正</x:v>
      </x:c>
      <x:c r="M81" s="82" t="str">
        <x:v>条件性</x:v>
      </x:c>
      <x:c r="N81" s="82" t="str">
        <x:v>强</x:v>
      </x:c>
      <x:c r="O81" s="82" t="str">
        <x:v>条件性</x:v>
      </x:c>
      <x:c r="P81" s="82" t="str">
        <x:v>条件性</x:v>
      </x:c>
      <x:c r="Q81" s="82" t="str">
        <x:v>条件性</x:v>
      </x:c>
      <x:c r="R81" s="82" t="str">
        <x:v>是</x:v>
      </x:c>
      <x:c r="S81" s="68" t="str">
        <x:v>前置模块已完成</x:v>
      </x:c>
      <x:c r="T81" s="68" t="str">
        <x:v>作用条件真实成立</x:v>
      </x:c>
      <x:c r="U81" s="68" t="str">
        <x:v>得令、有根、有援可增强</x:v>
      </x:c>
      <x:c r="V81" s="68" t="str">
        <x:v>失令、孤立或受制可削弱</x:v>
      </x:c>
      <x:c r="W81" s="90" t="str">
        <x:v>禁止用关系名称直接替代实际效应</x:v>
      </x:c>
      <x:c r="X81" s="68" t="str">
        <x:v>特殊格局与动态岁运另模块处理</x:v>
      </x:c>
      <x:c r="Y81" s="84" t="str">
        <x:v>按证据修正有效旺衰</x:v>
      </x:c>
      <x:c r="Z81" s="68" t="str">
        <x:v>不得直接推出喜忌用神</x:v>
      </x:c>
      <x:c r="AA81" s="84" t="str">
        <x:v>六冲分级修正</x:v>
      </x:c>
      <x:c r="AB81" s="84" t="str">
        <x:v>六冲只提供作用入口，必须按冲动、冲弱、冲散等效应分级调整。</x:v>
      </x:c>
      <x:c r="AC81" s="82" t="str">
        <x:v>较高</x:v>
      </x:c>
      <x:c r="AD81" s="82" t="str">
        <x:v>现代综合</x:v>
      </x:c>
      <x:c r="AE81" s="68" t="str">
        <x:v>有效力量必须承接原始力量与实际效应，逐对象、逐节点修正。</x:v>
      </x:c>
      <x:c r="AF81" s="68" t="str">
        <x:v>先判断实际效应、共享节点和双方强弱，再进入力量修正。</x:v>
      </x:c>
      <x:c r="AG81" s="90" t="str">
        <x:v>见关系名称即双方统一扣分。</x:v>
      </x:c>
      <x:c r="AH81" s="68" t="str">
        <x:v>https://zh.wikisource.org/zh-hans/滴天髓 ; https://zh.wikisource.org/zh-hans/淵海子平 ; https://zh.wikisource.org/wiki/三命通會</x:v>
      </x:c>
      <x:c r="AI81" s="82" t="str">
        <x:v>采用</x:v>
      </x:c>
      <x:c r="AJ81" s="82" t="str">
        <x:v>初审</x:v>
      </x:c>
      <x:c r="AK81" s="87" t="n">
        <x:v>46255</x:v>
      </x:c>
    </x:row>
    <x:row r="82">
      <x:c r="A82" s="72" t="str">
        <x:f>IF(OR(C82="",D82=""),"",B82&amp;"-"&amp;UPPER(C82)&amp;"-"&amp;TEXT(D82,"0000")&amp;"-"&amp;E82)</x:f>
        <x:v>M08-REL-0076-V1.0</x:v>
      </x:c>
      <x:c r="B82" s="74" t="str">
        <x:v>M08</x:v>
      </x:c>
      <x:c r="C82" s="74" t="str">
        <x:v>REL</x:v>
      </x:c>
      <x:c r="D82" s="79" t="n">
        <x:v>76</x:v>
      </x:c>
      <x:c r="E82" s="74" t="str">
        <x:v>V1.0</x:v>
      </x:c>
      <x:c r="F82" s="68" t="str">
        <x:v>冲旺成立时目标可能因被引动而作用增强</x:v>
      </x:c>
      <x:c r="G82" s="82" t="str">
        <x:v>结构层</x:v>
      </x:c>
      <x:c r="H82" s="68" t="str">
        <x:v>M06冲旺</x:v>
      </x:c>
      <x:c r="I82" s="68" t="str">
        <x:v>参与五行</x:v>
      </x:c>
      <x:c r="J82" s="68" t="str">
        <x:v>原始较旺</x:v>
      </x:c>
      <x:c r="K82" s="68" t="str">
        <x:v>受弱方冲击而被激发</x:v>
      </x:c>
      <x:c r="L82" s="68" t="str">
        <x:v>维持或提高可调用性并增加波动</x:v>
      </x:c>
      <x:c r="M82" s="82" t="str">
        <x:v>激活</x:v>
      </x:c>
      <x:c r="N82" s="82" t="str">
        <x:v>中</x:v>
      </x:c>
      <x:c r="O82" s="82" t="str">
        <x:v>条件性</x:v>
      </x:c>
      <x:c r="P82" s="82" t="str">
        <x:v>条件性</x:v>
      </x:c>
      <x:c r="Q82" s="82" t="str">
        <x:v>条件性</x:v>
      </x:c>
      <x:c r="R82" s="82" t="str">
        <x:v>是</x:v>
      </x:c>
      <x:c r="S82" s="68" t="str">
        <x:v>前置模块已完成</x:v>
      </x:c>
      <x:c r="T82" s="68" t="str">
        <x:v>作用条件真实成立</x:v>
      </x:c>
      <x:c r="U82" s="68" t="str">
        <x:v>得令、有根、有援可增强</x:v>
      </x:c>
      <x:c r="V82" s="68" t="str">
        <x:v>失令、孤立或受制可削弱</x:v>
      </x:c>
      <x:c r="W82" s="90" t="str">
        <x:v>禁止用关系名称直接替代实际效应</x:v>
      </x:c>
      <x:c r="X82" s="68" t="str">
        <x:v>特殊格局与动态岁运另模块处理</x:v>
      </x:c>
      <x:c r="Y82" s="84" t="str">
        <x:v>按证据修正有效旺衰</x:v>
      </x:c>
      <x:c r="Z82" s="68" t="str">
        <x:v>不得直接推出喜忌用神</x:v>
      </x:c>
      <x:c r="AA82" s="84" t="str">
        <x:v>冲旺</x:v>
      </x:c>
      <x:c r="AB82" s="84" t="str">
        <x:v>强势五行受冲若主要表现为引动，不必机械减弱。</x:v>
      </x:c>
      <x:c r="AC82" s="82" t="str">
        <x:v>较高</x:v>
      </x:c>
      <x:c r="AD82" s="82" t="str">
        <x:v>现代综合</x:v>
      </x:c>
      <x:c r="AE82" s="68" t="str">
        <x:v>有效力量必须承接原始力量与实际效应，逐对象、逐节点修正。</x:v>
      </x:c>
      <x:c r="AF82" s="68" t="str">
        <x:v>先判断实际效应、共享节点和双方强弱，再进入力量修正。</x:v>
      </x:c>
      <x:c r="AG82" s="90" t="str">
        <x:v>见关系名称即双方统一扣分。</x:v>
      </x:c>
      <x:c r="AH82" s="68" t="str">
        <x:v>https://zh.wikisource.org/zh-hans/滴天髓 ; https://zh.wikisource.org/zh-hans/淵海子平 ; https://zh.wikisource.org/wiki/三命通會</x:v>
      </x:c>
      <x:c r="AI82" s="82" t="str">
        <x:v>采用</x:v>
      </x:c>
      <x:c r="AJ82" s="82" t="str">
        <x:v>初审</x:v>
      </x:c>
      <x:c r="AK82" s="87" t="n">
        <x:v>46255</x:v>
      </x:c>
    </x:row>
    <x:row r="83">
      <x:c r="A83" s="72" t="str">
        <x:f>IF(OR(C83="",D83=""),"",B83&amp;"-"&amp;UPPER(C83)&amp;"-"&amp;TEXT(D83,"0000")&amp;"-"&amp;E83)</x:f>
        <x:v>M08-REL-0077-V1.0</x:v>
      </x:c>
      <x:c r="B83" s="74" t="str">
        <x:v>M08</x:v>
      </x:c>
      <x:c r="C83" s="74" t="str">
        <x:v>REL</x:v>
      </x:c>
      <x:c r="D83" s="79" t="n">
        <x:v>77</x:v>
      </x:c>
      <x:c r="E83" s="74" t="str">
        <x:v>V1.0</x:v>
      </x:c>
      <x:c r="F83" s="68" t="str">
        <x:v>冲弱时下调受损方并保留强方轻耗</x:v>
      </x:c>
      <x:c r="G83" s="82" t="str">
        <x:v>结构层</x:v>
      </x:c>
      <x:c r="H83" s="68" t="str">
        <x:v>M06冲弱</x:v>
      </x:c>
      <x:c r="I83" s="68" t="str">
        <x:v>参与五行</x:v>
      </x:c>
      <x:c r="J83" s="68" t="str">
        <x:v>强弱分明</x:v>
      </x:c>
      <x:c r="K83" s="68" t="str">
        <x:v>强支冲弱支</x:v>
      </x:c>
      <x:c r="L83" s="68" t="str">
        <x:v>弱方明显下调，强方轻度修正</x:v>
      </x:c>
      <x:c r="M83" s="82" t="str">
        <x:v>减弱</x:v>
      </x:c>
      <x:c r="N83" s="82" t="str">
        <x:v>强</x:v>
      </x:c>
      <x:c r="O83" s="82" t="str">
        <x:v>条件性</x:v>
      </x:c>
      <x:c r="P83" s="82" t="str">
        <x:v>条件性</x:v>
      </x:c>
      <x:c r="Q83" s="82" t="str">
        <x:v>条件性</x:v>
      </x:c>
      <x:c r="R83" s="82" t="str">
        <x:v>是</x:v>
      </x:c>
      <x:c r="S83" s="68" t="str">
        <x:v>前置模块已完成</x:v>
      </x:c>
      <x:c r="T83" s="68" t="str">
        <x:v>作用条件真实成立</x:v>
      </x:c>
      <x:c r="U83" s="68" t="str">
        <x:v>得令、有根、有援可增强</x:v>
      </x:c>
      <x:c r="V83" s="68" t="str">
        <x:v>失令、孤立或受制可削弱</x:v>
      </x:c>
      <x:c r="W83" s="90" t="str">
        <x:v>禁止用关系名称直接替代实际效应</x:v>
      </x:c>
      <x:c r="X83" s="68" t="str">
        <x:v>特殊格局与动态岁运另模块处理</x:v>
      </x:c>
      <x:c r="Y83" s="84" t="str">
        <x:v>按证据修正有效旺衰</x:v>
      </x:c>
      <x:c r="Z83" s="68" t="str">
        <x:v>不得直接推出喜忌用神</x:v>
      </x:c>
      <x:c r="AA83" s="84" t="str">
        <x:v>强冲弱</x:v>
      </x:c>
      <x:c r="AB83" s="84" t="str">
        <x:v>强冲弱时主要损伤落在弱方，但强方也可能有轻度耗损。</x:v>
      </x:c>
      <x:c r="AC83" s="82" t="str">
        <x:v>较高</x:v>
      </x:c>
      <x:c r="AD83" s="82" t="str">
        <x:v>现代综合</x:v>
      </x:c>
      <x:c r="AE83" s="68" t="str">
        <x:v>有效力量必须承接原始力量与实际效应，逐对象、逐节点修正。</x:v>
      </x:c>
      <x:c r="AF83" s="68" t="str">
        <x:v>先判断实际效应、共享节点和双方强弱，再进入力量修正。</x:v>
      </x:c>
      <x:c r="AG83" s="90" t="str">
        <x:v>见关系名称即双方统一扣分。</x:v>
      </x:c>
      <x:c r="AH83" s="68" t="str">
        <x:v>https://zh.wikisource.org/zh-hans/滴天髓 ; https://zh.wikisource.org/zh-hans/淵海子平 ; https://zh.wikisource.org/wiki/三命通會</x:v>
      </x:c>
      <x:c r="AI83" s="82" t="str">
        <x:v>采用</x:v>
      </x:c>
      <x:c r="AJ83" s="82" t="str">
        <x:v>初审</x:v>
      </x:c>
      <x:c r="AK83" s="87" t="n">
        <x:v>46255</x:v>
      </x:c>
    </x:row>
    <x:row r="84">
      <x:c r="A84" s="72" t="str">
        <x:f>IF(OR(C84="",D84=""),"",B84&amp;"-"&amp;UPPER(C84)&amp;"-"&amp;TEXT(D84,"0000")&amp;"-"&amp;E84)</x:f>
        <x:v>M08-REL-0078-V1.0</x:v>
      </x:c>
      <x:c r="B84" s="74" t="str">
        <x:v>M08</x:v>
      </x:c>
      <x:c r="C84" s="74" t="str">
        <x:v>REL</x:v>
      </x:c>
      <x:c r="D84" s="79" t="n">
        <x:v>78</x:v>
      </x:c>
      <x:c r="E84" s="74" t="str">
        <x:v>V1.0</x:v>
      </x:c>
      <x:c r="F84" s="68" t="str">
        <x:v>势均冲战主要破坏稳定与流通</x:v>
      </x:c>
      <x:c r="G84" s="82" t="str">
        <x:v>结构层</x:v>
      </x:c>
      <x:c r="H84" s="68" t="str">
        <x:v>M06六冲</x:v>
      </x:c>
      <x:c r="I84" s="68" t="str">
        <x:v>参与五行</x:v>
      </x:c>
      <x:c r="J84" s="68" t="str">
        <x:v>双方有根有势</x:v>
      </x:c>
      <x:c r="K84" s="68" t="str">
        <x:v>对冲</x:v>
      </x:c>
      <x:c r="L84" s="68" t="str">
        <x:v>双方适度耗损并提高阻断</x:v>
      </x:c>
      <x:c r="M84" s="82" t="str">
        <x:v>阻断</x:v>
      </x:c>
      <x:c r="N84" s="82" t="str">
        <x:v>中</x:v>
      </x:c>
      <x:c r="O84" s="82" t="str">
        <x:v>条件性</x:v>
      </x:c>
      <x:c r="P84" s="82" t="str">
        <x:v>条件性</x:v>
      </x:c>
      <x:c r="Q84" s="82" t="str">
        <x:v>条件性</x:v>
      </x:c>
      <x:c r="R84" s="82" t="str">
        <x:v>是</x:v>
      </x:c>
      <x:c r="S84" s="68" t="str">
        <x:v>前置模块已完成</x:v>
      </x:c>
      <x:c r="T84" s="68" t="str">
        <x:v>作用条件真实成立</x:v>
      </x:c>
      <x:c r="U84" s="68" t="str">
        <x:v>得令、有根、有援可增强</x:v>
      </x:c>
      <x:c r="V84" s="68" t="str">
        <x:v>失令、孤立或受制可削弱</x:v>
      </x:c>
      <x:c r="W84" s="90" t="str">
        <x:v>禁止用关系名称直接替代实际效应</x:v>
      </x:c>
      <x:c r="X84" s="68" t="str">
        <x:v>特殊格局与动态岁运另模块处理</x:v>
      </x:c>
      <x:c r="Y84" s="84" t="str">
        <x:v>按证据修正有效旺衰</x:v>
      </x:c>
      <x:c r="Z84" s="68" t="str">
        <x:v>不得直接推出喜忌用神</x:v>
      </x:c>
      <x:c r="AA84" s="84" t="str">
        <x:v>势均对战</x:v>
      </x:c>
      <x:c r="AB84" s="84" t="str">
        <x:v>势均相冲通常体现持续对战与流通受阻，而非一方消失。</x:v>
      </x:c>
      <x:c r="AC84" s="82" t="str">
        <x:v>较高</x:v>
      </x:c>
      <x:c r="AD84" s="82" t="str">
        <x:v>现代综合</x:v>
      </x:c>
      <x:c r="AE84" s="68" t="str">
        <x:v>有效力量必须承接原始力量与实际效应，逐对象、逐节点修正。</x:v>
      </x:c>
      <x:c r="AF84" s="68" t="str">
        <x:v>先判断实际效应、共享节点和双方强弱，再进入力量修正。</x:v>
      </x:c>
      <x:c r="AG84" s="90" t="str">
        <x:v>见关系名称即双方统一扣分。</x:v>
      </x:c>
      <x:c r="AH84" s="68" t="str">
        <x:v>https://zh.wikisource.org/zh-hans/滴天髓 ; https://zh.wikisource.org/zh-hans/淵海子平 ; https://zh.wikisource.org/wiki/三命通會</x:v>
      </x:c>
      <x:c r="AI84" s="82" t="str">
        <x:v>采用</x:v>
      </x:c>
      <x:c r="AJ84" s="82" t="str">
        <x:v>初审</x:v>
      </x:c>
      <x:c r="AK84" s="87" t="n">
        <x:v>46255</x:v>
      </x:c>
    </x:row>
    <x:row r="85">
      <x:c r="A85" s="72" t="str">
        <x:f>IF(OR(C85="",D85=""),"",B85&amp;"-"&amp;UPPER(C85)&amp;"-"&amp;TEXT(D85,"0000")&amp;"-"&amp;E85)</x:f>
        <x:v>M08-REL-0079-V1.0</x:v>
      </x:c>
      <x:c r="B85" s="74" t="str">
        <x:v>M08</x:v>
      </x:c>
      <x:c r="C85" s="74" t="str">
        <x:v>REL</x:v>
      </x:c>
      <x:c r="D85" s="79" t="n">
        <x:v>79</x:v>
      </x:c>
      <x:c r="E85" s="74" t="str">
        <x:v>V1.0</x:v>
      </x:c>
      <x:c r="F85" s="68" t="str">
        <x:v>三刑完整结构必须逐支修正</x:v>
      </x:c>
      <x:c r="G85" s="82" t="str">
        <x:v>结构层</x:v>
      </x:c>
      <x:c r="H85" s="68" t="str">
        <x:v>M06三刑</x:v>
      </x:c>
      <x:c r="I85" s="68" t="str">
        <x:v>参与五行</x:v>
      </x:c>
      <x:c r="J85" s="68" t="str">
        <x:v>多支参与</x:v>
      </x:c>
      <x:c r="K85" s="68" t="str">
        <x:v>三刑完整</x:v>
      </x:c>
      <x:c r="L85" s="68" t="str">
        <x:v>按每支得令根透与叠加关系分别修正</x:v>
      </x:c>
      <x:c r="M85" s="82" t="str">
        <x:v>条件性</x:v>
      </x:c>
      <x:c r="N85" s="82" t="str">
        <x:v>中</x:v>
      </x:c>
      <x:c r="O85" s="82" t="str">
        <x:v>条件性</x:v>
      </x:c>
      <x:c r="P85" s="82" t="str">
        <x:v>条件性</x:v>
      </x:c>
      <x:c r="Q85" s="82" t="str">
        <x:v>条件性</x:v>
      </x:c>
      <x:c r="R85" s="82" t="str">
        <x:v>是</x:v>
      </x:c>
      <x:c r="S85" s="68" t="str">
        <x:v>前置模块已完成</x:v>
      </x:c>
      <x:c r="T85" s="68" t="str">
        <x:v>作用条件真实成立</x:v>
      </x:c>
      <x:c r="U85" s="68" t="str">
        <x:v>得令、有根、有援可增强</x:v>
      </x:c>
      <x:c r="V85" s="68" t="str">
        <x:v>失令、孤立或受制可削弱</x:v>
      </x:c>
      <x:c r="W85" s="90" t="str">
        <x:v>禁止用关系名称直接替代实际效应</x:v>
      </x:c>
      <x:c r="X85" s="68" t="str">
        <x:v>特殊格局与动态岁运另模块处理</x:v>
      </x:c>
      <x:c r="Y85" s="84" t="str">
        <x:v>按证据修正有效旺衰</x:v>
      </x:c>
      <x:c r="Z85" s="68" t="str">
        <x:v>不得直接推出喜忌用神</x:v>
      </x:c>
      <x:c r="AA85" s="84" t="str">
        <x:v>三刑逐支</x:v>
      </x:c>
      <x:c r="AB85" s="84" t="str">
        <x:v>三刑完整只说明结构压力，实际力量必须逐支判断。</x:v>
      </x:c>
      <x:c r="AC85" s="82" t="str">
        <x:v>较高</x:v>
      </x:c>
      <x:c r="AD85" s="82" t="str">
        <x:v>现代综合</x:v>
      </x:c>
      <x:c r="AE85" s="68" t="str">
        <x:v>有效力量必须承接原始力量与实际效应，逐对象、逐节点修正。</x:v>
      </x:c>
      <x:c r="AF85" s="68" t="str">
        <x:v>先判断实际效应、共享节点和双方强弱，再进入力量修正。</x:v>
      </x:c>
      <x:c r="AG85" s="90" t="str">
        <x:v>见关系名称即双方统一扣分。</x:v>
      </x:c>
      <x:c r="AH85" s="68" t="str">
        <x:v>https://zh.wikisource.org/zh-hans/滴天髓 ; https://zh.wikisource.org/zh-hans/淵海子平 ; https://zh.wikisource.org/wiki/三命通會</x:v>
      </x:c>
      <x:c r="AI85" s="82" t="str">
        <x:v>采用</x:v>
      </x:c>
      <x:c r="AJ85" s="82" t="str">
        <x:v>初审</x:v>
      </x:c>
      <x:c r="AK85" s="87" t="n">
        <x:v>46255</x:v>
      </x:c>
    </x:row>
    <x:row r="86">
      <x:c r="A86" s="72" t="str">
        <x:f>IF(OR(C86="",D86=""),"",B86&amp;"-"&amp;UPPER(C86)&amp;"-"&amp;TEXT(D86,"0000")&amp;"-"&amp;E86)</x:f>
        <x:v>M08-REL-0080-V1.0</x:v>
      </x:c>
      <x:c r="B86" s="74" t="str">
        <x:v>M08</x:v>
      </x:c>
      <x:c r="C86" s="74" t="str">
        <x:v>REL</x:v>
      </x:c>
      <x:c r="D86" s="79" t="n">
        <x:v>80</x:v>
      </x:c>
      <x:c r="E86" s="74" t="str">
        <x:v>V1.0</x:v>
      </x:c>
      <x:c r="F86" s="68" t="str">
        <x:v>自刑默认优先修正稳定性而非基础力量</x:v>
      </x:c>
      <x:c r="G86" s="82" t="str">
        <x:v>结构层</x:v>
      </x:c>
      <x:c r="H86" s="68" t="str">
        <x:v>M06自刑</x:v>
      </x:c>
      <x:c r="I86" s="68" t="str">
        <x:v>参与五行</x:v>
      </x:c>
      <x:c r="J86" s="68" t="str">
        <x:v>重复同支</x:v>
      </x:c>
      <x:c r="K86" s="68" t="str">
        <x:v>自刑触发</x:v>
      </x:c>
      <x:c r="L86" s="68" t="str">
        <x:v>提高壅滞与反复标签，力量低度修正</x:v>
      </x:c>
      <x:c r="M86" s="82" t="str">
        <x:v>减弱</x:v>
      </x:c>
      <x:c r="N86" s="82" t="str">
        <x:v>弱</x:v>
      </x:c>
      <x:c r="O86" s="82" t="str">
        <x:v>条件性</x:v>
      </x:c>
      <x:c r="P86" s="82" t="str">
        <x:v>条件性</x:v>
      </x:c>
      <x:c r="Q86" s="82" t="str">
        <x:v>条件性</x:v>
      </x:c>
      <x:c r="R86" s="82" t="str">
        <x:v>是</x:v>
      </x:c>
      <x:c r="S86" s="68" t="str">
        <x:v>前置模块已完成</x:v>
      </x:c>
      <x:c r="T86" s="68" t="str">
        <x:v>作用条件真实成立</x:v>
      </x:c>
      <x:c r="U86" s="68" t="str">
        <x:v>得令、有根、有援可增强</x:v>
      </x:c>
      <x:c r="V86" s="68" t="str">
        <x:v>失令、孤立或受制可削弱</x:v>
      </x:c>
      <x:c r="W86" s="90" t="str">
        <x:v>禁止用关系名称直接替代实际效应</x:v>
      </x:c>
      <x:c r="X86" s="68" t="str">
        <x:v>特殊格局与动态岁运另模块处理</x:v>
      </x:c>
      <x:c r="Y86" s="84" t="str">
        <x:v>按证据修正有效旺衰</x:v>
      </x:c>
      <x:c r="Z86" s="68" t="str">
        <x:v>不得直接推出喜忌用神</x:v>
      </x:c>
      <x:c r="AA86" s="84" t="str">
        <x:v>自刑稳定性</x:v>
      </x:c>
      <x:c r="AB86" s="84" t="str">
        <x:v>自刑默认优先表现为稳定性和流通问题，而不是机械大幅扣减。</x:v>
      </x:c>
      <x:c r="AC86" s="82" t="str">
        <x:v>中等</x:v>
      </x:c>
      <x:c r="AD86" s="82" t="str">
        <x:v>现代综合</x:v>
      </x:c>
      <x:c r="AE86" s="68" t="str">
        <x:v>有效力量必须承接原始力量与实际效应，逐对象、逐节点修正。</x:v>
      </x:c>
      <x:c r="AF86" s="68" t="str">
        <x:v>先判断实际效应、共享节点和双方强弱，再进入力量修正。</x:v>
      </x:c>
      <x:c r="AG86" s="90" t="str">
        <x:v>见关系名称即双方统一扣分。</x:v>
      </x:c>
      <x:c r="AH86" s="68" t="str">
        <x:v>https://zh.wikisource.org/zh-hans/滴天髓 ; https://zh.wikisource.org/zh-hans/淵海子平 ; https://zh.wikisource.org/wiki/三命通會</x:v>
      </x:c>
      <x:c r="AI86" s="82" t="str">
        <x:v>待验证</x:v>
      </x:c>
      <x:c r="AJ86" s="82" t="str">
        <x:v>初审</x:v>
      </x:c>
      <x:c r="AK86" s="87" t="n">
        <x:v>46255</x:v>
      </x:c>
    </x:row>
    <x:row r="87">
      <x:c r="A87" s="72" t="str">
        <x:f>IF(OR(C87="",D87=""),"",B87&amp;"-"&amp;UPPER(C87)&amp;"-"&amp;TEXT(D87,"0000")&amp;"-"&amp;E87)</x:f>
        <x:v>M08-REL-0081-V1.0</x:v>
      </x:c>
      <x:c r="B87" s="74" t="str">
        <x:v>M08</x:v>
      </x:c>
      <x:c r="C87" s="74" t="str">
        <x:v>REL</x:v>
      </x:c>
      <x:c r="D87" s="79" t="n">
        <x:v>81</x:v>
      </x:c>
      <x:c r="E87" s="74" t="str">
        <x:v>V1.0</x:v>
      </x:c>
      <x:c r="F87" s="68" t="str">
        <x:v>六害对力量的直接修正通常低于六冲</x:v>
      </x:c>
      <x:c r="G87" s="82" t="str">
        <x:v>结构层</x:v>
      </x:c>
      <x:c r="H87" s="68" t="str">
        <x:v>M06六害</x:v>
      </x:c>
      <x:c r="I87" s="68" t="str">
        <x:v>参与五行</x:v>
      </x:c>
      <x:c r="J87" s="68" t="str">
        <x:v>任意</x:v>
      </x:c>
      <x:c r="K87" s="68" t="str">
        <x:v>六害</x:v>
      </x:c>
      <x:c r="L87" s="68" t="str">
        <x:v>默认轻度制约，破坏通道时升级</x:v>
      </x:c>
      <x:c r="M87" s="82" t="str">
        <x:v>减弱</x:v>
      </x:c>
      <x:c r="N87" s="82" t="str">
        <x:v>弱</x:v>
      </x:c>
      <x:c r="O87" s="82" t="str">
        <x:v>条件性</x:v>
      </x:c>
      <x:c r="P87" s="82" t="str">
        <x:v>条件性</x:v>
      </x:c>
      <x:c r="Q87" s="82" t="str">
        <x:v>条件性</x:v>
      </x:c>
      <x:c r="R87" s="82" t="str">
        <x:v>是</x:v>
      </x:c>
      <x:c r="S87" s="68" t="str">
        <x:v>前置模块已完成</x:v>
      </x:c>
      <x:c r="T87" s="68" t="str">
        <x:v>作用条件真实成立</x:v>
      </x:c>
      <x:c r="U87" s="68" t="str">
        <x:v>得令、有根、有援可增强</x:v>
      </x:c>
      <x:c r="V87" s="68" t="str">
        <x:v>失令、孤立或受制可削弱</x:v>
      </x:c>
      <x:c r="W87" s="90" t="str">
        <x:v>禁止用关系名称直接替代实际效应</x:v>
      </x:c>
      <x:c r="X87" s="68" t="str">
        <x:v>特殊格局与动态岁运另模块处理</x:v>
      </x:c>
      <x:c r="Y87" s="84" t="str">
        <x:v>按证据修正有效旺衰</x:v>
      </x:c>
      <x:c r="Z87" s="68" t="str">
        <x:v>不得直接推出喜忌用神</x:v>
      </x:c>
      <x:c r="AA87" s="84" t="str">
        <x:v>六害低权重</x:v>
      </x:c>
      <x:c r="AB87" s="84" t="str">
        <x:v>六害在力量层通常只作低权重修正，切断生源或桥梁时才升级。</x:v>
      </x:c>
      <x:c r="AC87" s="82" t="str">
        <x:v>中等</x:v>
      </x:c>
      <x:c r="AD87" s="82" t="str">
        <x:v>现代综合</x:v>
      </x:c>
      <x:c r="AE87" s="68" t="str">
        <x:v>有效力量必须承接原始力量与实际效应，逐对象、逐节点修正。</x:v>
      </x:c>
      <x:c r="AF87" s="68" t="str">
        <x:v>先判断实际效应、共享节点和双方强弱，再进入力量修正。</x:v>
      </x:c>
      <x:c r="AG87" s="90" t="str">
        <x:v>见关系名称即双方统一扣分。</x:v>
      </x:c>
      <x:c r="AH87" s="68" t="str">
        <x:v>https://zh.wikisource.org/zh-hans/滴天髓 ; https://zh.wikisource.org/zh-hans/淵海子平 ; https://zh.wikisource.org/wiki/三命通會</x:v>
      </x:c>
      <x:c r="AI87" s="82" t="str">
        <x:v>待验证</x:v>
      </x:c>
      <x:c r="AJ87" s="82" t="str">
        <x:v>初审</x:v>
      </x:c>
      <x:c r="AK87" s="87" t="n">
        <x:v>46255</x:v>
      </x:c>
    </x:row>
    <x:row r="88">
      <x:c r="A88" s="72" t="str">
        <x:f>IF(OR(C88="",D88=""),"",B88&amp;"-"&amp;UPPER(C88)&amp;"-"&amp;TEXT(D88,"0000")&amp;"-"&amp;E88)</x:f>
        <x:v>M08-REL-0082-V1.0</x:v>
      </x:c>
      <x:c r="B88" s="74" t="str">
        <x:v>M08</x:v>
      </x:c>
      <x:c r="C88" s="74" t="str">
        <x:v>REL</x:v>
      </x:c>
      <x:c r="D88" s="79" t="n">
        <x:v>82</x:v>
      </x:c>
      <x:c r="E88" s="74" t="str">
        <x:v>V1.0</x:v>
      </x:c>
      <x:c r="F88" s="68" t="str">
        <x:v>六破主要修正结构连接稳定性</x:v>
      </x:c>
      <x:c r="G88" s="82" t="str">
        <x:v>结构层</x:v>
      </x:c>
      <x:c r="H88" s="68" t="str">
        <x:v>M06六破</x:v>
      </x:c>
      <x:c r="I88" s="68" t="str">
        <x:v>参与五行</x:v>
      </x:c>
      <x:c r="J88" s="68" t="str">
        <x:v>任意</x:v>
      </x:c>
      <x:c r="K88" s="68" t="str">
        <x:v>六破</x:v>
      </x:c>
      <x:c r="L88" s="68" t="str">
        <x:v>默认不直接大幅改变总量</x:v>
      </x:c>
      <x:c r="M88" s="82" t="str">
        <x:v>阻断</x:v>
      </x:c>
      <x:c r="N88" s="82" t="str">
        <x:v>弱</x:v>
      </x:c>
      <x:c r="O88" s="82" t="str">
        <x:v>条件性</x:v>
      </x:c>
      <x:c r="P88" s="82" t="str">
        <x:v>条件性</x:v>
      </x:c>
      <x:c r="Q88" s="82" t="str">
        <x:v>条件性</x:v>
      </x:c>
      <x:c r="R88" s="82" t="str">
        <x:v>是</x:v>
      </x:c>
      <x:c r="S88" s="68" t="str">
        <x:v>前置模块已完成</x:v>
      </x:c>
      <x:c r="T88" s="68" t="str">
        <x:v>作用条件真实成立</x:v>
      </x:c>
      <x:c r="U88" s="68" t="str">
        <x:v>得令、有根、有援可增强</x:v>
      </x:c>
      <x:c r="V88" s="68" t="str">
        <x:v>失令、孤立或受制可削弱</x:v>
      </x:c>
      <x:c r="W88" s="90" t="str">
        <x:v>禁止用关系名称直接替代实际效应</x:v>
      </x:c>
      <x:c r="X88" s="68" t="str">
        <x:v>特殊格局与动态岁运另模块处理</x:v>
      </x:c>
      <x:c r="Y88" s="84" t="str">
        <x:v>按证据修正有效旺衰</x:v>
      </x:c>
      <x:c r="Z88" s="68" t="str">
        <x:v>不得直接推出喜忌用神</x:v>
      </x:c>
      <x:c r="AA88" s="84" t="str">
        <x:v>六破结构修正</x:v>
      </x:c>
      <x:c r="AB88" s="84" t="str">
        <x:v>六破主要用于修正结构连接与合局稳定性，对总量低权重处理。</x:v>
      </x:c>
      <x:c r="AC88" s="82" t="str">
        <x:v>中等</x:v>
      </x:c>
      <x:c r="AD88" s="82" t="str">
        <x:v>现代综合</x:v>
      </x:c>
      <x:c r="AE88" s="68" t="str">
        <x:v>有效力量必须承接原始力量与实际效应，逐对象、逐节点修正。</x:v>
      </x:c>
      <x:c r="AF88" s="68" t="str">
        <x:v>先判断实际效应、共享节点和双方强弱，再进入力量修正。</x:v>
      </x:c>
      <x:c r="AG88" s="90" t="str">
        <x:v>见关系名称即双方统一扣分。</x:v>
      </x:c>
      <x:c r="AH88" s="68" t="str">
        <x:v>https://zh.wikisource.org/zh-hans/滴天髓 ; https://zh.wikisource.org/zh-hans/淵海子平 ; https://zh.wikisource.org/wiki/三命通會</x:v>
      </x:c>
      <x:c r="AI88" s="82" t="str">
        <x:v>待验证</x:v>
      </x:c>
      <x:c r="AJ88" s="82" t="str">
        <x:v>初审</x:v>
      </x:c>
      <x:c r="AK88" s="87" t="n">
        <x:v>46255</x:v>
      </x:c>
    </x:row>
    <x:row r="89">
      <x:c r="A89" s="72" t="str">
        <x:f>IF(OR(C89="",D89=""),"",B89&amp;"-"&amp;UPPER(C89)&amp;"-"&amp;TEXT(D89,"0000")&amp;"-"&amp;E89)</x:f>
        <x:v>M08-REL-0083-V1.0</x:v>
      </x:c>
      <x:c r="B89" s="74" t="str">
        <x:v>M08</x:v>
      </x:c>
      <x:c r="C89" s="74" t="str">
        <x:v>REL</x:v>
      </x:c>
      <x:c r="D89" s="79" t="n">
        <x:v>83</x:v>
      </x:c>
      <x:c r="E89" s="74" t="str">
        <x:v>V1.0</x:v>
      </x:c>
      <x:c r="F89" s="68" t="str">
        <x:v>多重关系叠加先去重同源再判断协同或抵消</x:v>
      </x:c>
      <x:c r="G89" s="82" t="str">
        <x:v>结构层</x:v>
      </x:c>
      <x:c r="H89" s="68" t="str">
        <x:v>M06多重关系</x:v>
      </x:c>
      <x:c r="I89" s="68" t="str">
        <x:v>参与五行</x:v>
      </x:c>
      <x:c r="J89" s="68" t="str">
        <x:v>多关系</x:v>
      </x:c>
      <x:c r="K89" s="68" t="str">
        <x:v>合冲刑害破并见</x:v>
      </x:c>
      <x:c r="L89" s="68" t="str">
        <x:v>同源去重、独立效应净额叠加</x:v>
      </x:c>
      <x:c r="M89" s="82" t="str">
        <x:v>条件性</x:v>
      </x:c>
      <x:c r="N89" s="82" t="str">
        <x:v>强</x:v>
      </x:c>
      <x:c r="O89" s="82" t="str">
        <x:v>条件性</x:v>
      </x:c>
      <x:c r="P89" s="82" t="str">
        <x:v>条件性</x:v>
      </x:c>
      <x:c r="Q89" s="82" t="str">
        <x:v>条件性</x:v>
      </x:c>
      <x:c r="R89" s="82" t="str">
        <x:v>是</x:v>
      </x:c>
      <x:c r="S89" s="68" t="str">
        <x:v>前置模块已完成</x:v>
      </x:c>
      <x:c r="T89" s="68" t="str">
        <x:v>作用条件真实成立</x:v>
      </x:c>
      <x:c r="U89" s="68" t="str">
        <x:v>得令、有根、有援可增强</x:v>
      </x:c>
      <x:c r="V89" s="68" t="str">
        <x:v>失令、孤立或受制可削弱</x:v>
      </x:c>
      <x:c r="W89" s="90" t="str">
        <x:v>禁止用关系名称直接替代实际效应</x:v>
      </x:c>
      <x:c r="X89" s="68" t="str">
        <x:v>特殊格局与动态岁运另模块处理</x:v>
      </x:c>
      <x:c r="Y89" s="84" t="str">
        <x:v>按证据修正有效旺衰</x:v>
      </x:c>
      <x:c r="Z89" s="68" t="str">
        <x:v>不得直接推出喜忌用神</x:v>
      </x:c>
      <x:c r="AA89" s="84" t="str">
        <x:v>多重关系净效应</x:v>
      </x:c>
      <x:c r="AB89" s="84" t="str">
        <x:v>多重关系应先去重共享事实，再判断独立效应是协同还是抵消。</x:v>
      </x:c>
      <x:c r="AC89" s="82" t="str">
        <x:v>较高</x:v>
      </x:c>
      <x:c r="AD89" s="82" t="str">
        <x:v>现代综合</x:v>
      </x:c>
      <x:c r="AE89" s="68" t="str">
        <x:v>有效力量必须承接原始力量与实际效应，逐对象、逐节点修正。</x:v>
      </x:c>
      <x:c r="AF89" s="68" t="str">
        <x:v>先判断实际效应、共享节点和双方强弱，再进入力量修正。</x:v>
      </x:c>
      <x:c r="AG89" s="90" t="str">
        <x:v>见关系名称即双方统一扣分。</x:v>
      </x:c>
      <x:c r="AH89" s="68" t="str">
        <x:v>https://zh.wikisource.org/zh-hans/滴天髓 ; https://zh.wikisource.org/zh-hans/淵海子平 ; https://zh.wikisource.org/wiki/三命通會</x:v>
      </x:c>
      <x:c r="AI89" s="82" t="str">
        <x:v>采用</x:v>
      </x:c>
      <x:c r="AJ89" s="82" t="str">
        <x:v>初审</x:v>
      </x:c>
      <x:c r="AK89" s="87" t="n">
        <x:v>46255</x:v>
      </x:c>
    </x:row>
    <x:row r="90">
      <x:c r="A90" s="72" t="str">
        <x:f>IF(OR(C90="",D90=""),"",B90&amp;"-"&amp;UPPER(C90)&amp;"-"&amp;TEXT(D90,"0000")&amp;"-"&amp;E90)</x:f>
        <x:v>M08-REL-0084-V1.0</x:v>
      </x:c>
      <x:c r="B90" s="74" t="str">
        <x:v>M08</x:v>
      </x:c>
      <x:c r="C90" s="74" t="str">
        <x:v>REL</x:v>
      </x:c>
      <x:c r="D90" s="79" t="n">
        <x:v>84</x:v>
      </x:c>
      <x:c r="E90" s="74" t="str">
        <x:v>V1.0</x:v>
      </x:c>
      <x:c r="F90" s="68" t="str">
        <x:v>合冲并见时需先裁决主导关系</x:v>
      </x:c>
      <x:c r="G90" s="82" t="str">
        <x:v>结构层</x:v>
      </x:c>
      <x:c r="H90" s="68" t="str">
        <x:v>M06合冲并见</x:v>
      </x:c>
      <x:c r="I90" s="68" t="str">
        <x:v>参与五行</x:v>
      </x:c>
      <x:c r="J90" s="68" t="str">
        <x:v>关系叠加</x:v>
      </x:c>
      <x:c r="K90" s="68" t="str">
        <x:v>同一节点同时有合与冲</x:v>
      </x:c>
      <x:c r="L90" s="68" t="str">
        <x:v>按强弱重算双方有效性</x:v>
      </x:c>
      <x:c r="M90" s="82" t="str">
        <x:v>条件性</x:v>
      </x:c>
      <x:c r="N90" s="82" t="str">
        <x:v>强</x:v>
      </x:c>
      <x:c r="O90" s="82" t="str">
        <x:v>条件性</x:v>
      </x:c>
      <x:c r="P90" s="82" t="str">
        <x:v>条件性</x:v>
      </x:c>
      <x:c r="Q90" s="82" t="str">
        <x:v>条件性</x:v>
      </x:c>
      <x:c r="R90" s="82" t="str">
        <x:v>是</x:v>
      </x:c>
      <x:c r="S90" s="68" t="str">
        <x:v>前置模块已完成</x:v>
      </x:c>
      <x:c r="T90" s="68" t="str">
        <x:v>作用条件真实成立</x:v>
      </x:c>
      <x:c r="U90" s="68" t="str">
        <x:v>得令、有根、有援可增强</x:v>
      </x:c>
      <x:c r="V90" s="68" t="str">
        <x:v>失令、孤立或受制可削弱</x:v>
      </x:c>
      <x:c r="W90" s="90" t="str">
        <x:v>禁止用关系名称直接替代实际效应</x:v>
      </x:c>
      <x:c r="X90" s="68" t="str">
        <x:v>特殊格局与动态岁运另模块处理</x:v>
      </x:c>
      <x:c r="Y90" s="84" t="str">
        <x:v>按证据修正有效旺衰</x:v>
      </x:c>
      <x:c r="Z90" s="68" t="str">
        <x:v>不得直接推出喜忌用神</x:v>
      </x:c>
      <x:c r="AA90" s="84" t="str">
        <x:v>合冲裁决</x:v>
      </x:c>
      <x:c r="AB90" s="84" t="str">
        <x:v>合冲并见可能互相削弱或解开，不能简单累加减力。</x:v>
      </x:c>
      <x:c r="AC90" s="82" t="str">
        <x:v>较高</x:v>
      </x:c>
      <x:c r="AD90" s="82" t="str">
        <x:v>现代综合</x:v>
      </x:c>
      <x:c r="AE90" s="68" t="str">
        <x:v>有效力量必须承接原始力量与实际效应，逐对象、逐节点修正。</x:v>
      </x:c>
      <x:c r="AF90" s="68" t="str">
        <x:v>先判断实际效应、共享节点和双方强弱，再进入力量修正。</x:v>
      </x:c>
      <x:c r="AG90" s="90" t="str">
        <x:v>见关系名称即双方统一扣分。</x:v>
      </x:c>
      <x:c r="AH90" s="68" t="str">
        <x:v>https://zh.wikisource.org/zh-hans/滴天髓 ; https://zh.wikisource.org/zh-hans/淵海子平 ; https://zh.wikisource.org/wiki/三命通會</x:v>
      </x:c>
      <x:c r="AI90" s="82" t="str">
        <x:v>采用</x:v>
      </x:c>
      <x:c r="AJ90" s="82" t="str">
        <x:v>初审</x:v>
      </x:c>
      <x:c r="AK90" s="87" t="n">
        <x:v>46255</x:v>
      </x:c>
    </x:row>
    <x:row r="91">
      <x:c r="A91" s="72" t="str">
        <x:f>IF(OR(C91="",D91=""),"",B91&amp;"-"&amp;UPPER(C91)&amp;"-"&amp;TEXT(D91,"0000")&amp;"-"&amp;E91)</x:f>
        <x:v>M08-REL-0085-V1.0</x:v>
      </x:c>
      <x:c r="B91" s="74" t="str">
        <x:v>M08</x:v>
      </x:c>
      <x:c r="C91" s="74" t="str">
        <x:v>REL</x:v>
      </x:c>
      <x:c r="D91" s="79" t="n">
        <x:v>85</x:v>
      </x:c>
      <x:c r="E91" s="74" t="str">
        <x:v>V1.0</x:v>
      </x:c>
      <x:c r="F91" s="68" t="str">
        <x:v>刑冲并见且独立同向时可升级受损等级</x:v>
      </x:c>
      <x:c r="G91" s="82" t="str">
        <x:v>结构层</x:v>
      </x:c>
      <x:c r="H91" s="68" t="str">
        <x:v>M06刑冲并见</x:v>
      </x:c>
      <x:c r="I91" s="68" t="str">
        <x:v>参与五行</x:v>
      </x:c>
      <x:c r="J91" s="68" t="str">
        <x:v>根或节点受压</x:v>
      </x:c>
      <x:c r="K91" s="68" t="str">
        <x:v>独立刑伤与强冲共同作用</x:v>
      </x:c>
      <x:c r="L91" s="68" t="str">
        <x:v>排除同源后提高减力等级</x:v>
      </x:c>
      <x:c r="M91" s="82" t="str">
        <x:v>减弱</x:v>
      </x:c>
      <x:c r="N91" s="82" t="str">
        <x:v>强</x:v>
      </x:c>
      <x:c r="O91" s="82" t="str">
        <x:v>条件性</x:v>
      </x:c>
      <x:c r="P91" s="82" t="str">
        <x:v>条件性</x:v>
      </x:c>
      <x:c r="Q91" s="82" t="str">
        <x:v>条件性</x:v>
      </x:c>
      <x:c r="R91" s="82" t="str">
        <x:v>是</x:v>
      </x:c>
      <x:c r="S91" s="68" t="str">
        <x:v>前置模块已完成</x:v>
      </x:c>
      <x:c r="T91" s="68" t="str">
        <x:v>作用条件真实成立</x:v>
      </x:c>
      <x:c r="U91" s="68" t="str">
        <x:v>得令、有根、有援可增强</x:v>
      </x:c>
      <x:c r="V91" s="68" t="str">
        <x:v>失令、孤立或受制可削弱</x:v>
      </x:c>
      <x:c r="W91" s="90" t="str">
        <x:v>禁止用关系名称直接替代实际效应</x:v>
      </x:c>
      <x:c r="X91" s="68" t="str">
        <x:v>特殊格局与动态岁运另模块处理</x:v>
      </x:c>
      <x:c r="Y91" s="84" t="str">
        <x:v>按证据修正有效旺衰</x:v>
      </x:c>
      <x:c r="Z91" s="68" t="str">
        <x:v>不得直接推出喜忌用神</x:v>
      </x:c>
      <x:c r="AA91" s="84" t="str">
        <x:v>刑冲协同</x:v>
      </x:c>
      <x:c r="AB91" s="84" t="str">
        <x:v>独立刑伤与强冲方向一致时可升级损伤，但必须排除同源重复计权。</x:v>
      </x:c>
      <x:c r="AC91" s="82" t="str">
        <x:v>较高</x:v>
      </x:c>
      <x:c r="AD91" s="82" t="str">
        <x:v>现代综合</x:v>
      </x:c>
      <x:c r="AE91" s="68" t="str">
        <x:v>有效力量必须承接原始力量与实际效应，逐对象、逐节点修正。</x:v>
      </x:c>
      <x:c r="AF91" s="68" t="str">
        <x:v>先判断实际效应、共享节点和双方强弱，再进入力量修正。</x:v>
      </x:c>
      <x:c r="AG91" s="90" t="str">
        <x:v>见关系名称即双方统一扣分。</x:v>
      </x:c>
      <x:c r="AH91" s="68" t="str">
        <x:v>https://zh.wikisource.org/zh-hans/滴天髓 ; https://zh.wikisource.org/zh-hans/淵海子平 ; https://zh.wikisource.org/wiki/三命通會</x:v>
      </x:c>
      <x:c r="AI91" s="82" t="str">
        <x:v>采用</x:v>
      </x:c>
      <x:c r="AJ91" s="82" t="str">
        <x:v>初审</x:v>
      </x:c>
      <x:c r="AK91" s="87" t="n">
        <x:v>46255</x:v>
      </x:c>
    </x:row>
    <x:row r="92">
      <x:c r="A92" s="72" t="str">
        <x:f>IF(OR(C92="",D92=""),"",B92&amp;"-"&amp;UPPER(C92)&amp;"-"&amp;TEXT(D92,"0000")&amp;"-"&amp;E92)</x:f>
        <x:v>M08-REL-0086-V1.0</x:v>
      </x:c>
      <x:c r="B92" s="74" t="str">
        <x:v>M08</x:v>
      </x:c>
      <x:c r="C92" s="74" t="str">
        <x:v>REL</x:v>
      </x:c>
      <x:c r="D92" s="79" t="n">
        <x:v>86</x:v>
      </x:c>
      <x:c r="E92" s="74" t="str">
        <x:v>V1.0</x:v>
      </x:c>
      <x:c r="F92" s="68" t="str">
        <x:v>M08关系修正必须基于M06实际效应而非M05关系名</x:v>
      </x:c>
      <x:c r="G92" s="82" t="str">
        <x:v>结构层</x:v>
      </x:c>
      <x:c r="H92" s="68" t="str">
        <x:v>M08边界</x:v>
      </x:c>
      <x:c r="I92" s="68" t="str">
        <x:v>参与五行</x:v>
      </x:c>
      <x:c r="J92" s="68" t="str">
        <x:v>任意</x:v>
      </x:c>
      <x:c r="K92" s="68" t="str">
        <x:v>存在刑冲合会害破</x:v>
      </x:c>
      <x:c r="L92" s="68" t="str">
        <x:v>仅承接M06已判定效应</x:v>
      </x:c>
      <x:c r="M92" s="82" t="str">
        <x:v>不变</x:v>
      </x:c>
      <x:c r="N92" s="82" t="str">
        <x:v>弱</x:v>
      </x:c>
      <x:c r="O92" s="82" t="str">
        <x:v>条件性</x:v>
      </x:c>
      <x:c r="P92" s="82" t="str">
        <x:v>条件性</x:v>
      </x:c>
      <x:c r="Q92" s="82" t="str">
        <x:v>条件性</x:v>
      </x:c>
      <x:c r="R92" s="82" t="str">
        <x:v>是</x:v>
      </x:c>
      <x:c r="S92" s="68" t="str">
        <x:v>前置模块已完成</x:v>
      </x:c>
      <x:c r="T92" s="68" t="str">
        <x:v>作用条件真实成立</x:v>
      </x:c>
      <x:c r="U92" s="68" t="str">
        <x:v>得令、有根、有援可增强</x:v>
      </x:c>
      <x:c r="V92" s="68" t="str">
        <x:v>失令、孤立或受制可削弱</x:v>
      </x:c>
      <x:c r="W92" s="90" t="str">
        <x:v>禁止用关系名称直接替代实际效应</x:v>
      </x:c>
      <x:c r="X92" s="68" t="str">
        <x:v>特殊格局与动态岁运另模块处理</x:v>
      </x:c>
      <x:c r="Y92" s="84" t="str">
        <x:v>按证据修正有效旺衰</x:v>
      </x:c>
      <x:c r="Z92" s="68" t="str">
        <x:v>不得直接推出喜忌用神</x:v>
      </x:c>
      <x:c r="AA92" s="84" t="str">
        <x:v>效应接口</x:v>
      </x:c>
      <x:c r="AB92" s="84" t="str">
        <x:v>M08只接受M06的实际效应输出，不允许直接把M05关系名换算成力量增减。</x:v>
      </x:c>
      <x:c r="AC92" s="82" t="str">
        <x:v>较高</x:v>
      </x:c>
      <x:c r="AD92" s="82" t="str">
        <x:v>现代综合</x:v>
      </x:c>
      <x:c r="AE92" s="68" t="str">
        <x:v>有效力量必须承接原始力量与实际效应，逐对象、逐节点修正。</x:v>
      </x:c>
      <x:c r="AF92" s="68" t="str">
        <x:v>先判断实际效应、共享节点和双方强弱，再进入力量修正。</x:v>
      </x:c>
      <x:c r="AG92" s="90" t="str">
        <x:v>见关系名称即双方统一扣分。</x:v>
      </x:c>
      <x:c r="AH92" s="68" t="str">
        <x:v>https://zh.wikisource.org/zh-hans/滴天髓 ; https://zh.wikisource.org/zh-hans/淵海子平 ; https://zh.wikisource.org/wiki/三命通會</x:v>
      </x:c>
      <x:c r="AI92" s="82" t="str">
        <x:v>采用</x:v>
      </x:c>
      <x:c r="AJ92" s="82" t="str">
        <x:v>初审</x:v>
      </x:c>
      <x:c r="AK92" s="87" t="n">
        <x:v>46255</x:v>
      </x:c>
    </x:row>
    <x:row r="93">
      <x:c r="A93" s="72" t="str">
        <x:f>IF(OR(C93="",D93=""),"",B93&amp;"-"&amp;UPPER(C93)&amp;"-"&amp;TEXT(D93,"0000")&amp;"-"&amp;E93)</x:f>
        <x:v>M08-CLIM-0087-V1.0</x:v>
      </x:c>
      <x:c r="B93" s="74" t="str">
        <x:v>M08</x:v>
      </x:c>
      <x:c r="C93" s="74" t="str">
        <x:v>CLIM</x:v>
      </x:c>
      <x:c r="D93" s="79" t="n">
        <x:v>87</x:v>
      </x:c>
      <x:c r="E93" s="74" t="str">
        <x:v>V1.0</x:v>
      </x:c>
      <x:c r="F93" s="68" t="str">
        <x:v>极寒环境可降低火的有效发挥度</x:v>
      </x:c>
      <x:c r="G93" s="82" t="str">
        <x:v>结构层</x:v>
      </x:c>
      <x:c r="H93" s="68" t="str">
        <x:v>M13调候接口</x:v>
      </x:c>
      <x:c r="I93" s="68" t="str">
        <x:v>目标五行</x:v>
      </x:c>
      <x:c r="J93" s="68" t="str">
        <x:v>有火</x:v>
      </x:c>
      <x:c r="K93" s="68" t="str">
        <x:v>寒水成势且火无根无木生</x:v>
      </x:c>
      <x:c r="L93" s="68" t="str">
        <x:v>下调火的持续燃烧与显用能力</x:v>
      </x:c>
      <x:c r="M93" s="82" t="str">
        <x:v>减弱</x:v>
      </x:c>
      <x:c r="N93" s="82" t="str">
        <x:v>中</x:v>
      </x:c>
      <x:c r="O93" s="82" t="str">
        <x:v>条件性</x:v>
      </x:c>
      <x:c r="P93" s="82" t="str">
        <x:v>条件性</x:v>
      </x:c>
      <x:c r="Q93" s="82" t="str">
        <x:v>条件性</x:v>
      </x:c>
      <x:c r="R93" s="82" t="str">
        <x:v>是</x:v>
      </x:c>
      <x:c r="S93" s="68" t="str">
        <x:v>前置模块已完成</x:v>
      </x:c>
      <x:c r="T93" s="68" t="str">
        <x:v>作用条件真实成立</x:v>
      </x:c>
      <x:c r="U93" s="68" t="str">
        <x:v>得令、有根、有援可增强</x:v>
      </x:c>
      <x:c r="V93" s="68" t="str">
        <x:v>失令、孤立或受制可削弱</x:v>
      </x:c>
      <x:c r="W93" s="90" t="str">
        <x:v>禁止用关系名称直接替代实际效应</x:v>
      </x:c>
      <x:c r="X93" s="68" t="str">
        <x:v>特殊格局与动态岁运另模块处理</x:v>
      </x:c>
      <x:c r="Y93" s="84" t="str">
        <x:v>按证据修正有效旺衰</x:v>
      </x:c>
      <x:c r="Z93" s="68" t="str">
        <x:v>不得直接推出喜忌用神</x:v>
      </x:c>
      <x:c r="AA93" s="84" t="str">
        <x:v>寒抑火</x:v>
      </x:c>
      <x:c r="AB93" s="84" t="str">
        <x:v>极寒环境中孤弱之火的实际发挥度可能低于原始数量所显示。</x:v>
      </x:c>
      <x:c r="AC93" s="82" t="str">
        <x:v>中等</x:v>
      </x:c>
      <x:c r="AD93" s="82" t="str">
        <x:v>调候</x:v>
      </x:c>
      <x:c r="AE93" s="68" t="str">
        <x:v>有效力量必须承接原始力量与实际效应，逐对象、逐节点修正。</x:v>
      </x:c>
      <x:c r="AF93" s="68" t="str">
        <x:v>只有寒暖燥湿证据明确且真正影响生化时才修正。</x:v>
      </x:c>
      <x:c r="AG93" s="90" t="str">
        <x:v>按季节固定给某五行加减分或直接定用神。</x:v>
      </x:c>
      <x:c r="AH93" s="68" t="str">
        <x:v>https://zh.wikisource.org/zh-hans/滴天髓 ; https://zh.wikisource.org/zh-hans/淵海子平 ; https://zh.wikisource.org/wiki/三命通會</x:v>
      </x:c>
      <x:c r="AI93" s="82" t="str">
        <x:v>采用</x:v>
      </x:c>
      <x:c r="AJ93" s="82" t="str">
        <x:v>初审</x:v>
      </x:c>
      <x:c r="AK93" s="87" t="n">
        <x:v>46255</x:v>
      </x:c>
    </x:row>
    <x:row r="94">
      <x:c r="A94" s="72" t="str">
        <x:f>IF(OR(C94="",D94=""),"",B94&amp;"-"&amp;UPPER(C94)&amp;"-"&amp;TEXT(D94,"0000")&amp;"-"&amp;E94)</x:f>
        <x:v>M08-CLIM-0088-V1.0</x:v>
      </x:c>
      <x:c r="B94" s="74" t="str">
        <x:v>M08</x:v>
      </x:c>
      <x:c r="C94" s="74" t="str">
        <x:v>CLIM</x:v>
      </x:c>
      <x:c r="D94" s="79" t="n">
        <x:v>88</x:v>
      </x:c>
      <x:c r="E94" s="74" t="str">
        <x:v>V1.0</x:v>
      </x:c>
      <x:c r="F94" s="68" t="str">
        <x:v>寒湿过重可降低木的生发与透达</x:v>
      </x:c>
      <x:c r="G94" s="82" t="str">
        <x:v>结构层</x:v>
      </x:c>
      <x:c r="H94" s="68" t="str">
        <x:v>M13调候接口</x:v>
      </x:c>
      <x:c r="I94" s="68" t="str">
        <x:v>目标五行</x:v>
      </x:c>
      <x:c r="J94" s="68" t="str">
        <x:v>有木</x:v>
      </x:c>
      <x:c r="K94" s="68" t="str">
        <x:v>水寒湿重且无火温养</x:v>
      </x:c>
      <x:c r="L94" s="68" t="str">
        <x:v>下调木的生发与疏泄效率</x:v>
      </x:c>
      <x:c r="M94" s="82" t="str">
        <x:v>减弱</x:v>
      </x:c>
      <x:c r="N94" s="82" t="str">
        <x:v>中</x:v>
      </x:c>
      <x:c r="O94" s="82" t="str">
        <x:v>条件性</x:v>
      </x:c>
      <x:c r="P94" s="82" t="str">
        <x:v>条件性</x:v>
      </x:c>
      <x:c r="Q94" s="82" t="str">
        <x:v>条件性</x:v>
      </x:c>
      <x:c r="R94" s="82" t="str">
        <x:v>是</x:v>
      </x:c>
      <x:c r="S94" s="68" t="str">
        <x:v>前置模块已完成</x:v>
      </x:c>
      <x:c r="T94" s="68" t="str">
        <x:v>作用条件真实成立</x:v>
      </x:c>
      <x:c r="U94" s="68" t="str">
        <x:v>得令、有根、有援可增强</x:v>
      </x:c>
      <x:c r="V94" s="68" t="str">
        <x:v>失令、孤立或受制可削弱</x:v>
      </x:c>
      <x:c r="W94" s="90" t="str">
        <x:v>禁止用关系名称直接替代实际效应</x:v>
      </x:c>
      <x:c r="X94" s="68" t="str">
        <x:v>特殊格局与动态岁运另模块处理</x:v>
      </x:c>
      <x:c r="Y94" s="84" t="str">
        <x:v>按证据修正有效旺衰</x:v>
      </x:c>
      <x:c r="Z94" s="68" t="str">
        <x:v>不得直接推出喜忌用神</x:v>
      </x:c>
      <x:c r="AA94" s="84" t="str">
        <x:v>寒湿木滞</x:v>
      </x:c>
      <x:c r="AB94" s="84" t="str">
        <x:v>寒湿过重时木的实际生发与疏泄能力下降。</x:v>
      </x:c>
      <x:c r="AC94" s="82" t="str">
        <x:v>中等</x:v>
      </x:c>
      <x:c r="AD94" s="82" t="str">
        <x:v>调候</x:v>
      </x:c>
      <x:c r="AE94" s="68" t="str">
        <x:v>有效力量必须承接原始力量与实际效应，逐对象、逐节点修正。</x:v>
      </x:c>
      <x:c r="AF94" s="68" t="str">
        <x:v>只有寒暖燥湿证据明确且真正影响生化时才修正。</x:v>
      </x:c>
      <x:c r="AG94" s="90" t="str">
        <x:v>按季节固定给某五行加减分或直接定用神。</x:v>
      </x:c>
      <x:c r="AH94" s="68" t="str">
        <x:v>https://zh.wikisource.org/zh-hans/滴天髓 ; https://zh.wikisource.org/zh-hans/淵海子平 ; https://zh.wikisource.org/wiki/三命通會</x:v>
      </x:c>
      <x:c r="AI94" s="82" t="str">
        <x:v>采用</x:v>
      </x:c>
      <x:c r="AJ94" s="82" t="str">
        <x:v>初审</x:v>
      </x:c>
      <x:c r="AK94" s="87" t="n">
        <x:v>46255</x:v>
      </x:c>
    </x:row>
    <x:row r="95">
      <x:c r="A95" s="72" t="str">
        <x:f>IF(OR(C95="",D95=""),"",B95&amp;"-"&amp;UPPER(C95)&amp;"-"&amp;TEXT(D95,"0000")&amp;"-"&amp;E95)</x:f>
        <x:v>M08-CLIM-0089-V1.0</x:v>
      </x:c>
      <x:c r="B95" s="74" t="str">
        <x:v>M08</x:v>
      </x:c>
      <x:c r="C95" s="74" t="str">
        <x:v>CLIM</x:v>
      </x:c>
      <x:c r="D95" s="79" t="n">
        <x:v>89</x:v>
      </x:c>
      <x:c r="E95" s="74" t="str">
        <x:v>V1.0</x:v>
      </x:c>
      <x:c r="F95" s="68" t="str">
        <x:v>燥热过重可降低水的存续与滋润能力</x:v>
      </x:c>
      <x:c r="G95" s="82" t="str">
        <x:v>结构层</x:v>
      </x:c>
      <x:c r="H95" s="68" t="str">
        <x:v>M13调候接口</x:v>
      </x:c>
      <x:c r="I95" s="68" t="str">
        <x:v>目标五行</x:v>
      </x:c>
      <x:c r="J95" s="68" t="str">
        <x:v>有水</x:v>
      </x:c>
      <x:c r="K95" s="68" t="str">
        <x:v>火土燥热成势且水孤弱</x:v>
      </x:c>
      <x:c r="L95" s="68" t="str">
        <x:v>下调水的持续性与滋润能力</x:v>
      </x:c>
      <x:c r="M95" s="82" t="str">
        <x:v>减弱</x:v>
      </x:c>
      <x:c r="N95" s="82" t="str">
        <x:v>中</x:v>
      </x:c>
      <x:c r="O95" s="82" t="str">
        <x:v>条件性</x:v>
      </x:c>
      <x:c r="P95" s="82" t="str">
        <x:v>条件性</x:v>
      </x:c>
      <x:c r="Q95" s="82" t="str">
        <x:v>条件性</x:v>
      </x:c>
      <x:c r="R95" s="82" t="str">
        <x:v>是</x:v>
      </x:c>
      <x:c r="S95" s="68" t="str">
        <x:v>前置模块已完成</x:v>
      </x:c>
      <x:c r="T95" s="68" t="str">
        <x:v>作用条件真实成立</x:v>
      </x:c>
      <x:c r="U95" s="68" t="str">
        <x:v>得令、有根、有援可增强</x:v>
      </x:c>
      <x:c r="V95" s="68" t="str">
        <x:v>失令、孤立或受制可削弱</x:v>
      </x:c>
      <x:c r="W95" s="90" t="str">
        <x:v>禁止用关系名称直接替代实际效应</x:v>
      </x:c>
      <x:c r="X95" s="68" t="str">
        <x:v>特殊格局与动态岁运另模块处理</x:v>
      </x:c>
      <x:c r="Y95" s="84" t="str">
        <x:v>按证据修正有效旺衰</x:v>
      </x:c>
      <x:c r="Z95" s="68" t="str">
        <x:v>不得直接推出喜忌用神</x:v>
      </x:c>
      <x:c r="AA95" s="84" t="str">
        <x:v>燥耗水</x:v>
      </x:c>
      <x:c r="AB95" s="84" t="str">
        <x:v>燥热环境中孤弱水的有效滋润能力应下调。</x:v>
      </x:c>
      <x:c r="AC95" s="82" t="str">
        <x:v>中等</x:v>
      </x:c>
      <x:c r="AD95" s="82" t="str">
        <x:v>调候</x:v>
      </x:c>
      <x:c r="AE95" s="68" t="str">
        <x:v>有效力量必须承接原始力量与实际效应，逐对象、逐节点修正。</x:v>
      </x:c>
      <x:c r="AF95" s="68" t="str">
        <x:v>只有寒暖燥湿证据明确且真正影响生化时才修正。</x:v>
      </x:c>
      <x:c r="AG95" s="90" t="str">
        <x:v>按季节固定给某五行加减分或直接定用神。</x:v>
      </x:c>
      <x:c r="AH95" s="68" t="str">
        <x:v>https://zh.wikisource.org/zh-hans/滴天髓 ; https://zh.wikisource.org/zh-hans/淵海子平 ; https://zh.wikisource.org/wiki/三命通會</x:v>
      </x:c>
      <x:c r="AI95" s="82" t="str">
        <x:v>采用</x:v>
      </x:c>
      <x:c r="AJ95" s="82" t="str">
        <x:v>初审</x:v>
      </x:c>
      <x:c r="AK95" s="87" t="n">
        <x:v>46255</x:v>
      </x:c>
    </x:row>
    <x:row r="96">
      <x:c r="A96" s="72" t="str">
        <x:f>IF(OR(C96="",D96=""),"",B96&amp;"-"&amp;UPPER(C96)&amp;"-"&amp;TEXT(D96,"0000")&amp;"-"&amp;E96)</x:f>
        <x:v>M08-CLIM-0090-V1.0</x:v>
      </x:c>
      <x:c r="B96" s="74" t="str">
        <x:v>M08</x:v>
      </x:c>
      <x:c r="C96" s="74" t="str">
        <x:v>CLIM</x:v>
      </x:c>
      <x:c r="D96" s="79" t="n">
        <x:v>90</x:v>
      </x:c>
      <x:c r="E96" s="74" t="str">
        <x:v>V1.0</x:v>
      </x:c>
      <x:c r="F96" s="68" t="str">
        <x:v>燥土过重可限制木根生发效率</x:v>
      </x:c>
      <x:c r="G96" s="82" t="str">
        <x:v>结构层</x:v>
      </x:c>
      <x:c r="H96" s="68" t="str">
        <x:v>M13调候接口</x:v>
      </x:c>
      <x:c r="I96" s="68" t="str">
        <x:v>目标五行</x:v>
      </x:c>
      <x:c r="J96" s="68" t="str">
        <x:v>有木根</x:v>
      </x:c>
      <x:c r="K96" s="68" t="str">
        <x:v>燥土成势且无水润</x:v>
      </x:c>
      <x:c r="L96" s="68" t="str">
        <x:v>保留木根但降低功能</x:v>
      </x:c>
      <x:c r="M96" s="82" t="str">
        <x:v>减弱</x:v>
      </x:c>
      <x:c r="N96" s="82" t="str">
        <x:v>弱</x:v>
      </x:c>
      <x:c r="O96" s="82" t="str">
        <x:v>条件性</x:v>
      </x:c>
      <x:c r="P96" s="82" t="str">
        <x:v>条件性</x:v>
      </x:c>
      <x:c r="Q96" s="82" t="str">
        <x:v>条件性</x:v>
      </x:c>
      <x:c r="R96" s="82" t="str">
        <x:v>是</x:v>
      </x:c>
      <x:c r="S96" s="68" t="str">
        <x:v>前置模块已完成</x:v>
      </x:c>
      <x:c r="T96" s="68" t="str">
        <x:v>作用条件真实成立</x:v>
      </x:c>
      <x:c r="U96" s="68" t="str">
        <x:v>得令、有根、有援可增强</x:v>
      </x:c>
      <x:c r="V96" s="68" t="str">
        <x:v>失令、孤立或受制可削弱</x:v>
      </x:c>
      <x:c r="W96" s="90" t="str">
        <x:v>禁止用关系名称直接替代实际效应</x:v>
      </x:c>
      <x:c r="X96" s="68" t="str">
        <x:v>特殊格局与动态岁运另模块处理</x:v>
      </x:c>
      <x:c r="Y96" s="84" t="str">
        <x:v>按证据修正有效旺衰</x:v>
      </x:c>
      <x:c r="Z96" s="68" t="str">
        <x:v>不得直接推出喜忌用神</x:v>
      </x:c>
      <x:c r="AA96" s="84" t="str">
        <x:v>燥土木困</x:v>
      </x:c>
      <x:c r="AB96" s="84" t="str">
        <x:v>燥土过重且无水润时，木根仍存在，但生发与疏土效率下降。</x:v>
      </x:c>
      <x:c r="AC96" s="82" t="str">
        <x:v>中等</x:v>
      </x:c>
      <x:c r="AD96" s="82" t="str">
        <x:v>调候</x:v>
      </x:c>
      <x:c r="AE96" s="68" t="str">
        <x:v>有效力量必须承接原始力量与实际效应，逐对象、逐节点修正。</x:v>
      </x:c>
      <x:c r="AF96" s="68" t="str">
        <x:v>只有寒暖燥湿证据明确且真正影响生化时才修正。</x:v>
      </x:c>
      <x:c r="AG96" s="90" t="str">
        <x:v>按季节固定给某五行加减分或直接定用神。</x:v>
      </x:c>
      <x:c r="AH96" s="68" t="str">
        <x:v>https://zh.wikisource.org/zh-hans/滴天髓 ; https://zh.wikisource.org/zh-hans/淵海子平 ; https://zh.wikisource.org/wiki/三命通會</x:v>
      </x:c>
      <x:c r="AI96" s="82" t="str">
        <x:v>待验证</x:v>
      </x:c>
      <x:c r="AJ96" s="82" t="str">
        <x:v>初审</x:v>
      </x:c>
      <x:c r="AK96" s="87" t="n">
        <x:v>46255</x:v>
      </x:c>
    </x:row>
    <x:row r="97">
      <x:c r="A97" s="72" t="str">
        <x:f>IF(OR(C97="",D97=""),"",B97&amp;"-"&amp;UPPER(C97)&amp;"-"&amp;TEXT(D97,"0000")&amp;"-"&amp;E97)</x:f>
        <x:v>M08-CLIM-0091-V1.0</x:v>
      </x:c>
      <x:c r="B97" s="74" t="str">
        <x:v>M08</x:v>
      </x:c>
      <x:c r="C97" s="74" t="str">
        <x:v>CLIM</x:v>
      </x:c>
      <x:c r="D97" s="79" t="n">
        <x:v>91</x:v>
      </x:c>
      <x:c r="E97" s="74" t="str">
        <x:v>V1.0</x:v>
      </x:c>
      <x:c r="F97" s="68" t="str">
        <x:v>湿土过重可降低火的透达并形成晦火候选</x:v>
      </x:c>
      <x:c r="G97" s="82" t="str">
        <x:v>结构层</x:v>
      </x:c>
      <x:c r="H97" s="68" t="str">
        <x:v>M13调候接口</x:v>
      </x:c>
      <x:c r="I97" s="68" t="str">
        <x:v>目标五行</x:v>
      </x:c>
      <x:c r="J97" s="68" t="str">
        <x:v>有火</x:v>
      </x:c>
      <x:c r="K97" s="68" t="str">
        <x:v>湿土水重且火弱</x:v>
      </x:c>
      <x:c r="L97" s="68" t="str">
        <x:v>下调火的透达与持续作用</x:v>
      </x:c>
      <x:c r="M97" s="82" t="str">
        <x:v>减弱</x:v>
      </x:c>
      <x:c r="N97" s="82" t="str">
        <x:v>中</x:v>
      </x:c>
      <x:c r="O97" s="82" t="str">
        <x:v>条件性</x:v>
      </x:c>
      <x:c r="P97" s="82" t="str">
        <x:v>条件性</x:v>
      </x:c>
      <x:c r="Q97" s="82" t="str">
        <x:v>条件性</x:v>
      </x:c>
      <x:c r="R97" s="82" t="str">
        <x:v>是</x:v>
      </x:c>
      <x:c r="S97" s="68" t="str">
        <x:v>前置模块已完成</x:v>
      </x:c>
      <x:c r="T97" s="68" t="str">
        <x:v>作用条件真实成立</x:v>
      </x:c>
      <x:c r="U97" s="68" t="str">
        <x:v>得令、有根、有援可增强</x:v>
      </x:c>
      <x:c r="V97" s="68" t="str">
        <x:v>失令、孤立或受制可削弱</x:v>
      </x:c>
      <x:c r="W97" s="90" t="str">
        <x:v>禁止用关系名称直接替代实际效应</x:v>
      </x:c>
      <x:c r="X97" s="68" t="str">
        <x:v>特殊格局与动态岁运另模块处理</x:v>
      </x:c>
      <x:c r="Y97" s="84" t="str">
        <x:v>按证据修正有效旺衰</x:v>
      </x:c>
      <x:c r="Z97" s="68" t="str">
        <x:v>不得直接推出喜忌用神</x:v>
      </x:c>
      <x:c r="AA97" s="84" t="str">
        <x:v>湿土晦火</x:v>
      </x:c>
      <x:c r="AB97" s="84" t="str">
        <x:v>湿土重且火弱时，火的透达和持续性下降。</x:v>
      </x:c>
      <x:c r="AC97" s="82" t="str">
        <x:v>中等</x:v>
      </x:c>
      <x:c r="AD97" s="82" t="str">
        <x:v>调候</x:v>
      </x:c>
      <x:c r="AE97" s="68" t="str">
        <x:v>有效力量必须承接原始力量与实际效应，逐对象、逐节点修正。</x:v>
      </x:c>
      <x:c r="AF97" s="68" t="str">
        <x:v>只有寒暖燥湿证据明确且真正影响生化时才修正。</x:v>
      </x:c>
      <x:c r="AG97" s="90" t="str">
        <x:v>按季节固定给某五行加减分或直接定用神。</x:v>
      </x:c>
      <x:c r="AH97" s="68" t="str">
        <x:v>https://zh.wikisource.org/zh-hans/滴天髓 ; https://zh.wikisource.org/zh-hans/淵海子平 ; https://zh.wikisource.org/wiki/三命通會</x:v>
      </x:c>
      <x:c r="AI97" s="82" t="str">
        <x:v>采用</x:v>
      </x:c>
      <x:c r="AJ97" s="82" t="str">
        <x:v>初审</x:v>
      </x:c>
      <x:c r="AK97" s="87" t="n">
        <x:v>46255</x:v>
      </x:c>
    </x:row>
    <x:row r="98">
      <x:c r="A98" s="72" t="str">
        <x:f>IF(OR(C98="",D98=""),"",B98&amp;"-"&amp;UPPER(C98)&amp;"-"&amp;TEXT(D98,"0000")&amp;"-"&amp;E98)</x:f>
        <x:v>M08-CLIM-0092-V1.0</x:v>
      </x:c>
      <x:c r="B98" s="74" t="str">
        <x:v>M08</x:v>
      </x:c>
      <x:c r="C98" s="74" t="str">
        <x:v>CLIM</x:v>
      </x:c>
      <x:c r="D98" s="79" t="n">
        <x:v>92</x:v>
      </x:c>
      <x:c r="E98" s="74" t="str">
        <x:v>V1.0</x:v>
      </x:c>
      <x:c r="F98" s="68" t="str">
        <x:v>有效调候桥梁可恢复受气候压制五行的可用性</x:v>
      </x:c>
      <x:c r="G98" s="82" t="str">
        <x:v>结构层</x:v>
      </x:c>
      <x:c r="H98" s="68" t="str">
        <x:v>M13调候接口</x:v>
      </x:c>
      <x:c r="I98" s="68" t="str">
        <x:v>目标五行</x:v>
      </x:c>
      <x:c r="J98" s="68" t="str">
        <x:v>受气候压制</x:v>
      </x:c>
      <x:c r="K98" s="68" t="str">
        <x:v>出现有效暖润燥湿或清凉桥梁</x:v>
      </x:c>
      <x:c r="L98" s="68" t="str">
        <x:v>部分恢复功能与流通</x:v>
      </x:c>
      <x:c r="M98" s="82" t="str">
        <x:v>增强</x:v>
      </x:c>
      <x:c r="N98" s="82" t="str">
        <x:v>中</x:v>
      </x:c>
      <x:c r="O98" s="82" t="str">
        <x:v>条件性</x:v>
      </x:c>
      <x:c r="P98" s="82" t="str">
        <x:v>条件性</x:v>
      </x:c>
      <x:c r="Q98" s="82" t="str">
        <x:v>条件性</x:v>
      </x:c>
      <x:c r="R98" s="82" t="str">
        <x:v>是</x:v>
      </x:c>
      <x:c r="S98" s="68" t="str">
        <x:v>前置模块已完成</x:v>
      </x:c>
      <x:c r="T98" s="68" t="str">
        <x:v>作用条件真实成立</x:v>
      </x:c>
      <x:c r="U98" s="68" t="str">
        <x:v>得令、有根、有援可增强</x:v>
      </x:c>
      <x:c r="V98" s="68" t="str">
        <x:v>失令、孤立或受制可削弱</x:v>
      </x:c>
      <x:c r="W98" s="90" t="str">
        <x:v>禁止用关系名称直接替代实际效应</x:v>
      </x:c>
      <x:c r="X98" s="68" t="str">
        <x:v>特殊格局与动态岁运另模块处理</x:v>
      </x:c>
      <x:c r="Y98" s="84" t="str">
        <x:v>按证据修正有效旺衰</x:v>
      </x:c>
      <x:c r="Z98" s="68" t="str">
        <x:v>不得直接推出喜忌用神</x:v>
      </x:c>
      <x:c r="AA98" s="84" t="str">
        <x:v>调候恢复</x:v>
      </x:c>
      <x:c r="AB98" s="84" t="str">
        <x:v>有效调候桥梁可恢复被寒燥湿热压制五行的功能。</x:v>
      </x:c>
      <x:c r="AC98" s="82" t="str">
        <x:v>中等</x:v>
      </x:c>
      <x:c r="AD98" s="82" t="str">
        <x:v>调候</x:v>
      </x:c>
      <x:c r="AE98" s="68" t="str">
        <x:v>有效力量必须承接原始力量与实际效应，逐对象、逐节点修正。</x:v>
      </x:c>
      <x:c r="AF98" s="68" t="str">
        <x:v>只有寒暖燥湿证据明确且真正影响生化时才修正。</x:v>
      </x:c>
      <x:c r="AG98" s="90" t="str">
        <x:v>按季节固定给某五行加减分或直接定用神。</x:v>
      </x:c>
      <x:c r="AH98" s="68" t="str">
        <x:v>https://zh.wikisource.org/zh-hans/滴天髓 ; https://zh.wikisource.org/zh-hans/淵海子平 ; https://zh.wikisource.org/wiki/三命通會</x:v>
      </x:c>
      <x:c r="AI98" s="82" t="str">
        <x:v>采用</x:v>
      </x:c>
      <x:c r="AJ98" s="82" t="str">
        <x:v>初审</x:v>
      </x:c>
      <x:c r="AK98" s="87" t="n">
        <x:v>46255</x:v>
      </x:c>
    </x:row>
    <x:row r="99">
      <x:c r="A99" s="72" t="str">
        <x:f>IF(OR(C99="",D99=""),"",B99&amp;"-"&amp;UPPER(C99)&amp;"-"&amp;TEXT(D99,"0000")&amp;"-"&amp;E99)</x:f>
        <x:v>M08-CLIM-0093-V1.0</x:v>
      </x:c>
      <x:c r="B99" s="74" t="str">
        <x:v>M08</x:v>
      </x:c>
      <x:c r="C99" s="74" t="str">
        <x:v>CLIM</x:v>
      </x:c>
      <x:c r="D99" s="79" t="n">
        <x:v>93</x:v>
      </x:c>
      <x:c r="E99" s="74" t="str">
        <x:v>V1.0</x:v>
      </x:c>
      <x:c r="F99" s="68" t="str">
        <x:v>气候修正主要影响可用性与生化效率而非简单数量</x:v>
      </x:c>
      <x:c r="G99" s="82" t="str">
        <x:v>结构层</x:v>
      </x:c>
      <x:c r="H99" s="68" t="str">
        <x:v>M08/M13边界</x:v>
      </x:c>
      <x:c r="I99" s="68" t="str">
        <x:v>目标五行</x:v>
      </x:c>
      <x:c r="J99" s="68" t="str">
        <x:v>任意</x:v>
      </x:c>
      <x:c r="K99" s="68" t="str">
        <x:v>寒暖燥湿偏态</x:v>
      </x:c>
      <x:c r="L99" s="68" t="str">
        <x:v>优先修正透达持续性与流通效率</x:v>
      </x:c>
      <x:c r="M99" s="82" t="str">
        <x:v>条件性</x:v>
      </x:c>
      <x:c r="N99" s="82" t="str">
        <x:v>中</x:v>
      </x:c>
      <x:c r="O99" s="82" t="str">
        <x:v>条件性</x:v>
      </x:c>
      <x:c r="P99" s="82" t="str">
        <x:v>条件性</x:v>
      </x:c>
      <x:c r="Q99" s="82" t="str">
        <x:v>条件性</x:v>
      </x:c>
      <x:c r="R99" s="82" t="str">
        <x:v>是</x:v>
      </x:c>
      <x:c r="S99" s="68" t="str">
        <x:v>前置模块已完成</x:v>
      </x:c>
      <x:c r="T99" s="68" t="str">
        <x:v>作用条件真实成立</x:v>
      </x:c>
      <x:c r="U99" s="68" t="str">
        <x:v>得令、有根、有援可增强</x:v>
      </x:c>
      <x:c r="V99" s="68" t="str">
        <x:v>失令、孤立或受制可削弱</x:v>
      </x:c>
      <x:c r="W99" s="90" t="str">
        <x:v>禁止用关系名称直接替代实际效应</x:v>
      </x:c>
      <x:c r="X99" s="68" t="str">
        <x:v>特殊格局与动态岁运另模块处理</x:v>
      </x:c>
      <x:c r="Y99" s="84" t="str">
        <x:v>按证据修正有效旺衰</x:v>
      </x:c>
      <x:c r="Z99" s="68" t="str">
        <x:v>不得直接推出喜忌用神</x:v>
      </x:c>
      <x:c r="AA99" s="84" t="str">
        <x:v>气候功能修正</x:v>
      </x:c>
      <x:c r="AB99" s="84" t="str">
        <x:v>寒暖燥湿首先改变可用性和生化效率，不能简单等同于数量增减。</x:v>
      </x:c>
      <x:c r="AC99" s="82" t="str">
        <x:v>较高</x:v>
      </x:c>
      <x:c r="AD99" s="82" t="str">
        <x:v>调候</x:v>
      </x:c>
      <x:c r="AE99" s="68" t="str">
        <x:v>有效力量必须承接原始力量与实际效应，逐对象、逐节点修正。</x:v>
      </x:c>
      <x:c r="AF99" s="68" t="str">
        <x:v>只有寒暖燥湿证据明确且真正影响生化时才修正。</x:v>
      </x:c>
      <x:c r="AG99" s="90" t="str">
        <x:v>按季节固定给某五行加减分或直接定用神。</x:v>
      </x:c>
      <x:c r="AH99" s="68" t="str">
        <x:v>https://zh.wikisource.org/zh-hans/滴天髓 ; https://zh.wikisource.org/zh-hans/淵海子平 ; https://zh.wikisource.org/wiki/三命通會</x:v>
      </x:c>
      <x:c r="AI99" s="82" t="str">
        <x:v>采用</x:v>
      </x:c>
      <x:c r="AJ99" s="82" t="str">
        <x:v>初审</x:v>
      </x:c>
      <x:c r="AK99" s="87" t="n">
        <x:v>46255</x:v>
      </x:c>
    </x:row>
    <x:row r="100">
      <x:c r="A100" s="72" t="str">
        <x:f>IF(OR(C100="",D100=""),"",B100&amp;"-"&amp;UPPER(C100)&amp;"-"&amp;TEXT(D100,"0000")&amp;"-"&amp;E100)</x:f>
        <x:v>M08-CLIM-0094-V1.0</x:v>
      </x:c>
      <x:c r="B100" s="74" t="str">
        <x:v>M08</x:v>
      </x:c>
      <x:c r="C100" s="74" t="str">
        <x:v>CLIM</x:v>
      </x:c>
      <x:c r="D100" s="79" t="n">
        <x:v>94</x:v>
      </x:c>
      <x:c r="E100" s="74" t="str">
        <x:v>V1.0</x:v>
      </x:c>
      <x:c r="F100" s="68" t="str">
        <x:v>M08只做气候对有效力的接口修正</x:v>
      </x:c>
      <x:c r="G100" s="82" t="str">
        <x:v>结构层</x:v>
      </x:c>
      <x:c r="H100" s="68" t="str">
        <x:v>M08边界</x:v>
      </x:c>
      <x:c r="I100" s="68" t="str">
        <x:v>目标五行</x:v>
      </x:c>
      <x:c r="J100" s="68" t="str">
        <x:v>任意</x:v>
      </x:c>
      <x:c r="K100" s="68" t="str">
        <x:v>存在寒暖燥湿问题</x:v>
      </x:c>
      <x:c r="L100" s="68" t="str">
        <x:v>记录有效发挥变化，不定调候主次</x:v>
      </x:c>
      <x:c r="M100" s="82" t="str">
        <x:v>不变</x:v>
      </x:c>
      <x:c r="N100" s="82" t="str">
        <x:v>弱</x:v>
      </x:c>
      <x:c r="O100" s="82" t="str">
        <x:v>条件性</x:v>
      </x:c>
      <x:c r="P100" s="82" t="str">
        <x:v>条件性</x:v>
      </x:c>
      <x:c r="Q100" s="82" t="str">
        <x:v>条件性</x:v>
      </x:c>
      <x:c r="R100" s="82" t="str">
        <x:v>是</x:v>
      </x:c>
      <x:c r="S100" s="68" t="str">
        <x:v>前置模块已完成</x:v>
      </x:c>
      <x:c r="T100" s="68" t="str">
        <x:v>作用条件真实成立</x:v>
      </x:c>
      <x:c r="U100" s="68" t="str">
        <x:v>得令、有根、有援可增强</x:v>
      </x:c>
      <x:c r="V100" s="68" t="str">
        <x:v>失令、孤立或受制可削弱</x:v>
      </x:c>
      <x:c r="W100" s="90" t="str">
        <x:v>禁止用关系名称直接替代实际效应</x:v>
      </x:c>
      <x:c r="X100" s="68" t="str">
        <x:v>特殊格局与动态岁运另模块处理</x:v>
      </x:c>
      <x:c r="Y100" s="84" t="str">
        <x:v>按证据修正有效旺衰</x:v>
      </x:c>
      <x:c r="Z100" s="68" t="str">
        <x:v>不得直接推出喜忌用神</x:v>
      </x:c>
      <x:c r="AA100" s="84" t="str">
        <x:v>气候接口边界</x:v>
      </x:c>
      <x:c r="AB100" s="84" t="str">
        <x:v>M08只修正气候条件下的有效发挥度，调候需求与优先级由M13判断。</x:v>
      </x:c>
      <x:c r="AC100" s="82" t="str">
        <x:v>较高</x:v>
      </x:c>
      <x:c r="AD100" s="82" t="str">
        <x:v>调候</x:v>
      </x:c>
      <x:c r="AE100" s="68" t="str">
        <x:v>有效力量必须承接原始力量与实际效应，逐对象、逐节点修正。</x:v>
      </x:c>
      <x:c r="AF100" s="68" t="str">
        <x:v>只有寒暖燥湿证据明确且真正影响生化时才修正。</x:v>
      </x:c>
      <x:c r="AG100" s="90" t="str">
        <x:v>按季节固定给某五行加减分或直接定用神。</x:v>
      </x:c>
      <x:c r="AH100" s="68" t="str">
        <x:v>https://zh.wikisource.org/zh-hans/滴天髓 ; https://zh.wikisource.org/zh-hans/淵海子平 ; https://zh.wikisource.org/wiki/三命通會</x:v>
      </x:c>
      <x:c r="AI100" s="82" t="str">
        <x:v>采用</x:v>
      </x:c>
      <x:c r="AJ100" s="82" t="str">
        <x:v>初审</x:v>
      </x:c>
      <x:c r="AK100" s="87" t="n">
        <x:v>46255</x:v>
      </x:c>
    </x:row>
    <x:row r="101">
      <x:c r="A101" s="72" t="str">
        <x:f>IF(OR(C101="",D101=""),"",B101&amp;"-"&amp;UPPER(C101)&amp;"-"&amp;TEXT(D101,"0000")&amp;"-"&amp;E101)</x:f>
        <x:v>M08-FLOW-0095-V1.0</x:v>
      </x:c>
      <x:c r="B101" s="74" t="str">
        <x:v>M08</x:v>
      </x:c>
      <x:c r="C101" s="74" t="str">
        <x:v>FLOW</x:v>
      </x:c>
      <x:c r="D101" s="79" t="n">
        <x:v>95</x:v>
      </x:c>
      <x:c r="E101" s="74" t="str">
        <x:v>V1.0</x:v>
      </x:c>
      <x:c r="F101" s="68" t="str">
        <x:v>生化链通畅可提高桥梁与终点的有效调用</x:v>
      </x:c>
      <x:c r="G101" s="82" t="str">
        <x:v>结构层</x:v>
      </x:c>
      <x:c r="H101" s="68" t="str">
        <x:v>M12流通接口</x:v>
      </x:c>
      <x:c r="I101" s="68" t="str">
        <x:v>相关五行</x:v>
      </x:c>
      <x:c r="J101" s="68" t="str">
        <x:v>原始力量</x:v>
      </x:c>
      <x:c r="K101" s="68" t="str">
        <x:v>连续生化路径成立</x:v>
      </x:c>
      <x:c r="L101" s="68" t="str">
        <x:v>提高传递效率而非凭空增加总量</x:v>
      </x:c>
      <x:c r="M101" s="82" t="str">
        <x:v>增强</x:v>
      </x:c>
      <x:c r="N101" s="82" t="str">
        <x:v>中</x:v>
      </x:c>
      <x:c r="O101" s="82" t="str">
        <x:v>否</x:v>
      </x:c>
      <x:c r="P101" s="82" t="str">
        <x:v>条件性</x:v>
      </x:c>
      <x:c r="Q101" s="82" t="str">
        <x:v>条件性</x:v>
      </x:c>
      <x:c r="R101" s="82" t="str">
        <x:v>是</x:v>
      </x:c>
      <x:c r="S101" s="68" t="str">
        <x:v>前置模块已完成</x:v>
      </x:c>
      <x:c r="T101" s="68" t="str">
        <x:v>作用条件真实成立</x:v>
      </x:c>
      <x:c r="U101" s="68" t="str">
        <x:v>得令、有根、有援可增强</x:v>
      </x:c>
      <x:c r="V101" s="68" t="str">
        <x:v>失令、孤立或受制可削弱</x:v>
      </x:c>
      <x:c r="W101" s="90" t="str">
        <x:v>禁止用关系名称直接替代实际效应</x:v>
      </x:c>
      <x:c r="X101" s="68" t="str">
        <x:v>特殊格局与动态岁运另模块处理</x:v>
      </x:c>
      <x:c r="Y101" s="84" t="str">
        <x:v>按证据修正有效旺衰</x:v>
      </x:c>
      <x:c r="Z101" s="68" t="str">
        <x:v>不得直接推出喜忌用神</x:v>
      </x:c>
      <x:c r="AA101" s="84" t="str">
        <x:v>流通增效</x:v>
      </x:c>
      <x:c r="AB101" s="84" t="str">
        <x:v>流通顺畅主要提高已有力量的传递效率。</x:v>
      </x:c>
      <x:c r="AC101" s="82" t="str">
        <x:v>较高</x:v>
      </x:c>
      <x:c r="AD101" s="82" t="str">
        <x:v>现代综合</x:v>
      </x:c>
      <x:c r="AE101" s="68" t="str">
        <x:v>有效力量必须承接原始力量与实际效应，逐对象、逐节点修正。</x:v>
      </x:c>
      <x:c r="AF101" s="68" t="str">
        <x:v>桥梁有效、链路连续、终点可承载时流通才真正成立。</x:v>
      </x:c>
      <x:c r="AG101" s="90" t="str">
        <x:v>五行齐全或相生链写得出来就视为完全流通。</x:v>
      </x:c>
      <x:c r="AH101" s="68" t="str">
        <x:v>https://zh.wikisource.org/zh-hans/滴天髓 ; https://zh.wikisource.org/zh-hans/淵海子平 ; https://zh.wikisource.org/wiki/三命通會</x:v>
      </x:c>
      <x:c r="AI101" s="82" t="str">
        <x:v>采用</x:v>
      </x:c>
      <x:c r="AJ101" s="82" t="str">
        <x:v>初审</x:v>
      </x:c>
      <x:c r="AK101" s="87" t="n">
        <x:v>46255</x:v>
      </x:c>
    </x:row>
    <x:row r="102">
      <x:c r="A102" s="72" t="str">
        <x:f>IF(OR(C102="",D102=""),"",B102&amp;"-"&amp;UPPER(C102)&amp;"-"&amp;TEXT(D102,"0000")&amp;"-"&amp;E102)</x:f>
        <x:v>M08-FLOW-0096-V1.0</x:v>
      </x:c>
      <x:c r="B102" s="74" t="str">
        <x:v>M08</x:v>
      </x:c>
      <x:c r="C102" s="74" t="str">
        <x:v>FLOW</x:v>
      </x:c>
      <x:c r="D102" s="79" t="n">
        <x:v>96</x:v>
      </x:c>
      <x:c r="E102" s="74" t="str">
        <x:v>V1.0</x:v>
      </x:c>
      <x:c r="F102" s="68" t="str">
        <x:v>关键桥梁缺失时上游力量不能跨级传给终点</x:v>
      </x:c>
      <x:c r="G102" s="82" t="str">
        <x:v>结构层</x:v>
      </x:c>
      <x:c r="H102" s="68" t="str">
        <x:v>M12卡点</x:v>
      </x:c>
      <x:c r="I102" s="68" t="str">
        <x:v>相关五行</x:v>
      </x:c>
      <x:c r="J102" s="68" t="str">
        <x:v>有上游生源</x:v>
      </x:c>
      <x:c r="K102" s="68" t="str">
        <x:v>中间桥梁缺失</x:v>
      </x:c>
      <x:c r="L102" s="68" t="str">
        <x:v>取消跨级间接生扶并标记卡点</x:v>
      </x:c>
      <x:c r="M102" s="82" t="str">
        <x:v>阻断</x:v>
      </x:c>
      <x:c r="N102" s="82" t="str">
        <x:v>强</x:v>
      </x:c>
      <x:c r="O102" s="82" t="str">
        <x:v>否</x:v>
      </x:c>
      <x:c r="P102" s="82" t="str">
        <x:v>条件性</x:v>
      </x:c>
      <x:c r="Q102" s="82" t="str">
        <x:v>条件性</x:v>
      </x:c>
      <x:c r="R102" s="82" t="str">
        <x:v>是</x:v>
      </x:c>
      <x:c r="S102" s="68" t="str">
        <x:v>前置模块已完成</x:v>
      </x:c>
      <x:c r="T102" s="68" t="str">
        <x:v>作用条件真实成立</x:v>
      </x:c>
      <x:c r="U102" s="68" t="str">
        <x:v>得令、有根、有援可增强</x:v>
      </x:c>
      <x:c r="V102" s="68" t="str">
        <x:v>失令、孤立或受制可削弱</x:v>
      </x:c>
      <x:c r="W102" s="90" t="str">
        <x:v>禁止用关系名称直接替代实际效应</x:v>
      </x:c>
      <x:c r="X102" s="68" t="str">
        <x:v>特殊格局与动态岁运另模块处理</x:v>
      </x:c>
      <x:c r="Y102" s="84" t="str">
        <x:v>按证据修正有效旺衰</x:v>
      </x:c>
      <x:c r="Z102" s="68" t="str">
        <x:v>不得直接推出喜忌用神</x:v>
      </x:c>
      <x:c r="AA102" s="84" t="str">
        <x:v>缺桥阻断</x:v>
      </x:c>
      <x:c r="AB102" s="84" t="str">
        <x:v>生化链缺少关键桥梁时，上游力量不能直接越级传给终点。</x:v>
      </x:c>
      <x:c r="AC102" s="82" t="str">
        <x:v>较高</x:v>
      </x:c>
      <x:c r="AD102" s="82" t="str">
        <x:v>现代综合</x:v>
      </x:c>
      <x:c r="AE102" s="68" t="str">
        <x:v>有效力量必须承接原始力量与实际效应，逐对象、逐节点修正。</x:v>
      </x:c>
      <x:c r="AF102" s="68" t="str">
        <x:v>桥梁有效、链路连续、终点可承载时流通才真正成立。</x:v>
      </x:c>
      <x:c r="AG102" s="90" t="str">
        <x:v>五行齐全或相生链写得出来就视为完全流通。</x:v>
      </x:c>
      <x:c r="AH102" s="68" t="str">
        <x:v>https://zh.wikisource.org/zh-hans/滴天髓 ; https://zh.wikisource.org/zh-hans/淵海子平 ; https://zh.wikisource.org/wiki/三命通會</x:v>
      </x:c>
      <x:c r="AI102" s="82" t="str">
        <x:v>采用</x:v>
      </x:c>
      <x:c r="AJ102" s="82" t="str">
        <x:v>初审</x:v>
      </x:c>
      <x:c r="AK102" s="87" t="n">
        <x:v>46255</x:v>
      </x:c>
    </x:row>
    <x:row r="103">
      <x:c r="A103" s="72" t="str">
        <x:f>IF(OR(C103="",D103=""),"",B103&amp;"-"&amp;UPPER(C103)&amp;"-"&amp;TEXT(D103,"0000")&amp;"-"&amp;E103)</x:f>
        <x:v>M08-FLOW-0097-V1.0</x:v>
      </x:c>
      <x:c r="B103" s="74" t="str">
        <x:v>M08</x:v>
      </x:c>
      <x:c r="C103" s="74" t="str">
        <x:v>FLOW</x:v>
      </x:c>
      <x:c r="D103" s="79" t="n">
        <x:v>97</x:v>
      </x:c>
      <x:c r="E103" s="74" t="str">
        <x:v>V1.0</x:v>
      </x:c>
      <x:c r="F103" s="68" t="str">
        <x:v>桥梁被合绊或强克时流通效率显著下降</x:v>
      </x:c>
      <x:c r="G103" s="82" t="str">
        <x:v>结构层</x:v>
      </x:c>
      <x:c r="H103" s="68" t="str">
        <x:v>M06关系效应+M12</x:v>
      </x:c>
      <x:c r="I103" s="68" t="str">
        <x:v>相关五行</x:v>
      </x:c>
      <x:c r="J103" s="68" t="str">
        <x:v>桥梁原始中强</x:v>
      </x:c>
      <x:c r="K103" s="68" t="str">
        <x:v>桥梁受合绊或强克</x:v>
      </x:c>
      <x:c r="L103" s="68" t="str">
        <x:v>降低上下游力量传递</x:v>
      </x:c>
      <x:c r="M103" s="82" t="str">
        <x:v>阻断</x:v>
      </x:c>
      <x:c r="N103" s="82" t="str">
        <x:v>中</x:v>
      </x:c>
      <x:c r="O103" s="82" t="str">
        <x:v>否</x:v>
      </x:c>
      <x:c r="P103" s="82" t="str">
        <x:v>条件性</x:v>
      </x:c>
      <x:c r="Q103" s="82" t="str">
        <x:v>条件性</x:v>
      </x:c>
      <x:c r="R103" s="82" t="str">
        <x:v>是</x:v>
      </x:c>
      <x:c r="S103" s="68" t="str">
        <x:v>前置模块已完成</x:v>
      </x:c>
      <x:c r="T103" s="68" t="str">
        <x:v>作用条件真实成立</x:v>
      </x:c>
      <x:c r="U103" s="68" t="str">
        <x:v>得令、有根、有援可增强</x:v>
      </x:c>
      <x:c r="V103" s="68" t="str">
        <x:v>失令、孤立或受制可削弱</x:v>
      </x:c>
      <x:c r="W103" s="90" t="str">
        <x:v>禁止用关系名称直接替代实际效应</x:v>
      </x:c>
      <x:c r="X103" s="68" t="str">
        <x:v>特殊格局与动态岁运另模块处理</x:v>
      </x:c>
      <x:c r="Y103" s="84" t="str">
        <x:v>按证据修正有效旺衰</x:v>
      </x:c>
      <x:c r="Z103" s="68" t="str">
        <x:v>不得直接推出喜忌用神</x:v>
      </x:c>
      <x:c r="AA103" s="84" t="str">
        <x:v>桥梁受阻</x:v>
      </x:c>
      <x:c r="AB103" s="84" t="str">
        <x:v>五行齐全不代表流通；关键桥梁受限时传递效率会明显下降。</x:v>
      </x:c>
      <x:c r="AC103" s="82" t="str">
        <x:v>较高</x:v>
      </x:c>
      <x:c r="AD103" s="82" t="str">
        <x:v>现代综合</x:v>
      </x:c>
      <x:c r="AE103" s="68" t="str">
        <x:v>有效力量必须承接原始力量与实际效应，逐对象、逐节点修正。</x:v>
      </x:c>
      <x:c r="AF103" s="68" t="str">
        <x:v>桥梁有效、链路连续、终点可承载时流通才真正成立。</x:v>
      </x:c>
      <x:c r="AG103" s="90" t="str">
        <x:v>五行齐全或相生链写得出来就视为完全流通。</x:v>
      </x:c>
      <x:c r="AH103" s="68" t="str">
        <x:v>https://zh.wikisource.org/zh-hans/滴天髓 ; https://zh.wikisource.org/zh-hans/淵海子平 ; https://zh.wikisource.org/wiki/三命通會</x:v>
      </x:c>
      <x:c r="AI103" s="82" t="str">
        <x:v>采用</x:v>
      </x:c>
      <x:c r="AJ103" s="82" t="str">
        <x:v>初审</x:v>
      </x:c>
      <x:c r="AK103" s="87" t="n">
        <x:v>46255</x:v>
      </x:c>
    </x:row>
    <x:row r="104">
      <x:c r="A104" s="72" t="str">
        <x:f>IF(OR(C104="",D104=""),"",B104&amp;"-"&amp;UPPER(C104)&amp;"-"&amp;TEXT(D104,"0000")&amp;"-"&amp;E104)</x:f>
        <x:v>M08-FLOW-0098-V1.0</x:v>
      </x:c>
      <x:c r="B104" s="74" t="str">
        <x:v>M08</x:v>
      </x:c>
      <x:c r="C104" s="74" t="str">
        <x:v>FLOW</x:v>
      </x:c>
      <x:c r="D104" s="79" t="n">
        <x:v>98</x:v>
      </x:c>
      <x:c r="E104" s="74" t="str">
        <x:v>V1.0</x:v>
      </x:c>
      <x:c r="F104" s="68" t="str">
        <x:v>源头过旺无泄时力量可旺但功能壅塞</x:v>
      </x:c>
      <x:c r="G104" s="82" t="str">
        <x:v>结构层</x:v>
      </x:c>
      <x:c r="H104" s="68" t="str">
        <x:v>M12卡点</x:v>
      </x:c>
      <x:c r="I104" s="68" t="str">
        <x:v>相关五行</x:v>
      </x:c>
      <x:c r="J104" s="68" t="str">
        <x:v>原始旺</x:v>
      </x:c>
      <x:c r="K104" s="68" t="str">
        <x:v>缺乏有效下游泄出</x:v>
      </x:c>
      <x:c r="L104" s="68" t="str">
        <x:v>保留高力量同时下调流通可用性</x:v>
      </x:c>
      <x:c r="M104" s="82" t="str">
        <x:v>阻断</x:v>
      </x:c>
      <x:c r="N104" s="82" t="str">
        <x:v>中</x:v>
      </x:c>
      <x:c r="O104" s="82" t="str">
        <x:v>否</x:v>
      </x:c>
      <x:c r="P104" s="82" t="str">
        <x:v>条件性</x:v>
      </x:c>
      <x:c r="Q104" s="82" t="str">
        <x:v>条件性</x:v>
      </x:c>
      <x:c r="R104" s="82" t="str">
        <x:v>是</x:v>
      </x:c>
      <x:c r="S104" s="68" t="str">
        <x:v>前置模块已完成</x:v>
      </x:c>
      <x:c r="T104" s="68" t="str">
        <x:v>作用条件真实成立</x:v>
      </x:c>
      <x:c r="U104" s="68" t="str">
        <x:v>得令、有根、有援可增强</x:v>
      </x:c>
      <x:c r="V104" s="68" t="str">
        <x:v>失令、孤立或受制可削弱</x:v>
      </x:c>
      <x:c r="W104" s="90" t="str">
        <x:v>禁止用关系名称直接替代实际效应</x:v>
      </x:c>
      <x:c r="X104" s="68" t="str">
        <x:v>特殊格局与动态岁运另模块处理</x:v>
      </x:c>
      <x:c r="Y104" s="84" t="str">
        <x:v>按证据修正有效旺衰</x:v>
      </x:c>
      <x:c r="Z104" s="68" t="str">
        <x:v>不得直接推出喜忌用神</x:v>
      </x:c>
      <x:c r="AA104" s="84" t="str">
        <x:v>旺而壅塞</x:v>
      </x:c>
      <x:c r="AB104" s="84" t="str">
        <x:v>源头过旺而无泄时，力量仍可很强，但流通与功能效率下降。</x:v>
      </x:c>
      <x:c r="AC104" s="82" t="str">
        <x:v>较高</x:v>
      </x:c>
      <x:c r="AD104" s="82" t="str">
        <x:v>现代综合</x:v>
      </x:c>
      <x:c r="AE104" s="68" t="str">
        <x:v>有效力量必须承接原始力量与实际效应，逐对象、逐节点修正。</x:v>
      </x:c>
      <x:c r="AF104" s="68" t="str">
        <x:v>桥梁有效、链路连续、终点可承载时流通才真正成立。</x:v>
      </x:c>
      <x:c r="AG104" s="90" t="str">
        <x:v>五行齐全或相生链写得出来就视为完全流通。</x:v>
      </x:c>
      <x:c r="AH104" s="68" t="str">
        <x:v>https://zh.wikisource.org/zh-hans/滴天髓 ; https://zh.wikisource.org/zh-hans/淵海子平 ; https://zh.wikisource.org/wiki/三命通會</x:v>
      </x:c>
      <x:c r="AI104" s="82" t="str">
        <x:v>采用</x:v>
      </x:c>
      <x:c r="AJ104" s="82" t="str">
        <x:v>初审</x:v>
      </x:c>
      <x:c r="AK104" s="87" t="n">
        <x:v>46255</x:v>
      </x:c>
    </x:row>
    <x:row r="105">
      <x:c r="A105" s="72" t="str">
        <x:f>IF(OR(C105="",D105=""),"",B105&amp;"-"&amp;UPPER(C105)&amp;"-"&amp;TEXT(D105,"0000")&amp;"-"&amp;E105)</x:f>
        <x:v>M08-FLOW-0099-V1.0</x:v>
      </x:c>
      <x:c r="B105" s="74" t="str">
        <x:v>M08</x:v>
      </x:c>
      <x:c r="C105" s="74" t="str">
        <x:v>FLOW</x:v>
      </x:c>
      <x:c r="D105" s="79" t="n">
        <x:v>99</x:v>
      </x:c>
      <x:c r="E105" s="74" t="str">
        <x:v>V1.0</x:v>
      </x:c>
      <x:c r="F105" s="68" t="str">
        <x:v>终点过弱不能承载时上游输入未必转成有效力量</x:v>
      </x:c>
      <x:c r="G105" s="82" t="str">
        <x:v>结构层</x:v>
      </x:c>
      <x:c r="H105" s="68" t="str">
        <x:v>M12卡点</x:v>
      </x:c>
      <x:c r="I105" s="68" t="str">
        <x:v>相关五行</x:v>
      </x:c>
      <x:c r="J105" s="68" t="str">
        <x:v>原始弱</x:v>
      </x:c>
      <x:c r="K105" s="68" t="str">
        <x:v>上游持续输入而终点无根</x:v>
      </x:c>
      <x:c r="L105" s="68" t="str">
        <x:v>限制有效传递并标记承载不足</x:v>
      </x:c>
      <x:c r="M105" s="82" t="str">
        <x:v>阻断</x:v>
      </x:c>
      <x:c r="N105" s="82" t="str">
        <x:v>中</x:v>
      </x:c>
      <x:c r="O105" s="82" t="str">
        <x:v>否</x:v>
      </x:c>
      <x:c r="P105" s="82" t="str">
        <x:v>条件性</x:v>
      </x:c>
      <x:c r="Q105" s="82" t="str">
        <x:v>条件性</x:v>
      </x:c>
      <x:c r="R105" s="82" t="str">
        <x:v>是</x:v>
      </x:c>
      <x:c r="S105" s="68" t="str">
        <x:v>前置模块已完成</x:v>
      </x:c>
      <x:c r="T105" s="68" t="str">
        <x:v>作用条件真实成立</x:v>
      </x:c>
      <x:c r="U105" s="68" t="str">
        <x:v>得令、有根、有援可增强</x:v>
      </x:c>
      <x:c r="V105" s="68" t="str">
        <x:v>失令、孤立或受制可削弱</x:v>
      </x:c>
      <x:c r="W105" s="90" t="str">
        <x:v>禁止用关系名称直接替代实际效应</x:v>
      </x:c>
      <x:c r="X105" s="68" t="str">
        <x:v>特殊格局与动态岁运另模块处理</x:v>
      </x:c>
      <x:c r="Y105" s="84" t="str">
        <x:v>按证据修正有效旺衰</x:v>
      </x:c>
      <x:c r="Z105" s="68" t="str">
        <x:v>不得直接推出喜忌用神</x:v>
      </x:c>
      <x:c r="AA105" s="84" t="str">
        <x:v>终点承载不足</x:v>
      </x:c>
      <x:c r="AB105" s="84" t="str">
        <x:v>终点无承载时，上游输入未必能完全转化为终点有效力量。</x:v>
      </x:c>
      <x:c r="AC105" s="82" t="str">
        <x:v>较高</x:v>
      </x:c>
      <x:c r="AD105" s="82" t="str">
        <x:v>现代综合</x:v>
      </x:c>
      <x:c r="AE105" s="68" t="str">
        <x:v>有效力量必须承接原始力量与实际效应，逐对象、逐节点修正。</x:v>
      </x:c>
      <x:c r="AF105" s="68" t="str">
        <x:v>桥梁有效、链路连续、终点可承载时流通才真正成立。</x:v>
      </x:c>
      <x:c r="AG105" s="90" t="str">
        <x:v>五行齐全或相生链写得出来就视为完全流通。</x:v>
      </x:c>
      <x:c r="AH105" s="68" t="str">
        <x:v>https://zh.wikisource.org/zh-hans/滴天髓 ; https://zh.wikisource.org/zh-hans/淵海子平 ; https://zh.wikisource.org/wiki/三命通會</x:v>
      </x:c>
      <x:c r="AI105" s="82" t="str">
        <x:v>采用</x:v>
      </x:c>
      <x:c r="AJ105" s="82" t="str">
        <x:v>初审</x:v>
      </x:c>
      <x:c r="AK105" s="87" t="n">
        <x:v>46255</x:v>
      </x:c>
    </x:row>
    <x:row r="106">
      <x:c r="A106" t="str">
        <x:f>IF(OR(C106="",D106=""),"",B106&amp;"-"&amp;UPPER(C106)&amp;"-"&amp;TEXT(D106,"0000")&amp;"-"&amp;E106)</x:f>
        <x:v>M08-FLOW-0100-V1.0</x:v>
      </x:c>
      <x:c r="B106" t="str">
        <x:v>M08</x:v>
      </x:c>
      <x:c r="C106" t="str">
        <x:v>FLOW</x:v>
      </x:c>
      <x:c r="D106" t="n">
        <x:v>100</x:v>
      </x:c>
      <x:c r="E106" t="str">
        <x:v>V1.0</x:v>
      </x:c>
      <x:c r="F106" t="str">
        <x:v>M08只记录流通对有效力的修正，卡点定位交M12</x:v>
      </x:c>
      <x:c r="G106" t="str">
        <x:v>结构层</x:v>
      </x:c>
      <x:c r="H106" t="str">
        <x:v>M08边界</x:v>
      </x:c>
      <x:c r="I106" t="str">
        <x:v>相关五行</x:v>
      </x:c>
      <x:c r="J106" t="str">
        <x:v>任意</x:v>
      </x:c>
      <x:c r="K106" t="str">
        <x:v>存在流通问题</x:v>
      </x:c>
      <x:c r="L106" t="str">
        <x:v>只输出有效力量与可用性变化</x:v>
      </x:c>
      <x:c r="M106" t="str">
        <x:v>不变</x:v>
      </x:c>
      <x:c r="N106" t="str">
        <x:v>弱</x:v>
      </x:c>
      <x:c r="O106" t="str">
        <x:v>否</x:v>
      </x:c>
      <x:c r="P106" t="str">
        <x:v>条件性</x:v>
      </x:c>
      <x:c r="Q106" t="str">
        <x:v>条件性</x:v>
      </x:c>
      <x:c r="R106" t="str">
        <x:v>是</x:v>
      </x:c>
      <x:c r="S106" t="str">
        <x:v>前置模块已完成</x:v>
      </x:c>
      <x:c r="T106" t="str">
        <x:v>作用条件真实成立</x:v>
      </x:c>
      <x:c r="U106" t="str">
        <x:v>得令、有根、有援可增强</x:v>
      </x:c>
      <x:c r="V106" t="str">
        <x:v>失令、孤立或受制可削弱</x:v>
      </x:c>
      <x:c r="W106" t="str">
        <x:v>禁止用关系名称直接替代实际效应</x:v>
      </x:c>
      <x:c r="X106" t="str">
        <x:v>特殊格局与动态岁运另模块处理</x:v>
      </x:c>
      <x:c r="Y106" t="str">
        <x:v>按证据修正有效旺衰</x:v>
      </x:c>
      <x:c r="Z106" t="str">
        <x:v>不得直接推出喜忌用神</x:v>
      </x:c>
      <x:c r="AA106" t="str">
        <x:v>流通接口边界</x:v>
      </x:c>
      <x:c r="AB106" t="str">
        <x:v>M08记录流通对有效力量的影响，具体卡点与通关路径由M12判断。</x:v>
      </x:c>
      <x:c r="AC106" t="str">
        <x:v>较高</x:v>
      </x:c>
      <x:c r="AD106" t="str">
        <x:v>现代综合</x:v>
      </x:c>
      <x:c r="AE106" t="str">
        <x:v>有效力量必须承接原始力量与实际效应，逐对象、逐节点修正。</x:v>
      </x:c>
      <x:c r="AF106" t="str">
        <x:v>桥梁有效、链路连续、终点可承载时流通才真正成立。</x:v>
      </x:c>
      <x:c r="AG106" t="str">
        <x:v>五行齐全或相生链写得出来就视为完全流通。</x:v>
      </x:c>
      <x:c r="AH106" t="str">
        <x:v>https://zh.wikisource.org/zh-hans/滴天髓 ; https://zh.wikisource.org/zh-hans/淵海子平 ; https://zh.wikisource.org/wiki/三命通會</x:v>
      </x:c>
      <x:c r="AI106" t="str">
        <x:v>采用</x:v>
      </x:c>
      <x:c r="AJ106" t="str">
        <x:v>初审</x:v>
      </x:c>
      <x:c r="AK106" t="n">
        <x:v>46255</x:v>
      </x:c>
    </x:row>
    <x:row r="107">
      <x:c r="A107" t="str">
        <x:f>IF(OR(C107="",D107=""),"",B107&amp;"-"&amp;UPPER(C107)&amp;"-"&amp;TEXT(D107,"0000")&amp;"-"&amp;E107)</x:f>
        <x:v>M08-AGG-0101-V1.0</x:v>
      </x:c>
      <x:c r="B107" t="str">
        <x:v>M08</x:v>
      </x:c>
      <x:c r="C107" t="str">
        <x:v>AGG</x:v>
      </x:c>
      <x:c r="D107" t="n">
        <x:v>101</x:v>
      </x:c>
      <x:c r="E107" t="str">
        <x:v>V1.0</x:v>
      </x:c>
      <x:c r="F107" t="str">
        <x:v>有效旺衰必须从M07原始等级出发逐项修正</x:v>
      </x:c>
      <x:c r="G107" t="str">
        <x:v>结构层</x:v>
      </x:c>
      <x:c r="H107" t="str">
        <x:v>M07+M06+M08</x:v>
      </x:c>
      <x:c r="I107" t="str">
        <x:v>目标五行</x:v>
      </x:c>
      <x:c r="J107" t="str">
        <x:v>已有原始等级</x:v>
      </x:c>
      <x:c r="K107" t="str">
        <x:v>应用根源透达克泄耗转化气候流通修正</x:v>
      </x:c>
      <x:c r="L107" t="str">
        <x:v>形成有效等级而非从零计分</x:v>
      </x:c>
      <x:c r="M107" t="str">
        <x:v>条件性</x:v>
      </x:c>
      <x:c r="N107" t="str">
        <x:v>决定性</x:v>
      </x:c>
      <x:c r="O107" t="str">
        <x:v>条件性</x:v>
      </x:c>
      <x:c r="P107" t="str">
        <x:v>条件性</x:v>
      </x:c>
      <x:c r="Q107" t="str">
        <x:v>条件性</x:v>
      </x:c>
      <x:c r="R107" t="str">
        <x:v>条件性</x:v>
      </x:c>
      <x:c r="S107" t="str">
        <x:v>M07原始旺衰与M06关键效应均已完成</x:v>
      </x:c>
      <x:c r="T107" t="str">
        <x:v>主证据与反向证据均可追溯</x:v>
      </x:c>
      <x:c r="U107" t="str">
        <x:v>得令、有根、有援可增强</x:v>
      </x:c>
      <x:c r="V107" t="str">
        <x:v>失令、孤立或受制可削弱</x:v>
      </x:c>
      <x:c r="W107" t="str">
        <x:v>禁止用关系名称直接替代实际效应</x:v>
      </x:c>
      <x:c r="X107" t="str">
        <x:v>特殊格局与动态岁运另模块处理</x:v>
      </x:c>
      <x:c r="Y107" t="str">
        <x:v>按证据修正有效旺衰</x:v>
      </x:c>
      <x:c r="Z107" t="str">
        <x:v>不得直接推出喜忌用神</x:v>
      </x:c>
      <x:c r="AA107" t="str">
        <x:v>有效旺衰总则</x:v>
      </x:c>
      <x:c r="AB107" t="str">
        <x:v>有效旺衰以M07原始力量为起点，经M06/M08逐项修正后形成。</x:v>
      </x:c>
      <x:c r="AC107" t="str">
        <x:v>较高</x:v>
      </x:c>
      <x:c r="AD107" t="str">
        <x:v>现代综合</x:v>
      </x:c>
      <x:c r="AE107" t="str">
        <x:v>有效力量必须承接原始力量与实际效应，逐对象、逐节点修正。</x:v>
      </x:c>
      <x:c r="AF107" t="str">
        <x:v>证据方向略占优时可判中和偏旺或偏弱。</x:v>
      </x:c>
      <x:c r="AG107" t="str">
        <x:v>用单一分数阈值或单一关系名强行定级。</x:v>
      </x:c>
      <x:c r="AH107" t="str">
        <x:v>https://zh.wikisource.org/zh-hans/滴天髓 ; https://zh.wikisource.org/zh-hans/淵海子平 ; https://zh.wikisource.org/wiki/三命通會</x:v>
      </x:c>
      <x:c r="AI107" t="str">
        <x:v>采用</x:v>
      </x:c>
      <x:c r="AJ107" t="str">
        <x:v>初审</x:v>
      </x:c>
      <x:c r="AK107" t="n">
        <x:v>46255</x:v>
      </x:c>
    </x:row>
    <x:row r="108">
      <x:c r="A108" t="str">
        <x:f>IF(OR(C108="",D108=""),"",B108&amp;"-"&amp;UPPER(C108)&amp;"-"&amp;TEXT(D108,"0000")&amp;"-"&amp;E108)</x:f>
        <x:v>M08-AGG-0102-V1.0</x:v>
      </x:c>
      <x:c r="B108" t="str">
        <x:v>M08</x:v>
      </x:c>
      <x:c r="C108" t="str">
        <x:v>AGG</x:v>
      </x:c>
      <x:c r="D108" t="n">
        <x:v>102</x:v>
      </x:c>
      <x:c r="E108" t="str">
        <x:v>V1.0</x:v>
      </x:c>
      <x:c r="F108" t="str">
        <x:v>七级有效旺衰采用区间与证据矩阵而非固定总分</x:v>
      </x:c>
      <x:c r="G108" t="str">
        <x:v>结构层</x:v>
      </x:c>
      <x:c r="H108" t="str">
        <x:v>综合分级</x:v>
      </x:c>
      <x:c r="I108" t="str">
        <x:v>目标五行</x:v>
      </x:c>
      <x:c r="J108" t="str">
        <x:v>修正完成</x:v>
      </x:c>
      <x:c r="K108" t="str">
        <x:v>正反证据并存</x:v>
      </x:c>
      <x:c r="L108" t="str">
        <x:v>按主证据、反证和硬约束归入七级区间</x:v>
      </x:c>
      <x:c r="M108" t="str">
        <x:v>条件性</x:v>
      </x:c>
      <x:c r="N108" t="str">
        <x:v>强</x:v>
      </x:c>
      <x:c r="O108" t="str">
        <x:v>条件性</x:v>
      </x:c>
      <x:c r="P108" t="str">
        <x:v>条件性</x:v>
      </x:c>
      <x:c r="Q108" t="str">
        <x:v>条件性</x:v>
      </x:c>
      <x:c r="R108" t="str">
        <x:v>条件性</x:v>
      </x:c>
      <x:c r="S108" t="str">
        <x:v>M07原始旺衰与M06关键效应均已完成</x:v>
      </x:c>
      <x:c r="T108" t="str">
        <x:v>主证据与反向证据均可追溯</x:v>
      </x:c>
      <x:c r="U108" t="str">
        <x:v>得令、有根、有援可增强</x:v>
      </x:c>
      <x:c r="V108" t="str">
        <x:v>失令、孤立或受制可削弱</x:v>
      </x:c>
      <x:c r="W108" t="str">
        <x:v>禁止用关系名称直接替代实际效应</x:v>
      </x:c>
      <x:c r="X108" t="str">
        <x:v>特殊格局与动态岁运另模块处理</x:v>
      </x:c>
      <x:c r="Y108" t="str">
        <x:v>按证据修正有效旺衰</x:v>
      </x:c>
      <x:c r="Z108" t="str">
        <x:v>不得直接推出喜忌用神</x:v>
      </x:c>
      <x:c r="AA108" t="str">
        <x:v>七级有效旺衰</x:v>
      </x:c>
      <x:c r="AB108" t="str">
        <x:v>有效旺衰按证据矩阵归类为极弱至极旺七级区间。</x:v>
      </x:c>
      <x:c r="AC108" t="str">
        <x:v>较高</x:v>
      </x:c>
      <x:c r="AD108" t="str">
        <x:v>现代综合</x:v>
      </x:c>
      <x:c r="AE108" t="str">
        <x:v>有效力量必须承接原始力量与实际效应，逐对象、逐节点修正。</x:v>
      </x:c>
      <x:c r="AF108" t="str">
        <x:v>证据方向略占优时可判中和偏旺或偏弱。</x:v>
      </x:c>
      <x:c r="AG108" t="str">
        <x:v>用单一分数阈值或单一关系名强行定级。</x:v>
      </x:c>
      <x:c r="AH108" t="str">
        <x:v>https://zh.wikisource.org/zh-hans/滴天髓 ; https://zh.wikisource.org/zh-hans/淵海子平 ; https://zh.wikisource.org/wiki/三命通會</x:v>
      </x:c>
      <x:c r="AI108" t="str">
        <x:v>采用</x:v>
      </x:c>
      <x:c r="AJ108" t="str">
        <x:v>初审</x:v>
      </x:c>
      <x:c r="AK108" t="n">
        <x:v>46255</x:v>
      </x:c>
    </x:row>
    <x:row r="109">
      <x:c r="A109" t="str">
        <x:f>IF(OR(C109="",D109=""),"",B109&amp;"-"&amp;UPPER(C109)&amp;"-"&amp;TEXT(D109,"0000")&amp;"-"&amp;E109)</x:f>
        <x:v>M08-AGG-0103-V1.0</x:v>
      </x:c>
      <x:c r="B109" t="str">
        <x:v>M08</x:v>
      </x:c>
      <x:c r="C109" t="str">
        <x:v>AGG</x:v>
      </x:c>
      <x:c r="D109" t="n">
        <x:v>103</x:v>
      </x:c>
      <x:c r="E109" t="str">
        <x:v>V1.0</x:v>
      </x:c>
      <x:c r="F109" t="str">
        <x:v>极旺要求原始强势且关键削弱仍不足以改变主势</x:v>
      </x:c>
      <x:c r="G109" t="str">
        <x:v>结构层</x:v>
      </x:c>
      <x:c r="H109" t="str">
        <x:v>极端门槛</x:v>
      </x:c>
      <x:c r="I109" t="str">
        <x:v>目标五行</x:v>
      </x:c>
      <x:c r="J109" t="str">
        <x:v>原始旺/极旺</x:v>
      </x:c>
      <x:c r="K109" t="str">
        <x:v>有效修正后仍成势</x:v>
      </x:c>
      <x:c r="L109" t="str">
        <x:v>只有多维强证据时保留极旺</x:v>
      </x:c>
      <x:c r="M109" t="str">
        <x:v>增强</x:v>
      </x:c>
      <x:c r="N109" t="str">
        <x:v>决定性</x:v>
      </x:c>
      <x:c r="O109" t="str">
        <x:v>条件性</x:v>
      </x:c>
      <x:c r="P109" t="str">
        <x:v>条件性</x:v>
      </x:c>
      <x:c r="Q109" t="str">
        <x:v>条件性</x:v>
      </x:c>
      <x:c r="R109" t="str">
        <x:v>条件性</x:v>
      </x:c>
      <x:c r="S109" t="str">
        <x:v>M07原始旺衰与M06关键效应均已完成</x:v>
      </x:c>
      <x:c r="T109" t="str">
        <x:v>主证据与反向证据均可追溯</x:v>
      </x:c>
      <x:c r="U109" t="str">
        <x:v>得令、有根、有援可增强</x:v>
      </x:c>
      <x:c r="V109" t="str">
        <x:v>失令、孤立或受制可削弱</x:v>
      </x:c>
      <x:c r="W109" t="str">
        <x:v>禁止用关系名称直接替代实际效应</x:v>
      </x:c>
      <x:c r="X109" t="str">
        <x:v>特殊格局与动态岁运另模块处理</x:v>
      </x:c>
      <x:c r="Y109" t="str">
        <x:v>按证据修正有效旺衰</x:v>
      </x:c>
      <x:c r="Z109" t="str">
        <x:v>不得直接推出喜忌用神</x:v>
      </x:c>
      <x:c r="AA109" t="str">
        <x:v>极旺门槛</x:v>
      </x:c>
      <x:c r="AB109" t="str">
        <x:v>极旺必须在有效修正后仍保持压倒性势能。</x:v>
      </x:c>
      <x:c r="AC109" t="str">
        <x:v>较高</x:v>
      </x:c>
      <x:c r="AD109" t="str">
        <x:v>现代综合</x:v>
      </x:c>
      <x:c r="AE109" t="str">
        <x:v>有效力量必须承接原始力量与实际效应，逐对象、逐节点修正。</x:v>
      </x:c>
      <x:c r="AF109" t="str">
        <x:v>证据方向略占优时可判中和偏旺或偏弱。</x:v>
      </x:c>
      <x:c r="AG109" t="str">
        <x:v>用单一分数阈值或单一关系名强行定级。</x:v>
      </x:c>
      <x:c r="AH109" t="str">
        <x:v>https://zh.wikisource.org/zh-hans/滴天髓 ; https://zh.wikisource.org/zh-hans/淵海子平 ; https://zh.wikisource.org/wiki/三命通會</x:v>
      </x:c>
      <x:c r="AI109" t="str">
        <x:v>采用</x:v>
      </x:c>
      <x:c r="AJ109" t="str">
        <x:v>初审</x:v>
      </x:c>
      <x:c r="AK109" t="n">
        <x:v>46255</x:v>
      </x:c>
    </x:row>
    <x:row r="110">
      <x:c r="A110" t="str">
        <x:f>IF(OR(C110="",D110=""),"",B110&amp;"-"&amp;UPPER(C110)&amp;"-"&amp;TEXT(D110,"0000")&amp;"-"&amp;E110)</x:f>
        <x:v>M08-AGG-0104-V1.0</x:v>
      </x:c>
      <x:c r="B110" t="str">
        <x:v>M08</x:v>
      </x:c>
      <x:c r="C110" t="str">
        <x:v>AGG</x:v>
      </x:c>
      <x:c r="D110" t="n">
        <x:v>104</x:v>
      </x:c>
      <x:c r="E110" t="str">
        <x:v>V1.0</x:v>
      </x:c>
      <x:c r="F110" t="str">
        <x:v>极弱要求主要承载、生源与根透均接近失效</x:v>
      </x:c>
      <x:c r="G110" t="str">
        <x:v>结构层</x:v>
      </x:c>
      <x:c r="H110" t="str">
        <x:v>极端门槛</x:v>
      </x:c>
      <x:c r="I110" t="str">
        <x:v>目标五行</x:v>
      </x:c>
      <x:c r="J110" t="str">
        <x:v>原始弱/极弱</x:v>
      </x:c>
      <x:c r="K110" t="str">
        <x:v>有效修正后缺乏恢复条件</x:v>
      </x:c>
      <x:c r="L110" t="str">
        <x:v>多项承载同时失效才判极弱</x:v>
      </x:c>
      <x:c r="M110" t="str">
        <x:v>减弱</x:v>
      </x:c>
      <x:c r="N110" t="str">
        <x:v>决定性</x:v>
      </x:c>
      <x:c r="O110" t="str">
        <x:v>条件性</x:v>
      </x:c>
      <x:c r="P110" t="str">
        <x:v>条件性</x:v>
      </x:c>
      <x:c r="Q110" t="str">
        <x:v>条件性</x:v>
      </x:c>
      <x:c r="R110" t="str">
        <x:v>条件性</x:v>
      </x:c>
      <x:c r="S110" t="str">
        <x:v>M07原始旺衰与M06关键效应均已完成</x:v>
      </x:c>
      <x:c r="T110" t="str">
        <x:v>主证据与反向证据均可追溯</x:v>
      </x:c>
      <x:c r="U110" t="str">
        <x:v>得令、有根、有援可增强</x:v>
      </x:c>
      <x:c r="V110" t="str">
        <x:v>失令、孤立或受制可削弱</x:v>
      </x:c>
      <x:c r="W110" t="str">
        <x:v>禁止用关系名称直接替代实际效应</x:v>
      </x:c>
      <x:c r="X110" t="str">
        <x:v>特殊格局与动态岁运另模块处理</x:v>
      </x:c>
      <x:c r="Y110" t="str">
        <x:v>按证据修正有效旺衰</x:v>
      </x:c>
      <x:c r="Z110" t="str">
        <x:v>不得直接推出喜忌用神</x:v>
      </x:c>
      <x:c r="AA110" t="str">
        <x:v>极弱门槛</x:v>
      </x:c>
      <x:c r="AB110" t="str">
        <x:v>极弱要求多项有效承载同时缺失，不能只凭无根或失令。</x:v>
      </x:c>
      <x:c r="AC110" t="str">
        <x:v>较高</x:v>
      </x:c>
      <x:c r="AD110" t="str">
        <x:v>现代综合</x:v>
      </x:c>
      <x:c r="AE110" t="str">
        <x:v>有效力量必须承接原始力量与实际效应，逐对象、逐节点修正。</x:v>
      </x:c>
      <x:c r="AF110" t="str">
        <x:v>证据方向略占优时可判中和偏旺或偏弱。</x:v>
      </x:c>
      <x:c r="AG110" t="str">
        <x:v>用单一分数阈值或单一关系名强行定级。</x:v>
      </x:c>
      <x:c r="AH110" t="str">
        <x:v>https://zh.wikisource.org/zh-hans/滴天髓 ; https://zh.wikisource.org/zh-hans/淵海子平 ; https://zh.wikisource.org/wiki/三命通會</x:v>
      </x:c>
      <x:c r="AI110" t="str">
        <x:v>采用</x:v>
      </x:c>
      <x:c r="AJ110" t="str">
        <x:v>初审</x:v>
      </x:c>
      <x:c r="AK110" t="n">
        <x:v>46255</x:v>
      </x:c>
    </x:row>
    <x:row r="111">
      <x:c r="A111" t="str">
        <x:f>IF(OR(C111="",D111=""),"",B111&amp;"-"&amp;UPPER(C111)&amp;"-"&amp;TEXT(D111,"0000")&amp;"-"&amp;E111)</x:f>
        <x:v>M08-AGG-0105-V1.0</x:v>
      </x:c>
      <x:c r="B111" t="str">
        <x:v>M08</x:v>
      </x:c>
      <x:c r="C111" t="str">
        <x:v>AGG</x:v>
      </x:c>
      <x:c r="D111" t="n">
        <x:v>105</x:v>
      </x:c>
      <x:c r="E111" t="str">
        <x:v>V1.0</x:v>
      </x:c>
      <x:c r="F111" t="str">
        <x:v>中和区间允许强弱证据同时存在并相互抵消</x:v>
      </x:c>
      <x:c r="G111" t="str">
        <x:v>结构层</x:v>
      </x:c>
      <x:c r="H111" t="str">
        <x:v>综合平衡</x:v>
      </x:c>
      <x:c r="I111" t="str">
        <x:v>目标五行</x:v>
      </x:c>
      <x:c r="J111" t="str">
        <x:v>原始中间区</x:v>
      </x:c>
      <x:c r="K111" t="str">
        <x:v>增强与削弱证据接近</x:v>
      </x:c>
      <x:c r="L111" t="str">
        <x:v>保持中和或偏旺偏弱的边际表达</x:v>
      </x:c>
      <x:c r="M111" t="str">
        <x:v>条件性</x:v>
      </x:c>
      <x:c r="N111" t="str">
        <x:v>中</x:v>
      </x:c>
      <x:c r="O111" t="str">
        <x:v>条件性</x:v>
      </x:c>
      <x:c r="P111" t="str">
        <x:v>条件性</x:v>
      </x:c>
      <x:c r="Q111" t="str">
        <x:v>条件性</x:v>
      </x:c>
      <x:c r="R111" t="str">
        <x:v>条件性</x:v>
      </x:c>
      <x:c r="S111" t="str">
        <x:v>M07原始旺衰与M06关键效应均已完成</x:v>
      </x:c>
      <x:c r="T111" t="str">
        <x:v>主证据与反向证据均可追溯</x:v>
      </x:c>
      <x:c r="U111" t="str">
        <x:v>得令、有根、有援可增强</x:v>
      </x:c>
      <x:c r="V111" t="str">
        <x:v>失令、孤立或受制可削弱</x:v>
      </x:c>
      <x:c r="W111" t="str">
        <x:v>禁止用关系名称直接替代实际效应</x:v>
      </x:c>
      <x:c r="X111" t="str">
        <x:v>特殊格局与动态岁运另模块处理</x:v>
      </x:c>
      <x:c r="Y111" t="str">
        <x:v>按证据修正有效旺衰</x:v>
      </x:c>
      <x:c r="Z111" t="str">
        <x:v>不得直接推出喜忌用神</x:v>
      </x:c>
      <x:c r="AA111" t="str">
        <x:v>中和区间</x:v>
      </x:c>
      <x:c r="AB111" t="str">
        <x:v>正反证据接近时，应保留中和区间并表达轻微方向。</x:v>
      </x:c>
      <x:c r="AC111" t="str">
        <x:v>较高</x:v>
      </x:c>
      <x:c r="AD111" t="str">
        <x:v>现代综合</x:v>
      </x:c>
      <x:c r="AE111" t="str">
        <x:v>有效力量必须承接原始力量与实际效应，逐对象、逐节点修正。</x:v>
      </x:c>
      <x:c r="AF111" t="str">
        <x:v>证据方向略占优时可判中和偏旺或偏弱。</x:v>
      </x:c>
      <x:c r="AG111" t="str">
        <x:v>用单一分数阈值或单一关系名强行定级。</x:v>
      </x:c>
      <x:c r="AH111" t="str">
        <x:v>https://zh.wikisource.org/zh-hans/滴天髓 ; https://zh.wikisource.org/zh-hans/淵海子平 ; https://zh.wikisource.org/wiki/三命通會</x:v>
      </x:c>
      <x:c r="AI111" t="str">
        <x:v>采用</x:v>
      </x:c>
      <x:c r="AJ111" t="str">
        <x:v>初审</x:v>
      </x:c>
      <x:c r="AK111" t="n">
        <x:v>46255</x:v>
      </x:c>
    </x:row>
    <x:row r="112">
      <x:c r="A112" t="str">
        <x:f>IF(OR(C112="",D112=""),"",B112&amp;"-"&amp;UPPER(C112)&amp;"-"&amp;TEXT(D112,"0000")&amp;"-"&amp;E112)</x:f>
        <x:v>M08-AGG-0106-V1.0</x:v>
      </x:c>
      <x:c r="B112" t="str">
        <x:v>M08</x:v>
      </x:c>
      <x:c r="C112" t="str">
        <x:v>AGG</x:v>
      </x:c>
      <x:c r="D112" t="n">
        <x:v>106</x:v>
      </x:c>
      <x:c r="E112" t="str">
        <x:v>V1.0</x:v>
      </x:c>
      <x:c r="F112" t="str">
        <x:v>有效旺衰输出必须附主证据、反证与置信度</x:v>
      </x:c>
      <x:c r="G112" t="str">
        <x:v>结构层</x:v>
      </x:c>
      <x:c r="H112" t="str">
        <x:v>输出规范</x:v>
      </x:c>
      <x:c r="I112" t="str">
        <x:v>目标五行</x:v>
      </x:c>
      <x:c r="J112" t="str">
        <x:v>结论已形成</x:v>
      </x:c>
      <x:c r="K112" t="str">
        <x:v>证据汇总</x:v>
      </x:c>
      <x:c r="L112" t="str">
        <x:v>生成可追溯结论而非单标签</x:v>
      </x:c>
      <x:c r="M112" t="str">
        <x:v>不变</x:v>
      </x:c>
      <x:c r="N112" t="str">
        <x:v>强</x:v>
      </x:c>
      <x:c r="O112" t="str">
        <x:v>条件性</x:v>
      </x:c>
      <x:c r="P112" t="str">
        <x:v>条件性</x:v>
      </x:c>
      <x:c r="Q112" t="str">
        <x:v>条件性</x:v>
      </x:c>
      <x:c r="R112" t="str">
        <x:v>条件性</x:v>
      </x:c>
      <x:c r="S112" t="str">
        <x:v>M07原始旺衰与M06关键效应均已完成</x:v>
      </x:c>
      <x:c r="T112" t="str">
        <x:v>主证据与反向证据均可追溯</x:v>
      </x:c>
      <x:c r="U112" t="str">
        <x:v>得令、有根、有援可增强</x:v>
      </x:c>
      <x:c r="V112" t="str">
        <x:v>失令、孤立或受制可削弱</x:v>
      </x:c>
      <x:c r="W112" t="str">
        <x:v>禁止用关系名称直接替代实际效应</x:v>
      </x:c>
      <x:c r="X112" t="str">
        <x:v>特殊格局与动态岁运另模块处理</x:v>
      </x:c>
      <x:c r="Y112" t="str">
        <x:v>按证据修正有效旺衰</x:v>
      </x:c>
      <x:c r="Z112" t="str">
        <x:v>不得直接推出喜忌用神</x:v>
      </x:c>
      <x:c r="AA112" t="str">
        <x:v>有效旺衰输出</x:v>
      </x:c>
      <x:c r="AB112" t="str">
        <x:v>每个五行必须输出有效旺衰等级、主要修正、反证和置信度。</x:v>
      </x:c>
      <x:c r="AC112" t="str">
        <x:v>较高</x:v>
      </x:c>
      <x:c r="AD112" t="str">
        <x:v>现代综合</x:v>
      </x:c>
      <x:c r="AE112" t="str">
        <x:v>有效力量必须承接原始力量与实际效应，逐对象、逐节点修正。</x:v>
      </x:c>
      <x:c r="AF112" t="str">
        <x:v>证据方向略占优时可判中和偏旺或偏弱。</x:v>
      </x:c>
      <x:c r="AG112" t="str">
        <x:v>用单一分数阈值或单一关系名强行定级。</x:v>
      </x:c>
      <x:c r="AH112" t="str">
        <x:v>https://zh.wikisource.org/zh-hans/滴天髓 ; https://zh.wikisource.org/zh-hans/淵海子平 ; https://zh.wikisource.org/wiki/三命通會</x:v>
      </x:c>
      <x:c r="AI112" t="str">
        <x:v>采用</x:v>
      </x:c>
      <x:c r="AJ112" t="str">
        <x:v>初审</x:v>
      </x:c>
      <x:c r="AK112" t="n">
        <x:v>46255</x:v>
      </x:c>
    </x:row>
    <x:row r="113">
      <x:c r="A113" t="str">
        <x:f>IF(OR(C113="",D113=""),"",B113&amp;"-"&amp;UPPER(C113)&amp;"-"&amp;TEXT(D113,"0000")&amp;"-"&amp;E113)</x:f>
        <x:v>M08-BOUND-0107-V1.0</x:v>
      </x:c>
      <x:c r="B113" t="str">
        <x:v>M08</x:v>
      </x:c>
      <x:c r="C113" t="str">
        <x:v>BOUND</x:v>
      </x:c>
      <x:c r="D113" t="n">
        <x:v>107</x:v>
      </x:c>
      <x:c r="E113" t="str">
        <x:v>V1.0</x:v>
      </x:c>
      <x:c r="F113" t="str">
        <x:v>M08不得直接确定喜神忌神用神</x:v>
      </x:c>
      <x:c r="G113" t="str">
        <x:v>结构层</x:v>
      </x:c>
      <x:c r="H113" t="str">
        <x:v>模块边界</x:v>
      </x:c>
      <x:c r="I113" t="str">
        <x:v>全部五行</x:v>
      </x:c>
      <x:c r="J113" t="str">
        <x:v>任意</x:v>
      </x:c>
      <x:c r="K113" t="str">
        <x:v>有效力量判断</x:v>
      </x:c>
      <x:c r="L113" t="str">
        <x:v>只输出力量与可用性，不赋予价值判断</x:v>
      </x:c>
      <x:c r="M113" t="str">
        <x:v>不变</x:v>
      </x:c>
      <x:c r="N113" t="str">
        <x:v>决定性</x:v>
      </x:c>
      <x:c r="O113" t="str">
        <x:v>否</x:v>
      </x:c>
      <x:c r="P113" t="str">
        <x:v>否</x:v>
      </x:c>
      <x:c r="Q113" t="str">
        <x:v>否</x:v>
      </x:c>
      <x:c r="R113" t="str">
        <x:v>否</x:v>
      </x:c>
      <x:c r="S113" t="str">
        <x:v>前置模块已完成</x:v>
      </x:c>
      <x:c r="T113" t="str">
        <x:v>作用条件真实成立</x:v>
      </x:c>
      <x:c r="U113" t="str">
        <x:v>得令、有根、有援可增强</x:v>
      </x:c>
      <x:c r="V113" t="str">
        <x:v>失令、孤立或受制可削弱</x:v>
      </x:c>
      <x:c r="W113" t="str">
        <x:v>禁止用关系名称直接替代实际效应</x:v>
      </x:c>
      <x:c r="X113" t="str">
        <x:v>特殊格局与动态岁运另模块处理</x:v>
      </x:c>
      <x:c r="Y113" t="str">
        <x:v>按证据修正有效旺衰</x:v>
      </x:c>
      <x:c r="Z113" t="str">
        <x:v>不得直接推出喜忌用神</x:v>
      </x:c>
      <x:c r="AA113" t="str">
        <x:v>喜忌隔离</x:v>
      </x:c>
      <x:c r="AB113" t="str">
        <x:v>有效旺衰只描述力量事实，喜忌用神必须等待后续综合裁决。</x:v>
      </x:c>
      <x:c r="AC113" t="str">
        <x:v>较高</x:v>
      </x:c>
      <x:c r="AD113" t="str">
        <x:v>现代综合</x:v>
      </x:c>
      <x:c r="AE113" t="str">
        <x:v>有效力量必须承接原始力量与实际效应，逐对象、逐节点修正。</x:v>
      </x:c>
      <x:c r="AF113" t="str">
        <x:v>保留证据链、条件、反证和替代方案。</x:v>
      </x:c>
      <x:c r="AG113" t="str">
        <x:v>把争议口诀、固定比例或喜忌结论硬编码到M08。</x:v>
      </x:c>
      <x:c r="AH113" t="str">
        <x:v>https://zh.wikisource.org/zh-hans/滴天髓 ; https://zh.wikisource.org/zh-hans/淵海子平 ; https://zh.wikisource.org/wiki/三命通會</x:v>
      </x:c>
      <x:c r="AI113" t="str">
        <x:v>采用</x:v>
      </x:c>
      <x:c r="AJ113" t="str">
        <x:v>初审</x:v>
      </x:c>
      <x:c r="AK113" t="n">
        <x:v>46255</x:v>
      </x:c>
    </x:row>
    <x:row r="114">
      <x:c r="A114" t="str">
        <x:f>IF(OR(C114="",D114=""),"",B114&amp;"-"&amp;UPPER(C114)&amp;"-"&amp;TEXT(D114,"0000")&amp;"-"&amp;E114)</x:f>
        <x:v>M08-BOUND-0108-V1.0</x:v>
      </x:c>
      <x:c r="B114" t="str">
        <x:v>M08</x:v>
      </x:c>
      <x:c r="C114" t="str">
        <x:v>BOUND</x:v>
      </x:c>
      <x:c r="D114" t="n">
        <x:v>108</x:v>
      </x:c>
      <x:c r="E114" t="str">
        <x:v>V1.0</x:v>
      </x:c>
      <x:c r="F114" t="str">
        <x:v>同一力量节点不得在根源透党合局等维度重复满额调用</x:v>
      </x:c>
      <x:c r="G114" t="str">
        <x:v>结构层</x:v>
      </x:c>
      <x:c r="H114" t="str">
        <x:v>证据容量</x:v>
      </x:c>
      <x:c r="I114" t="str">
        <x:v>全部五行</x:v>
      </x:c>
      <x:c r="J114" t="str">
        <x:v>任意</x:v>
      </x:c>
      <x:c r="K114" t="str">
        <x:v>同一节点多标签</x:v>
      </x:c>
      <x:c r="L114" t="str">
        <x:v>执行证据去重与容量分配</x:v>
      </x:c>
      <x:c r="M114" t="str">
        <x:v>不变</x:v>
      </x:c>
      <x:c r="N114" t="str">
        <x:v>决定性</x:v>
      </x:c>
      <x:c r="O114" t="str">
        <x:v>否</x:v>
      </x:c>
      <x:c r="P114" t="str">
        <x:v>否</x:v>
      </x:c>
      <x:c r="Q114" t="str">
        <x:v>否</x:v>
      </x:c>
      <x:c r="R114" t="str">
        <x:v>否</x:v>
      </x:c>
      <x:c r="S114" t="str">
        <x:v>前置模块已完成</x:v>
      </x:c>
      <x:c r="T114" t="str">
        <x:v>作用条件真实成立</x:v>
      </x:c>
      <x:c r="U114" t="str">
        <x:v>得令、有根、有援可增强</x:v>
      </x:c>
      <x:c r="V114" t="str">
        <x:v>失令、孤立或受制可削弱</x:v>
      </x:c>
      <x:c r="W114" t="str">
        <x:v>禁止用关系名称直接替代实际效应</x:v>
      </x:c>
      <x:c r="X114" t="str">
        <x:v>特殊格局与动态岁运另模块处理</x:v>
      </x:c>
      <x:c r="Y114" t="str">
        <x:v>按证据修正有效旺衰</x:v>
      </x:c>
      <x:c r="Z114" t="str">
        <x:v>不得直接推出喜忌用神</x:v>
      </x:c>
      <x:c r="AA114" t="str">
        <x:v>有效证据去重</x:v>
      </x:c>
      <x:c r="AB114" t="str">
        <x:v>同一干支节点可以承担多个解释标签，但只能按真实容量调用。</x:v>
      </x:c>
      <x:c r="AC114" t="str">
        <x:v>较高</x:v>
      </x:c>
      <x:c r="AD114" t="str">
        <x:v>现代综合</x:v>
      </x:c>
      <x:c r="AE114" t="str">
        <x:v>有效力量必须承接原始力量与实际效应，逐对象、逐节点修正。</x:v>
      </x:c>
      <x:c r="AF114" t="str">
        <x:v>保留证据链、条件、反证和替代方案。</x:v>
      </x:c>
      <x:c r="AG114" t="str">
        <x:v>把争议口诀、固定比例或喜忌结论硬编码到M08。</x:v>
      </x:c>
      <x:c r="AH114" t="str">
        <x:v>https://zh.wikisource.org/zh-hans/滴天髓 ; https://zh.wikisource.org/zh-hans/淵海子平 ; https://zh.wikisource.org/wiki/三命通會</x:v>
      </x:c>
      <x:c r="AI114" t="str">
        <x:v>采用</x:v>
      </x:c>
      <x:c r="AJ114" t="str">
        <x:v>初审</x:v>
      </x:c>
      <x:c r="AK114" t="n">
        <x:v>46255</x:v>
      </x:c>
    </x:row>
    <x:row r="115">
      <x:c r="A115" t="str">
        <x:f>IF(OR(C115="",D115=""),"",B115&amp;"-"&amp;UPPER(C115)&amp;"-"&amp;TEXT(D115,"0000")&amp;"-"&amp;E115)</x:f>
        <x:v>M08-BOUND-0109-V1.0</x:v>
      </x:c>
      <x:c r="B115" t="str">
        <x:v>M08</x:v>
      </x:c>
      <x:c r="C115" t="str">
        <x:v>BOUND</x:v>
      </x:c>
      <x:c r="D115" t="n">
        <x:v>109</x:v>
      </x:c>
      <x:c r="E115" t="str">
        <x:v>V1.0</x:v>
      </x:c>
      <x:c r="F115" t="str">
        <x:v>固定百分比或固定分值不能作为最终裁决</x:v>
      </x:c>
      <x:c r="G115" t="str">
        <x:v>结构层</x:v>
      </x:c>
      <x:c r="H115" t="str">
        <x:v>模型治理</x:v>
      </x:c>
      <x:c r="I115" t="str">
        <x:v>全部五行</x:v>
      </x:c>
      <x:c r="J115" t="str">
        <x:v>任意</x:v>
      </x:c>
      <x:c r="K115" t="str">
        <x:v>量化尝试</x:v>
      </x:c>
      <x:c r="L115" t="str">
        <x:v>参考权重只用于辅助排序</x:v>
      </x:c>
      <x:c r="M115" t="str">
        <x:v>不变</x:v>
      </x:c>
      <x:c r="N115" t="str">
        <x:v>强</x:v>
      </x:c>
      <x:c r="O115" t="str">
        <x:v>否</x:v>
      </x:c>
      <x:c r="P115" t="str">
        <x:v>否</x:v>
      </x:c>
      <x:c r="Q115" t="str">
        <x:v>否</x:v>
      </x:c>
      <x:c r="R115" t="str">
        <x:v>否</x:v>
      </x:c>
      <x:c r="S115" t="str">
        <x:v>前置模块已完成</x:v>
      </x:c>
      <x:c r="T115" t="str">
        <x:v>作用条件真实成立</x:v>
      </x:c>
      <x:c r="U115" t="str">
        <x:v>得令、有根、有援可增强</x:v>
      </x:c>
      <x:c r="V115" t="str">
        <x:v>失令、孤立或受制可削弱</x:v>
      </x:c>
      <x:c r="W115" t="str">
        <x:v>禁止用关系名称直接替代实际效应</x:v>
      </x:c>
      <x:c r="X115" t="str">
        <x:v>特殊格局与动态岁运另模块处理</x:v>
      </x:c>
      <x:c r="Y115" t="str">
        <x:v>按证据修正有效旺衰</x:v>
      </x:c>
      <x:c r="Z115" t="str">
        <x:v>不得直接推出喜忌用神</x:v>
      </x:c>
      <x:c r="AA115" t="str">
        <x:v>非机械计分</x:v>
      </x:c>
      <x:c r="AB115" t="str">
        <x:v>M08可以使用参考权重辅助一致性，但不能用固定百分比替代结构判断。</x:v>
      </x:c>
      <x:c r="AC115" t="str">
        <x:v>较高</x:v>
      </x:c>
      <x:c r="AD115" t="str">
        <x:v>现代综合</x:v>
      </x:c>
      <x:c r="AE115" t="str">
        <x:v>有效力量必须承接原始力量与实际效应，逐对象、逐节点修正。</x:v>
      </x:c>
      <x:c r="AF115" t="str">
        <x:v>保留证据链、条件、反证和替代方案。</x:v>
      </x:c>
      <x:c r="AG115" t="str">
        <x:v>把争议口诀、固定比例或喜忌结论硬编码到M08。</x:v>
      </x:c>
      <x:c r="AH115" t="str">
        <x:v>https://zh.wikisource.org/zh-hans/滴天髓 ; https://zh.wikisource.org/zh-hans/淵海子平 ; https://zh.wikisource.org/wiki/三命通會</x:v>
      </x:c>
      <x:c r="AI115" t="str">
        <x:v>采用</x:v>
      </x:c>
      <x:c r="AJ115" t="str">
        <x:v>初审</x:v>
      </x:c>
      <x:c r="AK115" t="n">
        <x:v>46255</x:v>
      </x:c>
    </x:row>
    <x:row r="116">
      <x:c r="A116" t="str">
        <x:f>IF(OR(C116="",D116=""),"",B116&amp;"-"&amp;UPPER(C116)&amp;"-"&amp;TEXT(D116,"0000")&amp;"-"&amp;E116)</x:f>
        <x:v>M08-BOUND-0110-V1.0</x:v>
      </x:c>
      <x:c r="B116" t="str">
        <x:v>M08</x:v>
      </x:c>
      <x:c r="C116" t="str">
        <x:v>BOUND</x:v>
      </x:c>
      <x:c r="D116" t="n">
        <x:v>110</x:v>
      </x:c>
      <x:c r="E116" t="str">
        <x:v>V1.0</x:v>
      </x:c>
      <x:c r="F116" t="str">
        <x:v>关键结论依赖争议规则时降低置信度并转M21</x:v>
      </x:c>
      <x:c r="G116" t="str">
        <x:v>结构层</x:v>
      </x:c>
      <x:c r="H116" t="str">
        <x:v>治理边界</x:v>
      </x:c>
      <x:c r="I116" t="str">
        <x:v>全部五行</x:v>
      </x:c>
      <x:c r="J116" t="str">
        <x:v>任意</x:v>
      </x:c>
      <x:c r="K116" t="str">
        <x:v>依赖流派争议</x:v>
      </x:c>
      <x:c r="L116" t="str">
        <x:v>保留主方案与替代方案</x:v>
      </x:c>
      <x:c r="M116" t="str">
        <x:v>条件性</x:v>
      </x:c>
      <x:c r="N116" t="str">
        <x:v>中</x:v>
      </x:c>
      <x:c r="O116" t="str">
        <x:v>否</x:v>
      </x:c>
      <x:c r="P116" t="str">
        <x:v>否</x:v>
      </x:c>
      <x:c r="Q116" t="str">
        <x:v>否</x:v>
      </x:c>
      <x:c r="R116" t="str">
        <x:v>否</x:v>
      </x:c>
      <x:c r="S116" t="str">
        <x:v>前置模块已完成</x:v>
      </x:c>
      <x:c r="T116" t="str">
        <x:v>作用条件真实成立</x:v>
      </x:c>
      <x:c r="U116" t="str">
        <x:v>得令、有根、有援可增强</x:v>
      </x:c>
      <x:c r="V116" t="str">
        <x:v>失令、孤立或受制可削弱</x:v>
      </x:c>
      <x:c r="W116" t="str">
        <x:v>禁止用关系名称直接替代实际效应</x:v>
      </x:c>
      <x:c r="X116" t="str">
        <x:v>特殊格局与动态岁运另模块处理</x:v>
      </x:c>
      <x:c r="Y116" t="str">
        <x:v>按证据修正有效旺衰</x:v>
      </x:c>
      <x:c r="Z116" t="str">
        <x:v>不得直接推出喜忌用神</x:v>
      </x:c>
      <x:c r="AA116" t="str">
        <x:v>争议降置信</x:v>
      </x:c>
      <x:c r="AB116" t="str">
        <x:v>若有效旺衰依赖自刑、六破等争议规则，应降低置信度并在M21保留替代解释。</x:v>
      </x:c>
      <x:c r="AC116" t="str">
        <x:v>中等</x:v>
      </x:c>
      <x:c r="AD116" t="str">
        <x:v>现代综合</x:v>
      </x:c>
      <x:c r="AE116" t="str">
        <x:v>有效力量必须承接原始力量与实际效应，逐对象、逐节点修正。</x:v>
      </x:c>
      <x:c r="AF116" t="str">
        <x:v>保留证据链、条件、反证和替代方案。</x:v>
      </x:c>
      <x:c r="AG116" t="str">
        <x:v>把争议口诀、固定比例或喜忌结论硬编码到M08。</x:v>
      </x:c>
      <x:c r="AH116" t="str">
        <x:v>https://zh.wikisource.org/zh-hans/滴天髓 ; https://zh.wikisource.org/zh-hans/淵海子平 ; https://zh.wikisource.org/wiki/三命通會</x:v>
      </x:c>
      <x:c r="AI116" t="str">
        <x:v>待验证</x:v>
      </x:c>
      <x:c r="AJ116" t="str">
        <x:v>初审</x:v>
      </x:c>
      <x:c r="AK116" t="n">
        <x:v>46255</x:v>
      </x:c>
    </x:row>
  </x:sheetData>
  <x:mergeCells>
    <x:mergeCell ref="A1:O1"/>
    <x:mergeCell ref="A2:O2"/>
    <x:mergeCell ref="A3:O3"/>
    <x:mergeCell ref="A4:O4"/>
  </x:mergeCells>
  <x:conditionalFormatting sqref="A6:A105">
    <x:cfRule type="expression" dxfId="6"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M6:M105">
      <x:formula1>'99_下拉选项'!$M$4:$M$12</x:formula1>
    </x:dataValidation>
    <x:dataValidation type="list" sqref="N6:N105">
      <x:formula1>'99_下拉选项'!$N$4:$N$8</x:formula1>
    </x:dataValidation>
    <x:dataValidation type="list" sqref="O6:O105">
      <x:formula1>'99_下拉选项'!$X$4:$X$7</x:formula1>
    </x:dataValidation>
    <x:dataValidation type="list" sqref="P6:P105">
      <x:formula1>'99_下拉选项'!$X$4:$X$7</x:formula1>
    </x:dataValidation>
    <x:dataValidation type="list" sqref="Q6:Q105">
      <x:formula1>'99_下拉选项'!$X$4:$X$7</x:formula1>
    </x:dataValidation>
    <x:dataValidation type="list" sqref="R6:R105">
      <x:formula1>'99_下拉选项'!$X$4:$X$7</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E7:E116">
      <x:formula1>'99_下拉选项'!$BG$4:$BG$16</x:formula1>
    </x:dataValidation>
  </x:dataValidations>
  <x:pageMargins left="0.7" right="0.7" top="0.75" bottom="0.75" header="0.3" footer="0.3"/>
  <x:tableParts count="1">
    <x:tablePart xmlns:r="http://schemas.openxmlformats.org/officeDocument/2006/relationships" r:id="Rf834a3fd9cd24e10"/>
  </x:tableParts>
</x:worksheet>
</file>

<file path=xl/worksheets/sheet1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16" hidden="0" customWidth="1"/>
    <x:col min="21" max="21" width="16" hidden="0" customWidth="1"/>
    <x:col min="22" max="22" width="30" hidden="0" customWidth="1"/>
    <x:col min="23" max="23" width="30" hidden="0" customWidth="1"/>
    <x:col min="24" max="24" width="16" hidden="0" customWidth="1"/>
    <x:col min="25" max="25" width="16" hidden="0" customWidth="1"/>
    <x:col min="26" max="26" width="30" hidden="0" customWidth="1"/>
    <x:col min="27" max="27" width="16" hidden="0" customWidth="1"/>
    <x:col min="28" max="28" width="16" hidden="0" customWidth="1"/>
    <x:col min="29" max="29" width="30" hidden="0" customWidth="1"/>
    <x:col min="30" max="30" width="30" hidden="0" customWidth="1"/>
    <x:col min="31" max="31" width="30" hidden="0" customWidth="1"/>
    <x:col min="32" max="32" width="13" hidden="0" customWidth="1"/>
  </x:cols>
  <x:sheetData>
    <x:row r="1" ht="28" customHeight="1">
      <x:c r="A1" s="32" t="str">
        <x:v>M09｜日主旺衰综合裁定规则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row>
    <x:row r="2" ht="36" customHeight="1">
      <x:c r="A2" s="39" t="str">
        <x:v>综合M03月令根气、M07原始力量与M08有效力量，按得令、得地、得势、得生、受制、受泄、受耗及双侧净优势，输出日主七级旺衰、反向证据与置信度。本版录入90条正式规则。</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row>
    <x:row r="3" ht="30" customHeight="1">
      <x:c r="A3" s="47" t="str">
        <x:v>前置依赖：M03/M07/M08　｜　主要输出：日主七级旺衰、正反证据与置信度　｜　直接下游：M10/M11/M14/M16/M17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row>
    <x:row r="4" ht="34" customHeight="1">
      <x:c r="A4" s="54" t="str">
        <x:v>填写约束：一行只写一条原子规则；只读取M03/M07/M08已经确认的有效证据，不在M09重算合冲刑害；同源节点必须去重；月令不是一票否决；旺衰与喜忌、格局严格分离。示例行序号9999，不计入正式规则。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证据方向</x:v>
      </x:c>
      <x:c r="J5" s="61" t="str">
        <x:v>判断条件</x:v>
      </x:c>
      <x:c r="K5" s="61" t="str">
        <x:v>参考权重</x:v>
      </x:c>
      <x:c r="L5" s="61" t="str">
        <x:v>作用等级</x:v>
      </x:c>
      <x:c r="M5" s="61" t="str">
        <x:v>前置条件</x:v>
      </x:c>
      <x:c r="N5" s="61" t="str">
        <x:v>必要条件</x:v>
      </x:c>
      <x:c r="O5" s="61" t="str">
        <x:v>增强条件</x:v>
      </x:c>
      <x:c r="P5" s="61" t="str">
        <x:v>削弱条件</x:v>
      </x:c>
      <x:c r="Q5" s="61" t="str">
        <x:v>否决条件</x:v>
      </x:c>
      <x:c r="R5" s="61" t="str">
        <x:v>例外条件</x:v>
      </x:c>
      <x:c r="S5" s="61" t="str">
        <x:v>反向证据</x:v>
      </x:c>
      <x:c r="T5" s="61" t="str">
        <x:v>是否可单独定性</x:v>
      </x:c>
      <x:c r="U5" s="61" t="str">
        <x:v>旺衰候选</x:v>
      </x:c>
      <x:c r="V5" s="61" t="str">
        <x:v>结论标签</x:v>
      </x:c>
      <x:c r="W5" s="61" t="str">
        <x:v>标准输出</x:v>
      </x:c>
      <x:c r="X5" s="61" t="str">
        <x:v>置信等级</x:v>
      </x:c>
      <x:c r="Y5" s="61" t="str">
        <x:v>流派标签</x:v>
      </x:c>
      <x:c r="Z5" s="61" t="str">
        <x:v>依据说明</x:v>
      </x:c>
      <x:c r="AA5" s="61" t="str">
        <x:v>正例</x:v>
      </x:c>
      <x:c r="AB5" s="61" t="str">
        <x:v>反例</x:v>
      </x:c>
      <x:c r="AC5" s="61" t="str">
        <x:v>来源/备注</x:v>
      </x:c>
      <x:c r="AD5" s="61" t="str">
        <x:v>规则状态</x:v>
      </x:c>
      <x:c r="AE5" s="61" t="str">
        <x:v>审核状态</x:v>
      </x:c>
      <x:c r="AF5" s="61" t="str">
        <x:v>更新日期</x:v>
      </x:c>
    </x:row>
    <x:row r="6" ht="66" customHeight="1">
      <x:c r="A6" s="76" t="str">
        <x:f>IF(OR(C6="",D6=""),"",B6&amp;"-"&amp;UPPER(C6)&amp;"-"&amp;TEXT(D6,"0000")&amp;"-"&amp;E6)</x:f>
        <x:v>M09-DEMO-9999-V0.1</x:v>
      </x:c>
      <x:c r="B6" s="76" t="str">
        <x:v>M09</x:v>
      </x:c>
      <x:c r="C6" s="76" t="str">
        <x:v>DEMO</x:v>
      </x:c>
      <x:c r="D6" s="78" t="n">
        <x:v>9999</x:v>
      </x:c>
      <x:c r="E6" s="76" t="str">
        <x:v>V0.1</x:v>
      </x:c>
      <x:c r="F6" s="76" t="str">
        <x:v>得令不能单独构成身旺结论</x:v>
      </x:c>
      <x:c r="G6" s="76" t="str">
        <x:v>综合层</x:v>
      </x:c>
      <x:c r="H6" s="76" t="str">
        <x:v>得令</x:v>
      </x:c>
      <x:c r="I6" s="76" t="str">
        <x:v>支持偏旺</x:v>
      </x:c>
      <x:c r="J6" s="76" t="str">
        <x:v>日主五行得月令支持</x:v>
      </x:c>
      <x:c r="K6" s="76" t="str">
        <x:v>高</x:v>
      </x:c>
      <x:c r="L6" s="76" t="str">
        <x:v>强</x:v>
      </x:c>
      <x:c r="M6" s="76" t="str">
        <x:v>M03、M07、M08完成</x:v>
      </x:c>
      <x:c r="N6" s="76" t="str">
        <x:v>同时核查得地、得势及克泄耗</x:v>
      </x:c>
      <x:c r="O6" s="76" t="str">
        <x:v>根深、印比有效且成势</x:v>
      </x:c>
      <x:c r="P6" s="76" t="str">
        <x:v>无根、强泄耗、官杀直接有力</x:v>
      </x:c>
      <x:c r="Q6" s="76" t="str">
        <x:v>不得将得令视为身旺充分条件</x:v>
      </x:c>
      <x:c r="R6" s="76" t="str">
        <x:v>特殊格局另审</x:v>
      </x:c>
      <x:c r="S6" s="76" t="str">
        <x:v>若财官食伤成势且日主根气受限，得令也可能仅维持中和或偏弱</x:v>
      </x:c>
      <x:c r="T6" s="76" t="str">
        <x:v>否</x:v>
      </x:c>
      <x:c r="U6" s="76" t="str">
        <x:v>中和偏旺</x:v>
      </x:c>
      <x:c r="V6" s="76" t="str">
        <x:v>日主旺衰综合</x:v>
      </x:c>
      <x:c r="W6" s="76" t="str">
        <x:v>日主得令是偏旺证据，但不足以单独定性；需合并有效根气、印比与克泄耗后裁定。</x:v>
      </x:c>
      <x:c r="X6" s="76" t="str">
        <x:v>较高</x:v>
      </x:c>
      <x:c r="Y6" s="76" t="str">
        <x:v>现代综合</x:v>
      </x:c>
      <x:c r="Z6" s="76" t="str">
        <x:v>日主旺衰是多证据合成结论。</x:v>
      </x:c>
      <x:c r="AA6" s="76" t="str">
        <x:v>得令、得地、得势同时成立，可判偏旺或旺。</x:v>
      </x:c>
      <x:c r="AB6" s="76" t="str">
        <x:v>得令但无根且泄耗成势，仍机械判旺。</x:v>
      </x:c>
      <x:c r="AC6" s="76" t="str">
        <x:v>示例，仅演示字段用法</x:v>
      </x:c>
      <x:c r="AD6" s="76" t="str">
        <x:v>示例</x:v>
      </x:c>
      <x:c r="AE6" s="76" t="str">
        <x:v>未审核</x:v>
      </x:c>
      <x:c r="AF6" s="86" t="n">
        <x:v>46254</x:v>
      </x:c>
    </x:row>
    <x:row r="7">
      <x:c r="A7" s="72" t="str">
        <x:f>IF(OR(C7="",D7=""),"",B7&amp;"-"&amp;UPPER(C7)&amp;"-"&amp;TEXT(D7,"0000")&amp;"-"&amp;E7)</x:f>
        <x:v>M09-LING-0001-V1.0</x:v>
      </x:c>
      <x:c r="B7" s="74" t="str">
        <x:v>M09</x:v>
      </x:c>
      <x:c r="C7" s="74" t="str">
        <x:v>LING</x:v>
      </x:c>
      <x:c r="D7" s="79" t="n">
        <x:v>1</x:v>
      </x:c>
      <x:c r="E7" s="74" t="str">
        <x:v>V1.0</x:v>
      </x:c>
      <x:c r="F7" s="68" t="str">
        <x:v>得令是日主偏强的高权重证据但非充分条件</x:v>
      </x:c>
      <x:c r="G7" s="82" t="str">
        <x:v>综合层</x:v>
      </x:c>
      <x:c r="H7" s="68" t="str">
        <x:v>得令</x:v>
      </x:c>
      <x:c r="I7" s="68" t="str">
        <x:v>支持偏旺</x:v>
      </x:c>
      <x:c r="J7" s="68" t="str">
        <x:v>M03确认日主五行处于当令或获得强季令支持</x:v>
      </x:c>
      <x:c r="K7" s="68" t="str">
        <x:v>高</x:v>
      </x:c>
      <x:c r="L7" s="82" t="str">
        <x:v>强</x:v>
      </x:c>
      <x:c r="M7" s="68" t="str">
        <x:v>M03/M08完成</x:v>
      </x:c>
      <x:c r="N7" s="68" t="str">
        <x:v>季令支持已按节气与月令真实有效性确认</x:v>
      </x:c>
      <x:c r="O7" s="68" t="str">
        <x:v>同时有强根、印比成势</x:v>
      </x:c>
      <x:c r="P7" s="68" t="str">
        <x:v>无根、强官杀、强食伤或财星持续耗身</x:v>
      </x:c>
      <x:c r="Q7" s="90" t="str">
        <x:v>不得仅凭得令直接判身旺</x:v>
      </x:c>
      <x:c r="R7" s="68" t="str">
        <x:v>特殊格局转M14</x:v>
      </x:c>
      <x:c r="S7" s="68" t="str">
        <x:v>若负荷侧形成明显有效合力，得令也可能只维持中和或偏弱</x:v>
      </x:c>
      <x:c r="T7" s="82" t="str">
        <x:v>否</x:v>
      </x:c>
      <x:c r="U7" s="82" t="str">
        <x:v>中和偏旺</x:v>
      </x:c>
      <x:c r="V7" s="84" t="str">
        <x:v>得令高权重</x:v>
      </x:c>
      <x:c r="W7" s="84" t="str">
        <x:v>日主得令，属于偏强的重要证据；仍需与有效根气、印比及制泄耗合并裁定。</x:v>
      </x:c>
      <x:c r="X7" s="82" t="str">
        <x:v>较高</x:v>
      </x:c>
      <x:c r="Y7" s="82" t="str">
        <x:v>旺衰扶抑</x:v>
      </x:c>
      <x:c r="Z7" s="68" t="str">
        <x:v>月令为提纲但四柱仍有损益之权。</x:v>
      </x:c>
      <x:c r="AA7" s="68" t="str">
        <x:v>得令且多根、印比有力时，偏旺证据明显。</x:v>
      </x:c>
      <x:c r="AB7" s="90" t="str">
        <x:v>春木得令便无视重金克制而直接判旺。</x:v>
      </x:c>
      <x:c r="AC7" s="68" t="str">
        <x:v>https://zh.wikisource.org/wiki/%E6%B7%B5%E6%B5%B7%E5%AD%90%E5%B9%B3%E5%A4%A7%E5%85%A8 ; https://zh.wikisource.org/wiki/%E6%BB%B4%E5%A4%A9%E9%AB%93%E9%97%A1%E5%BE%AE</x:v>
      </x:c>
      <x:c r="AD7" s="82" t="str">
        <x:v>采用</x:v>
      </x:c>
      <x:c r="AE7" s="82" t="str">
        <x:v>初审</x:v>
      </x:c>
      <x:c r="AF7" s="87" t="n">
        <x:v>46255</x:v>
      </x:c>
    </x:row>
    <x:row r="8">
      <x:c r="A8" s="72" t="str">
        <x:f>IF(OR(C8="",D8=""),"",B8&amp;"-"&amp;UPPER(C8)&amp;"-"&amp;TEXT(D8,"0000")&amp;"-"&amp;E8)</x:f>
        <x:v>M09-LING-0002-V1.0</x:v>
      </x:c>
      <x:c r="B8" s="74" t="str">
        <x:v>M09</x:v>
      </x:c>
      <x:c r="C8" s="74" t="str">
        <x:v>LING</x:v>
      </x:c>
      <x:c r="D8" s="79" t="n">
        <x:v>2</x:v>
      </x:c>
      <x:c r="E8" s="74" t="str">
        <x:v>V1.0</x:v>
      </x:c>
      <x:c r="F8" s="68" t="str">
        <x:v>旺令比相令提供更直接的季节扶持</x:v>
      </x:c>
      <x:c r="G8" s="82" t="str">
        <x:v>综合层</x:v>
      </x:c>
      <x:c r="H8" s="68" t="str">
        <x:v>得令</x:v>
      </x:c>
      <x:c r="I8" s="68" t="str">
        <x:v>支持偏旺</x:v>
      </x:c>
      <x:c r="J8" s="68" t="str">
        <x:v>M03将日主五行判为旺令或相令</x:v>
      </x:c>
      <x:c r="K8" s="68" t="str">
        <x:v>中高</x:v>
      </x:c>
      <x:c r="L8" s="82" t="str">
        <x:v>中</x:v>
      </x:c>
      <x:c r="M8" s="68" t="str">
        <x:v>M03完成</x:v>
      </x:c>
      <x:c r="N8" s="68" t="str">
        <x:v>旺相状态已区分</x:v>
      </x:c>
      <x:c r="O8" s="68" t="str">
        <x:v>旺令并见根气</x:v>
      </x:c>
      <x:c r="P8" s="68" t="str">
        <x:v>相令但生源弱或受阻</x:v>
      </x:c>
      <x:c r="Q8" s="90" t="str">
        <x:v>不得把旺与相完全等权</x:v>
      </x:c>
      <x:c r="R8" s="68" t="str">
        <x:v>四季土月按M03细分</x:v>
      </x:c>
      <x:c r="S8" s="68" t="str">
        <x:v>相令仍可因强根与印比升级，旺令也可因强耗制下调</x:v>
      </x:c>
      <x:c r="T8" s="82" t="str">
        <x:v>否</x:v>
      </x:c>
      <x:c r="U8" s="82" t="str">
        <x:v>中和偏旺</x:v>
      </x:c>
      <x:c r="V8" s="84" t="str">
        <x:v>旺相层级</x:v>
      </x:c>
      <x:c r="W8" s="84" t="str">
        <x:v>旺令提供更直接季节优势；相令为间接支持，两者不作机械等权。</x:v>
      </x:c>
      <x:c r="X8" s="82" t="str">
        <x:v>较高</x:v>
      </x:c>
      <x:c r="Y8" s="82" t="str">
        <x:v>现代综合</x:v>
      </x:c>
      <x:c r="Z8" s="68" t="str">
        <x:v>月令权重高但不是单项充分条件；必须结合M08有效根气、印比与制泄耗，且同源季令证据去重。</x:v>
      </x:c>
      <x:c r="AA8" s="68" t="str">
        <x:v>正例：当“M03将日主五行判为旺令或相令”真实成立，且必要条件与增强条件同向时，按“旺令比相令提供更直接的季节扶持”记录对应旺衰证据。</x:v>
      </x:c>
      <x:c r="AB8" s="90" t="str">
        <x:v>反例：只有表面条件，但出现“不得把旺与相完全等权”或关键有效性未成立时，不得套用本规则。</x:v>
      </x:c>
      <x:c r="AC8" s="68" t="str">
        <x:v>https://zh.wikisource.org/wiki/%E6%B7%B5%E6%B5%B7%E5%AD%90%E5%B9%B3%E5%A4%A7%E5%85%A8 ; https://zh.wikisource.org/wiki/%E6%BB%B4%E5%A4%A9%E9%AB%93%E9%97%A1%E5%BE%AE</x:v>
      </x:c>
      <x:c r="AD8" s="82" t="str">
        <x:v>采用</x:v>
      </x:c>
      <x:c r="AE8" s="82" t="str">
        <x:v>初审</x:v>
      </x:c>
      <x:c r="AF8" s="87" t="n">
        <x:v>46255</x:v>
      </x:c>
    </x:row>
    <x:row r="9">
      <x:c r="A9" s="72" t="str">
        <x:f>IF(OR(C9="",D9=""),"",B9&amp;"-"&amp;UPPER(C9)&amp;"-"&amp;TEXT(D9,"0000")&amp;"-"&amp;E9)</x:f>
        <x:v>M09-LING-0003-V1.0</x:v>
      </x:c>
      <x:c r="B9" s="74" t="str">
        <x:v>M09</x:v>
      </x:c>
      <x:c r="C9" s="74" t="str">
        <x:v>LING</x:v>
      </x:c>
      <x:c r="D9" s="79" t="n">
        <x:v>3</x:v>
      </x:c>
      <x:c r="E9" s="74" t="str">
        <x:v>V1.0</x:v>
      </x:c>
      <x:c r="F9" s="68" t="str">
        <x:v>休囚死是季节不利证据而不是日主弱的充分条件</x:v>
      </x:c>
      <x:c r="G9" s="82" t="str">
        <x:v>综合层</x:v>
      </x:c>
      <x:c r="H9" s="68" t="str">
        <x:v>得令</x:v>
      </x:c>
      <x:c r="I9" s="68" t="str">
        <x:v>支持偏弱</x:v>
      </x:c>
      <x:c r="J9" s="68" t="str">
        <x:v>M03判日主五行为休、囚或死</x:v>
      </x:c>
      <x:c r="K9" s="68" t="str">
        <x:v>中高</x:v>
      </x:c>
      <x:c r="L9" s="82" t="str">
        <x:v>中</x:v>
      </x:c>
      <x:c r="M9" s="68" t="str">
        <x:v>M03/M08完成</x:v>
      </x:c>
      <x:c r="N9" s="68" t="str">
        <x:v>季节状态真实</x:v>
      </x:c>
      <x:c r="O9" s="68" t="str">
        <x:v>失令同时无根无援</x:v>
      </x:c>
      <x:c r="P9" s="68" t="str">
        <x:v>根深、印比成势、有效生源强</x:v>
      </x:c>
      <x:c r="Q9" s="90" t="str">
        <x:v>不得由失令直接推出弱或极弱</x:v>
      </x:c>
      <x:c r="R9" s="68" t="str">
        <x:v>特殊格局另审</x:v>
      </x:c>
      <x:c r="S9" s="68" t="str">
        <x:v>若日主虽失令但多重有效根与印比成势，可反转为中和偏旺甚至旺</x:v>
      </x:c>
      <x:c r="T9" s="82" t="str">
        <x:v>否</x:v>
      </x:c>
      <x:c r="U9" s="82" t="str">
        <x:v>中和偏弱</x:v>
      </x:c>
      <x:c r="V9" s="84" t="str">
        <x:v>失令证据</x:v>
      </x:c>
      <x:c r="W9" s="84" t="str">
        <x:v>日主失令构成偏弱证据，但是否身弱取决于有效根气、印比和制泄耗。</x:v>
      </x:c>
      <x:c r="X9" s="82" t="str">
        <x:v>较高</x:v>
      </x:c>
      <x:c r="Y9" s="82" t="str">
        <x:v>现代综合</x:v>
      </x:c>
      <x:c r="Z9" s="68" t="str">
        <x:v>月令权重高但不是单项充分条件；必须结合M08有效根气、印比与制泄耗，且同源季令证据去重。</x:v>
      </x:c>
      <x:c r="AA9" s="68" t="str">
        <x:v>正例：当“M03判日主五行为休、囚或死”真实成立，且必要条件与增强条件同向时，按“休囚死是季节不利证据而不是日主弱的充分条件”记录对应旺衰证据。</x:v>
      </x:c>
      <x:c r="AB9" s="90" t="str">
        <x:v>反例：只有表面条件，但出现“不得由失令直接推出弱或极弱”或关键有效性未成立时，不得套用本规则。</x:v>
      </x:c>
      <x:c r="AC9" s="68" t="str">
        <x:v>https://zh.wikisource.org/wiki/%E6%B7%B5%E6%B5%B7%E5%AD%90%E5%B9%B3%E5%A4%A7%E5%85%A8 ; https://zh.wikisource.org/wiki/%E6%BB%B4%E5%A4%A9%E9%AB%93%E9%97%A1%E5%BE%AE</x:v>
      </x:c>
      <x:c r="AD9" s="82" t="str">
        <x:v>采用</x:v>
      </x:c>
      <x:c r="AE9" s="82" t="str">
        <x:v>初审</x:v>
      </x:c>
      <x:c r="AF9" s="87" t="n">
        <x:v>46255</x:v>
      </x:c>
    </x:row>
    <x:row r="10">
      <x:c r="A10" s="72" t="str">
        <x:f>IF(OR(C10="",D10=""),"",B10&amp;"-"&amp;UPPER(C10)&amp;"-"&amp;TEXT(D10,"0000")&amp;"-"&amp;E10)</x:f>
        <x:v>M09-LING-0004-V1.0</x:v>
      </x:c>
      <x:c r="B10" s="74" t="str">
        <x:v>M09</x:v>
      </x:c>
      <x:c r="C10" s="74" t="str">
        <x:v>LING</x:v>
      </x:c>
      <x:c r="D10" s="79" t="n">
        <x:v>4</x:v>
      </x:c>
      <x:c r="E10" s="74" t="str">
        <x:v>V1.0</x:v>
      </x:c>
      <x:c r="F10" s="68" t="str">
        <x:v>得令但无有效根时承载能力需单独核查</x:v>
      </x:c>
      <x:c r="G10" s="82" t="str">
        <x:v>综合层</x:v>
      </x:c>
      <x:c r="H10" s="68" t="str">
        <x:v>得令</x:v>
      </x:c>
      <x:c r="I10" s="68" t="str">
        <x:v>条件性支持偏旺</x:v>
      </x:c>
      <x:c r="J10" s="68" t="str">
        <x:v>得令但M08显示无有效根或仅微根</x:v>
      </x:c>
      <x:c r="K10" s="68" t="str">
        <x:v>高</x:v>
      </x:c>
      <x:c r="L10" s="82" t="str">
        <x:v>强</x:v>
      </x:c>
      <x:c r="M10" s="68" t="str">
        <x:v>M03/M08完成</x:v>
      </x:c>
      <x:c r="N10" s="68" t="str">
        <x:v>日主确实缺少有效根</x:v>
      </x:c>
      <x:c r="O10" s="68" t="str">
        <x:v>有强印持续生身、比劫得势</x:v>
      </x:c>
      <x:c r="P10" s="68" t="str">
        <x:v>财官食伤成势且无落脚点</x:v>
      </x:c>
      <x:c r="Q10" s="90" t="str">
        <x:v>禁止固定判为旺或弱</x:v>
      </x:c>
      <x:c r="R10" s="68" t="str">
        <x:v>若日主本身在干支形成其他独立承载则重审</x:v>
      </x:c>
      <x:c r="S10" s="68" t="str">
        <x:v>无根不必然弱，但对持续承受泄耗制约不利</x:v>
      </x:c>
      <x:c r="T10" s="82" t="str">
        <x:v>否</x:v>
      </x:c>
      <x:c r="U10" s="82" t="str">
        <x:v>中和</x:v>
      </x:c>
      <x:c r="V10" s="84" t="str">
        <x:v>得令无根边界</x:v>
      </x:c>
      <x:c r="W10" s="84" t="str">
        <x:v>日主虽得令，但有效根不足；季令优势能否转化为稳定承载需与印比和负荷侧共同判断。</x:v>
      </x:c>
      <x:c r="X10" s="82" t="str">
        <x:v>较高</x:v>
      </x:c>
      <x:c r="Y10" s="82" t="str">
        <x:v>现代综合</x:v>
      </x:c>
      <x:c r="Z10" s="68" t="str">
        <x:v>解决“得令但无根”边界，不设固定等级。</x:v>
      </x:c>
      <x:c r="AA10" s="68" t="str">
        <x:v>正例：当“得令但M08显示无有效根或仅微根”真实成立，且必要条件与增强条件同向时，按“得令但无有效根时承载能力需单独核查”记录对应旺衰证据。</x:v>
      </x:c>
      <x:c r="AB10" s="90" t="str">
        <x:v>反例：只有表面条件，但出现“禁止固定判为旺或弱”或关键有效性未成立时，不得套用本规则。</x:v>
      </x:c>
      <x:c r="AC10" s="68" t="str">
        <x:v>https://zh.wikisource.org/wiki/%E6%B7%B5%E6%B5%B7%E5%AD%90%E5%B9%B3%E5%A4%A7%E5%85%A8 ; https://zh.wikisource.org/wiki/%E6%BB%B4%E5%A4%A9%E9%AB%93%E9%97%A1%E5%BE%AE</x:v>
      </x:c>
      <x:c r="AD10" s="82" t="str">
        <x:v>采用</x:v>
      </x:c>
      <x:c r="AE10" s="82" t="str">
        <x:v>初审</x:v>
      </x:c>
      <x:c r="AF10" s="87" t="n">
        <x:v>46255</x:v>
      </x:c>
    </x:row>
    <x:row r="11">
      <x:c r="A11" s="72" t="str">
        <x:f>IF(OR(C11="",D11=""),"",B11&amp;"-"&amp;UPPER(C11)&amp;"-"&amp;TEXT(D11,"0000")&amp;"-"&amp;E11)</x:f>
        <x:v>M09-LING-0005-V1.0</x:v>
      </x:c>
      <x:c r="B11" s="74" t="str">
        <x:v>M09</x:v>
      </x:c>
      <x:c r="C11" s="74" t="str">
        <x:v>LING</x:v>
      </x:c>
      <x:c r="D11" s="79" t="n">
        <x:v>5</x:v>
      </x:c>
      <x:c r="E11" s="74" t="str">
        <x:v>V1.0</x:v>
      </x:c>
      <x:c r="F11" s="68" t="str">
        <x:v>失令但根深印比成势可反转季节劣势</x:v>
      </x:c>
      <x:c r="G11" s="82" t="str">
        <x:v>综合层</x:v>
      </x:c>
      <x:c r="H11" s="68" t="str">
        <x:v>得令</x:v>
      </x:c>
      <x:c r="I11" s="68" t="str">
        <x:v>支持偏旺</x:v>
      </x:c>
      <x:c r="J11" s="68" t="str">
        <x:v>失令，同时M08显示多重有效强根且印比形成明显扶身势</x:v>
      </x:c>
      <x:c r="K11" s="68" t="str">
        <x:v>高</x:v>
      </x:c>
      <x:c r="L11" s="82" t="str">
        <x:v>强</x:v>
      </x:c>
      <x:c r="M11" s="68" t="str">
        <x:v>M08完成</x:v>
      </x:c>
      <x:c r="N11" s="68" t="str">
        <x:v>根气和印比均为有效而非名义存在</x:v>
      </x:c>
      <x:c r="O11" s="68" t="str">
        <x:v>比劫透根、印源连续</x:v>
      </x:c>
      <x:c r="P11" s="68" t="str">
        <x:v>根被实质破坏或负荷侧形成更强集团</x:v>
      </x:c>
      <x:c r="Q11" s="90" t="str">
        <x:v>不得把失令设为一票否决</x:v>
      </x:c>
      <x:c r="R11" s="68" t="str">
        <x:v>从格与专旺候选转M14</x:v>
      </x:c>
      <x:c r="S11" s="68" t="str">
        <x:v>若负荷侧明显弱于扶身侧，失令日主仍可判偏旺或旺</x:v>
      </x:c>
      <x:c r="T11" s="82" t="str">
        <x:v>否</x:v>
      </x:c>
      <x:c r="U11" s="82" t="str">
        <x:v>中和偏旺</x:v>
      </x:c>
      <x:c r="V11" s="84" t="str">
        <x:v>失令反强</x:v>
      </x:c>
      <x:c r="W11" s="84" t="str">
        <x:v>日主失令，但有效根深、印比成势，可抵消乃至反转季节劣势。</x:v>
      </x:c>
      <x:c r="X11" s="82" t="str">
        <x:v>较高</x:v>
      </x:c>
      <x:c r="Y11" s="82" t="str">
        <x:v>现代综合</x:v>
      </x:c>
      <x:c r="Z11" s="68" t="str">
        <x:v>对应经典“失时不弱”的条件化表达。</x:v>
      </x:c>
      <x:c r="AA11" s="68" t="str">
        <x:v>秋木失令但寅卯多根、甲乙透而水生有力，可不作弱论。</x:v>
      </x:c>
      <x:c r="AB11" s="90" t="str">
        <x:v>失令即固定判弱。</x:v>
      </x:c>
      <x:c r="AC11" s="68" t="str">
        <x:v>https://zh.wikisource.org/wiki/%E6%B7%B5%E6%B5%B7%E5%AD%90%E5%B9%B3%E5%A4%A7%E5%85%A8 ; https://zh.wikisource.org/wiki/%E6%BB%B4%E5%A4%A9%E9%AB%93%E9%97%A1%E5%BE%AE</x:v>
      </x:c>
      <x:c r="AD11" s="82" t="str">
        <x:v>采用</x:v>
      </x:c>
      <x:c r="AE11" s="82" t="str">
        <x:v>初审</x:v>
      </x:c>
      <x:c r="AF11" s="87" t="n">
        <x:v>46255</x:v>
      </x:c>
    </x:row>
    <x:row r="12">
      <x:c r="A12" s="72" t="str">
        <x:f>IF(OR(C12="",D12=""),"",B12&amp;"-"&amp;UPPER(C12)&amp;"-"&amp;TEXT(D12,"0000")&amp;"-"&amp;E12)</x:f>
        <x:v>M09-LING-0006-V1.0</x:v>
      </x:c>
      <x:c r="B12" s="74" t="str">
        <x:v>M09</x:v>
      </x:c>
      <x:c r="C12" s="74" t="str">
        <x:v>LING</x:v>
      </x:c>
      <x:c r="D12" s="79" t="n">
        <x:v>6</x:v>
      </x:c>
      <x:c r="E12" s="74" t="str">
        <x:v>V1.0</x:v>
      </x:c>
      <x:c r="F12" s="68" t="str">
        <x:v>月令节点兼具根气时必须去重计权</x:v>
      </x:c>
      <x:c r="G12" s="82" t="str">
        <x:v>综合层</x:v>
      </x:c>
      <x:c r="H12" s="68" t="str">
        <x:v>得令</x:v>
      </x:c>
      <x:c r="I12" s="68" t="str">
        <x:v>证据去重</x:v>
      </x:c>
      <x:c r="J12" s="68" t="str">
        <x:v>同一月支既提供季令支持又承载日主根气</x:v>
      </x:c>
      <x:c r="K12" s="68" t="str">
        <x:v>高</x:v>
      </x:c>
      <x:c r="L12" s="82" t="str">
        <x:v>中</x:v>
      </x:c>
      <x:c r="M12" s="68" t="str">
        <x:v>M03/M08完成</x:v>
      </x:c>
      <x:c r="N12" s="68" t="str">
        <x:v>确认是同一地支节点</x:v>
      </x:c>
      <x:c r="O12" s="68" t="str">
        <x:v>另有独立根、透干或生源</x:v>
      </x:c>
      <x:c r="P12" s="68"/>
      <x:c r="Q12" s="90" t="str">
        <x:v>禁止月令旺、月支根、同党三个标签重复全额累加</x:v>
      </x:c>
      <x:c r="R12" s="68" t="str">
        <x:v>可分别保留解释标签</x:v>
      </x:c>
      <x:c r="S12" s="68" t="str">
        <x:v>独立节点越多才代表新增证据容量</x:v>
      </x:c>
      <x:c r="T12" s="82" t="str">
        <x:v>是</x:v>
      </x:c>
      <x:c r="U12" s="82" t="str">
        <x:v>中和偏旺</x:v>
      </x:c>
      <x:c r="V12" s="84" t="str">
        <x:v>季令根气去重</x:v>
      </x:c>
      <x:c r="W12" s="84" t="str">
        <x:v>月令与月支根气可分别解释，但同一节点不重复按多个决定性证据累加。</x:v>
      </x:c>
      <x:c r="X12" s="82" t="str">
        <x:v>较高</x:v>
      </x:c>
      <x:c r="Y12" s="82" t="str">
        <x:v>现代综合</x:v>
      </x:c>
      <x:c r="Z12" s="68" t="str">
        <x:v>月令权重高但不是单项充分条件；必须结合M08有效根气、印比与制泄耗，且同源季令证据去重。</x:v>
      </x:c>
      <x:c r="AA12" s="68" t="str">
        <x:v>正例：当“同一月支既提供季令支持又承载日主根气”真实成立，且必要条件与增强条件同向时，按“月令节点兼具根气时必须去重计权”记录对应旺衰证据。</x:v>
      </x:c>
      <x:c r="AB12" s="90" t="str">
        <x:v>反例：只有表面条件，但出现“禁止月令旺、月支根、同党三个标签重复全额累加”或关键有效性未成立时，不得套用本规则。</x:v>
      </x:c>
      <x:c r="AC12" s="68" t="str">
        <x:v>https://zh.wikisource.org/wiki/%E6%B7%B5%E6%B5%B7%E5%AD%90%E5%B9%B3%E5%A4%A7%E5%85%A8 ; https://zh.wikisource.org/wiki/%E6%BB%B4%E5%A4%A9%E9%AB%93%E9%97%A1%E5%BE%AE</x:v>
      </x:c>
      <x:c r="AD12" s="82" t="str">
        <x:v>采用</x:v>
      </x:c>
      <x:c r="AE12" s="82" t="str">
        <x:v>初审</x:v>
      </x:c>
      <x:c r="AF12" s="87" t="n">
        <x:v>46255</x:v>
      </x:c>
    </x:row>
    <x:row r="13">
      <x:c r="A13" s="72" t="str">
        <x:f>IF(OR(C13="",D13=""),"",B13&amp;"-"&amp;UPPER(C13)&amp;"-"&amp;TEXT(D13,"0000")&amp;"-"&amp;E13)</x:f>
        <x:v>M09-LING-0007-V1.0</x:v>
      </x:c>
      <x:c r="B13" s="74" t="str">
        <x:v>M09</x:v>
      </x:c>
      <x:c r="C13" s="74" t="str">
        <x:v>LING</x:v>
      </x:c>
      <x:c r="D13" s="79" t="n">
        <x:v>7</x:v>
      </x:c>
      <x:c r="E13" s="74" t="str">
        <x:v>V1.0</x:v>
      </x:c>
      <x:c r="F13" s="68" t="str">
        <x:v>月令受合冲改性后的季令证据承接M08而非重算</x:v>
      </x:c>
      <x:c r="G13" s="82" t="str">
        <x:v>综合层</x:v>
      </x:c>
      <x:c r="H13" s="68" t="str">
        <x:v>得令</x:v>
      </x:c>
      <x:c r="I13" s="68" t="str">
        <x:v>条件性</x:v>
      </x:c>
      <x:c r="J13" s="68" t="str">
        <x:v>月支参与合化、会局或强冲且M08已给出有效性修正</x:v>
      </x:c>
      <x:c r="K13" s="68" t="str">
        <x:v>高</x:v>
      </x:c>
      <x:c r="L13" s="82" t="str">
        <x:v>中</x:v>
      </x:c>
      <x:c r="M13" s="68" t="str">
        <x:v>M06/M08完成</x:v>
      </x:c>
      <x:c r="N13" s="68" t="str">
        <x:v>M08已明确是否改性或仅受扰</x:v>
      </x:c>
      <x:c r="O13" s="68" t="str">
        <x:v>改性成立且全局气势一致</x:v>
      </x:c>
      <x:c r="P13" s="68" t="str">
        <x:v>关系仅存在但未产生实质改性</x:v>
      </x:c>
      <x:c r="Q13" s="90" t="str">
        <x:v>禁止在M09依据关系名称再次扣减或加成月令</x:v>
      </x:c>
      <x:c r="R13" s="68" t="str">
        <x:v>争议效应降低置信度</x:v>
      </x:c>
      <x:c r="S13" s="68" t="str">
        <x:v>M08若判未改性，原季令证据应保留</x:v>
      </x:c>
      <x:c r="T13" s="82" t="str">
        <x:v>是</x:v>
      </x:c>
      <x:c r="U13" s="82" t="str">
        <x:v>中和</x:v>
      </x:c>
      <x:c r="V13" s="84" t="str">
        <x:v>季令效应承接</x:v>
      </x:c>
      <x:c r="W13" s="84" t="str">
        <x:v>月令是否仍能支持日主，以M08有效性结论为准；M09不重复处理合冲。</x:v>
      </x:c>
      <x:c r="X13" s="82" t="str">
        <x:v>较高</x:v>
      </x:c>
      <x:c r="Y13" s="82" t="str">
        <x:v>现代综合</x:v>
      </x:c>
      <x:c r="Z13" s="68" t="str">
        <x:v>月令权重高但不是单项充分条件；必须结合M08有效根气、印比与制泄耗，且同源季令证据去重。</x:v>
      </x:c>
      <x:c r="AA13" s="68" t="str">
        <x:v>正例：当“月支参与合化、会局或强冲且M08已给出有效性修正”真实成立，且必要条件与增强条件同向时，按“月令受合冲改性后的季令证据承接M08而非重算”记录对应旺衰证据。</x:v>
      </x:c>
      <x:c r="AB13" s="90" t="str">
        <x:v>反例：只有表面条件，但出现“禁止在M09依据关系名称再次扣减或加成月令”或关键有效性未成立时，不得套用本规则。</x:v>
      </x:c>
      <x:c r="AC13" s="68" t="str">
        <x:v>https://zh.wikisource.org/wiki/%E6%B7%B5%E6%B5%B7%E5%AD%90%E5%B9%B3%E5%A4%A7%E5%85%A8 ; https://zh.wikisource.org/wiki/%E6%BB%B4%E5%A4%A9%E9%AB%93%E9%97%A1%E5%BE%AE</x:v>
      </x:c>
      <x:c r="AD13" s="82" t="str">
        <x:v>采用</x:v>
      </x:c>
      <x:c r="AE13" s="82" t="str">
        <x:v>初审</x:v>
      </x:c>
      <x:c r="AF13" s="87" t="n">
        <x:v>46255</x:v>
      </x:c>
    </x:row>
    <x:row r="14">
      <x:c r="A14" s="72" t="str">
        <x:f>IF(OR(C14="",D14=""),"",B14&amp;"-"&amp;UPPER(C14)&amp;"-"&amp;TEXT(D14,"0000")&amp;"-"&amp;E14)</x:f>
        <x:v>M09-LING-0008-V1.0</x:v>
      </x:c>
      <x:c r="B14" s="74" t="str">
        <x:v>M09</x:v>
      </x:c>
      <x:c r="C14" s="74" t="str">
        <x:v>LING</x:v>
      </x:c>
      <x:c r="D14" s="79" t="n">
        <x:v>8</x:v>
      </x:c>
      <x:c r="E14" s="74" t="str">
        <x:v>V1.0</x:v>
      </x:c>
      <x:c r="F14" s="68" t="str">
        <x:v>四季土月必须使用M03细分结果而非统一按土旺处理</x:v>
      </x:c>
      <x:c r="G14" s="82" t="str">
        <x:v>综合层</x:v>
      </x:c>
      <x:c r="H14" s="68" t="str">
        <x:v>得令</x:v>
      </x:c>
      <x:c r="I14" s="68" t="str">
        <x:v>条件性</x:v>
      </x:c>
      <x:c r="J14" s="68" t="str">
        <x:v>出生于辰戌丑未月</x:v>
      </x:c>
      <x:c r="K14" s="68" t="str">
        <x:v>中高</x:v>
      </x:c>
      <x:c r="L14" s="82" t="str">
        <x:v>中</x:v>
      </x:c>
      <x:c r="M14" s="68" t="str">
        <x:v>M03完成</x:v>
      </x:c>
      <x:c r="N14" s="68" t="str">
        <x:v>使用M03对本中余气与节气深浅的判定</x:v>
      </x:c>
      <x:c r="O14" s="68" t="str">
        <x:v>日主土且本气得权</x:v>
      </x:c>
      <x:c r="P14" s="68" t="str">
        <x:v>月内他气占权或土气未形成有效支持</x:v>
      </x:c>
      <x:c r="Q14" s="90" t="str">
        <x:v>禁止把四季月一律视为土日主强、非土日主弱</x:v>
      </x:c>
      <x:c r="R14" s="68" t="str">
        <x:v>流派分歧转M21</x:v>
      </x:c>
      <x:c r="S14" s="68" t="str">
        <x:v>不同节气段与藏干有效性会改变季令证据强度</x:v>
      </x:c>
      <x:c r="T14" s="82" t="str">
        <x:v>否</x:v>
      </x:c>
      <x:c r="U14" s="82" t="str">
        <x:v>中和</x:v>
      </x:c>
      <x:c r="V14" s="84" t="str">
        <x:v>四季月细分</x:v>
      </x:c>
      <x:c r="W14" s="84" t="str">
        <x:v>四季土月的季令证据按M03细分，不采用“一见辰戌丑未即土旺”的统一结论。</x:v>
      </x:c>
      <x:c r="X14" s="82" t="str">
        <x:v>中等</x:v>
      </x:c>
      <x:c r="Y14" s="82" t="str">
        <x:v>现代综合</x:v>
      </x:c>
      <x:c r="Z14" s="68" t="str">
        <x:v>四季月司令细分存在流派差异，采用条件化接口。</x:v>
      </x:c>
      <x:c r="AA14" s="68" t="str">
        <x:v>土日主生未月且土本气得权，可获得强季令支持。</x:v>
      </x:c>
      <x:c r="AB14" s="90" t="str">
        <x:v>辰月所有天干一律按土旺处理。</x:v>
      </x:c>
      <x:c r="AC14" s="68" t="str">
        <x:v>https://zh.wikisource.org/wiki/%E6%B7%B5%E6%B5%B7%E5%AD%90%E5%B9%B3%E5%A4%A7%E5%85%A8 ; https://zh.wikisource.org/wiki/%E6%BB%B4%E5%A4%A9%E9%AB%93%E9%97%A1%E5%BE%AE</x:v>
      </x:c>
      <x:c r="AD14" s="82" t="str">
        <x:v>待验证</x:v>
      </x:c>
      <x:c r="AE14" s="82" t="str">
        <x:v>初审</x:v>
      </x:c>
      <x:c r="AF14" s="87" t="n">
        <x:v>46255</x:v>
      </x:c>
    </x:row>
    <x:row r="15">
      <x:c r="A15" s="72" t="str">
        <x:f>IF(OR(C15="",D15=""),"",B15&amp;"-"&amp;UPPER(C15)&amp;"-"&amp;TEXT(D15,"0000")&amp;"-"&amp;E15)</x:f>
        <x:v>M09-LING-0009-V1.0</x:v>
      </x:c>
      <x:c r="B15" s="74" t="str">
        <x:v>M09</x:v>
      </x:c>
      <x:c r="C15" s="74" t="str">
        <x:v>LING</x:v>
      </x:c>
      <x:c r="D15" s="79" t="n">
        <x:v>9</x:v>
      </x:c>
      <x:c r="E15" s="74" t="str">
        <x:v>V1.0</x:v>
      </x:c>
      <x:c r="F15" s="68" t="str">
        <x:v>交节附近月令未核实时不得给出高置信旺衰</x:v>
      </x:c>
      <x:c r="G15" s="82" t="str">
        <x:v>综合层</x:v>
      </x:c>
      <x:c r="H15" s="68" t="str">
        <x:v>得令</x:v>
      </x:c>
      <x:c r="I15" s="68" t="str">
        <x:v>降低置信度</x:v>
      </x:c>
      <x:c r="J15" s="68" t="str">
        <x:v>出生时间接近交节且月令存在不确定</x:v>
      </x:c>
      <x:c r="K15" s="68" t="str">
        <x:v>高</x:v>
      </x:c>
      <x:c r="L15" s="82" t="str">
        <x:v>强</x:v>
      </x:c>
      <x:c r="M15" s="68" t="str">
        <x:v>M03完成</x:v>
      </x:c>
      <x:c r="N15" s="68" t="str">
        <x:v>交节时间尚未核实</x:v>
      </x:c>
      <x:c r="O15" s="68" t="str">
        <x:v>核对出生地、时区与精确交节</x:v>
      </x:c>
      <x:c r="P15" s="68"/>
      <x:c r="Q15" s="90" t="str">
        <x:v>禁止在月令不确定时输出确定旺衰</x:v>
      </x:c>
      <x:c r="R15" s="68" t="str">
        <x:v>若两个月令对日主证据方向相同，可降低影响</x:v>
      </x:c>
      <x:c r="S15" s="68" t="str">
        <x:v>相邻月令可能使旺衰方向反转</x:v>
      </x:c>
      <x:c r="T15" s="82" t="str">
        <x:v>否</x:v>
      </x:c>
      <x:c r="U15" s="82" t="str">
        <x:v>中和</x:v>
      </x:c>
      <x:c r="V15" s="84" t="str">
        <x:v>月令不确定</x:v>
      </x:c>
      <x:c r="W15" s="84" t="str">
        <x:v>出生临近交节，月令尚有不确定；日主旺衰只能给条件性候选并降低置信度。</x:v>
      </x:c>
      <x:c r="X15" s="82" t="str">
        <x:v>较高</x:v>
      </x:c>
      <x:c r="Y15" s="82" t="str">
        <x:v>现代综合</x:v>
      </x:c>
      <x:c r="Z15" s="68" t="str">
        <x:v>月令权重高但不是单项充分条件；必须结合M08有效根气、印比与制泄耗，且同源季令证据去重。</x:v>
      </x:c>
      <x:c r="AA15" s="68" t="str">
        <x:v>正例：当“出生时间接近交节且月令存在不确定”真实成立，且必要条件与增强条件同向时，按“交节附近月令未核实时不得给出高置信旺衰”记录对应旺衰证据。</x:v>
      </x:c>
      <x:c r="AB15" s="90" t="str">
        <x:v>反例：只有表面条件，但出现“禁止在月令不确定时输出确定旺衰”或关键有效性未成立时，不得套用本规则。</x:v>
      </x:c>
      <x:c r="AC15" s="68" t="str">
        <x:v>https://zh.wikisource.org/wiki/%E6%B7%B5%E6%B5%B7%E5%AD%90%E5%B9%B3%E5%A4%A7%E5%85%A8 ; https://zh.wikisource.org/wiki/%E6%BB%B4%E5%A4%A9%E9%AB%93%E9%97%A1%E5%BE%AE</x:v>
      </x:c>
      <x:c r="AD15" s="82" t="str">
        <x:v>采用</x:v>
      </x:c>
      <x:c r="AE15" s="82" t="str">
        <x:v>初审</x:v>
      </x:c>
      <x:c r="AF15" s="87" t="n">
        <x:v>46255</x:v>
      </x:c>
    </x:row>
    <x:row r="16">
      <x:c r="A16" s="72" t="str">
        <x:f>IF(OR(C16="",D16=""),"",B16&amp;"-"&amp;UPPER(C16)&amp;"-"&amp;TEXT(D16,"0000")&amp;"-"&amp;E16)</x:f>
        <x:v>M09-LING-0010-V1.0</x:v>
      </x:c>
      <x:c r="B16" s="74" t="str">
        <x:v>M09</x:v>
      </x:c>
      <x:c r="C16" s="74" t="str">
        <x:v>LING</x:v>
      </x:c>
      <x:c r="D16" s="79" t="n">
        <x:v>10</x:v>
      </x:c>
      <x:c r="E16" s="74" t="str">
        <x:v>V1.0</x:v>
      </x:c>
      <x:c r="F16" s="68" t="str">
        <x:v>季令证据必须服从全局有效力量而非覆盖其他维度</x:v>
      </x:c>
      <x:c r="G16" s="82" t="str">
        <x:v>综合层</x:v>
      </x:c>
      <x:c r="H16" s="68" t="str">
        <x:v>得令</x:v>
      </x:c>
      <x:c r="I16" s="68" t="str">
        <x:v>综合约束</x:v>
      </x:c>
      <x:c r="J16" s="68" t="str">
        <x:v>任何日主旺衰裁定</x:v>
      </x:c>
      <x:c r="K16" s="68" t="str">
        <x:v>高</x:v>
      </x:c>
      <x:c r="L16" s="82" t="str">
        <x:v>决定性</x:v>
      </x:c>
      <x:c r="M16" s="68" t="str">
        <x:v>M03/M08完成</x:v>
      </x:c>
      <x:c r="N16" s="68" t="str">
        <x:v>已取得季令、根气、印比与制泄耗证据</x:v>
      </x:c>
      <x:c r="O16" s="68" t="str">
        <x:v>多维证据同向</x:v>
      </x:c>
      <x:c r="P16" s="68" t="str">
        <x:v>多维证据显著反向</x:v>
      </x:c>
      <x:c r="Q16" s="90" t="str">
        <x:v>禁止以月令单项覆盖M08其余强证据</x:v>
      </x:c>
      <x:c r="R16" s="68" t="str">
        <x:v>特殊格局转M14</x:v>
      </x:c>
      <x:c r="S16" s="68" t="str">
        <x:v>得时不旺、失时不弱均可能成立</x:v>
      </x:c>
      <x:c r="T16" s="82" t="str">
        <x:v>否</x:v>
      </x:c>
      <x:c r="U16" s="82" t="str">
        <x:v>中和</x:v>
      </x:c>
      <x:c r="V16" s="84" t="str">
        <x:v>季令非一票否决</x:v>
      </x:c>
      <x:c r="W16" s="84" t="str">
        <x:v>月令权重高，但最终旺衰必须服从全局有效力量的合成结果。</x:v>
      </x:c>
      <x:c r="X16" s="82" t="str">
        <x:v>较高</x:v>
      </x:c>
      <x:c r="Y16" s="82" t="str">
        <x:v>旺衰扶抑</x:v>
      </x:c>
      <x:c r="Z16" s="68" t="str">
        <x:v>经典文本明确月令虽重，年日时仍有损益之权。</x:v>
      </x:c>
      <x:c r="AA16" s="68" t="str">
        <x:v>得令木遇庚辛申酉成势且无火制，仍可受压明显。</x:v>
      </x:c>
      <x:c r="AB16" s="90" t="str">
        <x:v>只看月令不看四柱其他力量。</x:v>
      </x:c>
      <x:c r="AC16" s="68" t="str">
        <x:v>https://zh.wikisource.org/wiki/%E6%B7%B5%E6%B5%B7%E5%AD%90%E5%B9%B3%E5%A4%A7%E5%85%A8 ; https://zh.wikisource.org/wiki/%E6%BB%B4%E5%A4%A9%E9%AB%93%E9%97%A1%E5%BE%AE</x:v>
      </x:c>
      <x:c r="AD16" s="82" t="str">
        <x:v>采用</x:v>
      </x:c>
      <x:c r="AE16" s="82" t="str">
        <x:v>初审</x:v>
      </x:c>
      <x:c r="AF16" s="87" t="n">
        <x:v>46255</x:v>
      </x:c>
    </x:row>
    <x:row r="17">
      <x:c r="A17" s="72" t="str">
        <x:f>IF(OR(C17="",D17=""),"",B17&amp;"-"&amp;UPPER(C17)&amp;"-"&amp;TEXT(D17,"0000")&amp;"-"&amp;E17)</x:f>
        <x:v>M09-DI-0011-V1.0</x:v>
      </x:c>
      <x:c r="B17" s="74" t="str">
        <x:v>M09</x:v>
      </x:c>
      <x:c r="C17" s="74" t="str">
        <x:v>DI</x:v>
      </x:c>
      <x:c r="D17" s="79" t="n">
        <x:v>11</x:v>
      </x:c>
      <x:c r="E17" s="74" t="str">
        <x:v>V1.0</x:v>
      </x:c>
      <x:c r="F17" s="68" t="str">
        <x:v>有效本气根是得地的强支持证据</x:v>
      </x:c>
      <x:c r="G17" s="82" t="str">
        <x:v>综合层</x:v>
      </x:c>
      <x:c r="H17" s="68" t="str">
        <x:v>得地</x:v>
      </x:c>
      <x:c r="I17" s="68" t="str">
        <x:v>支持偏旺</x:v>
      </x:c>
      <x:c r="J17" s="68" t="str">
        <x:v>M08确认日主在地支拥有有效本气根</x:v>
      </x:c>
      <x:c r="K17" s="68" t="str">
        <x:v>高</x:v>
      </x:c>
      <x:c r="L17" s="82" t="str">
        <x:v>强</x:v>
      </x:c>
      <x:c r="M17" s="68" t="str">
        <x:v>M03/M08完成</x:v>
      </x:c>
      <x:c r="N17" s="68" t="str">
        <x:v>本气根未被实质冲散或改性</x:v>
      </x:c>
      <x:c r="O17" s="68" t="str">
        <x:v>根得令、有同党、透干呼应</x:v>
      </x:c>
      <x:c r="P17" s="68" t="str">
        <x:v>根孤弱或调用受限</x:v>
      </x:c>
      <x:c r="Q17" s="90" t="str">
        <x:v>不得由一处本气根直接判旺</x:v>
      </x:c>
      <x:c r="R17" s="68" t="str">
        <x:v>从格候选另审</x:v>
      </x:c>
      <x:c r="S17" s="68" t="str">
        <x:v>若同时有强负荷侧，一处强根可能仅保证不至极弱</x:v>
      </x:c>
      <x:c r="T17" s="82" t="str">
        <x:v>否</x:v>
      </x:c>
      <x:c r="U17" s="82" t="str">
        <x:v>中和偏旺</x:v>
      </x:c>
      <x:c r="V17" s="84" t="str">
        <x:v>本气根支持</x:v>
      </x:c>
      <x:c r="W17" s="84" t="str">
        <x:v>日主有有效本气根，得地证据强；仍需比较扶身与制泄耗总势。</x:v>
      </x:c>
      <x:c r="X17" s="82" t="str">
        <x:v>较高</x:v>
      </x:c>
      <x:c r="Y17" s="82" t="str">
        <x:v>现代综合</x:v>
      </x:c>
      <x:c r="Z17" s="68" t="str">
        <x:v>得地按有效根气的层级、独立性与可调用性判断；根的存在与实际承载能力分开记录。</x:v>
      </x:c>
      <x:c r="AA17" s="68" t="str">
        <x:v>正例：当“M08确认日主在地支拥有有效本气根”真实成立，且必要条件与增强条件同向时，按“有效本气根是得地的强支持证据”记录对应旺衰证据。</x:v>
      </x:c>
      <x:c r="AB17" s="90" t="str">
        <x:v>反例：只有表面条件，但出现“不得由一处本气根直接判旺”或关键有效性未成立时，不得套用本规则。</x:v>
      </x:c>
      <x:c r="AC17" s="68" t="str">
        <x:v>https://zh.wikisource.org/wiki/%E6%B7%B5%E6%B5%B7%E5%AD%90%E5%B9%B3%E5%A4%A7%E5%85%A8 ; https://zh.wikisource.org/wiki/%E6%BB%B4%E5%A4%A9%E9%AB%93%E9%97%A1%E5%BE%AE</x:v>
      </x:c>
      <x:c r="AD17" s="82" t="str">
        <x:v>采用</x:v>
      </x:c>
      <x:c r="AE17" s="82" t="str">
        <x:v>初审</x:v>
      </x:c>
      <x:c r="AF17" s="87" t="n">
        <x:v>46255</x:v>
      </x:c>
    </x:row>
    <x:row r="18">
      <x:c r="A18" s="72" t="str">
        <x:f>IF(OR(C18="",D18=""),"",B18&amp;"-"&amp;UPPER(C18)&amp;"-"&amp;TEXT(D18,"0000")&amp;"-"&amp;E18)</x:f>
        <x:v>M09-DI-0012-V1.0</x:v>
      </x:c>
      <x:c r="B18" s="74" t="str">
        <x:v>M09</x:v>
      </x:c>
      <x:c r="C18" s="74" t="str">
        <x:v>DI</x:v>
      </x:c>
      <x:c r="D18" s="79" t="n">
        <x:v>12</x:v>
      </x:c>
      <x:c r="E18" s="74" t="str">
        <x:v>V1.0</x:v>
      </x:c>
      <x:c r="F18" s="68" t="str">
        <x:v>有效中气根提供中等级得地支持</x:v>
      </x:c>
      <x:c r="G18" s="82" t="str">
        <x:v>综合层</x:v>
      </x:c>
      <x:c r="H18" s="68" t="str">
        <x:v>得地</x:v>
      </x:c>
      <x:c r="I18" s="68" t="str">
        <x:v>支持偏旺</x:v>
      </x:c>
      <x:c r="J18" s="68" t="str">
        <x:v>M08确认日主有有效中气根</x:v>
      </x:c>
      <x:c r="K18" s="68" t="str">
        <x:v>中</x:v>
      </x:c>
      <x:c r="L18" s="82" t="str">
        <x:v>中</x:v>
      </x:c>
      <x:c r="M18" s="68" t="str">
        <x:v>M03/M08完成</x:v>
      </x:c>
      <x:c r="N18" s="68" t="str">
        <x:v>中气根真实存在且未失效</x:v>
      </x:c>
      <x:c r="O18" s="68" t="str">
        <x:v>另有同类根或印比生扶</x:v>
      </x:c>
      <x:c r="P18" s="68" t="str">
        <x:v>根支受强作用或失令孤立</x:v>
      </x:c>
      <x:c r="Q18" s="90" t="str">
        <x:v>不得把中气根等同本气强根</x:v>
      </x:c>
      <x:c r="R18" s="68" t="str">
        <x:v>特殊格局另审</x:v>
      </x:c>
      <x:c r="S18" s="68" t="str">
        <x:v>中气根通常能否定完全无根，但承载不一定充分</x:v>
      </x:c>
      <x:c r="T18" s="82" t="str">
        <x:v>否</x:v>
      </x:c>
      <x:c r="U18" s="82" t="str">
        <x:v>中和</x:v>
      </x:c>
      <x:c r="V18" s="84" t="str">
        <x:v>中气根支持</x:v>
      </x:c>
      <x:c r="W18" s="84" t="str">
        <x:v>日主有有效中气根，获得中等级得地支持。</x:v>
      </x:c>
      <x:c r="X18" s="82" t="str">
        <x:v>较高</x:v>
      </x:c>
      <x:c r="Y18" s="82" t="str">
        <x:v>现代综合</x:v>
      </x:c>
      <x:c r="Z18" s="68" t="str">
        <x:v>得地按有效根气的层级、独立性与可调用性判断；根的存在与实际承载能力分开记录。</x:v>
      </x:c>
      <x:c r="AA18" s="68" t="str">
        <x:v>正例：当“M08确认日主有有效中气根”真实成立，且必要条件与增强条件同向时，按“有效中气根提供中等级得地支持”记录对应旺衰证据。</x:v>
      </x:c>
      <x:c r="AB18" s="90" t="str">
        <x:v>反例：只有表面条件，但出现“不得把中气根等同本气强根”或关键有效性未成立时，不得套用本规则。</x:v>
      </x:c>
      <x:c r="AC18" s="68" t="str">
        <x:v>https://zh.wikisource.org/wiki/%E6%B7%B5%E6%B5%B7%E5%AD%90%E5%B9%B3%E5%A4%A7%E5%85%A8 ; https://zh.wikisource.org/wiki/%E6%BB%B4%E5%A4%A9%E9%AB%93%E9%97%A1%E5%BE%AE</x:v>
      </x:c>
      <x:c r="AD18" s="82" t="str">
        <x:v>采用</x:v>
      </x:c>
      <x:c r="AE18" s="82" t="str">
        <x:v>初审</x:v>
      </x:c>
      <x:c r="AF18" s="87" t="n">
        <x:v>46255</x:v>
      </x:c>
    </x:row>
    <x:row r="19">
      <x:c r="A19" s="72" t="str">
        <x:f>IF(OR(C19="",D19=""),"",B19&amp;"-"&amp;UPPER(C19)&amp;"-"&amp;TEXT(D19,"0000")&amp;"-"&amp;E19)</x:f>
        <x:v>M09-DI-0013-V1.0</x:v>
      </x:c>
      <x:c r="B19" s="74" t="str">
        <x:v>M09</x:v>
      </x:c>
      <x:c r="C19" s="74" t="str">
        <x:v>DI</x:v>
      </x:c>
      <x:c r="D19" s="79" t="n">
        <x:v>13</x:v>
      </x:c>
      <x:c r="E19" s="74" t="str">
        <x:v>V1.0</x:v>
      </x:c>
      <x:c r="F19" s="68" t="str">
        <x:v>有效余气根主要用于否定完全无根</x:v>
      </x:c>
      <x:c r="G19" s="82" t="str">
        <x:v>综合层</x:v>
      </x:c>
      <x:c r="H19" s="68" t="str">
        <x:v>得地</x:v>
      </x:c>
      <x:c r="I19" s="68" t="str">
        <x:v>轻度支持偏旺</x:v>
      </x:c>
      <x:c r="J19" s="68" t="str">
        <x:v>M08确认日主仅有余气根</x:v>
      </x:c>
      <x:c r="K19" s="68" t="str">
        <x:v>中低</x:v>
      </x:c>
      <x:c r="L19" s="82" t="str">
        <x:v>弱</x:v>
      </x:c>
      <x:c r="M19" s="68" t="str">
        <x:v>M03/M08完成</x:v>
      </x:c>
      <x:c r="N19" s="68" t="str">
        <x:v>余气根尚有效</x:v>
      </x:c>
      <x:c r="O19" s="68" t="str">
        <x:v>同支得令、透干或另有生扶</x:v>
      </x:c>
      <x:c r="P19" s="68" t="str">
        <x:v>余气受损、失令且孤立</x:v>
      </x:c>
      <x:c r="Q19" s="90" t="str">
        <x:v>不得凭单一余气根判身强</x:v>
      </x:c>
      <x:c r="R19" s="68" t="str">
        <x:v>从格边界需特别审查</x:v>
      </x:c>
      <x:c r="S19" s="68" t="str">
        <x:v>若其余扶身证据几乎为空，余气根未必足以阻止极弱候选</x:v>
      </x:c>
      <x:c r="T19" s="82" t="str">
        <x:v>否</x:v>
      </x:c>
      <x:c r="U19" s="82" t="str">
        <x:v>中和偏弱</x:v>
      </x:c>
      <x:c r="V19" s="84" t="str">
        <x:v>余气根边界</x:v>
      </x:c>
      <x:c r="W19" s="84" t="str">
        <x:v>日主有余气根，可否定“完全无根”；但其承载较弱，不能单独支撑身旺。</x:v>
      </x:c>
      <x:c r="X19" s="82" t="str">
        <x:v>较高</x:v>
      </x:c>
      <x:c r="Y19" s="82" t="str">
        <x:v>现代综合</x:v>
      </x:c>
      <x:c r="Z19" s="68" t="str">
        <x:v>得地按有效根气的层级、独立性与可调用性判断；根的存在与实际承载能力分开记录。</x:v>
      </x:c>
      <x:c r="AA19" s="68" t="str">
        <x:v>正例：当“M08确认日主仅有余气根”真实成立，且必要条件与增强条件同向时，按“有效余气根主要用于否定完全无根”记录对应旺衰证据。</x:v>
      </x:c>
      <x:c r="AB19" s="90" t="str">
        <x:v>反例：只有表面条件，但出现“不得凭单一余气根判身强”或关键有效性未成立时，不得套用本规则。</x:v>
      </x:c>
      <x:c r="AC19" s="68" t="str">
        <x:v>https://zh.wikisource.org/wiki/%E6%B7%B5%E6%B5%B7%E5%AD%90%E5%B9%B3%E5%A4%A7%E5%85%A8 ; https://zh.wikisource.org/wiki/%E6%BB%B4%E5%A4%A9%E9%AB%93%E9%97%A1%E5%BE%AE</x:v>
      </x:c>
      <x:c r="AD19" s="82" t="str">
        <x:v>采用</x:v>
      </x:c>
      <x:c r="AE19" s="82" t="str">
        <x:v>初审</x:v>
      </x:c>
      <x:c r="AF19" s="87" t="n">
        <x:v>46255</x:v>
      </x:c>
    </x:row>
    <x:row r="20">
      <x:c r="A20" s="72" t="str">
        <x:f>IF(OR(C20="",D20=""),"",B20&amp;"-"&amp;UPPER(C20)&amp;"-"&amp;TEXT(D20,"0000")&amp;"-"&amp;E20)</x:f>
        <x:v>M09-DI-0014-V1.0</x:v>
      </x:c>
      <x:c r="B20" s="74" t="str">
        <x:v>M09</x:v>
      </x:c>
      <x:c r="C20" s="74" t="str">
        <x:v>DI</x:v>
      </x:c>
      <x:c r="D20" s="79" t="n">
        <x:v>14</x:v>
      </x:c>
      <x:c r="E20" s="74" t="str">
        <x:v>V1.0</x:v>
      </x:c>
      <x:c r="F20" s="68" t="str">
        <x:v>多重独立有效根显著提高日主承载稳定性</x:v>
      </x:c>
      <x:c r="G20" s="82" t="str">
        <x:v>综合层</x:v>
      </x:c>
      <x:c r="H20" s="68" t="str">
        <x:v>得地</x:v>
      </x:c>
      <x:c r="I20" s="68" t="str">
        <x:v>支持偏旺</x:v>
      </x:c>
      <x:c r="J20" s="68" t="str">
        <x:v>日主在两个以上独立地支拥有有效根</x:v>
      </x:c>
      <x:c r="K20" s="68" t="str">
        <x:v>高</x:v>
      </x:c>
      <x:c r="L20" s="82" t="str">
        <x:v>强</x:v>
      </x:c>
      <x:c r="M20" s="68" t="str">
        <x:v>M08完成</x:v>
      </x:c>
      <x:c r="N20" s="68" t="str">
        <x:v>根位彼此独立且未因同一成局被重复计权</x:v>
      </x:c>
      <x:c r="O20" s="68" t="str">
        <x:v>根位分布广且至少一处强根</x:v>
      </x:c>
      <x:c r="P20" s="68" t="str">
        <x:v>多个根同时受制或共享同一有限来源</x:v>
      </x:c>
      <x:c r="Q20" s="90" t="str">
        <x:v>禁止把重复同一支或同一节点当多根</x:v>
      </x:c>
      <x:c r="R20" s="68" t="str">
        <x:v>合化成局后按M08重算</x:v>
      </x:c>
      <x:c r="S20" s="68" t="str">
        <x:v>根越独立，单一根受损越不易使日主失去承载</x:v>
      </x:c>
      <x:c r="T20" s="82" t="str">
        <x:v>否</x:v>
      </x:c>
      <x:c r="U20" s="82" t="str">
        <x:v>旺</x:v>
      </x:c>
      <x:c r="V20" s="84" t="str">
        <x:v>多根承载</x:v>
      </x:c>
      <x:c r="W20" s="84" t="str">
        <x:v>日主拥有多处独立有效根，得地稳定性高，是偏旺或旺的重要证据。</x:v>
      </x:c>
      <x:c r="X20" s="82" t="str">
        <x:v>较高</x:v>
      </x:c>
      <x:c r="Y20" s="82" t="str">
        <x:v>现代综合</x:v>
      </x:c>
      <x:c r="Z20" s="68" t="str">
        <x:v>得地按有效根气的层级、独立性与可调用性判断；根的存在与实际承载能力分开记录。</x:v>
      </x:c>
      <x:c r="AA20" s="68" t="str">
        <x:v>正例：当“日主在两个以上独立地支拥有有效根”真实成立，且必要条件与增强条件同向时，按“多重独立有效根显著提高日主承载稳定性”记录对应旺衰证据。</x:v>
      </x:c>
      <x:c r="AB20" s="90" t="str">
        <x:v>反例：只有表面条件，但出现“禁止把重复同一支或同一节点当多根”或关键有效性未成立时，不得套用本规则。</x:v>
      </x:c>
      <x:c r="AC20" s="68" t="str">
        <x:v>https://zh.wikisource.org/wiki/%E6%B7%B5%E6%B5%B7%E5%AD%90%E5%B9%B3%E5%A4%A7%E5%85%A8 ; https://zh.wikisource.org/wiki/%E6%BB%B4%E5%A4%A9%E9%AB%93%E9%97%A1%E5%BE%AE</x:v>
      </x:c>
      <x:c r="AD20" s="82" t="str">
        <x:v>采用</x:v>
      </x:c>
      <x:c r="AE20" s="82" t="str">
        <x:v>初审</x:v>
      </x:c>
      <x:c r="AF20" s="87" t="n">
        <x:v>46255</x:v>
      </x:c>
    </x:row>
    <x:row r="21">
      <x:c r="A21" s="72" t="str">
        <x:f>IF(OR(C21="",D21=""),"",B21&amp;"-"&amp;UPPER(C21)&amp;"-"&amp;TEXT(D21,"0000")&amp;"-"&amp;E21)</x:f>
        <x:v>M09-DI-0015-V1.0</x:v>
      </x:c>
      <x:c r="B21" s="74" t="str">
        <x:v>M09</x:v>
      </x:c>
      <x:c r="C21" s="74" t="str">
        <x:v>DI</x:v>
      </x:c>
      <x:c r="D21" s="79" t="n">
        <x:v>15</x:v>
      </x:c>
      <x:c r="E21" s="74" t="str">
        <x:v>V1.0</x:v>
      </x:c>
      <x:c r="F21" s="68" t="str">
        <x:v>同类根可以扶身但不与同干直接根完全等权</x:v>
      </x:c>
      <x:c r="G21" s="82" t="str">
        <x:v>综合层</x:v>
      </x:c>
      <x:c r="H21" s="68" t="str">
        <x:v>得地</x:v>
      </x:c>
      <x:c r="I21" s="68" t="str">
        <x:v>支持偏旺</x:v>
      </x:c>
      <x:c r="J21" s="68" t="str">
        <x:v>日主在地支获得同五行异阴阳的同类根</x:v>
      </x:c>
      <x:c r="K21" s="68" t="str">
        <x:v>中</x:v>
      </x:c>
      <x:c r="L21" s="82" t="str">
        <x:v>中</x:v>
      </x:c>
      <x:c r="M21" s="68" t="str">
        <x:v>M03/M08完成</x:v>
      </x:c>
      <x:c r="N21" s="68" t="str">
        <x:v>同类根真实有效</x:v>
      </x:c>
      <x:c r="O21" s="68" t="str">
        <x:v>同类根得令、同党透出</x:v>
      </x:c>
      <x:c r="P21" s="68" t="str">
        <x:v>同类根孤弱或被强制</x:v>
      </x:c>
      <x:c r="Q21" s="90" t="str">
        <x:v>禁止把同类根与日主同干本气根机械等权</x:v>
      </x:c>
      <x:c r="R21" s="68" t="str">
        <x:v>不同流派对根定义分歧转M21</x:v>
      </x:c>
      <x:c r="S21" s="68" t="str">
        <x:v>同类根仍属于五行层面的承载支持</x:v>
      </x:c>
      <x:c r="T21" s="82" t="str">
        <x:v>否</x:v>
      </x:c>
      <x:c r="U21" s="82" t="str">
        <x:v>中和偏旺</x:v>
      </x:c>
      <x:c r="V21" s="84" t="str">
        <x:v>同类根支持</x:v>
      </x:c>
      <x:c r="W21" s="84" t="str">
        <x:v>同类根可支持日主五行，但与同干直接根区分记录，不机械等权。</x:v>
      </x:c>
      <x:c r="X21" s="82" t="str">
        <x:v>中等</x:v>
      </x:c>
      <x:c r="Y21" s="82" t="str">
        <x:v>现代综合</x:v>
      </x:c>
      <x:c r="Z21" s="68" t="str">
        <x:v>兼容不同流派的通根口径。</x:v>
      </x:c>
      <x:c r="AA21" s="68" t="str">
        <x:v>正例：当“日主在地支获得同五行异阴阳的同类根”真实成立，且必要条件与增强条件同向时，按“同类根可以扶身但不与同干直接根完全等权”记录对应旺衰证据。</x:v>
      </x:c>
      <x:c r="AB21" s="90" t="str">
        <x:v>反例：只有表面条件，但出现“禁止把同类根与日主同干本气根机械等权”或关键有效性未成立时，不得套用本规则。</x:v>
      </x:c>
      <x:c r="AC21" s="68" t="str">
        <x:v>https://zh.wikisource.org/wiki/%E6%B7%B5%E6%B5%B7%E5%AD%90%E5%B9%B3%E5%A4%A7%E5%85%A8 ; https://zh.wikisource.org/wiki/%E6%BB%B4%E5%A4%A9%E9%AB%93%E9%97%A1%E5%BE%AE</x:v>
      </x:c>
      <x:c r="AD21" s="82" t="str">
        <x:v>待验证</x:v>
      </x:c>
      <x:c r="AE21" s="82" t="str">
        <x:v>初审</x:v>
      </x:c>
      <x:c r="AF21" s="87" t="n">
        <x:v>46255</x:v>
      </x:c>
    </x:row>
    <x:row r="22">
      <x:c r="A22" s="72" t="str">
        <x:f>IF(OR(C22="",D22=""),"",B22&amp;"-"&amp;UPPER(C22)&amp;"-"&amp;TEXT(D22,"0000")&amp;"-"&amp;E22)</x:f>
        <x:v>M09-DI-0016-V1.0</x:v>
      </x:c>
      <x:c r="B22" s="74" t="str">
        <x:v>M09</x:v>
      </x:c>
      <x:c r="C22" s="74" t="str">
        <x:v>DI</x:v>
      </x:c>
      <x:c r="D22" s="79" t="n">
        <x:v>16</x:v>
      </x:c>
      <x:c r="E22" s="74" t="str">
        <x:v>V1.0</x:v>
      </x:c>
      <x:c r="F22" s="68" t="str">
        <x:v>无有效根是日主偏弱的重要证据</x:v>
      </x:c>
      <x:c r="G22" s="82" t="str">
        <x:v>综合层</x:v>
      </x:c>
      <x:c r="H22" s="68" t="str">
        <x:v>得地</x:v>
      </x:c>
      <x:c r="I22" s="68" t="str">
        <x:v>支持偏弱</x:v>
      </x:c>
      <x:c r="J22" s="68" t="str">
        <x:v>M08确认日主无有效根</x:v>
      </x:c>
      <x:c r="K22" s="68" t="str">
        <x:v>高</x:v>
      </x:c>
      <x:c r="L22" s="82" t="str">
        <x:v>强</x:v>
      </x:c>
      <x:c r="M22" s="68" t="str">
        <x:v>M08完成</x:v>
      </x:c>
      <x:c r="N22" s="68" t="str">
        <x:v>不存在可调用的本中余气根</x:v>
      </x:c>
      <x:c r="O22" s="68" t="str">
        <x:v>同时失令、无强印比</x:v>
      </x:c>
      <x:c r="P22" s="68" t="str">
        <x:v>得令或强印比持续生扶</x:v>
      </x:c>
      <x:c r="Q22" s="90" t="str">
        <x:v>不得由无根单独判极弱</x:v>
      </x:c>
      <x:c r="R22" s="68" t="str">
        <x:v>从格条件另审</x:v>
      </x:c>
      <x:c r="S22" s="68" t="str">
        <x:v>天干有印比或得令可使无根日主仍保持一定力量</x:v>
      </x:c>
      <x:c r="T22" s="82" t="str">
        <x:v>否</x:v>
      </x:c>
      <x:c r="U22" s="82" t="str">
        <x:v>弱</x:v>
      </x:c>
      <x:c r="V22" s="84" t="str">
        <x:v>无根证据</x:v>
      </x:c>
      <x:c r="W22" s="84" t="str">
        <x:v>日主无有效根，得地不足，是偏弱的重要证据；但不能单独推出极弱。</x:v>
      </x:c>
      <x:c r="X22" s="82" t="str">
        <x:v>较高</x:v>
      </x:c>
      <x:c r="Y22" s="82" t="str">
        <x:v>现代综合</x:v>
      </x:c>
      <x:c r="Z22" s="68" t="str">
        <x:v>得地按有效根气的层级、独立性与可调用性判断；根的存在与实际承载能力分开记录。</x:v>
      </x:c>
      <x:c r="AA22" s="68" t="str">
        <x:v>正例：当“M08确认日主无有效根”真实成立，且必要条件与增强条件同向时，按“无有效根是日主偏弱的重要证据”记录对应旺衰证据。</x:v>
      </x:c>
      <x:c r="AB22" s="90" t="str">
        <x:v>反例：只有表面条件，但出现“不得由无根单独判极弱”或关键有效性未成立时，不得套用本规则。</x:v>
      </x:c>
      <x:c r="AC22" s="68" t="str">
        <x:v>https://zh.wikisource.org/wiki/%E6%B7%B5%E6%B5%B7%E5%AD%90%E5%B9%B3%E5%A4%A7%E5%85%A8 ; https://zh.wikisource.org/wiki/%E6%BB%B4%E5%A4%A9%E9%AB%93%E9%97%A1%E5%BE%AE</x:v>
      </x:c>
      <x:c r="AD22" s="82" t="str">
        <x:v>采用</x:v>
      </x:c>
      <x:c r="AE22" s="82" t="str">
        <x:v>初审</x:v>
      </x:c>
      <x:c r="AF22" s="87" t="n">
        <x:v>46255</x:v>
      </x:c>
    </x:row>
    <x:row r="23">
      <x:c r="A23" s="72" t="str">
        <x:f>IF(OR(C23="",D23=""),"",B23&amp;"-"&amp;UPPER(C23)&amp;"-"&amp;TEXT(D23,"0000")&amp;"-"&amp;E23)</x:f>
        <x:v>M09-DI-0017-V1.0</x:v>
      </x:c>
      <x:c r="B23" s="74" t="str">
        <x:v>M09</x:v>
      </x:c>
      <x:c r="C23" s="74" t="str">
        <x:v>DI</x:v>
      </x:c>
      <x:c r="D23" s="79" t="n">
        <x:v>17</x:v>
      </x:c>
      <x:c r="E23" s="74" t="str">
        <x:v>V1.0</x:v>
      </x:c>
      <x:c r="F23" s="68" t="str">
        <x:v>唯一有效根被实质冲散时应显著下调日主承载</x:v>
      </x:c>
      <x:c r="G23" s="82" t="str">
        <x:v>综合层</x:v>
      </x:c>
      <x:c r="H23" s="68" t="str">
        <x:v>得地</x:v>
      </x:c>
      <x:c r="I23" s="68" t="str">
        <x:v>支持偏弱</x:v>
      </x:c>
      <x:c r="J23" s="68" t="str">
        <x:v>日主仅一根且M08判该根实质冲散/失效</x:v>
      </x:c>
      <x:c r="K23" s="68" t="str">
        <x:v>高</x:v>
      </x:c>
      <x:c r="L23" s="82" t="str">
        <x:v>强</x:v>
      </x:c>
      <x:c r="M23" s="68" t="str">
        <x:v>M08完成</x:v>
      </x:c>
      <x:c r="N23" s="68" t="str">
        <x:v>确属唯一有效根</x:v>
      </x:c>
      <x:c r="O23" s="68" t="str">
        <x:v>同时失令、印比弱</x:v>
      </x:c>
      <x:c r="P23" s="68" t="str">
        <x:v>另有新根、强印或成势比劫</x:v>
      </x:c>
      <x:c r="Q23" s="90" t="str">
        <x:v>禁止把普通受冲等同根失效</x:v>
      </x:c>
      <x:c r="R23" s="68" t="str">
        <x:v>动态岁运另模块</x:v>
      </x:c>
      <x:c r="S23" s="68" t="str">
        <x:v>唯一根失效会使日主承载出现质变</x:v>
      </x:c>
      <x:c r="T23" s="82" t="str">
        <x:v>是</x:v>
      </x:c>
      <x:c r="U23" s="82" t="str">
        <x:v>弱</x:v>
      </x:c>
      <x:c r="V23" s="84" t="str">
        <x:v>唯一根失效</x:v>
      </x:c>
      <x:c r="W23" s="84" t="str">
        <x:v>日主唯一有效根已失效，得地证据显著下降；需重新评估是否进入弱或极弱候选。</x:v>
      </x:c>
      <x:c r="X23" s="82" t="str">
        <x:v>较高</x:v>
      </x:c>
      <x:c r="Y23" s="82" t="str">
        <x:v>现代综合</x:v>
      </x:c>
      <x:c r="Z23" s="68" t="str">
        <x:v>得地按有效根气的层级、独立性与可调用性判断；根的存在与实际承载能力分开记录。</x:v>
      </x:c>
      <x:c r="AA23" s="68" t="str">
        <x:v>正例：当“日主仅一根且M08判该根实质冲散/失效”真实成立，且必要条件与增强条件同向时，按“唯一有效根被实质冲散时应显著下调日主承载”记录对应旺衰证据。</x:v>
      </x:c>
      <x:c r="AB23" s="90" t="str">
        <x:v>反例：只有表面条件，但出现“禁止把普通受冲等同根失效”或关键有效性未成立时，不得套用本规则。</x:v>
      </x:c>
      <x:c r="AC23" s="68" t="str">
        <x:v>https://zh.wikisource.org/wiki/%E6%B7%B5%E6%B5%B7%E5%AD%90%E5%B9%B3%E5%A4%A7%E5%85%A8 ; https://zh.wikisource.org/wiki/%E6%BB%B4%E5%A4%A9%E9%AB%93%E9%97%A1%E5%BE%AE</x:v>
      </x:c>
      <x:c r="AD23" s="82" t="str">
        <x:v>采用</x:v>
      </x:c>
      <x:c r="AE23" s="82" t="str">
        <x:v>初审</x:v>
      </x:c>
      <x:c r="AF23" s="87" t="n">
        <x:v>46255</x:v>
      </x:c>
    </x:row>
    <x:row r="24">
      <x:c r="A24" s="72" t="str">
        <x:f>IF(OR(C24="",D24=""),"",B24&amp;"-"&amp;UPPER(C24)&amp;"-"&amp;TEXT(D24,"0000")&amp;"-"&amp;E24)</x:f>
        <x:v>M09-DI-0018-V1.0</x:v>
      </x:c>
      <x:c r="B24" s="74" t="str">
        <x:v>M09</x:v>
      </x:c>
      <x:c r="C24" s="74" t="str">
        <x:v>DI</x:v>
      </x:c>
      <x:c r="D24" s="79" t="n">
        <x:v>18</x:v>
      </x:c>
      <x:c r="E24" s="74" t="str">
        <x:v>V1.0</x:v>
      </x:c>
      <x:c r="F24" s="68" t="str">
        <x:v>强根受冲但M08判为冲动时不得下调为无根</x:v>
      </x:c>
      <x:c r="G24" s="82" t="str">
        <x:v>综合层</x:v>
      </x:c>
      <x:c r="H24" s="68" t="str">
        <x:v>得地</x:v>
      </x:c>
      <x:c r="I24" s="68" t="str">
        <x:v>保持支持</x:v>
      </x:c>
      <x:c r="J24" s="68" t="str">
        <x:v>日主强根受冲且M08结论为冲动/激活而非冲散</x:v>
      </x:c>
      <x:c r="K24" s="68" t="str">
        <x:v>高</x:v>
      </x:c>
      <x:c r="L24" s="82" t="str">
        <x:v>中</x:v>
      </x:c>
      <x:c r="M24" s="68" t="str">
        <x:v>M08完成</x:v>
      </x:c>
      <x:c r="N24" s="68" t="str">
        <x:v>M08已确认根性保留</x:v>
      </x:c>
      <x:c r="O24" s="68" t="str">
        <x:v>根得令有援</x:v>
      </x:c>
      <x:c r="P24" s="68"/>
      <x:c r="Q24" s="90" t="str">
        <x:v>禁止看到冲就拔根</x:v>
      </x:c>
      <x:c r="R24" s="68" t="str">
        <x:v>若后续动态作用另审</x:v>
      </x:c>
      <x:c r="S24" s="68" t="str">
        <x:v>根的稳定性可下降，但承载仍存在</x:v>
      </x:c>
      <x:c r="T24" s="82" t="str">
        <x:v>是</x:v>
      </x:c>
      <x:c r="U24" s="82" t="str">
        <x:v>中和偏旺</x:v>
      </x:c>
      <x:c r="V24" s="84" t="str">
        <x:v>冲根保留</x:v>
      </x:c>
      <x:c r="W24" s="84" t="str">
        <x:v>该根虽被冲动，但有效根性仍在，不按无根处理。</x:v>
      </x:c>
      <x:c r="X24" s="82" t="str">
        <x:v>较高</x:v>
      </x:c>
      <x:c r="Y24" s="82" t="str">
        <x:v>现代综合</x:v>
      </x:c>
      <x:c r="Z24" s="68" t="str">
        <x:v>得地按有效根气的层级、独立性与可调用性判断；根的存在与实际承载能力分开记录。</x:v>
      </x:c>
      <x:c r="AA24" s="68" t="str">
        <x:v>正例：当“日主强根受冲且M08结论为冲动/激活而非冲散”真实成立，且必要条件与增强条件同向时，按“强根受冲但M08判为冲动时不得下调为无根”记录对应旺衰证据。</x:v>
      </x:c>
      <x:c r="AB24" s="90" t="str">
        <x:v>反例：只有表面条件，但出现“禁止看到冲就拔根”或关键有效性未成立时，不得套用本规则。</x:v>
      </x:c>
      <x:c r="AC24" s="68" t="str">
        <x:v>https://zh.wikisource.org/wiki/%E6%B7%B5%E6%B5%B7%E5%AD%90%E5%B9%B3%E5%A4%A7%E5%85%A8 ; https://zh.wikisource.org/wiki/%E6%BB%B4%E5%A4%A9%E9%AB%93%E9%97%A1%E5%BE%AE</x:v>
      </x:c>
      <x:c r="AD24" s="82" t="str">
        <x:v>采用</x:v>
      </x:c>
      <x:c r="AE24" s="82" t="str">
        <x:v>初审</x:v>
      </x:c>
      <x:c r="AF24" s="87" t="n">
        <x:v>46255</x:v>
      </x:c>
    </x:row>
    <x:row r="25">
      <x:c r="A25" s="72" t="str">
        <x:f>IF(OR(C25="",D25=""),"",B25&amp;"-"&amp;UPPER(C25)&amp;"-"&amp;TEXT(D25,"0000")&amp;"-"&amp;E25)</x:f>
        <x:v>M09-DI-0019-V1.0</x:v>
      </x:c>
      <x:c r="B25" s="74" t="str">
        <x:v>M09</x:v>
      </x:c>
      <x:c r="C25" s="74" t="str">
        <x:v>DI</x:v>
      </x:c>
      <x:c r="D25" s="79" t="n">
        <x:v>19</x:v>
      </x:c>
      <x:c r="E25" s="74" t="str">
        <x:v>V1.0</x:v>
      </x:c>
      <x:c r="F25" s="68" t="str">
        <x:v>月支根与得令来自同一节点时不得重复全额计权</x:v>
      </x:c>
      <x:c r="G25" s="82" t="str">
        <x:v>综合层</x:v>
      </x:c>
      <x:c r="H25" s="68" t="str">
        <x:v>得地</x:v>
      </x:c>
      <x:c r="I25" s="68" t="str">
        <x:v>证据去重</x:v>
      </x:c>
      <x:c r="J25" s="68" t="str">
        <x:v>月支同时为日主季令支持与根位</x:v>
      </x:c>
      <x:c r="K25" s="68" t="str">
        <x:v>高</x:v>
      </x:c>
      <x:c r="L25" s="82" t="str">
        <x:v>中</x:v>
      </x:c>
      <x:c r="M25" s="68" t="str">
        <x:v>M03/M08完成</x:v>
      </x:c>
      <x:c r="N25" s="68" t="str">
        <x:v>同一月支节点</x:v>
      </x:c>
      <x:c r="O25" s="68" t="str">
        <x:v>另有年日时独立根</x:v>
      </x:c>
      <x:c r="P25" s="68"/>
      <x:c r="Q25" s="90" t="str">
        <x:v>禁止得令+月支本气根重复形成两份决定性证据</x:v>
      </x:c>
      <x:c r="R25" s="68" t="str">
        <x:v>可保留两种解释标签</x:v>
      </x:c>
      <x:c r="S25" s="68" t="str">
        <x:v>真正新增支持来自其他独立节点</x:v>
      </x:c>
      <x:c r="T25" s="82" t="str">
        <x:v>是</x:v>
      </x:c>
      <x:c r="U25" s="82" t="str">
        <x:v>中和偏旺</x:v>
      </x:c>
      <x:c r="V25" s="84" t="str">
        <x:v>月支去重</x:v>
      </x:c>
      <x:c r="W25" s="84" t="str">
        <x:v>月支既得令又通根时保留两类说明，但总权重需去重。</x:v>
      </x:c>
      <x:c r="X25" s="82" t="str">
        <x:v>较高</x:v>
      </x:c>
      <x:c r="Y25" s="82" t="str">
        <x:v>现代综合</x:v>
      </x:c>
      <x:c r="Z25" s="68" t="str">
        <x:v>得地按有效根气的层级、独立性与可调用性判断；根的存在与实际承载能力分开记录。</x:v>
      </x:c>
      <x:c r="AA25" s="68" t="str">
        <x:v>正例：当“月支同时为日主季令支持与根位”真实成立，且必要条件与增强条件同向时，按“月支根与得令来自同一节点时不得重复全额计权”记录对应旺衰证据。</x:v>
      </x:c>
      <x:c r="AB25" s="90" t="str">
        <x:v>反例：只有表面条件，但出现“禁止得令+月支本气根重复形成两份决定性证据”或关键有效性未成立时，不得套用本规则。</x:v>
      </x:c>
      <x:c r="AC25" s="68" t="str">
        <x:v>https://zh.wikisource.org/wiki/%E6%B7%B5%E6%B5%B7%E5%AD%90%E5%B9%B3%E5%A4%A7%E5%85%A8 ; https://zh.wikisource.org/wiki/%E6%BB%B4%E5%A4%A9%E9%AB%93%E9%97%A1%E5%BE%AE</x:v>
      </x:c>
      <x:c r="AD25" s="82" t="str">
        <x:v>采用</x:v>
      </x:c>
      <x:c r="AE25" s="82" t="str">
        <x:v>初审</x:v>
      </x:c>
      <x:c r="AF25" s="87" t="n">
        <x:v>46255</x:v>
      </x:c>
    </x:row>
    <x:row r="26">
      <x:c r="A26" s="72" t="str">
        <x:f>IF(OR(C26="",D26=""),"",B26&amp;"-"&amp;UPPER(C26)&amp;"-"&amp;TEXT(D26,"0000")&amp;"-"&amp;E26)</x:f>
        <x:v>M09-DI-0020-V1.0</x:v>
      </x:c>
      <x:c r="B26" s="74" t="str">
        <x:v>M09</x:v>
      </x:c>
      <x:c r="C26" s="74" t="str">
        <x:v>DI</x:v>
      </x:c>
      <x:c r="D26" s="79" t="n">
        <x:v>20</x:v>
      </x:c>
      <x:c r="E26" s="74" t="str">
        <x:v>V1.0</x:v>
      </x:c>
      <x:c r="F26" s="68" t="str">
        <x:v>日支根属于直接承载节点但不设置固定倍权</x:v>
      </x:c>
      <x:c r="G26" s="82" t="str">
        <x:v>综合层</x:v>
      </x:c>
      <x:c r="H26" s="68" t="str">
        <x:v>得地</x:v>
      </x:c>
      <x:c r="I26" s="68" t="str">
        <x:v>支持偏旺</x:v>
      </x:c>
      <x:c r="J26" s="68" t="str">
        <x:v>日支藏有日主有效根</x:v>
      </x:c>
      <x:c r="K26" s="68" t="str">
        <x:v>中高</x:v>
      </x:c>
      <x:c r="L26" s="82" t="str">
        <x:v>中</x:v>
      </x:c>
      <x:c r="M26" s="68" t="str">
        <x:v>M08完成</x:v>
      </x:c>
      <x:c r="N26" s="68" t="str">
        <x:v>根性有效</x:v>
      </x:c>
      <x:c r="O26" s="68" t="str">
        <x:v>坐下本气根且得令有援</x:v>
      </x:c>
      <x:c r="P26" s="68" t="str">
        <x:v>日支根受合绊、改性或强制</x:v>
      </x:c>
      <x:c r="Q26" s="90" t="str">
        <x:v>禁止把坐根设为固定倍数</x:v>
      </x:c>
      <x:c r="R26" s="68" t="str">
        <x:v>位置权重流派差异转M21</x:v>
      </x:c>
      <x:c r="S26" s="68" t="str">
        <x:v>坐下根常具有直接性，但强弱仍由根级和全局决定</x:v>
      </x:c>
      <x:c r="T26" s="82" t="str">
        <x:v>否</x:v>
      </x:c>
      <x:c r="U26" s="82" t="str">
        <x:v>中和偏旺</x:v>
      </x:c>
      <x:c r="V26" s="84" t="str">
        <x:v>日支根直接性</x:v>
      </x:c>
      <x:c r="W26" s="84" t="str">
        <x:v>日支有效根可视为较直接的承载证据，但不使用固定倍权。</x:v>
      </x:c>
      <x:c r="X26" s="82" t="str">
        <x:v>中等</x:v>
      </x:c>
      <x:c r="Y26" s="82" t="str">
        <x:v>现代综合</x:v>
      </x:c>
      <x:c r="Z26" s="68" t="str">
        <x:v>位置权重属于模型化处理，需通过案例回归验证。</x:v>
      </x:c>
      <x:c r="AA26" s="68" t="str">
        <x:v>正例：当“日支藏有日主有效根”真实成立，且必要条件与增强条件同向时，按“日支根属于直接承载节点但不设置固定倍权”记录对应旺衰证据。</x:v>
      </x:c>
      <x:c r="AB26" s="90" t="str">
        <x:v>反例：只有表面条件，但出现“禁止把坐根设为固定倍数”或关键有效性未成立时，不得套用本规则。</x:v>
      </x:c>
      <x:c r="AC26" s="68" t="str">
        <x:v>https://zh.wikisource.org/wiki/%E6%B7%B5%E6%B5%B7%E5%AD%90%E5%B9%B3%E5%A4%A7%E5%85%A8 ; https://zh.wikisource.org/wiki/%E6%BB%B4%E5%A4%A9%E9%AB%93%E9%97%A1%E5%BE%AE</x:v>
      </x:c>
      <x:c r="AD26" s="82" t="str">
        <x:v>待验证</x:v>
      </x:c>
      <x:c r="AE26" s="82" t="str">
        <x:v>初审</x:v>
      </x:c>
      <x:c r="AF26" s="87" t="n">
        <x:v>46255</x:v>
      </x:c>
    </x:row>
    <x:row r="27">
      <x:c r="A27" s="72" t="str">
        <x:f>IF(OR(C27="",D27=""),"",B27&amp;"-"&amp;UPPER(C27)&amp;"-"&amp;TEXT(D27,"0000")&amp;"-"&amp;E27)</x:f>
        <x:v>M09-DI-0021-V1.0</x:v>
      </x:c>
      <x:c r="B27" s="74" t="str">
        <x:v>M09</x:v>
      </x:c>
      <x:c r="C27" s="74" t="str">
        <x:v>DI</x:v>
      </x:c>
      <x:c r="D27" s="79" t="n">
        <x:v>21</x:v>
      </x:c>
      <x:c r="E27" s="74" t="str">
        <x:v>V1.0</x:v>
      </x:c>
      <x:c r="F27" s="68" t="str">
        <x:v>多根受损只修正对应节点不连坐删除其他根</x:v>
      </x:c>
      <x:c r="G27" s="82" t="str">
        <x:v>综合层</x:v>
      </x:c>
      <x:c r="H27" s="68" t="str">
        <x:v>得地</x:v>
      </x:c>
      <x:c r="I27" s="68" t="str">
        <x:v>局部减弱</x:v>
      </x:c>
      <x:c r="J27" s="68" t="str">
        <x:v>日主有多重根，其中部分根被M08判受损</x:v>
      </x:c>
      <x:c r="K27" s="68" t="str">
        <x:v>中高</x:v>
      </x:c>
      <x:c r="L27" s="82" t="str">
        <x:v>中</x:v>
      </x:c>
      <x:c r="M27" s="68" t="str">
        <x:v>M08完成</x:v>
      </x:c>
      <x:c r="N27" s="68" t="str">
        <x:v>根位独立</x:v>
      </x:c>
      <x:c r="O27" s="68" t="str">
        <x:v>未受损根仍得令有援</x:v>
      </x:c>
      <x:c r="P27" s="68" t="str">
        <x:v>多个根共享同一支或同时被改性</x:v>
      </x:c>
      <x:c r="Q27" s="90" t="str">
        <x:v>禁止一个根受损即把全部得地判零</x:v>
      </x:c>
      <x:c r="R27" s="68" t="str">
        <x:v>合局改性按M08处理</x:v>
      </x:c>
      <x:c r="S27" s="68" t="str">
        <x:v>剩余独立根越强，日主仍可保持中和以上</x:v>
      </x:c>
      <x:c r="T27" s="82" t="str">
        <x:v>是</x:v>
      </x:c>
      <x:c r="U27" s="82" t="str">
        <x:v>中和</x:v>
      </x:c>
      <x:c r="V27" s="84" t="str">
        <x:v>根位局部修正</x:v>
      </x:c>
      <x:c r="W27" s="84" t="str">
        <x:v>部分根气受损只影响对应节点；其余独立有效根继续保留。</x:v>
      </x:c>
      <x:c r="X27" s="82" t="str">
        <x:v>较高</x:v>
      </x:c>
      <x:c r="Y27" s="82" t="str">
        <x:v>现代综合</x:v>
      </x:c>
      <x:c r="Z27" s="68" t="str">
        <x:v>得地按有效根气的层级、独立性与可调用性判断；根的存在与实际承载能力分开记录。</x:v>
      </x:c>
      <x:c r="AA27" s="68" t="str">
        <x:v>正例：当“日主有多重根，其中部分根被M08判受损”真实成立，且必要条件与增强条件同向时，按“多根受损只修正对应节点不连坐删除其他根”记录对应旺衰证据。</x:v>
      </x:c>
      <x:c r="AB27" s="90" t="str">
        <x:v>反例：只有表面条件，但出现“禁止一个根受损即把全部得地判零”或关键有效性未成立时，不得套用本规则。</x:v>
      </x:c>
      <x:c r="AC27" s="68" t="str">
        <x:v>https://zh.wikisource.org/wiki/%E6%B7%B5%E6%B5%B7%E5%AD%90%E5%B9%B3%E5%A4%A7%E5%85%A8 ; https://zh.wikisource.org/wiki/%E6%BB%B4%E5%A4%A9%E9%AB%93%E9%97%A1%E5%BE%AE</x:v>
      </x:c>
      <x:c r="AD27" s="82" t="str">
        <x:v>采用</x:v>
      </x:c>
      <x:c r="AE27" s="82" t="str">
        <x:v>初审</x:v>
      </x:c>
      <x:c r="AF27" s="87" t="n">
        <x:v>46255</x:v>
      </x:c>
    </x:row>
    <x:row r="28">
      <x:c r="A28" s="72" t="str">
        <x:f>IF(OR(C28="",D28=""),"",B28&amp;"-"&amp;UPPER(C28)&amp;"-"&amp;TEXT(D28,"0000")&amp;"-"&amp;E28)</x:f>
        <x:v>M09-DI-0022-V1.0</x:v>
      </x:c>
      <x:c r="B28" s="74" t="str">
        <x:v>M09</x:v>
      </x:c>
      <x:c r="C28" s="74" t="str">
        <x:v>DI</x:v>
      </x:c>
      <x:c r="D28" s="79" t="n">
        <x:v>22</x:v>
      </x:c>
      <x:c r="E28" s="74" t="str">
        <x:v>V1.0</x:v>
      </x:c>
      <x:c r="F28" s="68" t="str">
        <x:v>根气存在与根气可调用必须分别记录</x:v>
      </x:c>
      <x:c r="G28" s="82" t="str">
        <x:v>综合层</x:v>
      </x:c>
      <x:c r="H28" s="68" t="str">
        <x:v>得地</x:v>
      </x:c>
      <x:c r="I28" s="68" t="str">
        <x:v>条件性</x:v>
      </x:c>
      <x:c r="J28" s="68" t="str">
        <x:v>M03有根但M08判合绊、寒凝或其他调用受限</x:v>
      </x:c>
      <x:c r="K28" s="68" t="str">
        <x:v>中高</x:v>
      </x:c>
      <x:c r="L28" s="82" t="str">
        <x:v>中</x:v>
      </x:c>
      <x:c r="M28" s="68" t="str">
        <x:v>M08完成</x:v>
      </x:c>
      <x:c r="N28" s="68" t="str">
        <x:v>原根存在且有效性受限</x:v>
      </x:c>
      <x:c r="O28" s="68" t="str">
        <x:v>有透达通道或救应</x:v>
      </x:c>
      <x:c r="P28" s="68" t="str">
        <x:v>长期冻结、实质改性或被制</x:v>
      </x:c>
      <x:c r="Q28" s="90" t="str">
        <x:v>禁止把“有根”直接等同“根力完整”</x:v>
      </x:c>
      <x:c r="R28" s="68" t="str">
        <x:v>不同作用类型按M08输出</x:v>
      </x:c>
      <x:c r="S28" s="68" t="str">
        <x:v>受限根可以防止极弱但未必足以支撑偏旺</x:v>
      </x:c>
      <x:c r="T28" s="82" t="str">
        <x:v>否</x:v>
      </x:c>
      <x:c r="U28" s="82" t="str">
        <x:v>中和</x:v>
      </x:c>
      <x:c r="V28" s="84" t="str">
        <x:v>根气可调用性</x:v>
      </x:c>
      <x:c r="W28" s="84" t="str">
        <x:v>日主虽有根，但根气调用受限；得地证据按有效等级而非存在性计入。</x:v>
      </x:c>
      <x:c r="X28" s="82" t="str">
        <x:v>较高</x:v>
      </x:c>
      <x:c r="Y28" s="82" t="str">
        <x:v>现代综合</x:v>
      </x:c>
      <x:c r="Z28" s="68" t="str">
        <x:v>得地按有效根气的层级、独立性与可调用性判断；根的存在与实际承载能力分开记录。</x:v>
      </x:c>
      <x:c r="AA28" s="68" t="str">
        <x:v>正例：当“M03有根但M08判合绊、寒凝或其他调用受限”真实成立，且必要条件与增强条件同向时，按“根气存在与根气可调用必须分别记录”记录对应旺衰证据。</x:v>
      </x:c>
      <x:c r="AB28" s="90" t="str">
        <x:v>反例：只有表面条件，但出现“禁止把“有根”直接等同“根力完整””或关键有效性未成立时，不得套用本规则。</x:v>
      </x:c>
      <x:c r="AC28" s="68" t="str">
        <x:v>https://zh.wikisource.org/wiki/%E6%B7%B5%E6%B5%B7%E5%AD%90%E5%B9%B3%E5%A4%A7%E5%85%A8 ; https://zh.wikisource.org/wiki/%E6%BB%B4%E5%A4%A9%E9%AB%93%E9%97%A1%E5%BE%AE</x:v>
      </x:c>
      <x:c r="AD28" s="82" t="str">
        <x:v>采用</x:v>
      </x:c>
      <x:c r="AE28" s="82" t="str">
        <x:v>初审</x:v>
      </x:c>
      <x:c r="AF28" s="87" t="n">
        <x:v>46255</x:v>
      </x:c>
    </x:row>
    <x:row r="29">
      <x:c r="A29" s="72" t="str">
        <x:f>IF(OR(C29="",D29=""),"",B29&amp;"-"&amp;UPPER(C29)&amp;"-"&amp;TEXT(D29,"0000")&amp;"-"&amp;E29)</x:f>
        <x:v>M09-SHI-0023-V1.0</x:v>
      </x:c>
      <x:c r="B29" s="74" t="str">
        <x:v>M09</x:v>
      </x:c>
      <x:c r="C29" s="74" t="str">
        <x:v>SHI</x:v>
      </x:c>
      <x:c r="D29" s="79" t="n">
        <x:v>23</x:v>
      </x:c>
      <x:c r="E29" s="74" t="str">
        <x:v>V1.0</x:v>
      </x:c>
      <x:c r="F29" s="68" t="str">
        <x:v>得势以有效印比形成扶身集团为核心</x:v>
      </x:c>
      <x:c r="G29" s="82" t="str">
        <x:v>综合层</x:v>
      </x:c>
      <x:c r="H29" s="68" t="str">
        <x:v>得势</x:v>
      </x:c>
      <x:c r="I29" s="68" t="str">
        <x:v>支持偏旺</x:v>
      </x:c>
      <x:c r="J29" s="68" t="str">
        <x:v>M08显示比劫与印星对应五行在多个独立节点形成同向扶身</x:v>
      </x:c>
      <x:c r="K29" s="68" t="str">
        <x:v>高</x:v>
      </x:c>
      <x:c r="L29" s="82" t="str">
        <x:v>强</x:v>
      </x:c>
      <x:c r="M29" s="68" t="str">
        <x:v>M08完成</x:v>
      </x:c>
      <x:c r="N29" s="68" t="str">
        <x:v>扶身节点真实有效且方向一致</x:v>
      </x:c>
      <x:c r="O29" s="68" t="str">
        <x:v>比劫透根、印源连续、地支有承载</x:v>
      </x:c>
      <x:c r="P29" s="68" t="str">
        <x:v>扶身五行虽多但弱、被合制或无根</x:v>
      </x:c>
      <x:c r="Q29" s="90" t="str">
        <x:v>禁止用“印比数量多”直接替代得势</x:v>
      </x:c>
      <x:c r="R29" s="68" t="str">
        <x:v>从旺专旺转M14</x:v>
      </x:c>
      <x:c r="S29" s="68" t="str">
        <x:v>若负荷侧更强，印比成群也未必足以定旺</x:v>
      </x:c>
      <x:c r="T29" s="82" t="str">
        <x:v>否</x:v>
      </x:c>
      <x:c r="U29" s="82" t="str">
        <x:v>旺</x:v>
      </x:c>
      <x:c r="V29" s="84" t="str">
        <x:v>扶身成势</x:v>
      </x:c>
      <x:c r="W29" s="84" t="str">
        <x:v>有效印比在多个节点形成扶身集团，可判为得势的重要证据。</x:v>
      </x:c>
      <x:c r="X29" s="82" t="str">
        <x:v>较高</x:v>
      </x:c>
      <x:c r="Y29" s="82" t="str">
        <x:v>现代综合</x:v>
      </x:c>
      <x:c r="Z29" s="68" t="str">
        <x:v>得势强调全局扶身集团的有效方向与稳定性，数量需经过根气、透达、作用通路和证据容量修正。</x:v>
      </x:c>
      <x:c r="AA29" s="68" t="str">
        <x:v>正例：当“M08显示比劫与印星对应五行在多个独立节点形成同向扶身”真实成立，且必要条件与增强条件同向时，按“得势以有效印比形成扶身集团为核心”记录对应旺衰证据。</x:v>
      </x:c>
      <x:c r="AB29" s="90" t="str">
        <x:v>反例：只有表面条件，但出现“禁止用“印比数量多”直接替代得势”或关键有效性未成立时，不得套用本规则。</x:v>
      </x:c>
      <x:c r="AC29" s="68" t="str">
        <x:v>https://zh.wikisource.org/wiki/%E6%B7%B5%E6%B5%B7%E5%AD%90%E5%B9%B3%E5%A4%A7%E5%85%A8 ; https://zh.wikisource.org/wiki/%E6%BB%B4%E5%A4%A9%E9%AB%93%E9%97%A1%E5%BE%AE</x:v>
      </x:c>
      <x:c r="AD29" s="82" t="str">
        <x:v>采用</x:v>
      </x:c>
      <x:c r="AE29" s="82" t="str">
        <x:v>初审</x:v>
      </x:c>
      <x:c r="AF29" s="87" t="n">
        <x:v>46255</x:v>
      </x:c>
    </x:row>
    <x:row r="30">
      <x:c r="A30" s="72" t="str">
        <x:f>IF(OR(C30="",D30=""),"",B30&amp;"-"&amp;UPPER(C30)&amp;"-"&amp;TEXT(D30,"0000")&amp;"-"&amp;E30)</x:f>
        <x:v>M09-SHI-0024-V1.0</x:v>
      </x:c>
      <x:c r="B30" s="74" t="str">
        <x:v>M09</x:v>
      </x:c>
      <x:c r="C30" s="74" t="str">
        <x:v>SHI</x:v>
      </x:c>
      <x:c r="D30" s="79" t="n">
        <x:v>24</x:v>
      </x:c>
      <x:c r="E30" s="74" t="str">
        <x:v>V1.0</x:v>
      </x:c>
      <x:c r="F30" s="68" t="str">
        <x:v>比劫有效成群比孤立浮干更能构成得势</x:v>
      </x:c>
      <x:c r="G30" s="82" t="str">
        <x:v>综合层</x:v>
      </x:c>
      <x:c r="H30" s="68" t="str">
        <x:v>得势</x:v>
      </x:c>
      <x:c r="I30" s="68" t="str">
        <x:v>支持偏旺</x:v>
      </x:c>
      <x:c r="J30" s="68" t="str">
        <x:v>多个比劫有效且至少部分通根</x:v>
      </x:c>
      <x:c r="K30" s="68" t="str">
        <x:v>高</x:v>
      </x:c>
      <x:c r="L30" s="82" t="str">
        <x:v>强</x:v>
      </x:c>
      <x:c r="M30" s="68" t="str">
        <x:v>M08完成</x:v>
      </x:c>
      <x:c r="N30" s="68" t="str">
        <x:v>比劫均可调用</x:v>
      </x:c>
      <x:c r="O30" s="68" t="str">
        <x:v>得令、多根、支干呼应</x:v>
      </x:c>
      <x:c r="P30" s="68" t="str">
        <x:v>比劫多数浮弱、无根或受制</x:v>
      </x:c>
      <x:c r="Q30" s="90" t="str">
        <x:v>不得按比劫个数机械计分</x:v>
      </x:c>
      <x:c r="R30" s="68" t="str">
        <x:v>比劫作用于财等功能转M10/M11</x:v>
      </x:c>
      <x:c r="S30" s="68" t="str">
        <x:v>有效比劫集团可直接提高日主同类力量</x:v>
      </x:c>
      <x:c r="T30" s="82" t="str">
        <x:v>否</x:v>
      </x:c>
      <x:c r="U30" s="82" t="str">
        <x:v>旺</x:v>
      </x:c>
      <x:c r="V30" s="84" t="str">
        <x:v>比劫得势</x:v>
      </x:c>
      <x:c r="W30" s="84" t="str">
        <x:v>比劫有效成群且有根，构成日主得势的强证据。</x:v>
      </x:c>
      <x:c r="X30" s="82" t="str">
        <x:v>较高</x:v>
      </x:c>
      <x:c r="Y30" s="82" t="str">
        <x:v>现代综合</x:v>
      </x:c>
      <x:c r="Z30" s="68" t="str">
        <x:v>得势强调全局扶身集团的有效方向与稳定性，数量需经过根气、透达、作用通路和证据容量修正。</x:v>
      </x:c>
      <x:c r="AA30" s="68" t="str">
        <x:v>正例：当“多个比劫有效且至少部分通根”真实成立，且必要条件与增强条件同向时，按“比劫有效成群比孤立浮干更能构成得势”记录对应旺衰证据。</x:v>
      </x:c>
      <x:c r="AB30" s="90" t="str">
        <x:v>反例：只有表面条件，但出现“不得按比劫个数机械计分”或关键有效性未成立时，不得套用本规则。</x:v>
      </x:c>
      <x:c r="AC30" s="68" t="str">
        <x:v>https://zh.wikisource.org/wiki/%E6%B7%B5%E6%B5%B7%E5%AD%90%E5%B9%B3%E5%A4%A7%E5%85%A8 ; https://zh.wikisource.org/wiki/%E6%BB%B4%E5%A4%A9%E9%AB%93%E9%97%A1%E5%BE%AE</x:v>
      </x:c>
      <x:c r="AD30" s="82" t="str">
        <x:v>采用</x:v>
      </x:c>
      <x:c r="AE30" s="82" t="str">
        <x:v>初审</x:v>
      </x:c>
      <x:c r="AF30" s="87" t="n">
        <x:v>46255</x:v>
      </x:c>
    </x:row>
    <x:row r="31">
      <x:c r="A31" s="72" t="str">
        <x:f>IF(OR(C31="",D31=""),"",B31&amp;"-"&amp;UPPER(C31)&amp;"-"&amp;TEXT(D31,"0000")&amp;"-"&amp;E31)</x:f>
        <x:v>M09-SHI-0025-V1.0</x:v>
      </x:c>
      <x:c r="B31" s="74" t="str">
        <x:v>M09</x:v>
      </x:c>
      <x:c r="C31" s="74" t="str">
        <x:v>SHI</x:v>
      </x:c>
      <x:c r="D31" s="79" t="n">
        <x:v>25</x:v>
      </x:c>
      <x:c r="E31" s="74" t="str">
        <x:v>V1.0</x:v>
      </x:c>
      <x:c r="F31" s="68" t="str">
        <x:v>印星成势属于得生与得势的共享证据需去重</x:v>
      </x:c>
      <x:c r="G31" s="82" t="str">
        <x:v>综合层</x:v>
      </x:c>
      <x:c r="H31" s="68" t="str">
        <x:v>得势</x:v>
      </x:c>
      <x:c r="I31" s="68" t="str">
        <x:v>证据去重</x:v>
      </x:c>
      <x:c r="J31" s="68" t="str">
        <x:v>多个有效印星既作为生源又构成扶身集团</x:v>
      </x:c>
      <x:c r="K31" s="68" t="str">
        <x:v>高</x:v>
      </x:c>
      <x:c r="L31" s="82" t="str">
        <x:v>中</x:v>
      </x:c>
      <x:c r="M31" s="68" t="str">
        <x:v>M08完成</x:v>
      </x:c>
      <x:c r="N31" s="68" t="str">
        <x:v>印星确实形成同向扶身</x:v>
      </x:c>
      <x:c r="O31" s="68" t="str">
        <x:v>另有独立比劫或根位</x:v>
      </x:c>
      <x:c r="P31" s="68" t="str">
        <x:v>印被财破、合绊或生身通路阻断</x:v>
      </x:c>
      <x:c r="Q31" s="90" t="str">
        <x:v>禁止同一批印星同时在得生和得势中重复全额累加</x:v>
      </x:c>
      <x:c r="R31" s="68" t="str">
        <x:v>可分别保留解释标签</x:v>
      </x:c>
      <x:c r="S31" s="68" t="str">
        <x:v>新增独立节点才增加证据容量</x:v>
      </x:c>
      <x:c r="T31" s="82" t="str">
        <x:v>是</x:v>
      </x:c>
      <x:c r="U31" s="82" t="str">
        <x:v>中和偏旺</x:v>
      </x:c>
      <x:c r="V31" s="84" t="str">
        <x:v>印势去重</x:v>
      </x:c>
      <x:c r="W31" s="84" t="str">
        <x:v>印星成势可同时解释为得生与得势，但同源证据必须去重。</x:v>
      </x:c>
      <x:c r="X31" s="82" t="str">
        <x:v>较高</x:v>
      </x:c>
      <x:c r="Y31" s="82" t="str">
        <x:v>现代综合</x:v>
      </x:c>
      <x:c r="Z31" s="68" t="str">
        <x:v>得势强调全局扶身集团的有效方向与稳定性，数量需经过根气、透达、作用通路和证据容量修正。</x:v>
      </x:c>
      <x:c r="AA31" s="68" t="str">
        <x:v>正例：当“多个有效印星既作为生源又构成扶身集团”真实成立，且必要条件与增强条件同向时，按“印星成势属于得生与得势的共享证据需去重”记录对应旺衰证据。</x:v>
      </x:c>
      <x:c r="AB31" s="90" t="str">
        <x:v>反例：只有表面条件，但出现“禁止同一批印星同时在得生和得势中重复全额累加”或关键有效性未成立时，不得套用本规则。</x:v>
      </x:c>
      <x:c r="AC31" s="68" t="str">
        <x:v>https://zh.wikisource.org/wiki/%E6%B7%B5%E6%B5%B7%E5%AD%90%E5%B9%B3%E5%A4%A7%E5%85%A8 ; https://zh.wikisource.org/wiki/%E6%BB%B4%E5%A4%A9%E9%AB%93%E9%97%A1%E5%BE%AE</x:v>
      </x:c>
      <x:c r="AD31" s="82" t="str">
        <x:v>采用</x:v>
      </x:c>
      <x:c r="AE31" s="82" t="str">
        <x:v>初审</x:v>
      </x:c>
      <x:c r="AF31" s="87" t="n">
        <x:v>46255</x:v>
      </x:c>
    </x:row>
    <x:row r="32">
      <x:c r="A32" s="72" t="str">
        <x:f>IF(OR(C32="",D32=""),"",B32&amp;"-"&amp;UPPER(C32)&amp;"-"&amp;TEXT(D32,"0000")&amp;"-"&amp;E32)</x:f>
        <x:v>M09-SHI-0026-V1.0</x:v>
      </x:c>
      <x:c r="B32" s="74" t="str">
        <x:v>M09</x:v>
      </x:c>
      <x:c r="C32" s="74" t="str">
        <x:v>SHI</x:v>
      </x:c>
      <x:c r="D32" s="79" t="n">
        <x:v>26</x:v>
      </x:c>
      <x:c r="E32" s="74" t="str">
        <x:v>V1.0</x:v>
      </x:c>
      <x:c r="F32" s="68" t="str">
        <x:v>数量优势必须经过质量筛选后才能形成势</x:v>
      </x:c>
      <x:c r="G32" s="82" t="str">
        <x:v>综合层</x:v>
      </x:c>
      <x:c r="H32" s="68" t="str">
        <x:v>得势</x:v>
      </x:c>
      <x:c r="I32" s="68" t="str">
        <x:v>条件性支持偏旺</x:v>
      </x:c>
      <x:c r="J32" s="68" t="str">
        <x:v>同类或印星数量较多</x:v>
      </x:c>
      <x:c r="K32" s="68" t="str">
        <x:v>中</x:v>
      </x:c>
      <x:c r="L32" s="82" t="str">
        <x:v>中</x:v>
      </x:c>
      <x:c r="M32" s="68" t="str">
        <x:v>M08完成</x:v>
      </x:c>
      <x:c r="N32" s="68" t="str">
        <x:v>多数节点具有有效力量</x:v>
      </x:c>
      <x:c r="O32" s="68" t="str">
        <x:v>得令、通根、透达</x:v>
      </x:c>
      <x:c r="P32" s="68" t="str">
        <x:v>多数节点微弱、受制或共享同一来源</x:v>
      </x:c>
      <x:c r="Q32" s="90" t="str">
        <x:v>禁止数量多数直接判得势</x:v>
      </x:c>
      <x:c r="R32" s="68" t="str">
        <x:v>特殊格局另审</x:v>
      </x:c>
      <x:c r="S32" s="68" t="str">
        <x:v>三个弱浮干可能不如一处强根加有力印源</x:v>
      </x:c>
      <x:c r="T32" s="82" t="str">
        <x:v>否</x:v>
      </x:c>
      <x:c r="U32" s="82" t="str">
        <x:v>中和偏旺</x:v>
      </x:c>
      <x:c r="V32" s="84" t="str">
        <x:v>数量质量分离</x:v>
      </x:c>
      <x:c r="W32" s="84" t="str">
        <x:v>扶身元素数量多只是候选；只有有效力量和方向一致时才构成得势。</x:v>
      </x:c>
      <x:c r="X32" s="82" t="str">
        <x:v>较高</x:v>
      </x:c>
      <x:c r="Y32" s="82" t="str">
        <x:v>现代综合</x:v>
      </x:c>
      <x:c r="Z32" s="68" t="str">
        <x:v>得势强调全局扶身集团的有效方向与稳定性，数量需经过根气、透达、作用通路和证据容量修正。</x:v>
      </x:c>
      <x:c r="AA32" s="68" t="str">
        <x:v>正例：当“同类或印星数量较多”真实成立，且必要条件与增强条件同向时，按“数量优势必须经过质量筛选后才能形成势”记录对应旺衰证据。</x:v>
      </x:c>
      <x:c r="AB32" s="90" t="str">
        <x:v>反例：只有表面条件，但出现“禁止数量多数直接判得势”或关键有效性未成立时，不得套用本规则。</x:v>
      </x:c>
      <x:c r="AC32" s="68" t="str">
        <x:v>https://zh.wikisource.org/wiki/%E6%B7%B5%E6%B5%B7%E5%AD%90%E5%B9%B3%E5%A4%A7%E5%85%A8 ; https://zh.wikisource.org/wiki/%E6%BB%B4%E5%A4%A9%E9%AB%93%E9%97%A1%E5%BE%AE</x:v>
      </x:c>
      <x:c r="AD32" s="82" t="str">
        <x:v>采用</x:v>
      </x:c>
      <x:c r="AE32" s="82" t="str">
        <x:v>初审</x:v>
      </x:c>
      <x:c r="AF32" s="87" t="n">
        <x:v>46255</x:v>
      </x:c>
    </x:row>
    <x:row r="33">
      <x:c r="A33" s="72" t="str">
        <x:f>IF(OR(C33="",D33=""),"",B33&amp;"-"&amp;UPPER(C33)&amp;"-"&amp;TEXT(D33,"0000")&amp;"-"&amp;E33)</x:f>
        <x:v>M09-SHI-0027-V1.0</x:v>
      </x:c>
      <x:c r="B33" s="74" t="str">
        <x:v>M09</x:v>
      </x:c>
      <x:c r="C33" s="74" t="str">
        <x:v>SHI</x:v>
      </x:c>
      <x:c r="D33" s="79" t="n">
        <x:v>27</x:v>
      </x:c>
      <x:c r="E33" s="74" t="str">
        <x:v>V1.0</x:v>
      </x:c>
      <x:c r="F33" s="68" t="str">
        <x:v>扶身节点覆盖天干地支通常比单层聚集更稳定</x:v>
      </x:c>
      <x:c r="G33" s="82" t="str">
        <x:v>综合层</x:v>
      </x:c>
      <x:c r="H33" s="68" t="str">
        <x:v>得势</x:v>
      </x:c>
      <x:c r="I33" s="68" t="str">
        <x:v>支持偏旺</x:v>
      </x:c>
      <x:c r="J33" s="68" t="str">
        <x:v>有效印比同时分布于天干与地支</x:v>
      </x:c>
      <x:c r="K33" s="68" t="str">
        <x:v>中高</x:v>
      </x:c>
      <x:c r="L33" s="82" t="str">
        <x:v>中</x:v>
      </x:c>
      <x:c r="M33" s="68" t="str">
        <x:v>M08完成</x:v>
      </x:c>
      <x:c r="N33" s="68" t="str">
        <x:v>干支均有可调用节点</x:v>
      </x:c>
      <x:c r="O33" s="68" t="str">
        <x:v>根透相应、位置连续</x:v>
      </x:c>
      <x:c r="P33" s="68" t="str">
        <x:v>一层被合化或另一层全浮弱</x:v>
      </x:c>
      <x:c r="Q33" s="90" t="str">
        <x:v>禁止设定固定位置倍数</x:v>
      </x:c>
      <x:c r="R33" s="68" t="str">
        <x:v>位置权重需案例验证</x:v>
      </x:c>
      <x:c r="S33" s="68" t="str">
        <x:v>干支呼应有助于提高支持稳定性</x:v>
      </x:c>
      <x:c r="T33" s="82" t="str">
        <x:v>否</x:v>
      </x:c>
      <x:c r="U33" s="82" t="str">
        <x:v>中和偏旺</x:v>
      </x:c>
      <x:c r="V33" s="84" t="str">
        <x:v>干支扶身覆盖</x:v>
      </x:c>
      <x:c r="W33" s="84" t="str">
        <x:v>扶身力量同时落在干支，通常比单层孤立聚集更稳定。</x:v>
      </x:c>
      <x:c r="X33" s="82" t="str">
        <x:v>中等</x:v>
      </x:c>
      <x:c r="Y33" s="82" t="str">
        <x:v>现代综合</x:v>
      </x:c>
      <x:c r="Z33" s="68" t="str">
        <x:v>作为稳定性证据而非固定加分项。</x:v>
      </x:c>
      <x:c r="AA33" s="68" t="str">
        <x:v>正例：当“有效印比同时分布于天干与地支”真实成立，且必要条件与增强条件同向时，按“扶身节点覆盖天干地支通常比单层聚集更稳定”记录对应旺衰证据。</x:v>
      </x:c>
      <x:c r="AB33" s="90" t="str">
        <x:v>反例：只有表面条件，但出现“禁止设定固定位置倍数”或关键有效性未成立时，不得套用本规则。</x:v>
      </x:c>
      <x:c r="AC33" s="68" t="str">
        <x:v>https://zh.wikisource.org/wiki/%E6%B7%B5%E6%B5%B7%E5%AD%90%E5%B9%B3%E5%A4%A7%E5%85%A8 ; https://zh.wikisource.org/wiki/%E6%BB%B4%E5%A4%A9%E9%AB%93%E9%97%A1%E5%BE%AE</x:v>
      </x:c>
      <x:c r="AD33" s="82" t="str">
        <x:v>待验证</x:v>
      </x:c>
      <x:c r="AE33" s="82" t="str">
        <x:v>初审</x:v>
      </x:c>
      <x:c r="AF33" s="87" t="n">
        <x:v>46255</x:v>
      </x:c>
    </x:row>
    <x:row r="34">
      <x:c r="A34" s="72" t="str">
        <x:f>IF(OR(C34="",D34=""),"",B34&amp;"-"&amp;UPPER(C34)&amp;"-"&amp;TEXT(D34,"0000")&amp;"-"&amp;E34)</x:f>
        <x:v>M09-SHI-0028-V1.0</x:v>
      </x:c>
      <x:c r="B34" s="74" t="str">
        <x:v>M09</x:v>
      </x:c>
      <x:c r="C34" s="74" t="str">
        <x:v>SHI</x:v>
      </x:c>
      <x:c r="D34" s="79" t="n">
        <x:v>28</x:v>
      </x:c>
      <x:c r="E34" s="74" t="str">
        <x:v>V1.0</x:v>
      </x:c>
      <x:c r="F34" s="68" t="str">
        <x:v>扶身集团内部生扶链通畅可提高得势有效性</x:v>
      </x:c>
      <x:c r="G34" s="82" t="str">
        <x:v>综合层</x:v>
      </x:c>
      <x:c r="H34" s="68" t="str">
        <x:v>得势</x:v>
      </x:c>
      <x:c r="I34" s="68" t="str">
        <x:v>支持偏旺</x:v>
      </x:c>
      <x:c r="J34" s="68" t="str">
        <x:v>印→日主/比劫的生扶路径在M08中有效</x:v>
      </x:c>
      <x:c r="K34" s="68" t="str">
        <x:v>中高</x:v>
      </x:c>
      <x:c r="L34" s="82" t="str">
        <x:v>中</x:v>
      </x:c>
      <x:c r="M34" s="68" t="str">
        <x:v>M08完成</x:v>
      </x:c>
      <x:c r="N34" s="68" t="str">
        <x:v>生扶链连续且中间节点可用</x:v>
      </x:c>
      <x:c r="O34" s="68" t="str">
        <x:v>印根强、日主有根承载</x:v>
      </x:c>
      <x:c r="P34" s="68" t="str">
        <x:v>链条过长、桥弱或受阻</x:v>
      </x:c>
      <x:c r="Q34" s="90" t="str">
        <x:v>禁止跨越缺失五行直接相生</x:v>
      </x:c>
      <x:c r="R34" s="68" t="str">
        <x:v>复杂流通转M12</x:v>
      </x:c>
      <x:c r="S34" s="68" t="str">
        <x:v>路径通畅使扶身集团更能转化为日主可用力量</x:v>
      </x:c>
      <x:c r="T34" s="82" t="str">
        <x:v>否</x:v>
      </x:c>
      <x:c r="U34" s="82" t="str">
        <x:v>中和偏旺</x:v>
      </x:c>
      <x:c r="V34" s="84" t="str">
        <x:v>扶身链有效</x:v>
      </x:c>
      <x:c r="W34" s="84" t="str">
        <x:v>扶身集团内部生扶通畅，得势证据上调。</x:v>
      </x:c>
      <x:c r="X34" s="82" t="str">
        <x:v>较高</x:v>
      </x:c>
      <x:c r="Y34" s="82" t="str">
        <x:v>现代综合</x:v>
      </x:c>
      <x:c r="Z34" s="68" t="str">
        <x:v>得势强调全局扶身集团的有效方向与稳定性，数量需经过根气、透达、作用通路和证据容量修正。</x:v>
      </x:c>
      <x:c r="AA34" s="68" t="str">
        <x:v>正例：当“印→日主/比劫的生扶路径在M08中有效”真实成立，且必要条件与增强条件同向时，按“扶身集团内部生扶链通畅可提高得势有效性”记录对应旺衰证据。</x:v>
      </x:c>
      <x:c r="AB34" s="90" t="str">
        <x:v>反例：只有表面条件，但出现“禁止跨越缺失五行直接相生”或关键有效性未成立时，不得套用本规则。</x:v>
      </x:c>
      <x:c r="AC34" s="68" t="str">
        <x:v>https://zh.wikisource.org/wiki/%E6%B7%B5%E6%B5%B7%E5%AD%90%E5%B9%B3%E5%A4%A7%E5%85%A8 ; https://zh.wikisource.org/wiki/%E6%BB%B4%E5%A4%A9%E9%AB%93%E9%97%A1%E5%BE%AE</x:v>
      </x:c>
      <x:c r="AD34" s="82" t="str">
        <x:v>采用</x:v>
      </x:c>
      <x:c r="AE34" s="82" t="str">
        <x:v>初审</x:v>
      </x:c>
      <x:c r="AF34" s="87" t="n">
        <x:v>46255</x:v>
      </x:c>
    </x:row>
    <x:row r="35">
      <x:c r="A35" s="72" t="str">
        <x:f>IF(OR(C35="",D35=""),"",B35&amp;"-"&amp;UPPER(C35)&amp;"-"&amp;TEXT(D35,"0000")&amp;"-"&amp;E35)</x:f>
        <x:v>M09-SHI-0029-V1.0</x:v>
      </x:c>
      <x:c r="B35" s="74" t="str">
        <x:v>M09</x:v>
      </x:c>
      <x:c r="C35" s="74" t="str">
        <x:v>SHI</x:v>
      </x:c>
      <x:c r="D35" s="79" t="n">
        <x:v>29</x:v>
      </x:c>
      <x:c r="E35" s="74" t="str">
        <x:v>V1.0</x:v>
      </x:c>
      <x:c r="F35" s="68" t="str">
        <x:v>扶身集团被强力分割时得势等级下调</x:v>
      </x:c>
      <x:c r="G35" s="82" t="str">
        <x:v>综合层</x:v>
      </x:c>
      <x:c r="H35" s="68" t="str">
        <x:v>得势</x:v>
      </x:c>
      <x:c r="I35" s="68" t="str">
        <x:v>支持偏弱</x:v>
      </x:c>
      <x:c r="J35" s="68" t="str">
        <x:v>印比虽多但被M08判大面积合绊、冲散、隔断或改性</x:v>
      </x:c>
      <x:c r="K35" s="68" t="str">
        <x:v>高</x:v>
      </x:c>
      <x:c r="L35" s="82" t="str">
        <x:v>强</x:v>
      </x:c>
      <x:c r="M35" s="68" t="str">
        <x:v>M08完成</x:v>
      </x:c>
      <x:c r="N35" s="68" t="str">
        <x:v>实际调用受限</x:v>
      </x:c>
      <x:c r="O35" s="68" t="str">
        <x:v>仍有独立强根与未受损扶身节点</x:v>
      </x:c>
      <x:c r="P35" s="68" t="str">
        <x:v>关系仅存在而效应轻微</x:v>
      </x:c>
      <x:c r="Q35" s="90" t="str">
        <x:v>禁止只看原始数量不看有效性</x:v>
      </x:c>
      <x:c r="R35" s="68" t="str">
        <x:v>M08争议效应降低置信度</x:v>
      </x:c>
      <x:c r="S35" s="68" t="str">
        <x:v>剩余有效节点越少，得势越难成立</x:v>
      </x:c>
      <x:c r="T35" s="82" t="str">
        <x:v>否</x:v>
      </x:c>
      <x:c r="U35" s="82" t="str">
        <x:v>中和</x:v>
      </x:c>
      <x:c r="V35" s="84" t="str">
        <x:v>得势受阻</x:v>
      </x:c>
      <x:c r="W35" s="84" t="str">
        <x:v>原局印比虽多，但有效扶身被分割或冻结，得势证据需下调。</x:v>
      </x:c>
      <x:c r="X35" s="82" t="str">
        <x:v>较高</x:v>
      </x:c>
      <x:c r="Y35" s="82" t="str">
        <x:v>现代综合</x:v>
      </x:c>
      <x:c r="Z35" s="68" t="str">
        <x:v>得势强调全局扶身集团的有效方向与稳定性，数量需经过根气、透达、作用通路和证据容量修正。</x:v>
      </x:c>
      <x:c r="AA35" s="68" t="str">
        <x:v>正例：当“印比虽多但被M08判大面积合绊、冲散、隔断或改性”真实成立，且必要条件与增强条件同向时，按“扶身集团被强力分割时得势等级下调”记录对应旺衰证据。</x:v>
      </x:c>
      <x:c r="AB35" s="90" t="str">
        <x:v>反例：只有表面条件，但出现“禁止只看原始数量不看有效性”或关键有效性未成立时，不得套用本规则。</x:v>
      </x:c>
      <x:c r="AC35" s="68" t="str">
        <x:v>https://zh.wikisource.org/wiki/%E6%B7%B5%E6%B5%B7%E5%AD%90%E5%B9%B3%E5%A4%A7%E5%85%A8 ; https://zh.wikisource.org/wiki/%E6%BB%B4%E5%A4%A9%E9%AB%93%E9%97%A1%E5%BE%AE</x:v>
      </x:c>
      <x:c r="AD35" s="82" t="str">
        <x:v>采用</x:v>
      </x:c>
      <x:c r="AE35" s="82" t="str">
        <x:v>初审</x:v>
      </x:c>
      <x:c r="AF35" s="87" t="n">
        <x:v>46255</x:v>
      </x:c>
    </x:row>
    <x:row r="36">
      <x:c r="A36" s="72" t="str">
        <x:f>IF(OR(C36="",D36=""),"",B36&amp;"-"&amp;UPPER(C36)&amp;"-"&amp;TEXT(D36,"0000")&amp;"-"&amp;E36)</x:f>
        <x:v>M09-SHI-0030-V1.0</x:v>
      </x:c>
      <x:c r="B36" s="74" t="str">
        <x:v>M09</x:v>
      </x:c>
      <x:c r="C36" s="74" t="str">
        <x:v>SHI</x:v>
      </x:c>
      <x:c r="D36" s="79" t="n">
        <x:v>30</x:v>
      </x:c>
      <x:c r="E36" s="74" t="str">
        <x:v>V1.0</x:v>
      </x:c>
      <x:c r="F36" s="68" t="str">
        <x:v>负荷侧形成更强集团可压过日主已有得势</x:v>
      </x:c>
      <x:c r="G36" s="82" t="str">
        <x:v>综合层</x:v>
      </x:c>
      <x:c r="H36" s="68" t="str">
        <x:v>得势</x:v>
      </x:c>
      <x:c r="I36" s="68" t="str">
        <x:v>支持偏弱</x:v>
      </x:c>
      <x:c r="J36" s="68" t="str">
        <x:v>日主有印比势，但官杀/食伤/财一侧形成更强有效合力</x:v>
      </x:c>
      <x:c r="K36" s="68" t="str">
        <x:v>高</x:v>
      </x:c>
      <x:c r="L36" s="82" t="str">
        <x:v>强</x:v>
      </x:c>
      <x:c r="M36" s="68" t="str">
        <x:v>M08完成</x:v>
      </x:c>
      <x:c r="N36" s="68" t="str">
        <x:v>比较的是有效力量而非数量</x:v>
      </x:c>
      <x:c r="O36" s="68" t="str">
        <x:v>扶身侧有强根与持续生源</x:v>
      </x:c>
      <x:c r="P36" s="68" t="str">
        <x:v>负荷侧被制化或无法作用日主</x:v>
      </x:c>
      <x:c r="Q36" s="90" t="str">
        <x:v>禁止看到印比成势便排除偏弱</x:v>
      </x:c>
      <x:c r="R36" s="68" t="str">
        <x:v>特殊格局转M14</x:v>
      </x:c>
      <x:c r="S36" s="68" t="str">
        <x:v>两侧都强时可能落在中和或向更强一侧偏移</x:v>
      </x:c>
      <x:c r="T36" s="82" t="str">
        <x:v>否</x:v>
      </x:c>
      <x:c r="U36" s="82" t="str">
        <x:v>中和</x:v>
      </x:c>
      <x:c r="V36" s="84" t="str">
        <x:v>双集团对比</x:v>
      </x:c>
      <x:c r="W36" s="84" t="str">
        <x:v>日主虽得势，但若制泄耗集团更强，旺衰仍可能回落至中和或偏弱。</x:v>
      </x:c>
      <x:c r="X36" s="82" t="str">
        <x:v>较高</x:v>
      </x:c>
      <x:c r="Y36" s="82" t="str">
        <x:v>现代综合</x:v>
      </x:c>
      <x:c r="Z36" s="68" t="str">
        <x:v>得势强调全局扶身集团的有效方向与稳定性，数量需经过根气、透达、作用通路和证据容量修正。</x:v>
      </x:c>
      <x:c r="AA36" s="68" t="str">
        <x:v>正例：当“日主有印比势，但官杀/食伤/财一侧形成更强有效合力”真实成立，且必要条件与增强条件同向时，按“负荷侧形成更强集团可压过日主已有得势”记录对应旺衰证据。</x:v>
      </x:c>
      <x:c r="AB36" s="90" t="str">
        <x:v>反例：只有表面条件，但出现“禁止看到印比成势便排除偏弱”或关键有效性未成立时，不得套用本规则。</x:v>
      </x:c>
      <x:c r="AC36" s="68" t="str">
        <x:v>https://zh.wikisource.org/wiki/%E6%B7%B5%E6%B5%B7%E5%AD%90%E5%B9%B3%E5%A4%A7%E5%85%A8 ; https://zh.wikisource.org/wiki/%E6%BB%B4%E5%A4%A9%E9%AB%93%E9%97%A1%E5%BE%AE</x:v>
      </x:c>
      <x:c r="AD36" s="82" t="str">
        <x:v>采用</x:v>
      </x:c>
      <x:c r="AE36" s="82" t="str">
        <x:v>初审</x:v>
      </x:c>
      <x:c r="AF36" s="87" t="n">
        <x:v>46255</x:v>
      </x:c>
    </x:row>
    <x:row r="37">
      <x:c r="A37" s="72" t="str">
        <x:f>IF(OR(C37="",D37=""),"",B37&amp;"-"&amp;UPPER(C37)&amp;"-"&amp;TEXT(D37,"0000")&amp;"-"&amp;E37)</x:f>
        <x:v>M09-SHI-0031-V1.0</x:v>
      </x:c>
      <x:c r="B37" s="74" t="str">
        <x:v>M09</x:v>
      </x:c>
      <x:c r="C37" s="74" t="str">
        <x:v>SHI</x:v>
      </x:c>
      <x:c r="D37" s="79" t="n">
        <x:v>31</x:v>
      </x:c>
      <x:c r="E37" s="74" t="str">
        <x:v>V1.0</x:v>
      </x:c>
      <x:c r="F37" s="68" t="str">
        <x:v>单一极强扶身节点可抵消多个弱反向节点</x:v>
      </x:c>
      <x:c r="G37" s="82" t="str">
        <x:v>综合层</x:v>
      </x:c>
      <x:c r="H37" s="68" t="str">
        <x:v>得势</x:v>
      </x:c>
      <x:c r="I37" s="68" t="str">
        <x:v>支持偏旺</x:v>
      </x:c>
      <x:c r="J37" s="68" t="str">
        <x:v>存在一个决定性有效根/印源，而反向节点多数微弱</x:v>
      </x:c>
      <x:c r="K37" s="68" t="str">
        <x:v>中高</x:v>
      </x:c>
      <x:c r="L37" s="82" t="str">
        <x:v>中</x:v>
      </x:c>
      <x:c r="M37" s="68" t="str">
        <x:v>M08完成</x:v>
      </x:c>
      <x:c r="N37" s="68" t="str">
        <x:v>强节点确有决定性承载</x:v>
      </x:c>
      <x:c r="O37" s="68" t="str">
        <x:v>另有同向支持</x:v>
      </x:c>
      <x:c r="P37" s="68" t="str">
        <x:v>反向节点中存在强势集团</x:v>
      </x:c>
      <x:c r="Q37" s="90" t="str">
        <x:v>禁止以节点数量多数决定胜负</x:v>
      </x:c>
      <x:c r="R37" s="68" t="str">
        <x:v>极端案例降低置信度</x:v>
      </x:c>
      <x:c r="S37" s="68" t="str">
        <x:v>证据质量高于简单计数</x:v>
      </x:c>
      <x:c r="T37" s="82" t="str">
        <x:v>否</x:v>
      </x:c>
      <x:c r="U37" s="82" t="str">
        <x:v>中和偏旺</x:v>
      </x:c>
      <x:c r="V37" s="84" t="str">
        <x:v>强证据优先</x:v>
      </x:c>
      <x:c r="W37" s="84" t="str">
        <x:v>一个决定性扶身节点可强于多个微弱反向节点，旺衰比较以有效质量为先。</x:v>
      </x:c>
      <x:c r="X37" s="82" t="str">
        <x:v>较高</x:v>
      </x:c>
      <x:c r="Y37" s="82" t="str">
        <x:v>现代综合</x:v>
      </x:c>
      <x:c r="Z37" s="68" t="str">
        <x:v>得势强调全局扶身集团的有效方向与稳定性，数量需经过根气、透达、作用通路和证据容量修正。</x:v>
      </x:c>
      <x:c r="AA37" s="68" t="str">
        <x:v>正例：当“存在一个决定性有效根/印源，而反向节点多数微弱”真实成立，且必要条件与增强条件同向时，按“单一极强扶身节点可抵消多个弱反向节点”记录对应旺衰证据。</x:v>
      </x:c>
      <x:c r="AB37" s="90" t="str">
        <x:v>反例：只有表面条件，但出现“禁止以节点数量多数决定胜负”或关键有效性未成立时，不得套用本规则。</x:v>
      </x:c>
      <x:c r="AC37" s="68" t="str">
        <x:v>https://zh.wikisource.org/wiki/%E6%B7%B5%E6%B5%B7%E5%AD%90%E5%B9%B3%E5%A4%A7%E5%85%A8 ; https://zh.wikisource.org/wiki/%E6%BB%B4%E5%A4%A9%E9%AB%93%E9%97%A1%E5%BE%AE</x:v>
      </x:c>
      <x:c r="AD37" s="82" t="str">
        <x:v>采用</x:v>
      </x:c>
      <x:c r="AE37" s="82" t="str">
        <x:v>初审</x:v>
      </x:c>
      <x:c r="AF37" s="87" t="n">
        <x:v>46255</x:v>
      </x:c>
    </x:row>
    <x:row r="38">
      <x:c r="A38" s="72" t="str">
        <x:f>IF(OR(C38="",D38=""),"",B38&amp;"-"&amp;UPPER(C38)&amp;"-"&amp;TEXT(D38,"0000")&amp;"-"&amp;E38)</x:f>
        <x:v>M09-SHI-0032-V1.0</x:v>
      </x:c>
      <x:c r="B38" s="74" t="str">
        <x:v>M09</x:v>
      </x:c>
      <x:c r="C38" s="74" t="str">
        <x:v>SHI</x:v>
      </x:c>
      <x:c r="D38" s="79" t="n">
        <x:v>32</x:v>
      </x:c>
      <x:c r="E38" s="74" t="str">
        <x:v>V1.0</x:v>
      </x:c>
      <x:c r="F38" s="68" t="str">
        <x:v>得势是全局方向概念而非单一十神数量标签</x:v>
      </x:c>
      <x:c r="G38" s="82" t="str">
        <x:v>综合层</x:v>
      </x:c>
      <x:c r="H38" s="68" t="str">
        <x:v>得势</x:v>
      </x:c>
      <x:c r="I38" s="68" t="str">
        <x:v>边界</x:v>
      </x:c>
      <x:c r="J38" s="68" t="str">
        <x:v>任何得势判断</x:v>
      </x:c>
      <x:c r="K38" s="68" t="str">
        <x:v>高</x:v>
      </x:c>
      <x:c r="L38" s="82" t="str">
        <x:v>决定性</x:v>
      </x:c>
      <x:c r="M38" s="68" t="str">
        <x:v>M08完成</x:v>
      </x:c>
      <x:c r="N38" s="68" t="str">
        <x:v>至少比较根、印、比与负荷侧</x:v>
      </x:c>
      <x:c r="O38" s="68" t="str">
        <x:v>多维扶身证据同向</x:v>
      </x:c>
      <x:c r="P38" s="68" t="str">
        <x:v>仅某一类十神数量多</x:v>
      </x:c>
      <x:c r="Q38" s="90" t="str">
        <x:v>禁止把“印多”或“比劫多”直接等同得势</x:v>
      </x:c>
      <x:c r="R38" s="68" t="str">
        <x:v>十神功能转M10</x:v>
      </x:c>
      <x:c r="S38" s="68" t="str">
        <x:v>得势应体现全局力量向日主集中</x:v>
      </x:c>
      <x:c r="T38" s="82" t="str">
        <x:v>否</x:v>
      </x:c>
      <x:c r="U38" s="82" t="str">
        <x:v>中和</x:v>
      </x:c>
      <x:c r="V38" s="84" t="str">
        <x:v>得势定义</x:v>
      </x:c>
      <x:c r="W38" s="84" t="str">
        <x:v>得势只在全局有效力量明显向日主集中时成立，不以单一十神数量代替。</x:v>
      </x:c>
      <x:c r="X38" s="82" t="str">
        <x:v>较高</x:v>
      </x:c>
      <x:c r="Y38" s="82" t="str">
        <x:v>现代综合</x:v>
      </x:c>
      <x:c r="Z38" s="68" t="str">
        <x:v>得势强调全局扶身集团的有效方向与稳定性，数量需经过根气、透达、作用通路和证据容量修正。</x:v>
      </x:c>
      <x:c r="AA38" s="68" t="str">
        <x:v>正例：当“任何得势判断”真实成立，且必要条件与增强条件同向时，按“得势是全局方向概念而非单一十神数量标签”记录对应旺衰证据。</x:v>
      </x:c>
      <x:c r="AB38" s="90" t="str">
        <x:v>反例：只有表面条件，但出现“禁止把“印多”或“比劫多”直接等同得势”或关键有效性未成立时，不得套用本规则。</x:v>
      </x:c>
      <x:c r="AC38" s="68" t="str">
        <x:v>https://zh.wikisource.org/wiki/%E6%B7%B5%E6%B5%B7%E5%AD%90%E5%B9%B3%E5%A4%A7%E5%85%A8 ; https://zh.wikisource.org/wiki/%E6%BB%B4%E5%A4%A9%E9%AB%93%E9%97%A1%E5%BE%AE</x:v>
      </x:c>
      <x:c r="AD38" s="82" t="str">
        <x:v>采用</x:v>
      </x:c>
      <x:c r="AE38" s="82" t="str">
        <x:v>初审</x:v>
      </x:c>
      <x:c r="AF38" s="87" t="n">
        <x:v>46255</x:v>
      </x:c>
    </x:row>
    <x:row r="39">
      <x:c r="A39" s="72" t="str">
        <x:f>IF(OR(C39="",D39=""),"",B39&amp;"-"&amp;UPPER(C39)&amp;"-"&amp;TEXT(D39,"0000")&amp;"-"&amp;E39)</x:f>
        <x:v>M09-SHENG-0033-V1.0</x:v>
      </x:c>
      <x:c r="B39" s="74" t="str">
        <x:v>M09</x:v>
      </x:c>
      <x:c r="C39" s="74" t="str">
        <x:v>SHENG</x:v>
      </x:c>
      <x:c r="D39" s="79" t="n">
        <x:v>33</x:v>
      </x:c>
      <x:c r="E39" s="74" t="str">
        <x:v>V1.0</x:v>
      </x:c>
      <x:c r="F39" s="68" t="str">
        <x:v>有效印星是日主得生的直接证据</x:v>
      </x:c>
      <x:c r="G39" s="82" t="str">
        <x:v>综合层</x:v>
      </x:c>
      <x:c r="H39" s="68" t="str">
        <x:v>得生</x:v>
      </x:c>
      <x:c r="I39" s="68" t="str">
        <x:v>支持偏旺</x:v>
      </x:c>
      <x:c r="J39" s="68" t="str">
        <x:v>M08确认生日主的五行具有有效力量并有作用通路</x:v>
      </x:c>
      <x:c r="K39" s="68" t="str">
        <x:v>高</x:v>
      </x:c>
      <x:c r="L39" s="82" t="str">
        <x:v>强</x:v>
      </x:c>
      <x:c r="M39" s="68" t="str">
        <x:v>M08完成</x:v>
      </x:c>
      <x:c r="N39" s="68" t="str">
        <x:v>生源自身有力且可到达日主</x:v>
      </x:c>
      <x:c r="O39" s="68" t="str">
        <x:v>生源得令、有根、透达</x:v>
      </x:c>
      <x:c r="P39" s="68" t="str">
        <x:v>生源无根、被制、被合绊或通路阻断</x:v>
      </x:c>
      <x:c r="Q39" s="90" t="str">
        <x:v>禁止印星一出现就按强生扶</x:v>
      </x:c>
      <x:c r="R39" s="68" t="str">
        <x:v>十神清纯度转M10</x:v>
      </x:c>
      <x:c r="S39" s="68" t="str">
        <x:v>有效印越强，日主获得的持续补给越明显</x:v>
      </x:c>
      <x:c r="T39" s="82" t="str">
        <x:v>否</x:v>
      </x:c>
      <x:c r="U39" s="82" t="str">
        <x:v>中和偏旺</x:v>
      </x:c>
      <x:c r="V39" s="84" t="str">
        <x:v>有效得生</x:v>
      </x:c>
      <x:c r="W39" s="84" t="str">
        <x:v>日主获得有效印星生扶，是偏强的重要证据。</x:v>
      </x:c>
      <x:c r="X39" s="82" t="str">
        <x:v>较高</x:v>
      </x:c>
      <x:c r="Y39" s="82" t="str">
        <x:v>现代综合</x:v>
      </x:c>
      <x:c r="Z39" s="68" t="str">
        <x:v>得生只计算能够实际到达日主的有效生源；生源自身力量、通路和承载上限共同限制支持强度。</x:v>
      </x:c>
      <x:c r="AA39" s="68" t="str">
        <x:v>正例：当“M08确认生日主的五行具有有效力量并有作用通路”真实成立，且必要条件与增强条件同向时，按“有效印星是日主得生的直接证据”记录对应旺衰证据。</x:v>
      </x:c>
      <x:c r="AB39" s="90" t="str">
        <x:v>反例：只有表面条件，但出现“禁止印星一出现就按强生扶”或关键有效性未成立时，不得套用本规则。</x:v>
      </x:c>
      <x:c r="AC39" s="68" t="str">
        <x:v>https://zh.wikisource.org/wiki/%E6%B7%B5%E6%B5%B7%E5%AD%90%E5%B9%B3%E5%A4%A7%E5%85%A8 ; https://zh.wikisource.org/wiki/%E6%BB%B4%E5%A4%A9%E9%AB%93%E9%97%A1%E5%BE%AE</x:v>
      </x:c>
      <x:c r="AD39" s="82" t="str">
        <x:v>采用</x:v>
      </x:c>
      <x:c r="AE39" s="82" t="str">
        <x:v>初审</x:v>
      </x:c>
      <x:c r="AF39" s="87" t="n">
        <x:v>46255</x:v>
      </x:c>
    </x:row>
    <x:row r="40">
      <x:c r="A40" s="72" t="str">
        <x:f>IF(OR(C40="",D40=""),"",B40&amp;"-"&amp;UPPER(C40)&amp;"-"&amp;TEXT(D40,"0000")&amp;"-"&amp;E40)</x:f>
        <x:v>M09-SHENG-0034-V1.0</x:v>
      </x:c>
      <x:c r="B40" s="74" t="str">
        <x:v>M09</x:v>
      </x:c>
      <x:c r="C40" s="74" t="str">
        <x:v>SHENG</x:v>
      </x:c>
      <x:c r="D40" s="79" t="n">
        <x:v>34</x:v>
      </x:c>
      <x:c r="E40" s="74" t="str">
        <x:v>V1.0</x:v>
      </x:c>
      <x:c r="F40" s="68" t="str">
        <x:v>印星旺但被财破或合绊时得生按有效性下调</x:v>
      </x:c>
      <x:c r="G40" s="82" t="str">
        <x:v>综合层</x:v>
      </x:c>
      <x:c r="H40" s="68" t="str">
        <x:v>得生</x:v>
      </x:c>
      <x:c r="I40" s="68" t="str">
        <x:v>支持偏弱</x:v>
      </x:c>
      <x:c r="J40" s="68" t="str">
        <x:v>原始印旺但M08显示其被强财克制、合绊或改性</x:v>
      </x:c>
      <x:c r="K40" s="68" t="str">
        <x:v>高</x:v>
      </x:c>
      <x:c r="L40" s="82" t="str">
        <x:v>强</x:v>
      </x:c>
      <x:c r="M40" s="68" t="str">
        <x:v>M08完成</x:v>
      </x:c>
      <x:c r="N40" s="68" t="str">
        <x:v>破坏效应已成立</x:v>
      </x:c>
      <x:c r="O40" s="68" t="str">
        <x:v>另有独立印源或救应</x:v>
      </x:c>
      <x:c r="P40" s="68" t="str">
        <x:v>关系仅存在未形成实质效应</x:v>
      </x:c>
      <x:c r="Q40" s="90" t="str">
        <x:v>禁止按原始印量满额计入</x:v>
      </x:c>
      <x:c r="R40" s="68" t="str">
        <x:v>制化组合转M11</x:v>
      </x:c>
      <x:c r="S40" s="68" t="str">
        <x:v>名义印旺不等于日主实际得生强</x:v>
      </x:c>
      <x:c r="T40" s="82" t="str">
        <x:v>否</x:v>
      </x:c>
      <x:c r="U40" s="82" t="str">
        <x:v>中和</x:v>
      </x:c>
      <x:c r="V40" s="84" t="str">
        <x:v>印源受损</x:v>
      </x:c>
      <x:c r="W40" s="84" t="str">
        <x:v>印星虽旺，但其生身通路受损；得生证据按M08有效水平计入。</x:v>
      </x:c>
      <x:c r="X40" s="82" t="str">
        <x:v>较高</x:v>
      </x:c>
      <x:c r="Y40" s="82" t="str">
        <x:v>现代综合</x:v>
      </x:c>
      <x:c r="Z40" s="68" t="str">
        <x:v>得生只计算能够实际到达日主的有效生源；生源自身力量、通路和承载上限共同限制支持强度。</x:v>
      </x:c>
      <x:c r="AA40" s="68" t="str">
        <x:v>正例：当“原始印旺但M08显示其被强财克制、合绊或改性”真实成立，且必要条件与增强条件同向时，按“印星旺但被财破或合绊时得生按有效性下调”记录对应旺衰证据。</x:v>
      </x:c>
      <x:c r="AB40" s="90" t="str">
        <x:v>反例：只有表面条件，但出现“禁止按原始印量满额计入”或关键有效性未成立时，不得套用本规则。</x:v>
      </x:c>
      <x:c r="AC40" s="68" t="str">
        <x:v>https://zh.wikisource.org/wiki/%E6%B7%B5%E6%B5%B7%E5%AD%90%E5%B9%B3%E5%A4%A7%E5%85%A8 ; https://zh.wikisource.org/wiki/%E6%BB%B4%E5%A4%A9%E9%AB%93%E9%97%A1%E5%BE%AE</x:v>
      </x:c>
      <x:c r="AD40" s="82" t="str">
        <x:v>采用</x:v>
      </x:c>
      <x:c r="AE40" s="82" t="str">
        <x:v>初审</x:v>
      </x:c>
      <x:c r="AF40" s="87" t="n">
        <x:v>46255</x:v>
      </x:c>
    </x:row>
    <x:row r="41">
      <x:c r="A41" s="72" t="str">
        <x:f>IF(OR(C41="",D41=""),"",B41&amp;"-"&amp;UPPER(C41)&amp;"-"&amp;TEXT(D41,"0000")&amp;"-"&amp;E41)</x:f>
        <x:v>M09-SHENG-0035-V1.0</x:v>
      </x:c>
      <x:c r="B41" s="74" t="str">
        <x:v>M09</x:v>
      </x:c>
      <x:c r="C41" s="74" t="str">
        <x:v>SHENG</x:v>
      </x:c>
      <x:c r="D41" s="79" t="n">
        <x:v>35</x:v>
      </x:c>
      <x:c r="E41" s="74" t="str">
        <x:v>V1.0</x:v>
      </x:c>
      <x:c r="F41" s="68" t="str">
        <x:v>无根日主即使得强印也需检查承载落点</x:v>
      </x:c>
      <x:c r="G41" s="82" t="str">
        <x:v>综合层</x:v>
      </x:c>
      <x:c r="H41" s="68" t="str">
        <x:v>得生</x:v>
      </x:c>
      <x:c r="I41" s="68" t="str">
        <x:v>条件性支持偏旺</x:v>
      </x:c>
      <x:c r="J41" s="68" t="str">
        <x:v>日主无有效根但有强印生身</x:v>
      </x:c>
      <x:c r="K41" s="68" t="str">
        <x:v>高</x:v>
      </x:c>
      <x:c r="L41" s="82" t="str">
        <x:v>中</x:v>
      </x:c>
      <x:c r="M41" s="68" t="str">
        <x:v>M08/M09得地证据已取得</x:v>
      </x:c>
      <x:c r="N41" s="68" t="str">
        <x:v>印源有效且日主至少有天干承载</x:v>
      </x:c>
      <x:c r="O41" s="68" t="str">
        <x:v>另有比劫或后续根气</x:v>
      </x:c>
      <x:c r="P41" s="68" t="str">
        <x:v>强泄耗制持续作用且无任何落脚点</x:v>
      </x:c>
      <x:c r="Q41" s="90" t="str">
        <x:v>禁止强印直接等同身旺</x:v>
      </x:c>
      <x:c r="R41" s="68" t="str">
        <x:v>从格候选另审</x:v>
      </x:c>
      <x:c r="S41" s="68" t="str">
        <x:v>强印可显著抬高日主，但无根会降低持续承载稳定性</x:v>
      </x:c>
      <x:c r="T41" s="82" t="str">
        <x:v>否</x:v>
      </x:c>
      <x:c r="U41" s="82" t="str">
        <x:v>中和</x:v>
      </x:c>
      <x:c r="V41" s="84" t="str">
        <x:v>强印无根边界</x:v>
      </x:c>
      <x:c r="W41" s="84" t="str">
        <x:v>日主无根但得强印，可获得明显生扶；是否偏旺仍取决于承载与负荷侧。</x:v>
      </x:c>
      <x:c r="X41" s="82" t="str">
        <x:v>较高</x:v>
      </x:c>
      <x:c r="Y41" s="82" t="str">
        <x:v>现代综合</x:v>
      </x:c>
      <x:c r="Z41" s="68" t="str">
        <x:v>得生只计算能够实际到达日主的有效生源；生源自身力量、通路和承载上限共同限制支持强度。</x:v>
      </x:c>
      <x:c r="AA41" s="68" t="str">
        <x:v>正例：当“日主无有效根但有强印生身”真实成立，且必要条件与增强条件同向时，按“无根日主即使得强印也需检查承载落点”记录对应旺衰证据。</x:v>
      </x:c>
      <x:c r="AB41" s="90" t="str">
        <x:v>反例：只有表面条件，但出现“禁止强印直接等同身旺”或关键有效性未成立时，不得套用本规则。</x:v>
      </x:c>
      <x:c r="AC41" s="68" t="str">
        <x:v>https://zh.wikisource.org/wiki/%E6%B7%B5%E6%B5%B7%E5%AD%90%E5%B9%B3%E5%A4%A7%E5%85%A8 ; https://zh.wikisource.org/wiki/%E6%BB%B4%E5%A4%A9%E9%AB%93%E9%97%A1%E5%BE%AE</x:v>
      </x:c>
      <x:c r="AD41" s="82" t="str">
        <x:v>采用</x:v>
      </x:c>
      <x:c r="AE41" s="82" t="str">
        <x:v>初审</x:v>
      </x:c>
      <x:c r="AF41" s="87" t="n">
        <x:v>46255</x:v>
      </x:c>
    </x:row>
    <x:row r="42">
      <x:c r="A42" s="72" t="str">
        <x:f>IF(OR(C42="",D42=""),"",B42&amp;"-"&amp;UPPER(C42)&amp;"-"&amp;TEXT(D42,"0000")&amp;"-"&amp;E42)</x:f>
        <x:v>M09-SHENG-0036-V1.0</x:v>
      </x:c>
      <x:c r="B42" s="74" t="str">
        <x:v>M09</x:v>
      </x:c>
      <x:c r="C42" s="74" t="str">
        <x:v>SHENG</x:v>
      </x:c>
      <x:c r="D42" s="79" t="n">
        <x:v>36</x:v>
      </x:c>
      <x:c r="E42" s="74" t="str">
        <x:v>V1.0</x:v>
      </x:c>
      <x:c r="F42" s="68" t="str">
        <x:v>多重独立印源可提高得生稳定性但边际递减</x:v>
      </x:c>
      <x:c r="G42" s="82" t="str">
        <x:v>综合层</x:v>
      </x:c>
      <x:c r="H42" s="68" t="str">
        <x:v>得生</x:v>
      </x:c>
      <x:c r="I42" s="68" t="str">
        <x:v>支持偏旺</x:v>
      </x:c>
      <x:c r="J42" s="68" t="str">
        <x:v>存在两个以上独立有效印源</x:v>
      </x:c>
      <x:c r="K42" s="68" t="str">
        <x:v>中高</x:v>
      </x:c>
      <x:c r="L42" s="82" t="str">
        <x:v>中</x:v>
      </x:c>
      <x:c r="M42" s="68" t="str">
        <x:v>M08完成</x:v>
      </x:c>
      <x:c r="N42" s="68" t="str">
        <x:v>印源彼此独立</x:v>
      </x:c>
      <x:c r="O42" s="68" t="str">
        <x:v>印源有根且生扶链短</x:v>
      </x:c>
      <x:c r="P42" s="68" t="str">
        <x:v>多个印源共享同一根或共同受制</x:v>
      </x:c>
      <x:c r="Q42" s="90" t="str">
        <x:v>禁止按印星数量线性叠加</x:v>
      </x:c>
      <x:c r="R42" s="68" t="str">
        <x:v>印过旺功能问题转M10/M11</x:v>
      </x:c>
      <x:c r="S42" s="68" t="str">
        <x:v>第二、第三印源主要增加稳定性而非无限增力</x:v>
      </x:c>
      <x:c r="T42" s="82" t="str">
        <x:v>否</x:v>
      </x:c>
      <x:c r="U42" s="82" t="str">
        <x:v>旺</x:v>
      </x:c>
      <x:c r="V42" s="84" t="str">
        <x:v>多印得生</x:v>
      </x:c>
      <x:c r="W42" s="84" t="str">
        <x:v>多重独立有效印源提高日主得生稳定性，但不线性累加。</x:v>
      </x:c>
      <x:c r="X42" s="82" t="str">
        <x:v>较高</x:v>
      </x:c>
      <x:c r="Y42" s="82" t="str">
        <x:v>现代综合</x:v>
      </x:c>
      <x:c r="Z42" s="68" t="str">
        <x:v>得生只计算能够实际到达日主的有效生源；生源自身力量、通路和承载上限共同限制支持强度。</x:v>
      </x:c>
      <x:c r="AA42" s="68" t="str">
        <x:v>正例：当“存在两个以上独立有效印源”真实成立，且必要条件与增强条件同向时，按“多重独立印源可提高得生稳定性但边际递减”记录对应旺衰证据。</x:v>
      </x:c>
      <x:c r="AB42" s="90" t="str">
        <x:v>反例：只有表面条件，但出现“禁止按印星数量线性叠加”或关键有效性未成立时，不得套用本规则。</x:v>
      </x:c>
      <x:c r="AC42" s="68" t="str">
        <x:v>https://zh.wikisource.org/wiki/%E6%B7%B5%E6%B5%B7%E5%AD%90%E5%B9%B3%E5%A4%A7%E5%85%A8 ; https://zh.wikisource.org/wiki/%E6%BB%B4%E5%A4%A9%E9%AB%93%E9%97%A1%E5%BE%AE</x:v>
      </x:c>
      <x:c r="AD42" s="82" t="str">
        <x:v>采用</x:v>
      </x:c>
      <x:c r="AE42" s="82" t="str">
        <x:v>初审</x:v>
      </x:c>
      <x:c r="AF42" s="87" t="n">
        <x:v>46255</x:v>
      </x:c>
    </x:row>
    <x:row r="43">
      <x:c r="A43" s="72" t="str">
        <x:f>IF(OR(C43="",D43=""),"",B43&amp;"-"&amp;UPPER(C43)&amp;"-"&amp;TEXT(D43,"0000")&amp;"-"&amp;E43)</x:f>
        <x:v>M09-SHENG-0037-V1.0</x:v>
      </x:c>
      <x:c r="B43" s="74" t="str">
        <x:v>M09</x:v>
      </x:c>
      <x:c r="C43" s="74" t="str">
        <x:v>SHENG</x:v>
      </x:c>
      <x:c r="D43" s="79" t="n">
        <x:v>37</x:v>
      </x:c>
      <x:c r="E43" s="74" t="str">
        <x:v>V1.0</x:v>
      </x:c>
      <x:c r="F43" s="68" t="str">
        <x:v>生源力量上限限制日主得生等级</x:v>
      </x:c>
      <x:c r="G43" s="82" t="str">
        <x:v>综合层</x:v>
      </x:c>
      <x:c r="H43" s="68" t="str">
        <x:v>得生</x:v>
      </x:c>
      <x:c r="I43" s="68" t="str">
        <x:v>边界</x:v>
      </x:c>
      <x:c r="J43" s="68" t="str">
        <x:v>日主存在生源</x:v>
      </x:c>
      <x:c r="K43" s="68" t="str">
        <x:v>中高</x:v>
      </x:c>
      <x:c r="L43" s="82" t="str">
        <x:v>中</x:v>
      </x:c>
      <x:c r="M43" s="68" t="str">
        <x:v>M08完成</x:v>
      </x:c>
      <x:c r="N43" s="68" t="str">
        <x:v>生源自身有效旺衰已知</x:v>
      </x:c>
      <x:c r="O43" s="68" t="str">
        <x:v>生源强且通根</x:v>
      </x:c>
      <x:c r="P43" s="68" t="str">
        <x:v>生源极弱或无根</x:v>
      </x:c>
      <x:c r="Q43" s="90" t="str">
        <x:v>禁止弱生源提供超过自身能力的强扶持</x:v>
      </x:c>
      <x:c r="R43" s="68" t="str">
        <x:v>多个独立生源可合并</x:v>
      </x:c>
      <x:c r="S43" s="68" t="str">
        <x:v>生源弱时即使位置相邻也只能形成低等级支持</x:v>
      </x:c>
      <x:c r="T43" s="82" t="str">
        <x:v>是</x:v>
      </x:c>
      <x:c r="U43" s="82" t="str">
        <x:v>中和</x:v>
      </x:c>
      <x:c r="V43" s="84" t="str">
        <x:v>生源容量</x:v>
      </x:c>
      <x:c r="W43" s="84" t="str">
        <x:v>日主得生强度不能高于生源自身可提供的有效能力。</x:v>
      </x:c>
      <x:c r="X43" s="82" t="str">
        <x:v>较高</x:v>
      </x:c>
      <x:c r="Y43" s="82" t="str">
        <x:v>现代综合</x:v>
      </x:c>
      <x:c r="Z43" s="68" t="str">
        <x:v>得生只计算能够实际到达日主的有效生源；生源自身力量、通路和承载上限共同限制支持强度。</x:v>
      </x:c>
      <x:c r="AA43" s="68" t="str">
        <x:v>正例：当“日主存在生源”真实成立，且必要条件与增强条件同向时，按“生源力量上限限制日主得生等级”记录对应旺衰证据。</x:v>
      </x:c>
      <x:c r="AB43" s="90" t="str">
        <x:v>反例：只有表面条件，但出现“禁止弱生源提供超过自身能力的强扶持”或关键有效性未成立时，不得套用本规则。</x:v>
      </x:c>
      <x:c r="AC43" s="68" t="str">
        <x:v>https://zh.wikisource.org/wiki/%E6%B7%B5%E6%B5%B7%E5%AD%90%E5%B9%B3%E5%A4%A7%E5%85%A8 ; https://zh.wikisource.org/wiki/%E6%BB%B4%E5%A4%A9%E9%AB%93%E9%97%A1%E5%BE%AE</x:v>
      </x:c>
      <x:c r="AD43" s="82" t="str">
        <x:v>采用</x:v>
      </x:c>
      <x:c r="AE43" s="82" t="str">
        <x:v>初审</x:v>
      </x:c>
      <x:c r="AF43" s="87" t="n">
        <x:v>46255</x:v>
      </x:c>
    </x:row>
    <x:row r="44">
      <x:c r="A44" s="72" t="str">
        <x:f>IF(OR(C44="",D44=""),"",B44&amp;"-"&amp;UPPER(C44)&amp;"-"&amp;TEXT(D44,"0000")&amp;"-"&amp;E44)</x:f>
        <x:v>M09-SHENG-0038-V1.0</x:v>
      </x:c>
      <x:c r="B44" s="74" t="str">
        <x:v>M09</x:v>
      </x:c>
      <x:c r="C44" s="74" t="str">
        <x:v>SHENG</x:v>
      </x:c>
      <x:c r="D44" s="79" t="n">
        <x:v>38</x:v>
      </x:c>
      <x:c r="E44" s="74" t="str">
        <x:v>V1.0</x:v>
      </x:c>
      <x:c r="F44" s="68" t="str">
        <x:v>长生扶链的末端支持应低于直接生扶</x:v>
      </x:c>
      <x:c r="G44" s="82" t="str">
        <x:v>综合层</x:v>
      </x:c>
      <x:c r="H44" s="68" t="str">
        <x:v>得生</x:v>
      </x:c>
      <x:c r="I44" s="68" t="str">
        <x:v>支持偏旺</x:v>
      </x:c>
      <x:c r="J44" s="68" t="str">
        <x:v>生扶需经过两段以上五行链条到达日主</x:v>
      </x:c>
      <x:c r="K44" s="68" t="str">
        <x:v>中</x:v>
      </x:c>
      <x:c r="L44" s="82" t="str">
        <x:v>中</x:v>
      </x:c>
      <x:c r="M44" s="68" t="str">
        <x:v>M08完成</x:v>
      </x:c>
      <x:c r="N44" s="68" t="str">
        <x:v>中间桥梁均有效</x:v>
      </x:c>
      <x:c r="O44" s="68" t="str">
        <x:v>链条短、桥强、连续</x:v>
      </x:c>
      <x:c r="P44" s="68" t="str">
        <x:v>桥弱、缺桥、被克或过度分流</x:v>
      </x:c>
      <x:c r="Q44" s="90" t="str">
        <x:v>禁止跨级或等量传递</x:v>
      </x:c>
      <x:c r="R44" s="68" t="str">
        <x:v>完整流通转M12</x:v>
      </x:c>
      <x:c r="S44" s="68" t="str">
        <x:v>链越长末端支持通常越衰减</x:v>
      </x:c>
      <x:c r="T44" s="82" t="str">
        <x:v>否</x:v>
      </x:c>
      <x:c r="U44" s="82" t="str">
        <x:v>中和偏旺</x:v>
      </x:c>
      <x:c r="V44" s="84" t="str">
        <x:v>链式得生</x:v>
      </x:c>
      <x:c r="W44" s="84" t="str">
        <x:v>日主通过连续生扶链获益，但末端支持低于同等条件下的直接生扶。</x:v>
      </x:c>
      <x:c r="X44" s="82" t="str">
        <x:v>中等</x:v>
      </x:c>
      <x:c r="Y44" s="82" t="str">
        <x:v>现代综合</x:v>
      </x:c>
      <x:c r="Z44" s="68" t="str">
        <x:v>为M12流通路径保留接口。</x:v>
      </x:c>
      <x:c r="AA44" s="68" t="str">
        <x:v>正例：当“生扶需经过两段以上五行链条到达日主”真实成立，且必要条件与增强条件同向时，按“长生扶链的末端支持应低于直接生扶”记录对应旺衰证据。</x:v>
      </x:c>
      <x:c r="AB44" s="90" t="str">
        <x:v>反例：只有表面条件，但出现“禁止跨级或等量传递”或关键有效性未成立时，不得套用本规则。</x:v>
      </x:c>
      <x:c r="AC44" s="68" t="str">
        <x:v>https://zh.wikisource.org/wiki/%E6%B7%B5%E6%B5%B7%E5%AD%90%E5%B9%B3%E5%A4%A7%E5%85%A8 ; https://zh.wikisource.org/wiki/%E6%BB%B4%E5%A4%A9%E9%AB%93%E9%97%A1%E5%BE%AE</x:v>
      </x:c>
      <x:c r="AD44" s="82" t="str">
        <x:v>采用</x:v>
      </x:c>
      <x:c r="AE44" s="82" t="str">
        <x:v>初审</x:v>
      </x:c>
      <x:c r="AF44" s="87" t="n">
        <x:v>46255</x:v>
      </x:c>
    </x:row>
    <x:row r="45">
      <x:c r="A45" s="72" t="str">
        <x:f>IF(OR(C45="",D45=""),"",B45&amp;"-"&amp;UPPER(C45)&amp;"-"&amp;TEXT(D45,"0000")&amp;"-"&amp;E45)</x:f>
        <x:v>M09-SHENG-0039-V1.0</x:v>
      </x:c>
      <x:c r="B45" s="74" t="str">
        <x:v>M09</x:v>
      </x:c>
      <x:c r="C45" s="74" t="str">
        <x:v>SHENG</x:v>
      </x:c>
      <x:c r="D45" s="79" t="n">
        <x:v>39</x:v>
      </x:c>
      <x:c r="E45" s="74" t="str">
        <x:v>V1.0</x:v>
      </x:c>
      <x:c r="F45" s="68" t="str">
        <x:v>印比同向时得生与得势可互相增强但同源去重</x:v>
      </x:c>
      <x:c r="G45" s="82" t="str">
        <x:v>综合层</x:v>
      </x:c>
      <x:c r="H45" s="68" t="str">
        <x:v>得生</x:v>
      </x:c>
      <x:c r="I45" s="68" t="str">
        <x:v>支持偏旺</x:v>
      </x:c>
      <x:c r="J45" s="68" t="str">
        <x:v>有效印生身且比劫同时提供承载</x:v>
      </x:c>
      <x:c r="K45" s="68" t="str">
        <x:v>高</x:v>
      </x:c>
      <x:c r="L45" s="82" t="str">
        <x:v>强</x:v>
      </x:c>
      <x:c r="M45" s="68" t="str">
        <x:v>M08完成</x:v>
      </x:c>
      <x:c r="N45" s="68" t="str">
        <x:v>印与比劫为独立节点</x:v>
      </x:c>
      <x:c r="O45" s="68" t="str">
        <x:v>根深、透干呼应</x:v>
      </x:c>
      <x:c r="P45" s="68" t="str">
        <x:v>印比均来自同一有限节点</x:v>
      </x:c>
      <x:c r="Q45" s="90" t="str">
        <x:v>禁止同一节点同时在得生、得势重复满额</x:v>
      </x:c>
      <x:c r="R45" s="68"/>
      <x:c r="S45" s="68" t="str">
        <x:v>印提供补给、比劫提供同类承载，组合后稳定性提高</x:v>
      </x:c>
      <x:c r="T45" s="82" t="str">
        <x:v>否</x:v>
      </x:c>
      <x:c r="U45" s="82" t="str">
        <x:v>旺</x:v>
      </x:c>
      <x:c r="V45" s="84" t="str">
        <x:v>印比协同</x:v>
      </x:c>
      <x:c r="W45" s="84" t="str">
        <x:v>印与比劫均有效且来源独立时，日主扶身结构更稳定。</x:v>
      </x:c>
      <x:c r="X45" s="82" t="str">
        <x:v>较高</x:v>
      </x:c>
      <x:c r="Y45" s="82" t="str">
        <x:v>现代综合</x:v>
      </x:c>
      <x:c r="Z45" s="68" t="str">
        <x:v>得生只计算能够实际到达日主的有效生源；生源自身力量、通路和承载上限共同限制支持强度。</x:v>
      </x:c>
      <x:c r="AA45" s="68" t="str">
        <x:v>正例：当“有效印生身且比劫同时提供承载”真实成立，且必要条件与增强条件同向时，按“印比同向时得生与得势可互相增强但同源去重”记录对应旺衰证据。</x:v>
      </x:c>
      <x:c r="AB45" s="90" t="str">
        <x:v>反例：只有表面条件，但出现“禁止同一节点同时在得生、得势重复满额”或关键有效性未成立时，不得套用本规则。</x:v>
      </x:c>
      <x:c r="AC45" s="68" t="str">
        <x:v>https://zh.wikisource.org/wiki/%E6%B7%B5%E6%B5%B7%E5%AD%90%E5%B9%B3%E5%A4%A7%E5%85%A8 ; https://zh.wikisource.org/wiki/%E6%BB%B4%E5%A4%A9%E9%AB%93%E9%97%A1%E5%BE%AE</x:v>
      </x:c>
      <x:c r="AD45" s="82" t="str">
        <x:v>采用</x:v>
      </x:c>
      <x:c r="AE45" s="82" t="str">
        <x:v>初审</x:v>
      </x:c>
      <x:c r="AF45" s="87" t="n">
        <x:v>46255</x:v>
      </x:c>
    </x:row>
    <x:row r="46">
      <x:c r="A46" s="72" t="str">
        <x:f>IF(OR(C46="",D46=""),"",B46&amp;"-"&amp;UPPER(C46)&amp;"-"&amp;TEXT(D46,"0000")&amp;"-"&amp;E46)</x:f>
        <x:v>M09-SHENG-0040-V1.0</x:v>
      </x:c>
      <x:c r="B46" s="74" t="str">
        <x:v>M09</x:v>
      </x:c>
      <x:c r="C46" s="74" t="str">
        <x:v>SHENG</x:v>
      </x:c>
      <x:c r="D46" s="79" t="n">
        <x:v>40</x:v>
      </x:c>
      <x:c r="E46" s="74" t="str">
        <x:v>V1.0</x:v>
      </x:c>
      <x:c r="F46" s="68" t="str">
        <x:v>印多不自动等于身旺</x:v>
      </x:c>
      <x:c r="G46" s="82" t="str">
        <x:v>综合层</x:v>
      </x:c>
      <x:c r="H46" s="68" t="str">
        <x:v>得生</x:v>
      </x:c>
      <x:c r="I46" s="68" t="str">
        <x:v>边界</x:v>
      </x:c>
      <x:c r="J46" s="68" t="str">
        <x:v>原局印星数量或五行力量很高</x:v>
      </x:c>
      <x:c r="K46" s="68" t="str">
        <x:v>高</x:v>
      </x:c>
      <x:c r="L46" s="82" t="str">
        <x:v>决定性</x:v>
      </x:c>
      <x:c r="M46" s="68" t="str">
        <x:v>M08完成</x:v>
      </x:c>
      <x:c r="N46" s="68" t="str">
        <x:v>同时检查日主根气与印的实际通路</x:v>
      </x:c>
      <x:c r="O46" s="68" t="str">
        <x:v>日主有根且印可持续生身</x:v>
      </x:c>
      <x:c r="P46" s="68" t="str">
        <x:v>印被制、被冻结、无通路或日主承载极弱</x:v>
      </x:c>
      <x:c r="Q46" s="90" t="str">
        <x:v>禁止“印多=身旺”</x:v>
      </x:c>
      <x:c r="R46" s="68" t="str">
        <x:v>印多造成其他功能问题转M10/M11</x:v>
      </x:c>
      <x:c r="S46" s="68" t="str">
        <x:v>印旺只是支持侧证据，最终仍需与负荷侧比较</x:v>
      </x:c>
      <x:c r="T46" s="82" t="str">
        <x:v>否</x:v>
      </x:c>
      <x:c r="U46" s="82" t="str">
        <x:v>中和</x:v>
      </x:c>
      <x:c r="V46" s="84" t="str">
        <x:v>印多非旺充分条件</x:v>
      </x:c>
      <x:c r="W46" s="84" t="str">
        <x:v>印星多或旺不等于日主必旺；应以有效生身和日主承载为准。</x:v>
      </x:c>
      <x:c r="X46" s="82" t="str">
        <x:v>较高</x:v>
      </x:c>
      <x:c r="Y46" s="82" t="str">
        <x:v>现代综合</x:v>
      </x:c>
      <x:c r="Z46" s="68" t="str">
        <x:v>得生只计算能够实际到达日主的有效生源；生源自身力量、通路和承载上限共同限制支持强度。</x:v>
      </x:c>
      <x:c r="AA46" s="68" t="str">
        <x:v>正例：当“原局印星数量或五行力量很高”真实成立，且必要条件与增强条件同向时，按“印多不自动等于身旺”记录对应旺衰证据。</x:v>
      </x:c>
      <x:c r="AB46" s="90" t="str">
        <x:v>反例：只有表面条件，但出现“禁止“印多=身旺””或关键有效性未成立时，不得套用本规则。</x:v>
      </x:c>
      <x:c r="AC46" s="68" t="str">
        <x:v>https://zh.wikisource.org/wiki/%E6%B7%B5%E6%B5%B7%E5%AD%90%E5%B9%B3%E5%A4%A7%E5%85%A8 ; https://zh.wikisource.org/wiki/%E6%BB%B4%E5%A4%A9%E9%AB%93%E9%97%A1%E5%BE%AE</x:v>
      </x:c>
      <x:c r="AD46" s="82" t="str">
        <x:v>采用</x:v>
      </x:c>
      <x:c r="AE46" s="82" t="str">
        <x:v>初审</x:v>
      </x:c>
      <x:c r="AF46" s="87" t="n">
        <x:v>46255</x:v>
      </x:c>
    </x:row>
    <x:row r="47">
      <x:c r="A47" s="72" t="str">
        <x:f>IF(OR(C47="",D47=""),"",B47&amp;"-"&amp;UPPER(C47)&amp;"-"&amp;TEXT(D47,"0000")&amp;"-"&amp;E47)</x:f>
        <x:v>M09-KE-0041-V1.0</x:v>
      </x:c>
      <x:c r="B47" s="74" t="str">
        <x:v>M09</x:v>
      </x:c>
      <x:c r="C47" s="74" t="str">
        <x:v>KE</x:v>
      </x:c>
      <x:c r="D47" s="79" t="n">
        <x:v>41</x:v>
      </x:c>
      <x:c r="E47" s="74" t="str">
        <x:v>V1.0</x:v>
      </x:c>
      <x:c r="F47" s="68" t="str">
        <x:v>有效官杀直接制身构成强偏弱证据</x:v>
      </x:c>
      <x:c r="G47" s="82" t="str">
        <x:v>综合层</x:v>
      </x:c>
      <x:c r="H47" s="68" t="str">
        <x:v>受制</x:v>
      </x:c>
      <x:c r="I47" s="68" t="str">
        <x:v>支持偏弱</x:v>
      </x:c>
      <x:c r="J47" s="68" t="str">
        <x:v>M08确认克日主五行有效且有直接作用通路</x:v>
      </x:c>
      <x:c r="K47" s="68" t="str">
        <x:v>高</x:v>
      </x:c>
      <x:c r="L47" s="82" t="str">
        <x:v>强</x:v>
      </x:c>
      <x:c r="M47" s="68" t="str">
        <x:v>M08完成</x:v>
      </x:c>
      <x:c r="N47" s="68" t="str">
        <x:v>官杀对应五行真实有力</x:v>
      </x:c>
      <x:c r="O47" s="68" t="str">
        <x:v>官杀得令、通根、透达且贴近日主作用链</x:v>
      </x:c>
      <x:c r="P47" s="68" t="str">
        <x:v>官杀弱、被制、被合或被化泄</x:v>
      </x:c>
      <x:c r="Q47" s="90" t="str">
        <x:v>禁止官杀出现即判强制身</x:v>
      </x:c>
      <x:c r="R47" s="68" t="str">
        <x:v>杀印相生等组合转M11</x:v>
      </x:c>
      <x:c r="S47" s="68" t="str">
        <x:v>官杀越强且日主根弱，制身压力越显著</x:v>
      </x:c>
      <x:c r="T47" s="82" t="str">
        <x:v>否</x:v>
      </x:c>
      <x:c r="U47" s="82" t="str">
        <x:v>弱</x:v>
      </x:c>
      <x:c r="V47" s="84" t="str">
        <x:v>官杀制身</x:v>
      </x:c>
      <x:c r="W47" s="84" t="str">
        <x:v>日主受到有效官杀直接制约，是偏弱的重要证据。</x:v>
      </x:c>
      <x:c r="X47" s="82" t="str">
        <x:v>较高</x:v>
      </x:c>
      <x:c r="Y47" s="82" t="str">
        <x:v>现代综合</x:v>
      </x:c>
      <x:c r="Z47" s="68" t="str">
        <x:v>受制按官杀对应五行的有效力量、直接作用通路与制化后的剩余压力判断，不按官杀数量机械计权。</x:v>
      </x:c>
      <x:c r="AA47" s="68" t="str">
        <x:v>正例：当“M08确认克日主五行有效且有直接作用通路”真实成立，且必要条件与增强条件同向时，按“有效官杀直接制身构成强偏弱证据”记录对应旺衰证据。</x:v>
      </x:c>
      <x:c r="AB47" s="90" t="str">
        <x:v>反例：只有表面条件，但出现“禁止官杀出现即判强制身”或关键有效性未成立时，不得套用本规则。</x:v>
      </x:c>
      <x:c r="AC47" s="68" t="str">
        <x:v>https://zh.wikisource.org/wiki/%E6%B7%B5%E6%B5%B7%E5%AD%90%E5%B9%B3%E5%A4%A7%E5%85%A8 ; https://zh.wikisource.org/wiki/%E6%BB%B4%E5%A4%A9%E9%AB%93%E9%97%A1%E5%BE%AE</x:v>
      </x:c>
      <x:c r="AD47" s="82" t="str">
        <x:v>采用</x:v>
      </x:c>
      <x:c r="AE47" s="82" t="str">
        <x:v>初审</x:v>
      </x:c>
      <x:c r="AF47" s="87" t="n">
        <x:v>46255</x:v>
      </x:c>
    </x:row>
    <x:row r="48">
      <x:c r="A48" s="72" t="str">
        <x:f>IF(OR(C48="",D48=""),"",B48&amp;"-"&amp;UPPER(C48)&amp;"-"&amp;TEXT(D48,"0000")&amp;"-"&amp;E48)</x:f>
        <x:v>M09-KE-0042-V1.0</x:v>
      </x:c>
      <x:c r="B48" s="74" t="str">
        <x:v>M09</x:v>
      </x:c>
      <x:c r="C48" s="74" t="str">
        <x:v>KE</x:v>
      </x:c>
      <x:c r="D48" s="79" t="n">
        <x:v>42</x:v>
      </x:c>
      <x:c r="E48" s="74" t="str">
        <x:v>V1.0</x:v>
      </x:c>
      <x:c r="F48" s="68" t="str">
        <x:v>官杀数量多但大多无根无气时不形成强制身</x:v>
      </x:c>
      <x:c r="G48" s="82" t="str">
        <x:v>综合层</x:v>
      </x:c>
      <x:c r="H48" s="68" t="str">
        <x:v>受制</x:v>
      </x:c>
      <x:c r="I48" s="68" t="str">
        <x:v>条件性支持偏弱</x:v>
      </x:c>
      <x:c r="J48" s="68" t="str">
        <x:v>官杀数量多但M08判有效力量低</x:v>
      </x:c>
      <x:c r="K48" s="68" t="str">
        <x:v>中</x:v>
      </x:c>
      <x:c r="L48" s="82" t="str">
        <x:v>中</x:v>
      </x:c>
      <x:c r="M48" s="68" t="str">
        <x:v>M08完成</x:v>
      </x:c>
      <x:c r="N48" s="68" t="str">
        <x:v>多数官杀为弱节点</x:v>
      </x:c>
      <x:c r="O48" s="68"/>
      <x:c r="P48" s="68" t="str">
        <x:v>官杀得令成势或另有强根</x:v>
      </x:c>
      <x:c r="Q48" s="90" t="str">
        <x:v>禁止按官杀个数机械判身弱</x:v>
      </x:c>
      <x:c r="R48" s="68" t="str">
        <x:v>十神混杂转M10</x:v>
      </x:c>
      <x:c r="S48" s="68" t="str">
        <x:v>弱官杀数量多未必等于强压力</x:v>
      </x:c>
      <x:c r="T48" s="82" t="str">
        <x:v>否</x:v>
      </x:c>
      <x:c r="U48" s="82" t="str">
        <x:v>中和</x:v>
      </x:c>
      <x:c r="V48" s="84" t="str">
        <x:v>官杀质量优先</x:v>
      </x:c>
      <x:c r="W48" s="84" t="str">
        <x:v>官杀数量多但有效力量弱，制身证据按实际质量计入，不按数量定弱。</x:v>
      </x:c>
      <x:c r="X48" s="82" t="str">
        <x:v>较高</x:v>
      </x:c>
      <x:c r="Y48" s="82" t="str">
        <x:v>现代综合</x:v>
      </x:c>
      <x:c r="Z48" s="68" t="str">
        <x:v>受制按官杀对应五行的有效力量、直接作用通路与制化后的剩余压力判断，不按官杀数量机械计权。</x:v>
      </x:c>
      <x:c r="AA48" s="68" t="str">
        <x:v>正例：当“官杀数量多但M08判有效力量低”真实成立，且必要条件与增强条件同向时，按“官杀数量多但大多无根无气时不形成强制身”记录对应旺衰证据。</x:v>
      </x:c>
      <x:c r="AB48" s="90" t="str">
        <x:v>反例：只有表面条件，但出现“禁止按官杀个数机械判身弱”或关键有效性未成立时，不得套用本规则。</x:v>
      </x:c>
      <x:c r="AC48" s="68" t="str">
        <x:v>https://zh.wikisource.org/wiki/%E6%B7%B5%E6%B5%B7%E5%AD%90%E5%B9%B3%E5%A4%A7%E5%85%A8 ; https://zh.wikisource.org/wiki/%E6%BB%B4%E5%A4%A9%E9%AB%93%E9%97%A1%E5%BE%AE</x:v>
      </x:c>
      <x:c r="AD48" s="82" t="str">
        <x:v>采用</x:v>
      </x:c>
      <x:c r="AE48" s="82" t="str">
        <x:v>初审</x:v>
      </x:c>
      <x:c r="AF48" s="87" t="n">
        <x:v>46255</x:v>
      </x:c>
    </x:row>
    <x:row r="49">
      <x:c r="A49" s="72" t="str">
        <x:f>IF(OR(C49="",D49=""),"",B49&amp;"-"&amp;UPPER(C49)&amp;"-"&amp;TEXT(D49,"0000")&amp;"-"&amp;E49)</x:f>
        <x:v>M09-KE-0043-V1.0</x:v>
      </x:c>
      <x:c r="B49" s="74" t="str">
        <x:v>M09</x:v>
      </x:c>
      <x:c r="C49" s="74" t="str">
        <x:v>KE</x:v>
      </x:c>
      <x:c r="D49" s="79" t="n">
        <x:v>43</x:v>
      </x:c>
      <x:c r="E49" s="74" t="str">
        <x:v>V1.0</x:v>
      </x:c>
      <x:c r="F49" s="68" t="str">
        <x:v>官杀得令通根成势时可形成决定性制身压力</x:v>
      </x:c>
      <x:c r="G49" s="82" t="str">
        <x:v>综合层</x:v>
      </x:c>
      <x:c r="H49" s="68" t="str">
        <x:v>受制</x:v>
      </x:c>
      <x:c r="I49" s="68" t="str">
        <x:v>支持偏弱</x:v>
      </x:c>
      <x:c r="J49" s="68" t="str">
        <x:v>官杀五行得令、多根并透达，M08判旺或极旺</x:v>
      </x:c>
      <x:c r="K49" s="68" t="str">
        <x:v>高</x:v>
      </x:c>
      <x:c r="L49" s="82" t="str">
        <x:v>决定性</x:v>
      </x:c>
      <x:c r="M49" s="68" t="str">
        <x:v>M08完成</x:v>
      </x:c>
      <x:c r="N49" s="68" t="str">
        <x:v>官杀可直接作用日主</x:v>
      </x:c>
      <x:c r="O49" s="68" t="str">
        <x:v>日主失令无根、印比弱</x:v>
      </x:c>
      <x:c r="P49" s="68" t="str">
        <x:v>官杀被有效制化或日主亦强根成势</x:v>
      </x:c>
      <x:c r="Q49" s="90" t="str">
        <x:v>不得在制化已成立时重复满额计压</x:v>
      </x:c>
      <x:c r="R49" s="68" t="str">
        <x:v>特殊格局转M14</x:v>
      </x:c>
      <x:c r="S49" s="68" t="str">
        <x:v>日主若同时强旺，结果可能回到中和偏弱而非极弱</x:v>
      </x:c>
      <x:c r="T49" s="82" t="str">
        <x:v>否</x:v>
      </x:c>
      <x:c r="U49" s="82" t="str">
        <x:v>弱</x:v>
      </x:c>
      <x:c r="V49" s="84" t="str">
        <x:v>官杀成势</x:v>
      </x:c>
      <x:c r="W49" s="84" t="str">
        <x:v>官杀有效成势并直接制身时，是日主偏弱或弱的强证据。</x:v>
      </x:c>
      <x:c r="X49" s="82" t="str">
        <x:v>较高</x:v>
      </x:c>
      <x:c r="Y49" s="82" t="str">
        <x:v>现代综合</x:v>
      </x:c>
      <x:c r="Z49" s="68" t="str">
        <x:v>受制按官杀对应五行的有效力量、直接作用通路与制化后的剩余压力判断，不按官杀数量机械计权。</x:v>
      </x:c>
      <x:c r="AA49" s="68" t="str">
        <x:v>正例：当“官杀五行得令、多根并透达，M08判旺或极旺”真实成立，且必要条件与增强条件同向时，按“官杀得令通根成势时可形成决定性制身压力”记录对应旺衰证据。</x:v>
      </x:c>
      <x:c r="AB49" s="90" t="str">
        <x:v>反例：只有表面条件，但出现“不得在制化已成立时重复满额计压”或关键有效性未成立时，不得套用本规则。</x:v>
      </x:c>
      <x:c r="AC49" s="68" t="str">
        <x:v>https://zh.wikisource.org/wiki/%E6%B7%B5%E6%B5%B7%E5%AD%90%E5%B9%B3%E5%A4%A7%E5%85%A8 ; https://zh.wikisource.org/wiki/%E6%BB%B4%E5%A4%A9%E9%AB%93%E9%97%A1%E5%BE%AE</x:v>
      </x:c>
      <x:c r="AD49" s="82" t="str">
        <x:v>采用</x:v>
      </x:c>
      <x:c r="AE49" s="82" t="str">
        <x:v>初审</x:v>
      </x:c>
      <x:c r="AF49" s="87" t="n">
        <x:v>46255</x:v>
      </x:c>
    </x:row>
    <x:row r="50">
      <x:c r="A50" s="72" t="str">
        <x:f>IF(OR(C50="",D50=""),"",B50&amp;"-"&amp;UPPER(C50)&amp;"-"&amp;TEXT(D50,"0000")&amp;"-"&amp;E50)</x:f>
        <x:v>M09-KE-0044-V1.0</x:v>
      </x:c>
      <x:c r="B50" s="74" t="str">
        <x:v>M09</x:v>
      </x:c>
      <x:c r="C50" s="74" t="str">
        <x:v>KE</x:v>
      </x:c>
      <x:c r="D50" s="79" t="n">
        <x:v>44</x:v>
      </x:c>
      <x:c r="E50" s="74" t="str">
        <x:v>V1.0</x:v>
      </x:c>
      <x:c r="F50" s="68" t="str">
        <x:v>官杀被食伤制或被合住时按剩余有效压力计入</x:v>
      </x:c>
      <x:c r="G50" s="82" t="str">
        <x:v>综合层</x:v>
      </x:c>
      <x:c r="H50" s="68" t="str">
        <x:v>受制</x:v>
      </x:c>
      <x:c r="I50" s="68" t="str">
        <x:v>减弱偏弱证据</x:v>
      </x:c>
      <x:c r="J50" s="68" t="str">
        <x:v>M08/M06已确认官杀受到实质制约或冻结</x:v>
      </x:c>
      <x:c r="K50" s="68" t="str">
        <x:v>高</x:v>
      </x:c>
      <x:c r="L50" s="82" t="str">
        <x:v>强</x:v>
      </x:c>
      <x:c r="M50" s="68" t="str">
        <x:v>M08完成</x:v>
      </x:c>
      <x:c r="N50" s="68" t="str">
        <x:v>制约效果真实成立</x:v>
      </x:c>
      <x:c r="O50" s="68" t="str">
        <x:v>制约者强且通路直接</x:v>
      </x:c>
      <x:c r="P50" s="68" t="str">
        <x:v>制约者弱或另被破坏</x:v>
      </x:c>
      <x:c r="Q50" s="90" t="str">
        <x:v>禁止同时把官杀原始旺度与受制后旺度重复计入</x:v>
      </x:c>
      <x:c r="R50" s="68" t="str">
        <x:v>食神制杀成立与否转M11</x:v>
      </x:c>
      <x:c r="S50" s="68" t="str">
        <x:v>受制越有效，日主实际压力越低</x:v>
      </x:c>
      <x:c r="T50" s="82" t="str">
        <x:v>是</x:v>
      </x:c>
      <x:c r="U50" s="82" t="str">
        <x:v>中和</x:v>
      </x:c>
      <x:c r="V50" s="84" t="str">
        <x:v>官杀压力修正</x:v>
      </x:c>
      <x:c r="W50" s="84" t="str">
        <x:v>官杀已被有效制约，日主只承受其剩余压力，不按原始旺度满额计入。</x:v>
      </x:c>
      <x:c r="X50" s="82" t="str">
        <x:v>较高</x:v>
      </x:c>
      <x:c r="Y50" s="82" t="str">
        <x:v>现代综合</x:v>
      </x:c>
      <x:c r="Z50" s="68" t="str">
        <x:v>受制按官杀对应五行的有效力量、直接作用通路与制化后的剩余压力判断，不按官杀数量机械计权。</x:v>
      </x:c>
      <x:c r="AA50" s="68" t="str">
        <x:v>正例：当“M08/M06已确认官杀受到实质制约或冻结”真实成立，且必要条件与增强条件同向时，按“官杀被食伤制或被合住时按剩余有效压力计入”记录对应旺衰证据。</x:v>
      </x:c>
      <x:c r="AB50" s="90" t="str">
        <x:v>反例：只有表面条件，但出现“禁止同时把官杀原始旺度与受制后旺度重复计入”或关键有效性未成立时，不得套用本规则。</x:v>
      </x:c>
      <x:c r="AC50" s="68" t="str">
        <x:v>https://zh.wikisource.org/wiki/%E6%B7%B5%E6%B5%B7%E5%AD%90%E5%B9%B3%E5%A4%A7%E5%85%A8 ; https://zh.wikisource.org/wiki/%E6%BB%B4%E5%A4%A9%E9%AB%93%E9%97%A1%E5%BE%AE</x:v>
      </x:c>
      <x:c r="AD50" s="82" t="str">
        <x:v>采用</x:v>
      </x:c>
      <x:c r="AE50" s="82" t="str">
        <x:v>初审</x:v>
      </x:c>
      <x:c r="AF50" s="87" t="n">
        <x:v>46255</x:v>
      </x:c>
    </x:row>
    <x:row r="51">
      <x:c r="A51" s="72" t="str">
        <x:f>IF(OR(C51="",D51=""),"",B51&amp;"-"&amp;UPPER(C51)&amp;"-"&amp;TEXT(D51,"0000")&amp;"-"&amp;E51)</x:f>
        <x:v>M09-KE-0045-V1.0</x:v>
      </x:c>
      <x:c r="B51" s="74" t="str">
        <x:v>M09</x:v>
      </x:c>
      <x:c r="C51" s="74" t="str">
        <x:v>KE</x:v>
      </x:c>
      <x:c r="D51" s="79" t="n">
        <x:v>45</x:v>
      </x:c>
      <x:c r="E51" s="74" t="str">
        <x:v>V1.0</x:v>
      </x:c>
      <x:c r="F51" s="68" t="str">
        <x:v>官杀生印再生日主时制身与得生需按流向拆分</x:v>
      </x:c>
      <x:c r="G51" s="82" t="str">
        <x:v>综合层</x:v>
      </x:c>
      <x:c r="H51" s="68" t="str">
        <x:v>受制</x:v>
      </x:c>
      <x:c r="I51" s="68" t="str">
        <x:v>条件性</x:v>
      </x:c>
      <x:c r="J51" s="68" t="str">
        <x:v>官杀→印→日主的生化路径在M08中有效</x:v>
      </x:c>
      <x:c r="K51" s="68" t="str">
        <x:v>高</x:v>
      </x:c>
      <x:c r="L51" s="82" t="str">
        <x:v>中</x:v>
      </x:c>
      <x:c r="M51" s="68" t="str">
        <x:v>M08完成</x:v>
      </x:c>
      <x:c r="N51" s="68" t="str">
        <x:v>印星有力且能承接官杀之气</x:v>
      </x:c>
      <x:c r="O51" s="68" t="str">
        <x:v>官杀、印、日主三段连续</x:v>
      </x:c>
      <x:c r="P51" s="68" t="str">
        <x:v>印弱、被财破或路径中断</x:v>
      </x:c>
      <x:c r="Q51" s="90" t="str">
        <x:v>禁止官杀既全额制身又全额生印重复计权</x:v>
      </x:c>
      <x:c r="R51" s="68" t="str">
        <x:v>杀印相生组合转M11</x:v>
      </x:c>
      <x:c r="S51" s="68" t="str">
        <x:v>有效转化越强，直接制身压力越低、得生支持越高</x:v>
      </x:c>
      <x:c r="T51" s="82" t="str">
        <x:v>否</x:v>
      </x:c>
      <x:c r="U51" s="82" t="str">
        <x:v>中和</x:v>
      </x:c>
      <x:c r="V51" s="84" t="str">
        <x:v>官印流向拆分</x:v>
      </x:c>
      <x:c r="W51" s="84" t="str">
        <x:v>官杀之气若有效转入印再生身，应降低直接制身权重，并另计得生。</x:v>
      </x:c>
      <x:c r="X51" s="82" t="str">
        <x:v>较高</x:v>
      </x:c>
      <x:c r="Y51" s="82" t="str">
        <x:v>现代综合</x:v>
      </x:c>
      <x:c r="Z51" s="68" t="str">
        <x:v>受制按官杀对应五行的有效力量、直接作用通路与制化后的剩余压力判断，不按官杀数量机械计权。</x:v>
      </x:c>
      <x:c r="AA51" s="68" t="str">
        <x:v>正例：当“官杀→印→日主的生化路径在M08中有效”真实成立，且必要条件与增强条件同向时，按“官杀生印再生日主时制身与得生需按流向拆分”记录对应旺衰证据。</x:v>
      </x:c>
      <x:c r="AB51" s="90" t="str">
        <x:v>反例：只有表面条件，但出现“禁止官杀既全额制身又全额生印重复计权”或关键有效性未成立时，不得套用本规则。</x:v>
      </x:c>
      <x:c r="AC51" s="68" t="str">
        <x:v>https://zh.wikisource.org/wiki/%E6%B7%B5%E6%B5%B7%E5%AD%90%E5%B9%B3%E5%A4%A7%E5%85%A8 ; https://zh.wikisource.org/wiki/%E6%BB%B4%E5%A4%A9%E9%AB%93%E9%97%A1%E5%BE%AE</x:v>
      </x:c>
      <x:c r="AD51" s="82" t="str">
        <x:v>采用</x:v>
      </x:c>
      <x:c r="AE51" s="82" t="str">
        <x:v>初审</x:v>
      </x:c>
      <x:c r="AF51" s="87" t="n">
        <x:v>46255</x:v>
      </x:c>
    </x:row>
    <x:row r="52">
      <x:c r="A52" s="72" t="str">
        <x:f>IF(OR(C52="",D52=""),"",B52&amp;"-"&amp;UPPER(C52)&amp;"-"&amp;TEXT(D52,"0000")&amp;"-"&amp;E52)</x:f>
        <x:v>M09-KE-0046-V1.0</x:v>
      </x:c>
      <x:c r="B52" s="74" t="str">
        <x:v>M09</x:v>
      </x:c>
      <x:c r="C52" s="74" t="str">
        <x:v>KE</x:v>
      </x:c>
      <x:c r="D52" s="79" t="n">
        <x:v>46</x:v>
      </x:c>
      <x:c r="E52" s="74" t="str">
        <x:v>V1.0</x:v>
      </x:c>
      <x:c r="F52" s="68" t="str">
        <x:v>日主根弱时同等官杀压力的伤害更显著</x:v>
      </x:c>
      <x:c r="G52" s="82" t="str">
        <x:v>综合层</x:v>
      </x:c>
      <x:c r="H52" s="68" t="str">
        <x:v>受制</x:v>
      </x:c>
      <x:c r="I52" s="68" t="str">
        <x:v>支持偏弱</x:v>
      </x:c>
      <x:c r="J52" s="68" t="str">
        <x:v>官杀有效且日主有效根少或弱</x:v>
      </x:c>
      <x:c r="K52" s="68" t="str">
        <x:v>高</x:v>
      </x:c>
      <x:c r="L52" s="82" t="str">
        <x:v>强</x:v>
      </x:c>
      <x:c r="M52" s="68" t="str">
        <x:v>M08完成</x:v>
      </x:c>
      <x:c r="N52" s="68" t="str">
        <x:v>日主承载不足</x:v>
      </x:c>
      <x:c r="O52" s="68" t="str">
        <x:v>同时失令、无印比</x:v>
      </x:c>
      <x:c r="P52" s="68" t="str">
        <x:v>日主多根或印比强</x:v>
      </x:c>
      <x:c r="Q52" s="90" t="str">
        <x:v>禁止用固定百分比量化伤害</x:v>
      </x:c>
      <x:c r="R52" s="68"/>
      <x:c r="S52" s="68" t="str">
        <x:v>承载越弱，相同制身压力越容易推动等级下调</x:v>
      </x:c>
      <x:c r="T52" s="82" t="str">
        <x:v>否</x:v>
      </x:c>
      <x:c r="U52" s="82" t="str">
        <x:v>弱</x:v>
      </x:c>
      <x:c r="V52" s="84" t="str">
        <x:v>弱根受制</x:v>
      </x:c>
      <x:c r="W52" s="84" t="str">
        <x:v>日主承载偏弱时，同等官杀压力更容易形成身弱结论。</x:v>
      </x:c>
      <x:c r="X52" s="82" t="str">
        <x:v>较高</x:v>
      </x:c>
      <x:c r="Y52" s="82" t="str">
        <x:v>现代综合</x:v>
      </x:c>
      <x:c r="Z52" s="68" t="str">
        <x:v>受制按官杀对应五行的有效力量、直接作用通路与制化后的剩余压力判断，不按官杀数量机械计权。</x:v>
      </x:c>
      <x:c r="AA52" s="68" t="str">
        <x:v>正例：当“官杀有效且日主有效根少或弱”真实成立，且必要条件与增强条件同向时，按“日主根弱时同等官杀压力的伤害更显著”记录对应旺衰证据。</x:v>
      </x:c>
      <x:c r="AB52" s="90" t="str">
        <x:v>反例：只有表面条件，但出现“禁止用固定百分比量化伤害”或关键有效性未成立时，不得套用本规则。</x:v>
      </x:c>
      <x:c r="AC52" s="68" t="str">
        <x:v>https://zh.wikisource.org/wiki/%E6%B7%B5%E6%B5%B7%E5%AD%90%E5%B9%B3%E5%A4%A7%E5%85%A8 ; https://zh.wikisource.org/wiki/%E6%BB%B4%E5%A4%A9%E9%AB%93%E9%97%A1%E5%BE%AE</x:v>
      </x:c>
      <x:c r="AD52" s="82" t="str">
        <x:v>采用</x:v>
      </x:c>
      <x:c r="AE52" s="82" t="str">
        <x:v>初审</x:v>
      </x:c>
      <x:c r="AF52" s="87" t="n">
        <x:v>46255</x:v>
      </x:c>
    </x:row>
    <x:row r="53">
      <x:c r="A53" s="72" t="str">
        <x:f>IF(OR(C53="",D53=""),"",B53&amp;"-"&amp;UPPER(C53)&amp;"-"&amp;TEXT(D53,"0000")&amp;"-"&amp;E53)</x:f>
        <x:v>M09-KE-0047-V1.0</x:v>
      </x:c>
      <x:c r="B53" s="74" t="str">
        <x:v>M09</x:v>
      </x:c>
      <x:c r="C53" s="74" t="str">
        <x:v>KE</x:v>
      </x:c>
      <x:c r="D53" s="79" t="n">
        <x:v>47</x:v>
      </x:c>
      <x:c r="E53" s="74" t="str">
        <x:v>V1.0</x:v>
      </x:c>
      <x:c r="F53" s="68" t="str">
        <x:v>日主强根得势时可承受一定官杀而不必判弱</x:v>
      </x:c>
      <x:c r="G53" s="82" t="str">
        <x:v>综合层</x:v>
      </x:c>
      <x:c r="H53" s="68" t="str">
        <x:v>受制</x:v>
      </x:c>
      <x:c r="I53" s="68" t="str">
        <x:v>中和约束</x:v>
      </x:c>
      <x:c r="J53" s="68" t="str">
        <x:v>日主多根得势，同时存在中等官杀压力</x:v>
      </x:c>
      <x:c r="K53" s="68" t="str">
        <x:v>高</x:v>
      </x:c>
      <x:c r="L53" s="82" t="str">
        <x:v>中</x:v>
      </x:c>
      <x:c r="M53" s="68" t="str">
        <x:v>M08完成</x:v>
      </x:c>
      <x:c r="N53" s="68" t="str">
        <x:v>扶身侧有明显承载</x:v>
      </x:c>
      <x:c r="O53" s="68" t="str">
        <x:v>印比持续有效</x:v>
      </x:c>
      <x:c r="P53" s="68" t="str">
        <x:v>官杀极旺成势或根气被破坏</x:v>
      </x:c>
      <x:c r="Q53" s="90" t="str">
        <x:v>禁止“见官杀=身弱”</x:v>
      </x:c>
      <x:c r="R53" s="68" t="str">
        <x:v>格局功能转M14/M15</x:v>
      </x:c>
      <x:c r="S53" s="68" t="str">
        <x:v>强日主受适度官杀可能仍在中和偏旺或中和</x:v>
      </x:c>
      <x:c r="T53" s="82" t="str">
        <x:v>否</x:v>
      </x:c>
      <x:c r="U53" s="82" t="str">
        <x:v>中和</x:v>
      </x:c>
      <x:c r="V53" s="84" t="str">
        <x:v>强身承压</x:v>
      </x:c>
      <x:c r="W53" s="84" t="str">
        <x:v>日主根深得势时可承受一定官杀，不能因存在官杀就直接判弱。</x:v>
      </x:c>
      <x:c r="X53" s="82" t="str">
        <x:v>较高</x:v>
      </x:c>
      <x:c r="Y53" s="82" t="str">
        <x:v>现代综合</x:v>
      </x:c>
      <x:c r="Z53" s="68" t="str">
        <x:v>受制按官杀对应五行的有效力量、直接作用通路与制化后的剩余压力判断，不按官杀数量机械计权。</x:v>
      </x:c>
      <x:c r="AA53" s="68" t="str">
        <x:v>正例：当“日主多根得势，同时存在中等官杀压力”真实成立，且必要条件与增强条件同向时，按“日主强根得势时可承受一定官杀而不必判弱”记录对应旺衰证据。</x:v>
      </x:c>
      <x:c r="AB53" s="90" t="str">
        <x:v>反例：只有表面条件，但出现“禁止“见官杀=身弱””或关键有效性未成立时，不得套用本规则。</x:v>
      </x:c>
      <x:c r="AC53" s="68" t="str">
        <x:v>https://zh.wikisource.org/wiki/%E6%B7%B5%E6%B5%B7%E5%AD%90%E5%B9%B3%E5%A4%A7%E5%85%A8 ; https://zh.wikisource.org/wiki/%E6%BB%B4%E5%A4%A9%E9%AB%93%E9%97%A1%E5%BE%AE</x:v>
      </x:c>
      <x:c r="AD53" s="82" t="str">
        <x:v>采用</x:v>
      </x:c>
      <x:c r="AE53" s="82" t="str">
        <x:v>初审</x:v>
      </x:c>
      <x:c r="AF53" s="87" t="n">
        <x:v>46255</x:v>
      </x:c>
    </x:row>
    <x:row r="54">
      <x:c r="A54" s="72" t="str">
        <x:f>IF(OR(C54="",D54=""),"",B54&amp;"-"&amp;UPPER(C54)&amp;"-"&amp;TEXT(D54,"0000")&amp;"-"&amp;E54)</x:f>
        <x:v>M09-KE-0048-V1.0</x:v>
      </x:c>
      <x:c r="B54" s="74" t="str">
        <x:v>M09</x:v>
      </x:c>
      <x:c r="C54" s="74" t="str">
        <x:v>KE</x:v>
      </x:c>
      <x:c r="D54" s="79" t="n">
        <x:v>48</x:v>
      </x:c>
      <x:c r="E54" s="74" t="str">
        <x:v>V1.0</x:v>
      </x:c>
      <x:c r="F54" s="68" t="str">
        <x:v>多个官杀压力共享同一来源时按容量去重</x:v>
      </x:c>
      <x:c r="G54" s="82" t="str">
        <x:v>综合层</x:v>
      </x:c>
      <x:c r="H54" s="68" t="str">
        <x:v>受制</x:v>
      </x:c>
      <x:c r="I54" s="68" t="str">
        <x:v>证据去重</x:v>
      </x:c>
      <x:c r="J54" s="68" t="str">
        <x:v>多个官杀节点主要依赖同一根或同一生源</x:v>
      </x:c>
      <x:c r="K54" s="68" t="str">
        <x:v>中高</x:v>
      </x:c>
      <x:c r="L54" s="82" t="str">
        <x:v>中</x:v>
      </x:c>
      <x:c r="M54" s="68" t="str">
        <x:v>M08完成</x:v>
      </x:c>
      <x:c r="N54" s="68" t="str">
        <x:v>来源依赖关系已识别</x:v>
      </x:c>
      <x:c r="O54" s="68" t="str">
        <x:v>另有独立官杀根源</x:v>
      </x:c>
      <x:c r="P54" s="68"/>
      <x:c r="Q54" s="90" t="str">
        <x:v>禁止同一有限来源被多个官杀节点重复全额调用</x:v>
      </x:c>
      <x:c r="R54" s="68" t="str">
        <x:v>成局改性按M08</x:v>
      </x:c>
      <x:c r="S54" s="68" t="str">
        <x:v>独立来源才代表新增压力容量</x:v>
      </x:c>
      <x:c r="T54" s="82" t="str">
        <x:v>是</x:v>
      </x:c>
      <x:c r="U54" s="82" t="str">
        <x:v>中和偏弱</x:v>
      </x:c>
      <x:c r="V54" s="84" t="str">
        <x:v>官杀容量去重</x:v>
      </x:c>
      <x:c r="W54" s="84" t="str">
        <x:v>官杀多处出现但共享同一有限来源时，制身压力需去重计入。</x:v>
      </x:c>
      <x:c r="X54" s="82" t="str">
        <x:v>较高</x:v>
      </x:c>
      <x:c r="Y54" s="82" t="str">
        <x:v>现代综合</x:v>
      </x:c>
      <x:c r="Z54" s="68" t="str">
        <x:v>受制按官杀对应五行的有效力量、直接作用通路与制化后的剩余压力判断，不按官杀数量机械计权。</x:v>
      </x:c>
      <x:c r="AA54" s="68" t="str">
        <x:v>正例：当“多个官杀节点主要依赖同一根或同一生源”真实成立，且必要条件与增强条件同向时，按“多个官杀压力共享同一来源时按容量去重”记录对应旺衰证据。</x:v>
      </x:c>
      <x:c r="AB54" s="90" t="str">
        <x:v>反例：只有表面条件，但出现“禁止同一有限来源被多个官杀节点重复全额调用”或关键有效性未成立时，不得套用本规则。</x:v>
      </x:c>
      <x:c r="AC54" s="68" t="str">
        <x:v>https://zh.wikisource.org/wiki/%E6%B7%B5%E6%B5%B7%E5%AD%90%E5%B9%B3%E5%A4%A7%E5%85%A8 ; https://zh.wikisource.org/wiki/%E6%BB%B4%E5%A4%A9%E9%AB%93%E9%97%A1%E5%BE%AE</x:v>
      </x:c>
      <x:c r="AD54" s="82" t="str">
        <x:v>采用</x:v>
      </x:c>
      <x:c r="AE54" s="82" t="str">
        <x:v>初审</x:v>
      </x:c>
      <x:c r="AF54" s="87" t="n">
        <x:v>46255</x:v>
      </x:c>
    </x:row>
    <x:row r="55">
      <x:c r="A55" s="72" t="str">
        <x:f>IF(OR(C55="",D55=""),"",B55&amp;"-"&amp;UPPER(C55)&amp;"-"&amp;TEXT(D55,"0000")&amp;"-"&amp;E55)</x:f>
        <x:v>M09-XIE-0049-V1.0</x:v>
      </x:c>
      <x:c r="B55" s="74" t="str">
        <x:v>M09</x:v>
      </x:c>
      <x:c r="C55" s="74" t="str">
        <x:v>XIE</x:v>
      </x:c>
      <x:c r="D55" s="79" t="n">
        <x:v>49</x:v>
      </x:c>
      <x:c r="E55" s="74" t="str">
        <x:v>V1.0</x:v>
      </x:c>
      <x:c r="F55" s="68" t="str">
        <x:v>有效食伤泄身构成日主偏弱证据</x:v>
      </x:c>
      <x:c r="G55" s="82" t="str">
        <x:v>综合层</x:v>
      </x:c>
      <x:c r="H55" s="68" t="str">
        <x:v>受泄</x:v>
      </x:c>
      <x:c r="I55" s="68" t="str">
        <x:v>支持偏弱</x:v>
      </x:c>
      <x:c r="J55" s="68" t="str">
        <x:v>M08确认日主所生五行有效且有泄出通路</x:v>
      </x:c>
      <x:c r="K55" s="68" t="str">
        <x:v>高</x:v>
      </x:c>
      <x:c r="L55" s="82" t="str">
        <x:v>强</x:v>
      </x:c>
      <x:c r="M55" s="68" t="str">
        <x:v>M08完成</x:v>
      </x:c>
      <x:c r="N55" s="68" t="str">
        <x:v>食伤对应五行真实有力</x:v>
      </x:c>
      <x:c r="O55" s="68" t="str">
        <x:v>食伤得令、通根、透达</x:v>
      </x:c>
      <x:c r="P55" s="68" t="str">
        <x:v>食伤被印制、合绊或无根</x:v>
      </x:c>
      <x:c r="Q55" s="90" t="str">
        <x:v>禁止食伤出现即判泄身强</x:v>
      </x:c>
      <x:c r="R55" s="68" t="str">
        <x:v>食伤功能转M10</x:v>
      </x:c>
      <x:c r="S55" s="68" t="str">
        <x:v>日主根越弱、食伤越旺，泄身影响越大</x:v>
      </x:c>
      <x:c r="T55" s="82" t="str">
        <x:v>否</x:v>
      </x:c>
      <x:c r="U55" s="82" t="str">
        <x:v>中和偏弱</x:v>
      </x:c>
      <x:c r="V55" s="84" t="str">
        <x:v>食伤泄身</x:v>
      </x:c>
      <x:c r="W55" s="84" t="str">
        <x:v>日主有有效食伤泄出，是偏弱证据；强度取决于食伤有效力量与日主承载。</x:v>
      </x:c>
      <x:c r="X55" s="82" t="str">
        <x:v>较高</x:v>
      </x:c>
      <x:c r="Y55" s="82" t="str">
        <x:v>现代综合</x:v>
      </x:c>
      <x:c r="Z55" s="68" t="str">
        <x:v>受泄按食伤有效力量与日主承载比较；泄身与克身机制不同，连续泄耗链还需服从源头容量。</x:v>
      </x:c>
      <x:c r="AA55" s="68" t="str">
        <x:v>正例：当“M08确认日主所生五行有效且有泄出通路”真实成立，且必要条件与增强条件同向时，按“有效食伤泄身构成日主偏弱证据”记录对应旺衰证据。</x:v>
      </x:c>
      <x:c r="AB55" s="90" t="str">
        <x:v>反例：只有表面条件，但出现“禁止食伤出现即判泄身强”或关键有效性未成立时，不得套用本规则。</x:v>
      </x:c>
      <x:c r="AC55" s="68" t="str">
        <x:v>https://zh.wikisource.org/wiki/%E6%B7%B5%E6%B5%B7%E5%AD%90%E5%B9%B3%E5%A4%A7%E5%85%A8 ; https://zh.wikisource.org/wiki/%E6%BB%B4%E5%A4%A9%E9%AB%93%E9%97%A1%E5%BE%AE</x:v>
      </x:c>
      <x:c r="AD55" s="82" t="str">
        <x:v>采用</x:v>
      </x:c>
      <x:c r="AE55" s="82" t="str">
        <x:v>初审</x:v>
      </x:c>
      <x:c r="AF55" s="87" t="n">
        <x:v>46255</x:v>
      </x:c>
    </x:row>
    <x:row r="56">
      <x:c r="A56" s="72" t="str">
        <x:f>IF(OR(C56="",D56=""),"",B56&amp;"-"&amp;UPPER(C56)&amp;"-"&amp;TEXT(D56,"0000")&amp;"-"&amp;E56)</x:f>
        <x:v>M09-XIE-0050-V1.0</x:v>
      </x:c>
      <x:c r="B56" s="74" t="str">
        <x:v>M09</x:v>
      </x:c>
      <x:c r="C56" s="74" t="str">
        <x:v>XIE</x:v>
      </x:c>
      <x:c r="D56" s="79" t="n">
        <x:v>50</x:v>
      </x:c>
      <x:c r="E56" s="74" t="str">
        <x:v>V1.0</x:v>
      </x:c>
      <x:c r="F56" s="68" t="str">
        <x:v>食伤数量多但有效性低时不得按强泄处理</x:v>
      </x:c>
      <x:c r="G56" s="82" t="str">
        <x:v>综合层</x:v>
      </x:c>
      <x:c r="H56" s="68" t="str">
        <x:v>受泄</x:v>
      </x:c>
      <x:c r="I56" s="68" t="str">
        <x:v>条件性支持偏弱</x:v>
      </x:c>
      <x:c r="J56" s="68" t="str">
        <x:v>食伤多现但M08判弱或失效</x:v>
      </x:c>
      <x:c r="K56" s="68" t="str">
        <x:v>中</x:v>
      </x:c>
      <x:c r="L56" s="82" t="str">
        <x:v>中</x:v>
      </x:c>
      <x:c r="M56" s="68" t="str">
        <x:v>M08完成</x:v>
      </x:c>
      <x:c r="N56" s="68" t="str">
        <x:v>多数食伤节点弱</x:v>
      </x:c>
      <x:c r="O56" s="68"/>
      <x:c r="P56" s="68" t="str">
        <x:v>食伤得令成势</x:v>
      </x:c>
      <x:c r="Q56" s="90" t="str">
        <x:v>禁止按数量机械判身弱</x:v>
      </x:c>
      <x:c r="R56" s="68" t="str">
        <x:v>十神混杂另审</x:v>
      </x:c>
      <x:c r="S56" s="68" t="str">
        <x:v>弱食伤可形成表达通路但未必造成明显泄身</x:v>
      </x:c>
      <x:c r="T56" s="82" t="str">
        <x:v>否</x:v>
      </x:c>
      <x:c r="U56" s="82" t="str">
        <x:v>中和</x:v>
      </x:c>
      <x:c r="V56" s="84" t="str">
        <x:v>食伤质量优先</x:v>
      </x:c>
      <x:c r="W56" s="84" t="str">
        <x:v>食伤数量多但有效力量低，泄身证据应按实际质量而非数量计入。</x:v>
      </x:c>
      <x:c r="X56" s="82" t="str">
        <x:v>较高</x:v>
      </x:c>
      <x:c r="Y56" s="82" t="str">
        <x:v>现代综合</x:v>
      </x:c>
      <x:c r="Z56" s="68" t="str">
        <x:v>受泄按食伤有效力量与日主承载比较；泄身与克身机制不同，连续泄耗链还需服从源头容量。</x:v>
      </x:c>
      <x:c r="AA56" s="68" t="str">
        <x:v>正例：当“食伤多现但M08判弱或失效”真实成立，且必要条件与增强条件同向时，按“食伤数量多但有效性低时不得按强泄处理”记录对应旺衰证据。</x:v>
      </x:c>
      <x:c r="AB56" s="90" t="str">
        <x:v>反例：只有表面条件，但出现“禁止按数量机械判身弱”或关键有效性未成立时，不得套用本规则。</x:v>
      </x:c>
      <x:c r="AC56" s="68" t="str">
        <x:v>https://zh.wikisource.org/wiki/%E6%B7%B5%E6%B5%B7%E5%AD%90%E5%B9%B3%E5%A4%A7%E5%85%A8 ; https://zh.wikisource.org/wiki/%E6%BB%B4%E5%A4%A9%E9%AB%93%E9%97%A1%E5%BE%AE</x:v>
      </x:c>
      <x:c r="AD56" s="82" t="str">
        <x:v>采用</x:v>
      </x:c>
      <x:c r="AE56" s="82" t="str">
        <x:v>初审</x:v>
      </x:c>
      <x:c r="AF56" s="87" t="n">
        <x:v>46255</x:v>
      </x:c>
    </x:row>
    <x:row r="57">
      <x:c r="A57" s="72" t="str">
        <x:f>IF(OR(C57="",D57=""),"",B57&amp;"-"&amp;UPPER(C57)&amp;"-"&amp;TEXT(D57,"0000")&amp;"-"&amp;E57)</x:f>
        <x:v>M09-XIE-0051-V1.0</x:v>
      </x:c>
      <x:c r="B57" s="74" t="str">
        <x:v>M09</x:v>
      </x:c>
      <x:c r="C57" s="74" t="str">
        <x:v>XIE</x:v>
      </x:c>
      <x:c r="D57" s="79" t="n">
        <x:v>51</x:v>
      </x:c>
      <x:c r="E57" s="74" t="str">
        <x:v>V1.0</x:v>
      </x:c>
      <x:c r="F57" s="68" t="str">
        <x:v>强根日主可承受中等泄身而保持中和以上</x:v>
      </x:c>
      <x:c r="G57" s="82" t="str">
        <x:v>综合层</x:v>
      </x:c>
      <x:c r="H57" s="68" t="str">
        <x:v>受泄</x:v>
      </x:c>
      <x:c r="I57" s="68" t="str">
        <x:v>中和约束</x:v>
      </x:c>
      <x:c r="J57" s="68" t="str">
        <x:v>日主多根得势，食伤为中等有效</x:v>
      </x:c>
      <x:c r="K57" s="68" t="str">
        <x:v>中高</x:v>
      </x:c>
      <x:c r="L57" s="82" t="str">
        <x:v>中</x:v>
      </x:c>
      <x:c r="M57" s="68" t="str">
        <x:v>M08完成</x:v>
      </x:c>
      <x:c r="N57" s="68" t="str">
        <x:v>日主承载强</x:v>
      </x:c>
      <x:c r="O57" s="68" t="str">
        <x:v>同时有印比补给</x:v>
      </x:c>
      <x:c r="P57" s="68" t="str">
        <x:v>食伤极旺且财再承接</x:v>
      </x:c>
      <x:c r="Q57" s="90" t="str">
        <x:v>禁止“食伤旺=日主弱”</x:v>
      </x:c>
      <x:c r="R57" s="68" t="str">
        <x:v>格局泄秀转M11/M14</x:v>
      </x:c>
      <x:c r="S57" s="68" t="str">
        <x:v>适度泄身可能只降低过旺程度</x:v>
      </x:c>
      <x:c r="T57" s="82" t="str">
        <x:v>否</x:v>
      </x:c>
      <x:c r="U57" s="82" t="str">
        <x:v>中和偏旺</x:v>
      </x:c>
      <x:c r="V57" s="84" t="str">
        <x:v>强身可泄</x:v>
      </x:c>
      <x:c r="W57" s="84" t="str">
        <x:v>日主根深得势时，中等食伤泄出未必使其转弱，可能仅由旺降至偏旺或中和。</x:v>
      </x:c>
      <x:c r="X57" s="82" t="str">
        <x:v>较高</x:v>
      </x:c>
      <x:c r="Y57" s="82" t="str">
        <x:v>现代综合</x:v>
      </x:c>
      <x:c r="Z57" s="68" t="str">
        <x:v>受泄按食伤有效力量与日主承载比较；泄身与克身机制不同，连续泄耗链还需服从源头容量。</x:v>
      </x:c>
      <x:c r="AA57" s="68" t="str">
        <x:v>正例：当“日主多根得势，食伤为中等有效”真实成立，且必要条件与增强条件同向时，按“强根日主可承受中等泄身而保持中和以上”记录对应旺衰证据。</x:v>
      </x:c>
      <x:c r="AB57" s="90" t="str">
        <x:v>反例：只有表面条件，但出现“禁止“食伤旺=日主弱””或关键有效性未成立时，不得套用本规则。</x:v>
      </x:c>
      <x:c r="AC57" s="68" t="str">
        <x:v>https://zh.wikisource.org/wiki/%E6%B7%B5%E6%B5%B7%E5%AD%90%E5%B9%B3%E5%A4%A7%E5%85%A8 ; https://zh.wikisource.org/wiki/%E6%BB%B4%E5%A4%A9%E9%AB%93%E9%97%A1%E5%BE%AE</x:v>
      </x:c>
      <x:c r="AD57" s="82" t="str">
        <x:v>采用</x:v>
      </x:c>
      <x:c r="AE57" s="82" t="str">
        <x:v>初审</x:v>
      </x:c>
      <x:c r="AF57" s="87" t="n">
        <x:v>46255</x:v>
      </x:c>
    </x:row>
    <x:row r="58">
      <x:c r="A58" s="72" t="str">
        <x:f>IF(OR(C58="",D58=""),"",B58&amp;"-"&amp;UPPER(C58)&amp;"-"&amp;TEXT(D58,"0000")&amp;"-"&amp;E58)</x:f>
        <x:v>M09-XIE-0052-V1.0</x:v>
      </x:c>
      <x:c r="B58" s="74" t="str">
        <x:v>M09</x:v>
      </x:c>
      <x:c r="C58" s="74" t="str">
        <x:v>XIE</x:v>
      </x:c>
      <x:c r="D58" s="79" t="n">
        <x:v>52</x:v>
      </x:c>
      <x:c r="E58" s="74" t="str">
        <x:v>V1.0</x:v>
      </x:c>
      <x:c r="F58" s="68" t="str">
        <x:v>食伤成势且日主根弱时可形成决定性泄身</x:v>
      </x:c>
      <x:c r="G58" s="82" t="str">
        <x:v>综合层</x:v>
      </x:c>
      <x:c r="H58" s="68" t="str">
        <x:v>受泄</x:v>
      </x:c>
      <x:c r="I58" s="68" t="str">
        <x:v>支持偏弱</x:v>
      </x:c>
      <x:c r="J58" s="68" t="str">
        <x:v>食伤五行旺/极旺且日主根气弱</x:v>
      </x:c>
      <x:c r="K58" s="68" t="str">
        <x:v>高</x:v>
      </x:c>
      <x:c r="L58" s="82" t="str">
        <x:v>决定性</x:v>
      </x:c>
      <x:c r="M58" s="68" t="str">
        <x:v>M08完成</x:v>
      </x:c>
      <x:c r="N58" s="68" t="str">
        <x:v>泄出通路连续</x:v>
      </x:c>
      <x:c r="O58" s="68" t="str">
        <x:v>食伤得令多根、财星承接</x:v>
      </x:c>
      <x:c r="P58" s="68" t="str">
        <x:v>食伤被强印制或合化转性</x:v>
      </x:c>
      <x:c r="Q58" s="90" t="str">
        <x:v>不得忽略印星对食伤的有效制约</x:v>
      </x:c>
      <x:c r="R58" s="68" t="str">
        <x:v>从儿候选转M14</x:v>
      </x:c>
      <x:c r="S58" s="68" t="str">
        <x:v>极端单向泄出可能触发特殊格局候选</x:v>
      </x:c>
      <x:c r="T58" s="82" t="str">
        <x:v>否</x:v>
      </x:c>
      <x:c r="U58" s="82" t="str">
        <x:v>弱</x:v>
      </x:c>
      <x:c r="V58" s="84" t="str">
        <x:v>食伤成势</x:v>
      </x:c>
      <x:c r="W58" s="84" t="str">
        <x:v>食伤有效成势而日主承载弱时，泄身压力可成为主导。</x:v>
      </x:c>
      <x:c r="X58" s="82" t="str">
        <x:v>较高</x:v>
      </x:c>
      <x:c r="Y58" s="82" t="str">
        <x:v>现代综合</x:v>
      </x:c>
      <x:c r="Z58" s="68" t="str">
        <x:v>受泄按食伤有效力量与日主承载比较；泄身与克身机制不同，连续泄耗链还需服从源头容量。</x:v>
      </x:c>
      <x:c r="AA58" s="68" t="str">
        <x:v>正例：当“食伤五行旺/极旺且日主根气弱”真实成立，且必要条件与增强条件同向时，按“食伤成势且日主根弱时可形成决定性泄身”记录对应旺衰证据。</x:v>
      </x:c>
      <x:c r="AB58" s="90" t="str">
        <x:v>反例：只有表面条件，但出现“不得忽略印星对食伤的有效制约”或关键有效性未成立时，不得套用本规则。</x:v>
      </x:c>
      <x:c r="AC58" s="68" t="str">
        <x:v>https://zh.wikisource.org/wiki/%E6%B7%B5%E6%B5%B7%E5%AD%90%E5%B9%B3%E5%A4%A7%E5%85%A8 ; https://zh.wikisource.org/wiki/%E6%BB%B4%E5%A4%A9%E9%AB%93%E9%97%A1%E5%BE%AE</x:v>
      </x:c>
      <x:c r="AD58" s="82" t="str">
        <x:v>采用</x:v>
      </x:c>
      <x:c r="AE58" s="82" t="str">
        <x:v>初审</x:v>
      </x:c>
      <x:c r="AF58" s="87" t="n">
        <x:v>46255</x:v>
      </x:c>
    </x:row>
    <x:row r="59">
      <x:c r="A59" s="72" t="str">
        <x:f>IF(OR(C59="",D59=""),"",B59&amp;"-"&amp;UPPER(C59)&amp;"-"&amp;TEXT(D59,"0000")&amp;"-"&amp;E59)</x:f>
        <x:v>M09-XIE-0053-V1.0</x:v>
      </x:c>
      <x:c r="B59" s="74" t="str">
        <x:v>M09</x:v>
      </x:c>
      <x:c r="C59" s="74" t="str">
        <x:v>XIE</x:v>
      </x:c>
      <x:c r="D59" s="79" t="n">
        <x:v>53</x:v>
      </x:c>
      <x:c r="E59" s="74" t="str">
        <x:v>V1.0</x:v>
      </x:c>
      <x:c r="F59" s="68" t="str">
        <x:v>食伤被强印制约时按剩余泄力计入</x:v>
      </x:c>
      <x:c r="G59" s="82" t="str">
        <x:v>综合层</x:v>
      </x:c>
      <x:c r="H59" s="68" t="str">
        <x:v>受泄</x:v>
      </x:c>
      <x:c r="I59" s="68" t="str">
        <x:v>减弱偏弱证据</x:v>
      </x:c>
      <x:c r="J59" s="68" t="str">
        <x:v>M08确认食伤被有效印星克制或冻结</x:v>
      </x:c>
      <x:c r="K59" s="68" t="str">
        <x:v>高</x:v>
      </x:c>
      <x:c r="L59" s="82" t="str">
        <x:v>强</x:v>
      </x:c>
      <x:c r="M59" s="68" t="str">
        <x:v>M08完成</x:v>
      </x:c>
      <x:c r="N59" s="68" t="str">
        <x:v>印制真实有效</x:v>
      </x:c>
      <x:c r="O59" s="68" t="str">
        <x:v>印得令有根</x:v>
      </x:c>
      <x:c r="P59" s="68" t="str">
        <x:v>印弱、被财破或制约不及</x:v>
      </x:c>
      <x:c r="Q59" s="90" t="str">
        <x:v>禁止同时按食伤原旺度和受制后旺度双计</x:v>
      </x:c>
      <x:c r="R59" s="68" t="str">
        <x:v>枭夺食等功能转M10/M11</x:v>
      </x:c>
      <x:c r="S59" s="68" t="str">
        <x:v>食伤剩余力量越低，泄身证据越弱</x:v>
      </x:c>
      <x:c r="T59" s="82" t="str">
        <x:v>是</x:v>
      </x:c>
      <x:c r="U59" s="82" t="str">
        <x:v>中和</x:v>
      </x:c>
      <x:c r="V59" s="84" t="str">
        <x:v>食伤泄力修正</x:v>
      </x:c>
      <x:c r="W59" s="84" t="str">
        <x:v>食伤已受有效制约，日主只按其剩余泄力承受影响。</x:v>
      </x:c>
      <x:c r="X59" s="82" t="str">
        <x:v>较高</x:v>
      </x:c>
      <x:c r="Y59" s="82" t="str">
        <x:v>现代综合</x:v>
      </x:c>
      <x:c r="Z59" s="68" t="str">
        <x:v>受泄按食伤有效力量与日主承载比较；泄身与克身机制不同，连续泄耗链还需服从源头容量。</x:v>
      </x:c>
      <x:c r="AA59" s="68" t="str">
        <x:v>正例：当“M08确认食伤被有效印星克制或冻结”真实成立，且必要条件与增强条件同向时，按“食伤被强印制约时按剩余泄力计入”记录对应旺衰证据。</x:v>
      </x:c>
      <x:c r="AB59" s="90" t="str">
        <x:v>反例：只有表面条件，但出现“禁止同时按食伤原旺度和受制后旺度双计”或关键有效性未成立时，不得套用本规则。</x:v>
      </x:c>
      <x:c r="AC59" s="68" t="str">
        <x:v>https://zh.wikisource.org/wiki/%E6%B7%B5%E6%B5%B7%E5%AD%90%E5%B9%B3%E5%A4%A7%E5%85%A8 ; https://zh.wikisource.org/wiki/%E6%BB%B4%E5%A4%A9%E9%AB%93%E9%97%A1%E5%BE%AE</x:v>
      </x:c>
      <x:c r="AD59" s="82" t="str">
        <x:v>采用</x:v>
      </x:c>
      <x:c r="AE59" s="82" t="str">
        <x:v>初审</x:v>
      </x:c>
      <x:c r="AF59" s="87" t="n">
        <x:v>46255</x:v>
      </x:c>
    </x:row>
    <x:row r="60">
      <x:c r="A60" s="72" t="str">
        <x:f>IF(OR(C60="",D60=""),"",B60&amp;"-"&amp;UPPER(C60)&amp;"-"&amp;TEXT(D60,"0000")&amp;"-"&amp;E60)</x:f>
        <x:v>M09-XIE-0054-V1.0</x:v>
      </x:c>
      <x:c r="B60" s="74" t="str">
        <x:v>M09</x:v>
      </x:c>
      <x:c r="C60" s="74" t="str">
        <x:v>XIE</x:v>
      </x:c>
      <x:c r="D60" s="79" t="n">
        <x:v>54</x:v>
      </x:c>
      <x:c r="E60" s="74" t="str">
        <x:v>V1.0</x:v>
      </x:c>
      <x:c r="F60" s="68" t="str">
        <x:v>食伤继续生财形成连续外泄时总耗泄需看链路有效性</x:v>
      </x:c>
      <x:c r="G60" s="82" t="str">
        <x:v>综合层</x:v>
      </x:c>
      <x:c r="H60" s="68" t="str">
        <x:v>受泄</x:v>
      </x:c>
      <x:c r="I60" s="68" t="str">
        <x:v>支持偏弱</x:v>
      </x:c>
      <x:c r="J60" s="68" t="str">
        <x:v>日主→食伤→财的连续路径在M08中有效</x:v>
      </x:c>
      <x:c r="K60" s="68" t="str">
        <x:v>中高</x:v>
      </x:c>
      <x:c r="L60" s="82" t="str">
        <x:v>强</x:v>
      </x:c>
      <x:c r="M60" s="68" t="str">
        <x:v>M08完成</x:v>
      </x:c>
      <x:c r="N60" s="68" t="str">
        <x:v>食伤与财均能承接</x:v>
      </x:c>
      <x:c r="O60" s="68" t="str">
        <x:v>链条短且财有根</x:v>
      </x:c>
      <x:c r="P60" s="68" t="str">
        <x:v>财弱、桥断或食伤被制</x:v>
      </x:c>
      <x:c r="Q60" s="90" t="str">
        <x:v>禁止把泄与耗简单相加为固定分数</x:v>
      </x:c>
      <x:c r="R60" s="68" t="str">
        <x:v>完整流通转M12</x:v>
      </x:c>
      <x:c r="S60" s="68" t="str">
        <x:v>连续外泄比单一食伤泄身更容易降低日主有效承载</x:v>
      </x:c>
      <x:c r="T60" s="82" t="str">
        <x:v>否</x:v>
      </x:c>
      <x:c r="U60" s="82" t="str">
        <x:v>弱</x:v>
      </x:c>
      <x:c r="V60" s="84" t="str">
        <x:v>连续泄耗</x:v>
      </x:c>
      <x:c r="W60" s="84" t="str">
        <x:v>食伤生财路径有效时，日主力量可持续向外传递；需同时考虑泄与耗的连续性。</x:v>
      </x:c>
      <x:c r="X60" s="82" t="str">
        <x:v>较高</x:v>
      </x:c>
      <x:c r="Y60" s="82" t="str">
        <x:v>现代综合</x:v>
      </x:c>
      <x:c r="Z60" s="68" t="str">
        <x:v>受泄按食伤有效力量与日主承载比较；泄身与克身机制不同，连续泄耗链还需服从源头容量。</x:v>
      </x:c>
      <x:c r="AA60" s="68" t="str">
        <x:v>正例：当“日主→食伤→财的连续路径在M08中有效”真实成立，且必要条件与增强条件同向时，按“食伤继续生财形成连续外泄时总耗泄需看链路有效性”记录对应旺衰证据。</x:v>
      </x:c>
      <x:c r="AB60" s="90" t="str">
        <x:v>反例：只有表面条件，但出现“禁止把泄与耗简单相加为固定分数”或关键有效性未成立时，不得套用本规则。</x:v>
      </x:c>
      <x:c r="AC60" s="68" t="str">
        <x:v>https://zh.wikisource.org/wiki/%E6%B7%B5%E6%B5%B7%E5%AD%90%E5%B9%B3%E5%A4%A7%E5%85%A8 ; https://zh.wikisource.org/wiki/%E6%BB%B4%E5%A4%A9%E9%AB%93%E9%97%A1%E5%BE%AE</x:v>
      </x:c>
      <x:c r="AD60" s="82" t="str">
        <x:v>采用</x:v>
      </x:c>
      <x:c r="AE60" s="82" t="str">
        <x:v>初审</x:v>
      </x:c>
      <x:c r="AF60" s="87" t="n">
        <x:v>46255</x:v>
      </x:c>
    </x:row>
    <x:row r="61">
      <x:c r="A61" s="72" t="str">
        <x:f>IF(OR(C61="",D61=""),"",B61&amp;"-"&amp;UPPER(C61)&amp;"-"&amp;TEXT(D61,"0000")&amp;"-"&amp;E61)</x:f>
        <x:v>M09-XIE-0055-V1.0</x:v>
      </x:c>
      <x:c r="B61" s="74" t="str">
        <x:v>M09</x:v>
      </x:c>
      <x:c r="C61" s="74" t="str">
        <x:v>XIE</x:v>
      </x:c>
      <x:c r="D61" s="79" t="n">
        <x:v>55</x:v>
      </x:c>
      <x:c r="E61" s="74" t="str">
        <x:v>V1.0</x:v>
      </x:c>
      <x:c r="F61" s="68" t="str">
        <x:v>泄身与克身性质不同但均属于负荷侧</x:v>
      </x:c>
      <x:c r="G61" s="82" t="str">
        <x:v>综合层</x:v>
      </x:c>
      <x:c r="H61" s="68" t="str">
        <x:v>受泄</x:v>
      </x:c>
      <x:c r="I61" s="68" t="str">
        <x:v>边界</x:v>
      </x:c>
      <x:c r="J61" s="68" t="str">
        <x:v>综合旺衰比较</x:v>
      </x:c>
      <x:c r="K61" s="68" t="str">
        <x:v>中</x:v>
      </x:c>
      <x:c r="L61" s="82" t="str">
        <x:v>中</x:v>
      </x:c>
      <x:c r="M61" s="68" t="str">
        <x:v>M08完成</x:v>
      </x:c>
      <x:c r="N61" s="68" t="str">
        <x:v>食伤与官杀已分别评估</x:v>
      </x:c>
      <x:c r="O61" s="68"/>
      <x:c r="P61" s="68"/>
      <x:c r="Q61" s="90" t="str">
        <x:v>禁止把泄与克完全等同或重复计算</x:v>
      </x:c>
      <x:c r="R61" s="68"/>
      <x:c r="S61" s="68" t="str">
        <x:v>泄偏向输出消耗，克偏向外部制约，二者作用机制不同</x:v>
      </x:c>
      <x:c r="T61" s="82" t="str">
        <x:v>是</x:v>
      </x:c>
      <x:c r="U61" s="82" t="str">
        <x:v>中和</x:v>
      </x:c>
      <x:c r="V61" s="84" t="str">
        <x:v>泄克分型</x:v>
      </x:c>
      <x:c r="W61" s="84" t="str">
        <x:v>受泄与受制均会降低日主相对力量，但机制不同，必须分项记录后再综合。</x:v>
      </x:c>
      <x:c r="X61" s="82" t="str">
        <x:v>较高</x:v>
      </x:c>
      <x:c r="Y61" s="82" t="str">
        <x:v>现代综合</x:v>
      </x:c>
      <x:c r="Z61" s="68" t="str">
        <x:v>受泄按食伤有效力量与日主承载比较；泄身与克身机制不同，连续泄耗链还需服从源头容量。</x:v>
      </x:c>
      <x:c r="AA61" s="68" t="str">
        <x:v>正例：当“综合旺衰比较”真实成立，且必要条件与增强条件同向时，按“泄身与克身性质不同但均属于负荷侧”记录对应旺衰证据。</x:v>
      </x:c>
      <x:c r="AB61" s="90" t="str">
        <x:v>反例：只有表面条件，但出现“禁止把泄与克完全等同或重复计算”或关键有效性未成立时，不得套用本规则。</x:v>
      </x:c>
      <x:c r="AC61" s="68" t="str">
        <x:v>https://zh.wikisource.org/wiki/%E6%B7%B5%E6%B5%B7%E5%AD%90%E5%B9%B3%E5%A4%A7%E5%85%A8 ; https://zh.wikisource.org/wiki/%E6%BB%B4%E5%A4%A9%E9%AB%93%E9%97%A1%E5%BE%AE</x:v>
      </x:c>
      <x:c r="AD61" s="82" t="str">
        <x:v>采用</x:v>
      </x:c>
      <x:c r="AE61" s="82" t="str">
        <x:v>初审</x:v>
      </x:c>
      <x:c r="AF61" s="87" t="n">
        <x:v>46255</x:v>
      </x:c>
    </x:row>
    <x:row r="62">
      <x:c r="A62" s="72" t="str">
        <x:f>IF(OR(C62="",D62=""),"",B62&amp;"-"&amp;UPPER(C62)&amp;"-"&amp;TEXT(D62,"0000")&amp;"-"&amp;E62)</x:f>
        <x:v>M09-XIE-0056-V1.0</x:v>
      </x:c>
      <x:c r="B62" s="74" t="str">
        <x:v>M09</x:v>
      </x:c>
      <x:c r="C62" s="74" t="str">
        <x:v>XIE</x:v>
      </x:c>
      <x:c r="D62" s="79" t="n">
        <x:v>56</x:v>
      </x:c>
      <x:c r="E62" s="74" t="str">
        <x:v>V1.0</x:v>
      </x:c>
      <x:c r="F62" s="68" t="str">
        <x:v>食伤过弱或通路不畅时只记录名义泄出</x:v>
      </x:c>
      <x:c r="G62" s="82" t="str">
        <x:v>综合层</x:v>
      </x:c>
      <x:c r="H62" s="68" t="str">
        <x:v>受泄</x:v>
      </x:c>
      <x:c r="I62" s="68" t="str">
        <x:v>中和约束</x:v>
      </x:c>
      <x:c r="J62" s="68" t="str">
        <x:v>食伤存在但无根、被阻或无法透达</x:v>
      </x:c>
      <x:c r="K62" s="68" t="str">
        <x:v>中</x:v>
      </x:c>
      <x:c r="L62" s="82" t="str">
        <x:v>弱</x:v>
      </x:c>
      <x:c r="M62" s="68" t="str">
        <x:v>M08完成</x:v>
      </x:c>
      <x:c r="N62" s="68" t="str">
        <x:v>有效性低</x:v>
      </x:c>
      <x:c r="O62" s="68"/>
      <x:c r="P62" s="68" t="str">
        <x:v>岁运引动另审</x:v>
      </x:c>
      <x:c r="Q62" s="90" t="str">
        <x:v>禁止把藏而不动的弱食伤视为强泄</x:v>
      </x:c>
      <x:c r="R62" s="68" t="str">
        <x:v>动态转D0</x:v>
      </x:c>
      <x:c r="S62" s="68" t="str">
        <x:v>名义存在不代表持续消耗</x:v>
      </x:c>
      <x:c r="T62" s="82" t="str">
        <x:v>是</x:v>
      </x:c>
      <x:c r="U62" s="82" t="str">
        <x:v>中和</x:v>
      </x:c>
      <x:c r="V62" s="84" t="str">
        <x:v>名义泄出</x:v>
      </x:c>
      <x:c r="W62" s="84" t="str">
        <x:v>食伤虽存在但有效性低，只构成轻度泄身证据，不足以主导日主旺衰。</x:v>
      </x:c>
      <x:c r="X62" s="82" t="str">
        <x:v>较高</x:v>
      </x:c>
      <x:c r="Y62" s="82" t="str">
        <x:v>现代综合</x:v>
      </x:c>
      <x:c r="Z62" s="68" t="str">
        <x:v>受泄按食伤有效力量与日主承载比较；泄身与克身机制不同，连续泄耗链还需服从源头容量。</x:v>
      </x:c>
      <x:c r="AA62" s="68" t="str">
        <x:v>正例：当“食伤存在但无根、被阻或无法透达”真实成立，且必要条件与增强条件同向时，按“食伤过弱或通路不畅时只记录名义泄出”记录对应旺衰证据。</x:v>
      </x:c>
      <x:c r="AB62" s="90" t="str">
        <x:v>反例：只有表面条件，但出现“禁止把藏而不动的弱食伤视为强泄”或关键有效性未成立时，不得套用本规则。</x:v>
      </x:c>
      <x:c r="AC62" s="68" t="str">
        <x:v>https://zh.wikisource.org/wiki/%E6%B7%B5%E6%B5%B7%E5%AD%90%E5%B9%B3%E5%A4%A7%E5%85%A8 ; https://zh.wikisource.org/wiki/%E6%BB%B4%E5%A4%A9%E9%AB%93%E9%97%A1%E5%BE%AE</x:v>
      </x:c>
      <x:c r="AD62" s="82" t="str">
        <x:v>采用</x:v>
      </x:c>
      <x:c r="AE62" s="82" t="str">
        <x:v>初审</x:v>
      </x:c>
      <x:c r="AF62" s="87" t="n">
        <x:v>46255</x:v>
      </x:c>
    </x:row>
    <x:row r="63">
      <x:c r="A63" s="72" t="str">
        <x:f>IF(OR(C63="",D63=""),"",B63&amp;"-"&amp;UPPER(C63)&amp;"-"&amp;TEXT(D63,"0000")&amp;"-"&amp;E63)</x:f>
        <x:v>M09-HAO-0057-V1.0</x:v>
      </x:c>
      <x:c r="B63" s="74" t="str">
        <x:v>M09</x:v>
      </x:c>
      <x:c r="C63" s="74" t="str">
        <x:v>HAO</x:v>
      </x:c>
      <x:c r="D63" s="79" t="n">
        <x:v>57</x:v>
      </x:c>
      <x:c r="E63" s="74" t="str">
        <x:v>V1.0</x:v>
      </x:c>
      <x:c r="F63" s="68" t="str">
        <x:v>有效财星构成日主主动耗力证据</x:v>
      </x:c>
      <x:c r="G63" s="82" t="str">
        <x:v>综合层</x:v>
      </x:c>
      <x:c r="H63" s="68" t="str">
        <x:v>受耗</x:v>
      </x:c>
      <x:c r="I63" s="68" t="str">
        <x:v>支持偏弱</x:v>
      </x:c>
      <x:c r="J63" s="68" t="str">
        <x:v>M08确认日主所克五行有效且能形成持续承载对象</x:v>
      </x:c>
      <x:c r="K63" s="68" t="str">
        <x:v>中高</x:v>
      </x:c>
      <x:c r="L63" s="82" t="str">
        <x:v>中</x:v>
      </x:c>
      <x:c r="M63" s="68" t="str">
        <x:v>M08完成</x:v>
      </x:c>
      <x:c r="N63" s="68" t="str">
        <x:v>财星有效</x:v>
      </x:c>
      <x:c r="O63" s="68" t="str">
        <x:v>财得令成势且日主主动克制通路明确</x:v>
      </x:c>
      <x:c r="P63" s="68" t="str">
        <x:v>财弱、被比劫制或被合化</x:v>
      </x:c>
      <x:c r="Q63" s="90" t="str">
        <x:v>禁止财星一出现就按强耗身</x:v>
      </x:c>
      <x:c r="R63" s="68" t="str">
        <x:v>财星功能转M10</x:v>
      </x:c>
      <x:c r="S63" s="68" t="str">
        <x:v>财越旺而日主越弱，耗身压力越明显</x:v>
      </x:c>
      <x:c r="T63" s="82" t="str">
        <x:v>否</x:v>
      </x:c>
      <x:c r="U63" s="82" t="str">
        <x:v>中和偏弱</x:v>
      </x:c>
      <x:c r="V63" s="84" t="str">
        <x:v>财星耗身</x:v>
      </x:c>
      <x:c r="W63" s="84" t="str">
        <x:v>有效财星会占用日主克制与承载能力，是偏弱证据之一。</x:v>
      </x:c>
      <x:c r="X63" s="82" t="str">
        <x:v>较高</x:v>
      </x:c>
      <x:c r="Y63" s="82" t="str">
        <x:v>现代综合</x:v>
      </x:c>
      <x:c r="Z63" s="68" t="str">
        <x:v>受耗按财星有效力量及日主主动克制的持续负荷判断；财星存在、财旺与实际耗身必须分开。</x:v>
      </x:c>
      <x:c r="AA63" s="68" t="str">
        <x:v>正例：当“M08确认日主所克五行有效且能形成持续承载对象”真实成立，且必要条件与增强条件同向时，按“有效财星构成日主主动耗力证据”记录对应旺衰证据。</x:v>
      </x:c>
      <x:c r="AB63" s="90" t="str">
        <x:v>反例：只有表面条件，但出现“禁止财星一出现就按强耗身”或关键有效性未成立时，不得套用本规则。</x:v>
      </x:c>
      <x:c r="AC63" s="68" t="str">
        <x:v>https://zh.wikisource.org/wiki/%E6%B7%B5%E6%B5%B7%E5%AD%90%E5%B9%B3%E5%A4%A7%E5%85%A8 ; https://zh.wikisource.org/wiki/%E6%BB%B4%E5%A4%A9%E9%AB%93%E9%97%A1%E5%BE%AE</x:v>
      </x:c>
      <x:c r="AD63" s="82" t="str">
        <x:v>采用</x:v>
      </x:c>
      <x:c r="AE63" s="82" t="str">
        <x:v>初审</x:v>
      </x:c>
      <x:c r="AF63" s="87" t="n">
        <x:v>46255</x:v>
      </x:c>
    </x:row>
    <x:row r="64">
      <x:c r="A64" s="72" t="str">
        <x:f>IF(OR(C64="",D64=""),"",B64&amp;"-"&amp;UPPER(C64)&amp;"-"&amp;TEXT(D64,"0000")&amp;"-"&amp;E64)</x:f>
        <x:v>M09-HAO-0058-V1.0</x:v>
      </x:c>
      <x:c r="B64" s="74" t="str">
        <x:v>M09</x:v>
      </x:c>
      <x:c r="C64" s="74" t="str">
        <x:v>HAO</x:v>
      </x:c>
      <x:c r="D64" s="79" t="n">
        <x:v>58</x:v>
      </x:c>
      <x:c r="E64" s="74" t="str">
        <x:v>V1.0</x:v>
      </x:c>
      <x:c r="F64" s="68" t="str">
        <x:v>财星成势而日主根弱时耗身影响显著</x:v>
      </x:c>
      <x:c r="G64" s="82" t="str">
        <x:v>综合层</x:v>
      </x:c>
      <x:c r="H64" s="68" t="str">
        <x:v>受耗</x:v>
      </x:c>
      <x:c r="I64" s="68" t="str">
        <x:v>支持偏弱</x:v>
      </x:c>
      <x:c r="J64" s="68" t="str">
        <x:v>财星旺/极旺且日主有效根弱</x:v>
      </x:c>
      <x:c r="K64" s="68" t="str">
        <x:v>高</x:v>
      </x:c>
      <x:c r="L64" s="82" t="str">
        <x:v>强</x:v>
      </x:c>
      <x:c r="M64" s="68" t="str">
        <x:v>M08完成</x:v>
      </x:c>
      <x:c r="N64" s="68" t="str">
        <x:v>财星可被日主作用且未受强比劫分担</x:v>
      </x:c>
      <x:c r="O64" s="68" t="str">
        <x:v>同时食伤生财</x:v>
      </x:c>
      <x:c r="P64" s="68" t="str">
        <x:v>财受制或日主有强印比</x:v>
      </x:c>
      <x:c r="Q64" s="90" t="str">
        <x:v>禁止直接从财旺推出富贵或喜忌</x:v>
      </x:c>
      <x:c r="R64" s="68" t="str">
        <x:v>从财候选转M14</x:v>
      </x:c>
      <x:c r="S64" s="68" t="str">
        <x:v>极端财势可能使日主进入弱/极弱候选</x:v>
      </x:c>
      <x:c r="T64" s="82" t="str">
        <x:v>否</x:v>
      </x:c>
      <x:c r="U64" s="82" t="str">
        <x:v>弱</x:v>
      </x:c>
      <x:c r="V64" s="84" t="str">
        <x:v>财旺耗身</x:v>
      </x:c>
      <x:c r="W64" s="84" t="str">
        <x:v>财星有效成势而日主承载弱时，耗身可成为重要负荷。</x:v>
      </x:c>
      <x:c r="X64" s="82" t="str">
        <x:v>较高</x:v>
      </x:c>
      <x:c r="Y64" s="82" t="str">
        <x:v>现代综合</x:v>
      </x:c>
      <x:c r="Z64" s="68" t="str">
        <x:v>受耗按财星有效力量及日主主动克制的持续负荷判断；财星存在、财旺与实际耗身必须分开。</x:v>
      </x:c>
      <x:c r="AA64" s="68" t="str">
        <x:v>正例：当“财星旺/极旺且日主有效根弱”真实成立，且必要条件与增强条件同向时，按“财星成势而日主根弱时耗身影响显著”记录对应旺衰证据。</x:v>
      </x:c>
      <x:c r="AB64" s="90" t="str">
        <x:v>反例：只有表面条件，但出现“禁止直接从财旺推出富贵或喜忌”或关键有效性未成立时，不得套用本规则。</x:v>
      </x:c>
      <x:c r="AC64" s="68" t="str">
        <x:v>https://zh.wikisource.org/wiki/%E6%B7%B5%E6%B5%B7%E5%AD%90%E5%B9%B3%E5%A4%A7%E5%85%A8 ; https://zh.wikisource.org/wiki/%E6%BB%B4%E5%A4%A9%E9%AB%93%E9%97%A1%E5%BE%AE</x:v>
      </x:c>
      <x:c r="AD64" s="82" t="str">
        <x:v>采用</x:v>
      </x:c>
      <x:c r="AE64" s="82" t="str">
        <x:v>初审</x:v>
      </x:c>
      <x:c r="AF64" s="87" t="n">
        <x:v>46255</x:v>
      </x:c>
    </x:row>
    <x:row r="65">
      <x:c r="A65" s="72" t="str">
        <x:f>IF(OR(C65="",D65=""),"",B65&amp;"-"&amp;UPPER(C65)&amp;"-"&amp;TEXT(D65,"0000")&amp;"-"&amp;E65)</x:f>
        <x:v>M09-HAO-0059-V1.0</x:v>
      </x:c>
      <x:c r="B65" s="74" t="str">
        <x:v>M09</x:v>
      </x:c>
      <x:c r="C65" s="74" t="str">
        <x:v>HAO</x:v>
      </x:c>
      <x:c r="D65" s="79" t="n">
        <x:v>59</x:v>
      </x:c>
      <x:c r="E65" s="74" t="str">
        <x:v>V1.0</x:v>
      </x:c>
      <x:c r="F65" s="68" t="str">
        <x:v>财星弱或受比劫制约时耗身证据下调</x:v>
      </x:c>
      <x:c r="G65" s="82" t="str">
        <x:v>综合层</x:v>
      </x:c>
      <x:c r="H65" s="68" t="str">
        <x:v>受耗</x:v>
      </x:c>
      <x:c r="I65" s="68" t="str">
        <x:v>减弱偏弱证据</x:v>
      </x:c>
      <x:c r="J65" s="68" t="str">
        <x:v>财星原有但M08判弱、受制或失效</x:v>
      </x:c>
      <x:c r="K65" s="68" t="str">
        <x:v>中高</x:v>
      </x:c>
      <x:c r="L65" s="82" t="str">
        <x:v>中</x:v>
      </x:c>
      <x:c r="M65" s="68" t="str">
        <x:v>M08完成</x:v>
      </x:c>
      <x:c r="N65" s="68" t="str">
        <x:v>财有效性已修正</x:v>
      </x:c>
      <x:c r="O65" s="68"/>
      <x:c r="P65" s="68" t="str">
        <x:v>财另有独立强根</x:v>
      </x:c>
      <x:c r="Q65" s="90" t="str">
        <x:v>禁止仍按原始财量满额耗身</x:v>
      </x:c>
      <x:c r="R65" s="68" t="str">
        <x:v>十神关系转M10/M11</x:v>
      </x:c>
      <x:c r="S65" s="68" t="str">
        <x:v>剩余财力越低，日主耗力越少</x:v>
      </x:c>
      <x:c r="T65" s="82" t="str">
        <x:v>是</x:v>
      </x:c>
      <x:c r="U65" s="82" t="str">
        <x:v>中和</x:v>
      </x:c>
      <x:c r="V65" s="84" t="str">
        <x:v>财耗修正</x:v>
      </x:c>
      <x:c r="W65" s="84" t="str">
        <x:v>财星实际有效性低，日主耗身压力相应下调。</x:v>
      </x:c>
      <x:c r="X65" s="82" t="str">
        <x:v>较高</x:v>
      </x:c>
      <x:c r="Y65" s="82" t="str">
        <x:v>现代综合</x:v>
      </x:c>
      <x:c r="Z65" s="68" t="str">
        <x:v>受耗按财星有效力量及日主主动克制的持续负荷判断；财星存在、财旺与实际耗身必须分开。</x:v>
      </x:c>
      <x:c r="AA65" s="68" t="str">
        <x:v>正例：当“财星原有但M08判弱、受制或失效”真实成立，且必要条件与增强条件同向时，按“财星弱或受比劫制约时耗身证据下调”记录对应旺衰证据。</x:v>
      </x:c>
      <x:c r="AB65" s="90" t="str">
        <x:v>反例：只有表面条件，但出现“禁止仍按原始财量满额耗身”或关键有效性未成立时，不得套用本规则。</x:v>
      </x:c>
      <x:c r="AC65" s="68" t="str">
        <x:v>https://zh.wikisource.org/wiki/%E6%B7%B5%E6%B5%B7%E5%AD%90%E5%B9%B3%E5%A4%A7%E5%85%A8 ; https://zh.wikisource.org/wiki/%E6%BB%B4%E5%A4%A9%E9%AB%93%E9%97%A1%E5%BE%AE</x:v>
      </x:c>
      <x:c r="AD65" s="82" t="str">
        <x:v>采用</x:v>
      </x:c>
      <x:c r="AE65" s="82" t="str">
        <x:v>初审</x:v>
      </x:c>
      <x:c r="AF65" s="87" t="n">
        <x:v>46255</x:v>
      </x:c>
    </x:row>
    <x:row r="66">
      <x:c r="A66" s="72" t="str">
        <x:f>IF(OR(C66="",D66=""),"",B66&amp;"-"&amp;UPPER(C66)&amp;"-"&amp;TEXT(D66,"0000")&amp;"-"&amp;E66)</x:f>
        <x:v>M09-HAO-0060-V1.0</x:v>
      </x:c>
      <x:c r="B66" s="74" t="str">
        <x:v>M09</x:v>
      </x:c>
      <x:c r="C66" s="74" t="str">
        <x:v>HAO</x:v>
      </x:c>
      <x:c r="D66" s="79" t="n">
        <x:v>60</x:v>
      </x:c>
      <x:c r="E66" s="74" t="str">
        <x:v>V1.0</x:v>
      </x:c>
      <x:c r="F66" s="68" t="str">
        <x:v>强旺日主可任一定财而不必转弱</x:v>
      </x:c>
      <x:c r="G66" s="82" t="str">
        <x:v>综合层</x:v>
      </x:c>
      <x:c r="H66" s="68" t="str">
        <x:v>受耗</x:v>
      </x:c>
      <x:c r="I66" s="68" t="str">
        <x:v>中和约束</x:v>
      </x:c>
      <x:c r="J66" s="68" t="str">
        <x:v>日主多根得势，财为中等有效</x:v>
      </x:c>
      <x:c r="K66" s="68" t="str">
        <x:v>中高</x:v>
      </x:c>
      <x:c r="L66" s="82" t="str">
        <x:v>中</x:v>
      </x:c>
      <x:c r="M66" s="68" t="str">
        <x:v>M08完成</x:v>
      </x:c>
      <x:c r="N66" s="68" t="str">
        <x:v>扶身侧明显</x:v>
      </x:c>
      <x:c r="O66" s="68" t="str">
        <x:v>印比有续航</x:v>
      </x:c>
      <x:c r="P66" s="68" t="str">
        <x:v>财极旺且食伤持续生财</x:v>
      </x:c>
      <x:c r="Q66" s="90" t="str">
        <x:v>禁止“财多=身弱”的单句判断</x:v>
      </x:c>
      <x:c r="R66" s="68" t="str">
        <x:v>身财两停等组合转M11</x:v>
      </x:c>
      <x:c r="S66" s="68" t="str">
        <x:v>日主强时财耗可能只降低过旺程度</x:v>
      </x:c>
      <x:c r="T66" s="82" t="str">
        <x:v>否</x:v>
      </x:c>
      <x:c r="U66" s="82" t="str">
        <x:v>中和偏旺</x:v>
      </x:c>
      <x:c r="V66" s="84" t="str">
        <x:v>强身任财</x:v>
      </x:c>
      <x:c r="W66" s="84" t="str">
        <x:v>日主根深得势时可承受一定财星耗力，不因有财就直接判弱。</x:v>
      </x:c>
      <x:c r="X66" s="82" t="str">
        <x:v>较高</x:v>
      </x:c>
      <x:c r="Y66" s="82" t="str">
        <x:v>现代综合</x:v>
      </x:c>
      <x:c r="Z66" s="68" t="str">
        <x:v>受耗按财星有效力量及日主主动克制的持续负荷判断；财星存在、财旺与实际耗身必须分开。</x:v>
      </x:c>
      <x:c r="AA66" s="68" t="str">
        <x:v>正例：当“日主多根得势，财为中等有效”真实成立，且必要条件与增强条件同向时，按“强旺日主可任一定财而不必转弱”记录对应旺衰证据。</x:v>
      </x:c>
      <x:c r="AB66" s="90" t="str">
        <x:v>反例：只有表面条件，但出现“禁止“财多=身弱”的单句判断”或关键有效性未成立时，不得套用本规则。</x:v>
      </x:c>
      <x:c r="AC66" s="68" t="str">
        <x:v>https://zh.wikisource.org/wiki/%E6%B7%B5%E6%B5%B7%E5%AD%90%E5%B9%B3%E5%A4%A7%E5%85%A8 ; https://zh.wikisource.org/wiki/%E6%BB%B4%E5%A4%A9%E9%AB%93%E9%97%A1%E5%BE%AE</x:v>
      </x:c>
      <x:c r="AD66" s="82" t="str">
        <x:v>采用</x:v>
      </x:c>
      <x:c r="AE66" s="82" t="str">
        <x:v>初审</x:v>
      </x:c>
      <x:c r="AF66" s="87" t="n">
        <x:v>46255</x:v>
      </x:c>
    </x:row>
    <x:row r="67">
      <x:c r="A67" s="72" t="str">
        <x:f>IF(OR(C67="",D67=""),"",B67&amp;"-"&amp;UPPER(C67)&amp;"-"&amp;TEXT(D67,"0000")&amp;"-"&amp;E67)</x:f>
        <x:v>M09-HAO-0061-V1.0</x:v>
      </x:c>
      <x:c r="B67" s="74" t="str">
        <x:v>M09</x:v>
      </x:c>
      <x:c r="C67" s="74" t="str">
        <x:v>HAO</x:v>
      </x:c>
      <x:c r="D67" s="79" t="n">
        <x:v>61</x:v>
      </x:c>
      <x:c r="E67" s="74" t="str">
        <x:v>V1.0</x:v>
      </x:c>
      <x:c r="F67" s="68" t="str">
        <x:v>财耗与食伤生财共享同一外泄链时需去重</x:v>
      </x:c>
      <x:c r="G67" s="82" t="str">
        <x:v>综合层</x:v>
      </x:c>
      <x:c r="H67" s="68" t="str">
        <x:v>受耗</x:v>
      </x:c>
      <x:c r="I67" s="68" t="str">
        <x:v>证据去重</x:v>
      </x:c>
      <x:c r="J67" s="68" t="str">
        <x:v>同一食伤→财链同时被记录为泄身和耗身</x:v>
      </x:c>
      <x:c r="K67" s="68" t="str">
        <x:v>高</x:v>
      </x:c>
      <x:c r="L67" s="82" t="str">
        <x:v>中</x:v>
      </x:c>
      <x:c r="M67" s="68" t="str">
        <x:v>M08完成</x:v>
      </x:c>
      <x:c r="N67" s="68" t="str">
        <x:v>属于同一连续路径</x:v>
      </x:c>
      <x:c r="O67" s="68" t="str">
        <x:v>另有独立财源或独立食伤</x:v>
      </x:c>
      <x:c r="P67" s="68"/>
      <x:c r="Q67" s="90" t="str">
        <x:v>禁止把同一股力量按泄与耗重复全额累加</x:v>
      </x:c>
      <x:c r="R67" s="68" t="str">
        <x:v>M12可进一步描述链路</x:v>
      </x:c>
      <x:c r="S67" s="68" t="str">
        <x:v>连续链可加重外泄，但总容量受源头限制</x:v>
      </x:c>
      <x:c r="T67" s="82" t="str">
        <x:v>是</x:v>
      </x:c>
      <x:c r="U67" s="82" t="str">
        <x:v>中和偏弱</x:v>
      </x:c>
      <x:c r="V67" s="84" t="str">
        <x:v>泄耗链去重</x:v>
      </x:c>
      <x:c r="W67" s="84" t="str">
        <x:v>同一食伤生财链可说明连续外泄，但泄与耗不得脱离源头容量重复满额计权。</x:v>
      </x:c>
      <x:c r="X67" s="82" t="str">
        <x:v>较高</x:v>
      </x:c>
      <x:c r="Y67" s="82" t="str">
        <x:v>现代综合</x:v>
      </x:c>
      <x:c r="Z67" s="68" t="str">
        <x:v>受耗按财星有效力量及日主主动克制的持续负荷判断；财星存在、财旺与实际耗身必须分开。</x:v>
      </x:c>
      <x:c r="AA67" s="68" t="str">
        <x:v>正例：当“同一食伤→财链同时被记录为泄身和耗身”真实成立，且必要条件与增强条件同向时，按“财耗与食伤生财共享同一外泄链时需去重”记录对应旺衰证据。</x:v>
      </x:c>
      <x:c r="AB67" s="90" t="str">
        <x:v>反例：只有表面条件，但出现“禁止把同一股力量按泄与耗重复全额累加”或关键有效性未成立时，不得套用本规则。</x:v>
      </x:c>
      <x:c r="AC67" s="68" t="str">
        <x:v>https://zh.wikisource.org/wiki/%E6%B7%B5%E6%B5%B7%E5%AD%90%E5%B9%B3%E5%A4%A7%E5%85%A8 ; https://zh.wikisource.org/wiki/%E6%BB%B4%E5%A4%A9%E9%AB%93%E9%97%A1%E5%BE%AE</x:v>
      </x:c>
      <x:c r="AD67" s="82" t="str">
        <x:v>采用</x:v>
      </x:c>
      <x:c r="AE67" s="82" t="str">
        <x:v>初审</x:v>
      </x:c>
      <x:c r="AF67" s="87" t="n">
        <x:v>46255</x:v>
      </x:c>
    </x:row>
    <x:row r="68">
      <x:c r="A68" s="72" t="str">
        <x:f>IF(OR(C68="",D68=""),"",B68&amp;"-"&amp;UPPER(C68)&amp;"-"&amp;TEXT(D68,"0000")&amp;"-"&amp;E68)</x:f>
        <x:v>M09-HAO-0062-V1.0</x:v>
      </x:c>
      <x:c r="B68" s="74" t="str">
        <x:v>M09</x:v>
      </x:c>
      <x:c r="C68" s="74" t="str">
        <x:v>HAO</x:v>
      </x:c>
      <x:c r="D68" s="79" t="n">
        <x:v>62</x:v>
      </x:c>
      <x:c r="E68" s="74" t="str">
        <x:v>V1.0</x:v>
      </x:c>
      <x:c r="F68" s="68" t="str">
        <x:v>财官食伤多不等于日主必弱</x:v>
      </x:c>
      <x:c r="G68" s="82" t="str">
        <x:v>综合层</x:v>
      </x:c>
      <x:c r="H68" s="68" t="str">
        <x:v>受耗</x:v>
      </x:c>
      <x:c r="I68" s="68" t="str">
        <x:v>边界</x:v>
      </x:c>
      <x:c r="J68" s="68" t="str">
        <x:v>财、官杀、食伤类别或数量较多</x:v>
      </x:c>
      <x:c r="K68" s="68" t="str">
        <x:v>高</x:v>
      </x:c>
      <x:c r="L68" s="82" t="str">
        <x:v>决定性</x:v>
      </x:c>
      <x:c r="M68" s="68" t="str">
        <x:v>M08完成</x:v>
      </x:c>
      <x:c r="N68" s="68" t="str">
        <x:v>分别评估三类有效力量与通路</x:v>
      </x:c>
      <x:c r="O68" s="68" t="str">
        <x:v>三类都强且日主承载弱</x:v>
      </x:c>
      <x:c r="P68" s="68" t="str">
        <x:v>多而弱、被制化或互相转流</x:v>
      </x:c>
      <x:c r="Q68" s="90" t="str">
        <x:v>禁止按十神类别数量直接判弱</x:v>
      </x:c>
      <x:c r="R68" s="68" t="str">
        <x:v>格局与组合转M10-M15</x:v>
      </x:c>
      <x:c r="S68" s="68" t="str">
        <x:v>只有实际制泄耗合力超过扶身侧时才形成身弱</x:v>
      </x:c>
      <x:c r="T68" s="82" t="str">
        <x:v>否</x:v>
      </x:c>
      <x:c r="U68" s="82" t="str">
        <x:v>中和</x:v>
      </x:c>
      <x:c r="V68" s="84" t="str">
        <x:v>多负荷非弱充分条件</x:v>
      </x:c>
      <x:c r="W68" s="84" t="str">
        <x:v>财官食伤多只是负荷候选；是否身弱取决于它们的有效力量、通路与日主承载。</x:v>
      </x:c>
      <x:c r="X68" s="82" t="str">
        <x:v>较高</x:v>
      </x:c>
      <x:c r="Y68" s="82" t="str">
        <x:v>现代综合</x:v>
      </x:c>
      <x:c r="Z68" s="68" t="str">
        <x:v>受耗按财星有效力量及日主主动克制的持续负荷判断；财星存在、财旺与实际耗身必须分开。</x:v>
      </x:c>
      <x:c r="AA68" s="68" t="str">
        <x:v>正例：当“财、官杀、食伤类别或数量较多”真实成立，且必要条件与增强条件同向时，按“财官食伤多不等于日主必弱”记录对应旺衰证据。</x:v>
      </x:c>
      <x:c r="AB68" s="90" t="str">
        <x:v>反例：只有表面条件，但出现“禁止按十神类别数量直接判弱”或关键有效性未成立时，不得套用本规则。</x:v>
      </x:c>
      <x:c r="AC68" s="68" t="str">
        <x:v>https://zh.wikisource.org/wiki/%E6%B7%B5%E6%B5%B7%E5%AD%90%E5%B9%B3%E5%A4%A7%E5%85%A8 ; https://zh.wikisource.org/wiki/%E6%BB%B4%E5%A4%A9%E9%AB%93%E9%97%A1%E5%BE%AE</x:v>
      </x:c>
      <x:c r="AD68" s="82" t="str">
        <x:v>采用</x:v>
      </x:c>
      <x:c r="AE68" s="82" t="str">
        <x:v>初审</x:v>
      </x:c>
      <x:c r="AF68" s="87" t="n">
        <x:v>46255</x:v>
      </x:c>
    </x:row>
    <x:row r="69">
      <x:c r="A69" s="72" t="str">
        <x:f>IF(OR(C69="",D69=""),"",B69&amp;"-"&amp;UPPER(C69)&amp;"-"&amp;TEXT(D69,"0000")&amp;"-"&amp;E69)</x:f>
        <x:v>M09-SYN-0063-V1.0</x:v>
      </x:c>
      <x:c r="B69" s="74" t="str">
        <x:v>M09</x:v>
      </x:c>
      <x:c r="C69" s="74" t="str">
        <x:v>SYN</x:v>
      </x:c>
      <x:c r="D69" s="79" t="n">
        <x:v>63</x:v>
      </x:c>
      <x:c r="E69" s="74" t="str">
        <x:v>V1.0</x:v>
      </x:c>
      <x:c r="F69" s="68" t="str">
        <x:v>日主旺衰先分扶身侧与负荷侧再比较净优势</x:v>
      </x:c>
      <x:c r="G69" s="82" t="str">
        <x:v>综合层</x:v>
      </x:c>
      <x:c r="H69" s="68" t="str">
        <x:v>综合比较</x:v>
      </x:c>
      <x:c r="I69" s="68" t="str">
        <x:v>双向</x:v>
      </x:c>
      <x:c r="J69" s="68" t="str">
        <x:v>扶身侧包括有效根、比劫、印；负荷侧包括有效官杀、食伤、财</x:v>
      </x:c>
      <x:c r="K69" s="68" t="str">
        <x:v>高</x:v>
      </x:c>
      <x:c r="L69" s="82" t="str">
        <x:v>决定性</x:v>
      </x:c>
      <x:c r="M69" s="68" t="str">
        <x:v>M03/M08完成</x:v>
      </x:c>
      <x:c r="N69" s="68" t="str">
        <x:v>各分项均已按有效性修正</x:v>
      </x:c>
      <x:c r="O69" s="68" t="str">
        <x:v>一侧多维强证据同向</x:v>
      </x:c>
      <x:c r="P69" s="68" t="str">
        <x:v>双方证据高度冲突</x:v>
      </x:c>
      <x:c r="Q69" s="90" t="str">
        <x:v>禁止使用原始数量代替有效净优势</x:v>
      </x:c>
      <x:c r="R69" s="68" t="str">
        <x:v>特殊格局转M14</x:v>
      </x:c>
      <x:c r="S69" s="68" t="str">
        <x:v>净优势小则落在中和附近，净优势大才进入旺/弱</x:v>
      </x:c>
      <x:c r="T69" s="82" t="str">
        <x:v>否</x:v>
      </x:c>
      <x:c r="U69" s="82" t="str">
        <x:v>中和</x:v>
      </x:c>
      <x:c r="V69" s="84" t="str">
        <x:v>双侧净优势</x:v>
      </x:c>
      <x:c r="W69" s="84" t="str">
        <x:v>日主旺衰以扶身侧与制泄耗侧的有效净优势裁定，而非按元素数量投票。</x:v>
      </x:c>
      <x:c r="X69" s="82" t="str">
        <x:v>较高</x:v>
      </x:c>
      <x:c r="Y69" s="82" t="str">
        <x:v>现代综合</x:v>
      </x:c>
      <x:c r="Z69" s="68" t="str">
        <x:v>综合裁定比较扶身侧与负荷侧的有效净优势，采用强证据优先、同源去重、反证保留和冲突降置信。</x:v>
      </x:c>
      <x:c r="AA69" s="68" t="str">
        <x:v>正例：当“扶身侧包括有效根、比劫、印；负荷侧包括有效官杀、食伤、财”真实成立，且必要条件与增强条件同向时，按“日主旺衰先分扶身侧与负荷侧再比较净优势”记录对应旺衰证据。</x:v>
      </x:c>
      <x:c r="AB69" s="90" t="str">
        <x:v>反例：只有表面条件，但出现“禁止使用原始数量代替有效净优势”或关键有效性未成立时，不得套用本规则。</x:v>
      </x:c>
      <x:c r="AC69" s="68" t="str">
        <x:v>https://zh.wikisource.org/wiki/%E6%B7%B5%E6%B5%B7%E5%AD%90%E5%B9%B3%E5%A4%A7%E5%85%A8 ; https://zh.wikisource.org/wiki/%E6%BB%B4%E5%A4%A9%E9%AB%93%E9%97%A1%E5%BE%AE</x:v>
      </x:c>
      <x:c r="AD69" s="82" t="str">
        <x:v>采用</x:v>
      </x:c>
      <x:c r="AE69" s="82" t="str">
        <x:v>初审</x:v>
      </x:c>
      <x:c r="AF69" s="87" t="n">
        <x:v>46255</x:v>
      </x:c>
    </x:row>
    <x:row r="70">
      <x:c r="A70" s="72" t="str">
        <x:f>IF(OR(C70="",D70=""),"",B70&amp;"-"&amp;UPPER(C70)&amp;"-"&amp;TEXT(D70,"0000")&amp;"-"&amp;E70)</x:f>
        <x:v>M09-SYN-0064-V1.0</x:v>
      </x:c>
      <x:c r="B70" s="74" t="str">
        <x:v>M09</x:v>
      </x:c>
      <x:c r="C70" s="74" t="str">
        <x:v>SYN</x:v>
      </x:c>
      <x:c r="D70" s="79" t="n">
        <x:v>64</x:v>
      </x:c>
      <x:c r="E70" s="74" t="str">
        <x:v>V1.0</x:v>
      </x:c>
      <x:c r="F70" s="68" t="str">
        <x:v>扶身侧必须包含日主自身承载而不只统计印比</x:v>
      </x:c>
      <x:c r="G70" s="82" t="str">
        <x:v>综合层</x:v>
      </x:c>
      <x:c r="H70" s="68" t="str">
        <x:v>综合比较</x:v>
      </x:c>
      <x:c r="I70" s="68" t="str">
        <x:v>支持偏旺</x:v>
      </x:c>
      <x:c r="J70" s="68" t="str">
        <x:v>评估日主扶身侧</x:v>
      </x:c>
      <x:c r="K70" s="68" t="str">
        <x:v>高</x:v>
      </x:c>
      <x:c r="L70" s="82" t="str">
        <x:v>强</x:v>
      </x:c>
      <x:c r="M70" s="68" t="str">
        <x:v>M08完成</x:v>
      </x:c>
      <x:c r="N70" s="68" t="str">
        <x:v>至少纳入有效根气</x:v>
      </x:c>
      <x:c r="O70" s="68" t="str">
        <x:v>多根且印比有效</x:v>
      </x:c>
      <x:c r="P70" s="68" t="str">
        <x:v>日主无根而印比浮弱</x:v>
      </x:c>
      <x:c r="Q70" s="90" t="str">
        <x:v>禁止只把印比数量当日主力量</x:v>
      </x:c>
      <x:c r="R70" s="68"/>
      <x:c r="S70" s="68" t="str">
        <x:v>根气决定扶持能否落地与持续</x:v>
      </x:c>
      <x:c r="T70" s="82" t="str">
        <x:v>是</x:v>
      </x:c>
      <x:c r="U70" s="82" t="str">
        <x:v>中和偏旺</x:v>
      </x:c>
      <x:c r="V70" s="84" t="str">
        <x:v>承载纳入扶身</x:v>
      </x:c>
      <x:c r="W70" s="84" t="str">
        <x:v>扶身侧必须同时考虑日主有效根气与印比支持，不能只看外部帮扶。</x:v>
      </x:c>
      <x:c r="X70" s="82" t="str">
        <x:v>较高</x:v>
      </x:c>
      <x:c r="Y70" s="82" t="str">
        <x:v>现代综合</x:v>
      </x:c>
      <x:c r="Z70" s="68" t="str">
        <x:v>综合裁定比较扶身侧与负荷侧的有效净优势，采用强证据优先、同源去重、反证保留和冲突降置信。</x:v>
      </x:c>
      <x:c r="AA70" s="68" t="str">
        <x:v>正例：当“评估日主扶身侧”真实成立，且必要条件与增强条件同向时，按“扶身侧必须包含日主自身承载而不只统计印比”记录对应旺衰证据。</x:v>
      </x:c>
      <x:c r="AB70" s="90" t="str">
        <x:v>反例：只有表面条件，但出现“禁止只把印比数量当日主力量”或关键有效性未成立时，不得套用本规则。</x:v>
      </x:c>
      <x:c r="AC70" s="68" t="str">
        <x:v>https://zh.wikisource.org/wiki/%E6%B7%B5%E6%B5%B7%E5%AD%90%E5%B9%B3%E5%A4%A7%E5%85%A8 ; https://zh.wikisource.org/wiki/%E6%BB%B4%E5%A4%A9%E9%AB%93%E9%97%A1%E5%BE%AE</x:v>
      </x:c>
      <x:c r="AD70" s="82" t="str">
        <x:v>采用</x:v>
      </x:c>
      <x:c r="AE70" s="82" t="str">
        <x:v>初审</x:v>
      </x:c>
      <x:c r="AF70" s="87" t="n">
        <x:v>46255</x:v>
      </x:c>
    </x:row>
    <x:row r="71">
      <x:c r="A71" s="72" t="str">
        <x:f>IF(OR(C71="",D71=""),"",B71&amp;"-"&amp;UPPER(C71)&amp;"-"&amp;TEXT(D71,"0000")&amp;"-"&amp;E71)</x:f>
        <x:v>M09-SYN-0065-V1.0</x:v>
      </x:c>
      <x:c r="B71" s="74" t="str">
        <x:v>M09</x:v>
      </x:c>
      <x:c r="C71" s="74" t="str">
        <x:v>SYN</x:v>
      </x:c>
      <x:c r="D71" s="79" t="n">
        <x:v>65</x:v>
      </x:c>
      <x:c r="E71" s="74" t="str">
        <x:v>V1.0</x:v>
      </x:c>
      <x:c r="F71" s="68" t="str">
        <x:v>负荷侧三类力量必须按实际通路分别计算后再合并</x:v>
      </x:c>
      <x:c r="G71" s="82" t="str">
        <x:v>综合层</x:v>
      </x:c>
      <x:c r="H71" s="68" t="str">
        <x:v>综合比较</x:v>
      </x:c>
      <x:c r="I71" s="68" t="str">
        <x:v>支持偏弱</x:v>
      </x:c>
      <x:c r="J71" s="68" t="str">
        <x:v>官杀、食伤、财同时出现</x:v>
      </x:c>
      <x:c r="K71" s="68" t="str">
        <x:v>高</x:v>
      </x:c>
      <x:c r="L71" s="82" t="str">
        <x:v>强</x:v>
      </x:c>
      <x:c r="M71" s="68" t="str">
        <x:v>M08完成</x:v>
      </x:c>
      <x:c r="N71" s="68" t="str">
        <x:v>三类均已有有效性结论</x:v>
      </x:c>
      <x:c r="O71" s="68" t="str">
        <x:v>多条独立通路同时成立</x:v>
      </x:c>
      <x:c r="P71" s="68" t="str">
        <x:v>多类力量共享同一来源或互相制化</x:v>
      </x:c>
      <x:c r="Q71" s="90" t="str">
        <x:v>禁止简单相加固定分值</x:v>
      </x:c>
      <x:c r="R71" s="68" t="str">
        <x:v>组合制化转M11</x:v>
      </x:c>
      <x:c r="S71" s="68" t="str">
        <x:v>独立且有效的压力通路越多，偏弱证据越稳</x:v>
      </x:c>
      <x:c r="T71" s="82" t="str">
        <x:v>否</x:v>
      </x:c>
      <x:c r="U71" s="82" t="str">
        <x:v>中和偏弱</x:v>
      </x:c>
      <x:c r="V71" s="84" t="str">
        <x:v>多负荷合并</x:v>
      </x:c>
      <x:c r="W71" s="84" t="str">
        <x:v>受制、受泄、受耗应先分项判断，再按独立有效通路合并。</x:v>
      </x:c>
      <x:c r="X71" s="82" t="str">
        <x:v>较高</x:v>
      </x:c>
      <x:c r="Y71" s="82" t="str">
        <x:v>现代综合</x:v>
      </x:c>
      <x:c r="Z71" s="68" t="str">
        <x:v>综合裁定比较扶身侧与负荷侧的有效净优势，采用强证据优先、同源去重、反证保留和冲突降置信。</x:v>
      </x:c>
      <x:c r="AA71" s="68" t="str">
        <x:v>正例：当“官杀、食伤、财同时出现”真实成立，且必要条件与增强条件同向时，按“负荷侧三类力量必须按实际通路分别计算后再合并”记录对应旺衰证据。</x:v>
      </x:c>
      <x:c r="AB71" s="90" t="str">
        <x:v>反例：只有表面条件，但出现“禁止简单相加固定分值”或关键有效性未成立时，不得套用本规则。</x:v>
      </x:c>
      <x:c r="AC71" s="68" t="str">
        <x:v>https://zh.wikisource.org/wiki/%E6%B7%B5%E6%B5%B7%E5%AD%90%E5%B9%B3%E5%A4%A7%E5%85%A8 ; https://zh.wikisource.org/wiki/%E6%BB%B4%E5%A4%A9%E9%AB%93%E9%97%A1%E5%BE%AE</x:v>
      </x:c>
      <x:c r="AD71" s="82" t="str">
        <x:v>采用</x:v>
      </x:c>
      <x:c r="AE71" s="82" t="str">
        <x:v>初审</x:v>
      </x:c>
      <x:c r="AF71" s="87" t="n">
        <x:v>46255</x:v>
      </x:c>
    </x:row>
    <x:row r="72">
      <x:c r="A72" s="72" t="str">
        <x:f>IF(OR(C72="",D72=""),"",B72&amp;"-"&amp;UPPER(C72)&amp;"-"&amp;TEXT(D72,"0000")&amp;"-"&amp;E72)</x:f>
        <x:v>M09-SYN-0066-V1.0</x:v>
      </x:c>
      <x:c r="B72" s="74" t="str">
        <x:v>M09</x:v>
      </x:c>
      <x:c r="C72" s="74" t="str">
        <x:v>SYN</x:v>
      </x:c>
      <x:c r="D72" s="79" t="n">
        <x:v>66</x:v>
      </x:c>
      <x:c r="E72" s="74" t="str">
        <x:v>V1.0</x:v>
      </x:c>
      <x:c r="F72" s="68" t="str">
        <x:v>一个决定性强证据可压过多个微弱证据</x:v>
      </x:c>
      <x:c r="G72" s="82" t="str">
        <x:v>综合层</x:v>
      </x:c>
      <x:c r="H72" s="68" t="str">
        <x:v>综合比较</x:v>
      </x:c>
      <x:c r="I72" s="68" t="str">
        <x:v>证据质量优先</x:v>
      </x:c>
      <x:c r="J72" s="68" t="str">
        <x:v>一侧有决定性强证据，另一侧仅多个弱证据</x:v>
      </x:c>
      <x:c r="K72" s="68" t="str">
        <x:v>高</x:v>
      </x:c>
      <x:c r="L72" s="82" t="str">
        <x:v>强</x:v>
      </x:c>
      <x:c r="M72" s="68" t="str">
        <x:v>M08完成</x:v>
      </x:c>
      <x:c r="N72" s="68" t="str">
        <x:v>强证据来源独立且真实</x:v>
      </x:c>
      <x:c r="O72" s="68" t="str">
        <x:v>强证据另有同向支持</x:v>
      </x:c>
      <x:c r="P72" s="68" t="str">
        <x:v>对侧存在未识别的强根或强势</x:v>
      </x:c>
      <x:c r="Q72" s="90" t="str">
        <x:v>禁止按证据条数多数裁决</x:v>
      </x:c>
      <x:c r="R72" s="68" t="str">
        <x:v>极端边界降低置信度</x:v>
      </x:c>
      <x:c r="S72" s="68" t="str">
        <x:v>力量质量优先于证据数量</x:v>
      </x:c>
      <x:c r="T72" s="82" t="str">
        <x:v>否</x:v>
      </x:c>
      <x:c r="U72" s="82" t="str">
        <x:v>中和</x:v>
      </x:c>
      <x:c r="V72" s="84" t="str">
        <x:v>强证据优先</x:v>
      </x:c>
      <x:c r="W72" s="84" t="str">
        <x:v>旺衰裁定以有效强度优先；一个决定性证据可高于多个微弱证据。</x:v>
      </x:c>
      <x:c r="X72" s="82" t="str">
        <x:v>较高</x:v>
      </x:c>
      <x:c r="Y72" s="82" t="str">
        <x:v>现代综合</x:v>
      </x:c>
      <x:c r="Z72" s="68" t="str">
        <x:v>综合裁定比较扶身侧与负荷侧的有效净优势，采用强证据优先、同源去重、反证保留和冲突降置信。</x:v>
      </x:c>
      <x:c r="AA72" s="68" t="str">
        <x:v>正例：当“一侧有决定性强证据，另一侧仅多个弱证据”真实成立，且必要条件与增强条件同向时，按“一个决定性强证据可压过多个微弱证据”记录对应旺衰证据。</x:v>
      </x:c>
      <x:c r="AB72" s="90" t="str">
        <x:v>反例：只有表面条件，但出现“禁止按证据条数多数裁决”或关键有效性未成立时，不得套用本规则。</x:v>
      </x:c>
      <x:c r="AC72" s="68" t="str">
        <x:v>https://zh.wikisource.org/wiki/%E6%B7%B5%E6%B5%B7%E5%AD%90%E5%B9%B3%E5%A4%A7%E5%85%A8 ; https://zh.wikisource.org/wiki/%E6%BB%B4%E5%A4%A9%E9%AB%93%E9%97%A1%E5%BE%AE</x:v>
      </x:c>
      <x:c r="AD72" s="82" t="str">
        <x:v>采用</x:v>
      </x:c>
      <x:c r="AE72" s="82" t="str">
        <x:v>初审</x:v>
      </x:c>
      <x:c r="AF72" s="87" t="n">
        <x:v>46255</x:v>
      </x:c>
    </x:row>
    <x:row r="73">
      <x:c r="A73" s="72" t="str">
        <x:f>IF(OR(C73="",D73=""),"",B73&amp;"-"&amp;UPPER(C73)&amp;"-"&amp;TEXT(D73,"0000")&amp;"-"&amp;E73)</x:f>
        <x:v>M09-SYN-0067-V1.0</x:v>
      </x:c>
      <x:c r="B73" s="74" t="str">
        <x:v>M09</x:v>
      </x:c>
      <x:c r="C73" s="74" t="str">
        <x:v>SYN</x:v>
      </x:c>
      <x:c r="D73" s="79" t="n">
        <x:v>67</x:v>
      </x:c>
      <x:c r="E73" s="74" t="str">
        <x:v>V1.0</x:v>
      </x:c>
      <x:c r="F73" s="68" t="str">
        <x:v>同一干支节点跨维度出现时必须做证据容量去重</x:v>
      </x:c>
      <x:c r="G73" s="82" t="str">
        <x:v>综合层</x:v>
      </x:c>
      <x:c r="H73" s="68" t="str">
        <x:v>综合比较</x:v>
      </x:c>
      <x:c r="I73" s="68" t="str">
        <x:v>证据去重</x:v>
      </x:c>
      <x:c r="J73" s="68" t="str">
        <x:v>同一节点同时被记为得令、得地、得势或得生来源</x:v>
      </x:c>
      <x:c r="K73" s="68" t="str">
        <x:v>高</x:v>
      </x:c>
      <x:c r="L73" s="82" t="str">
        <x:v>决定性</x:v>
      </x:c>
      <x:c r="M73" s="68" t="str">
        <x:v>M03/M08完成</x:v>
      </x:c>
      <x:c r="N73" s="68" t="str">
        <x:v>确认事实来源相同</x:v>
      </x:c>
      <x:c r="O73" s="68" t="str">
        <x:v>另有独立节点</x:v>
      </x:c>
      <x:c r="P73" s="68"/>
      <x:c r="Q73" s="90" t="str">
        <x:v>禁止同一节点跨字段重复全额计权</x:v>
      </x:c>
      <x:c r="R73" s="68" t="str">
        <x:v>保留多标签用于解释</x:v>
      </x:c>
      <x:c r="S73" s="68" t="str">
        <x:v>去重后仍可保留其多重功能说明</x:v>
      </x:c>
      <x:c r="T73" s="82" t="str">
        <x:v>是</x:v>
      </x:c>
      <x:c r="U73" s="82" t="str">
        <x:v>中和</x:v>
      </x:c>
      <x:c r="V73" s="84" t="str">
        <x:v>跨维去重</x:v>
      </x:c>
      <x:c r="W73" s="84" t="str">
        <x:v>同一干支节点可有多重意义，但其力量容量不得在多个维度中重复全额使用。</x:v>
      </x:c>
      <x:c r="X73" s="82" t="str">
        <x:v>较高</x:v>
      </x:c>
      <x:c r="Y73" s="82" t="str">
        <x:v>现代综合</x:v>
      </x:c>
      <x:c r="Z73" s="68" t="str">
        <x:v>综合裁定比较扶身侧与负荷侧的有效净优势，采用强证据优先、同源去重、反证保留和冲突降置信。</x:v>
      </x:c>
      <x:c r="AA73" s="68" t="str">
        <x:v>正例：当“同一节点同时被记为得令、得地、得势或得生来源”真实成立，且必要条件与增强条件同向时，按“同一干支节点跨维度出现时必须做证据容量去重”记录对应旺衰证据。</x:v>
      </x:c>
      <x:c r="AB73" s="90" t="str">
        <x:v>反例：只有表面条件，但出现“禁止同一节点跨字段重复全额计权”或关键有效性未成立时，不得套用本规则。</x:v>
      </x:c>
      <x:c r="AC73" s="68" t="str">
        <x:v>https://zh.wikisource.org/wiki/%E6%B7%B5%E6%B5%B7%E5%AD%90%E5%B9%B3%E5%A4%A7%E5%85%A8 ; https://zh.wikisource.org/wiki/%E6%BB%B4%E5%A4%A9%E9%AB%93%E9%97%A1%E5%BE%AE</x:v>
      </x:c>
      <x:c r="AD73" s="82" t="str">
        <x:v>采用</x:v>
      </x:c>
      <x:c r="AE73" s="82" t="str">
        <x:v>初审</x:v>
      </x:c>
      <x:c r="AF73" s="87" t="n">
        <x:v>46255</x:v>
      </x:c>
    </x:row>
    <x:row r="74">
      <x:c r="A74" s="72" t="str">
        <x:f>IF(OR(C74="",D74=""),"",B74&amp;"-"&amp;UPPER(C74)&amp;"-"&amp;TEXT(D74,"0000")&amp;"-"&amp;E74)</x:f>
        <x:v>M09-SYN-0068-V1.0</x:v>
      </x:c>
      <x:c r="B74" s="74" t="str">
        <x:v>M09</x:v>
      </x:c>
      <x:c r="C74" s="74" t="str">
        <x:v>SYN</x:v>
      </x:c>
      <x:c r="D74" s="79" t="n">
        <x:v>68</x:v>
      </x:c>
      <x:c r="E74" s="74" t="str">
        <x:v>V1.0</x:v>
      </x:c>
      <x:c r="F74" s="68" t="str">
        <x:v>两侧都强且差距不大时优先落在中和区而非同时判旺弱</x:v>
      </x:c>
      <x:c r="G74" s="82" t="str">
        <x:v>综合层</x:v>
      </x:c>
      <x:c r="H74" s="68" t="str">
        <x:v>综合比较</x:v>
      </x:c>
      <x:c r="I74" s="68" t="str">
        <x:v>中和</x:v>
      </x:c>
      <x:c r="J74" s="68" t="str">
        <x:v>扶身侧和负荷侧均有多项强证据且净差较小</x:v>
      </x:c>
      <x:c r="K74" s="68" t="str">
        <x:v>高</x:v>
      </x:c>
      <x:c r="L74" s="82" t="str">
        <x:v>强</x:v>
      </x:c>
      <x:c r="M74" s="68" t="str">
        <x:v>M08完成</x:v>
      </x:c>
      <x:c r="N74" s="68" t="str">
        <x:v>两侧强度接近</x:v>
      </x:c>
      <x:c r="O74" s="68" t="str">
        <x:v>各自有独立根源</x:v>
      </x:c>
      <x:c r="P74" s="68" t="str">
        <x:v>一侧出现决定性新增证据</x:v>
      </x:c>
      <x:c r="Q74" s="90" t="str">
        <x:v>禁止同时输出“身旺又身弱”</x:v>
      </x:c>
      <x:c r="R74" s="68" t="str">
        <x:v>可输出中和偏向</x:v>
      </x:c>
      <x:c r="S74" s="68" t="str">
        <x:v>强强对峙首先说明力量大而相对平衡</x:v>
      </x:c>
      <x:c r="T74" s="82" t="str">
        <x:v>否</x:v>
      </x:c>
      <x:c r="U74" s="82" t="str">
        <x:v>中和</x:v>
      </x:c>
      <x:c r="V74" s="84" t="str">
        <x:v>强强平衡</x:v>
      </x:c>
      <x:c r="W74" s="84" t="str">
        <x:v>扶身与负荷两侧都强且净差不大时，日主更接近中和或中和偏向。</x:v>
      </x:c>
      <x:c r="X74" s="82" t="str">
        <x:v>较高</x:v>
      </x:c>
      <x:c r="Y74" s="82" t="str">
        <x:v>现代综合</x:v>
      </x:c>
      <x:c r="Z74" s="68" t="str">
        <x:v>综合裁定比较扶身侧与负荷侧的有效净优势，采用强证据优先、同源去重、反证保留和冲突降置信。</x:v>
      </x:c>
      <x:c r="AA74" s="68" t="str">
        <x:v>正例：当“扶身侧和负荷侧均有多项强证据且净差较小”真实成立，且必要条件与增强条件同向时，按“两侧都强且差距不大时优先落在中和区而非同时判旺弱”记录对应旺衰证据。</x:v>
      </x:c>
      <x:c r="AB74" s="90" t="str">
        <x:v>反例：只有表面条件，但出现“禁止同时输出“身旺又身弱””或关键有效性未成立时，不得套用本规则。</x:v>
      </x:c>
      <x:c r="AC74" s="68" t="str">
        <x:v>https://zh.wikisource.org/wiki/%E6%B7%B5%E6%B5%B7%E5%AD%90%E5%B9%B3%E5%A4%A7%E5%85%A8 ; https://zh.wikisource.org/wiki/%E6%BB%B4%E5%A4%A9%E9%AB%93%E9%97%A1%E5%BE%AE</x:v>
      </x:c>
      <x:c r="AD74" s="82" t="str">
        <x:v>采用</x:v>
      </x:c>
      <x:c r="AE74" s="82" t="str">
        <x:v>初审</x:v>
      </x:c>
      <x:c r="AF74" s="87" t="n">
        <x:v>46255</x:v>
      </x:c>
    </x:row>
    <x:row r="75">
      <x:c r="A75" s="72" t="str">
        <x:f>IF(OR(C75="",D75=""),"",B75&amp;"-"&amp;UPPER(C75)&amp;"-"&amp;TEXT(D75,"0000")&amp;"-"&amp;E75)</x:f>
        <x:v>M09-SYN-0069-V1.0</x:v>
      </x:c>
      <x:c r="B75" s="74" t="str">
        <x:v>M09</x:v>
      </x:c>
      <x:c r="C75" s="74" t="str">
        <x:v>SYN</x:v>
      </x:c>
      <x:c r="D75" s="79" t="n">
        <x:v>69</x:v>
      </x:c>
      <x:c r="E75" s="74" t="str">
        <x:v>V1.0</x:v>
      </x:c>
      <x:c r="F75" s="68" t="str">
        <x:v>两侧都弱时仍按相对净差裁定而不是自动中和</x:v>
      </x:c>
      <x:c r="G75" s="82" t="str">
        <x:v>综合层</x:v>
      </x:c>
      <x:c r="H75" s="68" t="str">
        <x:v>综合比较</x:v>
      </x:c>
      <x:c r="I75" s="68" t="str">
        <x:v>双向</x:v>
      </x:c>
      <x:c r="J75" s="68" t="str">
        <x:v>扶身侧与负荷侧都缺乏强证据</x:v>
      </x:c>
      <x:c r="K75" s="68" t="str">
        <x:v>中</x:v>
      </x:c>
      <x:c r="L75" s="82" t="str">
        <x:v>中</x:v>
      </x:c>
      <x:c r="M75" s="68" t="str">
        <x:v>M08完成</x:v>
      </x:c>
      <x:c r="N75" s="68" t="str">
        <x:v>各侧均为弱证据</x:v>
      </x:c>
      <x:c r="O75" s="68" t="str">
        <x:v>一侧仍有明确轻微优势</x:v>
      </x:c>
      <x:c r="P75" s="68"/>
      <x:c r="Q75" s="90" t="str">
        <x:v>禁止“双方都弱=中和”</x:v>
      </x:c>
      <x:c r="R75" s="68" t="str">
        <x:v>极弱特殊格局另审</x:v>
      </x:c>
      <x:c r="S75" s="68" t="str">
        <x:v>整体能量低仍可能偏弱或偏旺</x:v>
      </x:c>
      <x:c r="T75" s="82" t="str">
        <x:v>否</x:v>
      </x:c>
      <x:c r="U75" s="82" t="str">
        <x:v>中和</x:v>
      </x:c>
      <x:c r="V75" s="84" t="str">
        <x:v>弱弱比较</x:v>
      </x:c>
      <x:c r="W75" s="84" t="str">
        <x:v>两侧都弱时仍比较相对优势；中和要求净差小，而非双方绝对力量都低。</x:v>
      </x:c>
      <x:c r="X75" s="82" t="str">
        <x:v>较高</x:v>
      </x:c>
      <x:c r="Y75" s="82" t="str">
        <x:v>现代综合</x:v>
      </x:c>
      <x:c r="Z75" s="68" t="str">
        <x:v>综合裁定比较扶身侧与负荷侧的有效净优势，采用强证据优先、同源去重、反证保留和冲突降置信。</x:v>
      </x:c>
      <x:c r="AA75" s="68" t="str">
        <x:v>正例：当“扶身侧与负荷侧都缺乏强证据”真实成立，且必要条件与增强条件同向时，按“两侧都弱时仍按相对净差裁定而不是自动中和”记录对应旺衰证据。</x:v>
      </x:c>
      <x:c r="AB75" s="90" t="str">
        <x:v>反例：只有表面条件，但出现“禁止“双方都弱=中和””或关键有效性未成立时，不得套用本规则。</x:v>
      </x:c>
      <x:c r="AC75" s="68" t="str">
        <x:v>https://zh.wikisource.org/wiki/%E6%B7%B5%E6%B5%B7%E5%AD%90%E5%B9%B3%E5%A4%A7%E5%85%A8 ; https://zh.wikisource.org/wiki/%E6%BB%B4%E5%A4%A9%E9%AB%93%E9%97%A1%E5%BE%AE</x:v>
      </x:c>
      <x:c r="AD75" s="82" t="str">
        <x:v>采用</x:v>
      </x:c>
      <x:c r="AE75" s="82" t="str">
        <x:v>初审</x:v>
      </x:c>
      <x:c r="AF75" s="87" t="n">
        <x:v>46255</x:v>
      </x:c>
    </x:row>
    <x:row r="76">
      <x:c r="A76" s="72" t="str">
        <x:f>IF(OR(C76="",D76=""),"",B76&amp;"-"&amp;UPPER(C76)&amp;"-"&amp;TEXT(D76,"0000")&amp;"-"&amp;E76)</x:f>
        <x:v>M09-SYN-0070-V1.0</x:v>
      </x:c>
      <x:c r="B76" s="74" t="str">
        <x:v>M09</x:v>
      </x:c>
      <x:c r="C76" s="74" t="str">
        <x:v>SYN</x:v>
      </x:c>
      <x:c r="D76" s="79" t="n">
        <x:v>70</x:v>
      </x:c>
      <x:c r="E76" s="74" t="str">
        <x:v>V1.0</x:v>
      </x:c>
      <x:c r="F76" s="68" t="str">
        <x:v>M08五行旺衰必须转换为相对日主角色后才能进入M09</x:v>
      </x:c>
      <x:c r="G76" s="82" t="str">
        <x:v>综合层</x:v>
      </x:c>
      <x:c r="H76" s="68" t="str">
        <x:v>综合比较</x:v>
      </x:c>
      <x:c r="I76" s="68" t="str">
        <x:v>边界</x:v>
      </x:c>
      <x:c r="J76" s="68" t="str">
        <x:v>读取木火土金水有效旺衰</x:v>
      </x:c>
      <x:c r="K76" s="68" t="str">
        <x:v>高</x:v>
      </x:c>
      <x:c r="L76" s="82" t="str">
        <x:v>决定性</x:v>
      </x:c>
      <x:c r="M76" s="68" t="str">
        <x:v>M08完成</x:v>
      </x:c>
      <x:c r="N76" s="68" t="str">
        <x:v>每个五行已映射为日主的比劫、印、食伤、财、官杀角色</x:v>
      </x:c>
      <x:c r="O76" s="68"/>
      <x:c r="P76" s="68"/>
      <x:c r="Q76" s="90" t="str">
        <x:v>禁止把某五行旺直接等同日主旺或弱</x:v>
      </x:c>
      <x:c r="R76" s="68" t="str">
        <x:v>十神细分转M10</x:v>
      </x:c>
      <x:c r="S76" s="68" t="str">
        <x:v>同一旺五行对不同日主可分别是扶身或负荷</x:v>
      </x:c>
      <x:c r="T76" s="82" t="str">
        <x:v>是</x:v>
      </x:c>
      <x:c r="U76" s="82" t="str">
        <x:v>中和</x:v>
      </x:c>
      <x:c r="V76" s="84" t="str">
        <x:v>五行角色转换</x:v>
      </x:c>
      <x:c r="W76" s="84" t="str">
        <x:v>M08的五行有效旺衰需先按日主映射为扶身或负荷角色，才能参与M09裁定。</x:v>
      </x:c>
      <x:c r="X76" s="82" t="str">
        <x:v>较高</x:v>
      </x:c>
      <x:c r="Y76" s="82" t="str">
        <x:v>现代综合</x:v>
      </x:c>
      <x:c r="Z76" s="68" t="str">
        <x:v>综合裁定比较扶身侧与负荷侧的有效净优势，采用强证据优先、同源去重、反证保留和冲突降置信。</x:v>
      </x:c>
      <x:c r="AA76" s="68" t="str">
        <x:v>正例：当“读取木火土金水有效旺衰”真实成立，且必要条件与增强条件同向时，按“M08五行旺衰必须转换为相对日主角色后才能进入M09”记录对应旺衰证据。</x:v>
      </x:c>
      <x:c r="AB76" s="90" t="str">
        <x:v>反例：只有表面条件，但出现“禁止把某五行旺直接等同日主旺或弱”或关键有效性未成立时，不得套用本规则。</x:v>
      </x:c>
      <x:c r="AC76" s="68" t="str">
        <x:v>https://zh.wikisource.org/wiki/%E6%B7%B5%E6%B5%B7%E5%AD%90%E5%B9%B3%E5%A4%A7%E5%85%A8 ; https://zh.wikisource.org/wiki/%E6%BB%B4%E5%A4%A9%E9%AB%93%E9%97%A1%E5%BE%AE</x:v>
      </x:c>
      <x:c r="AD76" s="82" t="str">
        <x:v>采用</x:v>
      </x:c>
      <x:c r="AE76" s="82" t="str">
        <x:v>初审</x:v>
      </x:c>
      <x:c r="AF76" s="87" t="n">
        <x:v>46255</x:v>
      </x:c>
    </x:row>
    <x:row r="77">
      <x:c r="A77" s="72" t="str">
        <x:f>IF(OR(C77="",D77=""),"",B77&amp;"-"&amp;UPPER(C77)&amp;"-"&amp;TEXT(D77,"0000")&amp;"-"&amp;E77)</x:f>
        <x:v>M09-SYN-0071-V1.0</x:v>
      </x:c>
      <x:c r="B77" s="74" t="str">
        <x:v>M09</x:v>
      </x:c>
      <x:c r="C77" s="74" t="str">
        <x:v>SYN</x:v>
      </x:c>
      <x:c r="D77" s="79" t="n">
        <x:v>71</x:v>
      </x:c>
      <x:c r="E77" s="74" t="str">
        <x:v>V1.0</x:v>
      </x:c>
      <x:c r="F77" s="68" t="str">
        <x:v>反向证据必须与主结论同时保存</x:v>
      </x:c>
      <x:c r="G77" s="82" t="str">
        <x:v>综合层</x:v>
      </x:c>
      <x:c r="H77" s="68" t="str">
        <x:v>综合比较</x:v>
      </x:c>
      <x:c r="I77" s="68" t="str">
        <x:v>治理</x:v>
      </x:c>
      <x:c r="J77" s="68" t="str">
        <x:v>形成任何七级旺衰结论</x:v>
      </x:c>
      <x:c r="K77" s="68" t="str">
        <x:v>高</x:v>
      </x:c>
      <x:c r="L77" s="82" t="str">
        <x:v>决定性</x:v>
      </x:c>
      <x:c r="M77" s="68" t="str">
        <x:v>M03/M08完成</x:v>
      </x:c>
      <x:c r="N77" s="68" t="str">
        <x:v>至少记录一条最强反向证据或明确无强反证</x:v>
      </x:c>
      <x:c r="O77" s="68" t="str">
        <x:v>主证据一致</x:v>
      </x:c>
      <x:c r="P77" s="68" t="str">
        <x:v>反证与主证据同强且未解决</x:v>
      </x:c>
      <x:c r="Q77" s="90" t="str">
        <x:v>禁止只列支持主结论的证据</x:v>
      </x:c>
      <x:c r="R77" s="68" t="str">
        <x:v>确无反证可注明</x:v>
      </x:c>
      <x:c r="S77" s="68" t="str">
        <x:v>反证越强，置信度越低或结论向中和收缩</x:v>
      </x:c>
      <x:c r="T77" s="82" t="str">
        <x:v>是</x:v>
      </x:c>
      <x:c r="U77" s="82" t="str">
        <x:v>中和</x:v>
      </x:c>
      <x:c r="V77" s="84" t="str">
        <x:v>反证保留</x:v>
      </x:c>
      <x:c r="W77" s="84" t="str">
        <x:v>日主旺衰结论必须同时列出最强支持证据与最强反向证据。</x:v>
      </x:c>
      <x:c r="X77" s="82" t="str">
        <x:v>较高</x:v>
      </x:c>
      <x:c r="Y77" s="82" t="str">
        <x:v>现代综合</x:v>
      </x:c>
      <x:c r="Z77" s="68" t="str">
        <x:v>综合裁定比较扶身侧与负荷侧的有效净优势，采用强证据优先、同源去重、反证保留和冲突降置信。</x:v>
      </x:c>
      <x:c r="AA77" s="68" t="str">
        <x:v>正例：当“形成任何七级旺衰结论”真实成立，且必要条件与增强条件同向时，按“反向证据必须与主结论同时保存”记录对应旺衰证据。</x:v>
      </x:c>
      <x:c r="AB77" s="90" t="str">
        <x:v>反例：只有表面条件，但出现“禁止只列支持主结论的证据”或关键有效性未成立时，不得套用本规则。</x:v>
      </x:c>
      <x:c r="AC77" s="68" t="str">
        <x:v>https://zh.wikisource.org/wiki/%E6%B7%B5%E6%B5%B7%E5%AD%90%E5%B9%B3%E5%A4%A7%E5%85%A8 ; https://zh.wikisource.org/wiki/%E6%BB%B4%E5%A4%A9%E9%AB%93%E9%97%A1%E5%BE%AE</x:v>
      </x:c>
      <x:c r="AD77" s="82" t="str">
        <x:v>采用</x:v>
      </x:c>
      <x:c r="AE77" s="82" t="str">
        <x:v>初审</x:v>
      </x:c>
      <x:c r="AF77" s="87" t="n">
        <x:v>46255</x:v>
      </x:c>
    </x:row>
    <x:row r="78">
      <x:c r="A78" s="72" t="str">
        <x:f>IF(OR(C78="",D78=""),"",B78&amp;"-"&amp;UPPER(C78)&amp;"-"&amp;TEXT(D78,"0000")&amp;"-"&amp;E78)</x:f>
        <x:v>M09-SYN-0072-V1.0</x:v>
      </x:c>
      <x:c r="B78" s="74" t="str">
        <x:v>M09</x:v>
      </x:c>
      <x:c r="C78" s="74" t="str">
        <x:v>SYN</x:v>
      </x:c>
      <x:c r="D78" s="79" t="n">
        <x:v>72</x:v>
      </x:c>
      <x:c r="E78" s="74" t="str">
        <x:v>V1.0</x:v>
      </x:c>
      <x:c r="F78" s="68" t="str">
        <x:v>证据冲突未被M08解决时先降低置信度而非强行定级</x:v>
      </x:c>
      <x:c r="G78" s="82" t="str">
        <x:v>综合层</x:v>
      </x:c>
      <x:c r="H78" s="68" t="str">
        <x:v>综合比较</x:v>
      </x:c>
      <x:c r="I78" s="68" t="str">
        <x:v>降低置信度</x:v>
      </x:c>
      <x:c r="J78" s="68" t="str">
        <x:v>关键根气、合化或作用效应仍存在争议</x:v>
      </x:c>
      <x:c r="K78" s="68" t="str">
        <x:v>高</x:v>
      </x:c>
      <x:c r="L78" s="82" t="str">
        <x:v>强</x:v>
      </x:c>
      <x:c r="M78" s="68" t="str">
        <x:v>M08/M21信息可用</x:v>
      </x:c>
      <x:c r="N78" s="68" t="str">
        <x:v>争议足以影响旺衰方向</x:v>
      </x:c>
      <x:c r="O78" s="68" t="str">
        <x:v>多数非争议证据同向</x:v>
      </x:c>
      <x:c r="P78" s="68" t="str">
        <x:v>争议对最终等级无实质影响</x:v>
      </x:c>
      <x:c r="Q78" s="90" t="str">
        <x:v>禁止以低置信争议规则压过多项稳定证据</x:v>
      </x:c>
      <x:c r="R78" s="68" t="str">
        <x:v>可给相邻双候选</x:v>
      </x:c>
      <x:c r="S78" s="68" t="str">
        <x:v>不确定性本身必须进入结果</x:v>
      </x:c>
      <x:c r="T78" s="82" t="str">
        <x:v>否</x:v>
      </x:c>
      <x:c r="U78" s="82" t="str">
        <x:v>中和</x:v>
      </x:c>
      <x:c r="V78" s="84" t="str">
        <x:v>冲突降置信</x:v>
      </x:c>
      <x:c r="W78" s="84" t="str">
        <x:v>关键证据存在未决争议时，输出相邻旺衰候选并降低置信度，不强行定级。</x:v>
      </x:c>
      <x:c r="X78" s="82" t="str">
        <x:v>较高</x:v>
      </x:c>
      <x:c r="Y78" s="82" t="str">
        <x:v>现代综合</x:v>
      </x:c>
      <x:c r="Z78" s="68" t="str">
        <x:v>综合裁定比较扶身侧与负荷侧的有效净优势，采用强证据优先、同源去重、反证保留和冲突降置信。</x:v>
      </x:c>
      <x:c r="AA78" s="68" t="str">
        <x:v>正例：当“关键根气、合化或作用效应仍存在争议”真实成立，且必要条件与增强条件同向时，按“证据冲突未被M08解决时先降低置信度而非强行定级”记录对应旺衰证据。</x:v>
      </x:c>
      <x:c r="AB78" s="90" t="str">
        <x:v>反例：只有表面条件，但出现“禁止以低置信争议规则压过多项稳定证据”或关键有效性未成立时，不得套用本规则。</x:v>
      </x:c>
      <x:c r="AC78" s="68" t="str">
        <x:v>https://zh.wikisource.org/wiki/%E6%B7%B5%E6%B5%B7%E5%AD%90%E5%B9%B3%E5%A4%A7%E5%85%A8 ; https://zh.wikisource.org/wiki/%E6%BB%B4%E5%A4%A9%E9%AB%93%E9%97%A1%E5%BE%AE</x:v>
      </x:c>
      <x:c r="AD78" s="82" t="str">
        <x:v>采用</x:v>
      </x:c>
      <x:c r="AE78" s="82" t="str">
        <x:v>初审</x:v>
      </x:c>
      <x:c r="AF78" s="87" t="n">
        <x:v>46255</x:v>
      </x:c>
    </x:row>
    <x:row r="79">
      <x:c r="A79" s="72" t="str">
        <x:f>IF(OR(C79="",D79=""),"",B79&amp;"-"&amp;UPPER(C79)&amp;"-"&amp;TEXT(D79,"0000")&amp;"-"&amp;E79)</x:f>
        <x:v>M09-GRADE-0073-V1.0</x:v>
      </x:c>
      <x:c r="B79" s="74" t="str">
        <x:v>M09</x:v>
      </x:c>
      <x:c r="C79" s="74" t="str">
        <x:v>GRADE</x:v>
      </x:c>
      <x:c r="D79" s="79" t="n">
        <x:v>73</x:v>
      </x:c>
      <x:c r="E79" s="74" t="str">
        <x:v>V1.0</x:v>
      </x:c>
      <x:c r="F79" s="68" t="str">
        <x:v>极弱要求扶身侧近乎失效且负荷侧形成单向主导</x:v>
      </x:c>
      <x:c r="G79" s="82" t="str">
        <x:v>综合层</x:v>
      </x:c>
      <x:c r="H79" s="68" t="str">
        <x:v>综合分级</x:v>
      </x:c>
      <x:c r="I79" s="68" t="str">
        <x:v>支持极弱</x:v>
      </x:c>
      <x:c r="J79" s="68" t="str">
        <x:v>失令/无有效根/印比弱，同时制泄耗至少一类强势且无强反证</x:v>
      </x:c>
      <x:c r="K79" s="68" t="str">
        <x:v>高</x:v>
      </x:c>
      <x:c r="L79" s="82" t="str">
        <x:v>决定性</x:v>
      </x:c>
      <x:c r="M79" s="68" t="str">
        <x:v>M03/M08完成</x:v>
      </x:c>
      <x:c r="N79" s="68" t="str">
        <x:v>扶身侧缺乏可持续承载</x:v>
      </x:c>
      <x:c r="O79" s="68" t="str">
        <x:v>多类负荷同向或一类决定性成势</x:v>
      </x:c>
      <x:c r="P79" s="68" t="str">
        <x:v>仍有强根、强印或有效比劫集团</x:v>
      </x:c>
      <x:c r="Q79" s="90" t="str">
        <x:v>禁止单凭无根或失令判极弱</x:v>
      </x:c>
      <x:c r="R79" s="68" t="str">
        <x:v>是否从格转M14</x:v>
      </x:c>
      <x:c r="S79" s="68" t="str">
        <x:v>有一处强扶身反证时通常应回到弱或中和偏弱</x:v>
      </x:c>
      <x:c r="T79" s="82" t="str">
        <x:v>是</x:v>
      </x:c>
      <x:c r="U79" s="82" t="str">
        <x:v>极弱</x:v>
      </x:c>
      <x:c r="V79" s="84" t="str">
        <x:v>七级极弱</x:v>
      </x:c>
      <x:c r="W79" s="84" t="str">
        <x:v>扶身侧近乎失效、负荷侧单向主导且无强反证，可判日主极弱；从格另审。</x:v>
      </x:c>
      <x:c r="X79" s="82" t="str">
        <x:v>较高</x:v>
      </x:c>
      <x:c r="Y79" s="82" t="str">
        <x:v>现代综合</x:v>
      </x:c>
      <x:c r="Z79" s="68" t="str">
        <x:v>七级分级依据双侧净优势和是否存在决定性证据；中和区看轻度偏向，极端等级要求多维同向且缺少强反证。</x:v>
      </x:c>
      <x:c r="AA79" s="68" t="str">
        <x:v>正例：当“失令/无有效根/印比弱，同时制泄耗至少一类强势且无强反证”真实成立，且必要条件与增强条件同向时，按“极弱要求扶身侧近乎失效且负荷侧形成单向主导”记录对应旺衰证据。</x:v>
      </x:c>
      <x:c r="AB79" s="90" t="str">
        <x:v>反例：只有表面条件，但出现“禁止单凭无根或失令判极弱”或关键有效性未成立时，不得套用本规则。</x:v>
      </x:c>
      <x:c r="AC79" s="68" t="str">
        <x:v>https://zh.wikisource.org/wiki/%E6%B7%B5%E6%B5%B7%E5%AD%90%E5%B9%B3%E5%A4%A7%E5%85%A8 ; https://zh.wikisource.org/wiki/%E6%BB%B4%E5%A4%A9%E9%AB%93%E9%97%A1%E5%BE%AE</x:v>
      </x:c>
      <x:c r="AD79" s="82" t="str">
        <x:v>采用</x:v>
      </x:c>
      <x:c r="AE79" s="82" t="str">
        <x:v>初审</x:v>
      </x:c>
      <x:c r="AF79" s="87" t="n">
        <x:v>46255</x:v>
      </x:c>
    </x:row>
    <x:row r="80">
      <x:c r="A80" s="72" t="str">
        <x:f>IF(OR(C80="",D80=""),"",B80&amp;"-"&amp;UPPER(C80)&amp;"-"&amp;TEXT(D80,"0000")&amp;"-"&amp;E80)</x:f>
        <x:v>M09-GRADE-0074-V1.0</x:v>
      </x:c>
      <x:c r="B80" s="74" t="str">
        <x:v>M09</x:v>
      </x:c>
      <x:c r="C80" s="74" t="str">
        <x:v>GRADE</x:v>
      </x:c>
      <x:c r="D80" s="79" t="n">
        <x:v>74</x:v>
      </x:c>
      <x:c r="E80" s="74" t="str">
        <x:v>V1.0</x:v>
      </x:c>
      <x:c r="F80" s="68" t="str">
        <x:v>弱表示负荷侧明显占优但日主仍有一定承载</x:v>
      </x:c>
      <x:c r="G80" s="82" t="str">
        <x:v>综合层</x:v>
      </x:c>
      <x:c r="H80" s="68" t="str">
        <x:v>综合分级</x:v>
      </x:c>
      <x:c r="I80" s="68" t="str">
        <x:v>支持偏弱</x:v>
      </x:c>
      <x:c r="J80" s="68" t="str">
        <x:v>负荷侧明显强于扶身侧，且日主仍有有效根/印比之一</x:v>
      </x:c>
      <x:c r="K80" s="68" t="str">
        <x:v>高</x:v>
      </x:c>
      <x:c r="L80" s="82" t="str">
        <x:v>强</x:v>
      </x:c>
      <x:c r="M80" s="68" t="str">
        <x:v>M03/M08完成</x:v>
      </x:c>
      <x:c r="N80" s="68" t="str">
        <x:v>净差明显向负荷侧</x:v>
      </x:c>
      <x:c r="O80" s="68" t="str">
        <x:v>失令、根弱、制泄耗连续</x:v>
      </x:c>
      <x:c r="P80" s="68" t="str">
        <x:v>扶身侧出现强根或强印比集团</x:v>
      </x:c>
      <x:c r="Q80" s="90" t="str">
        <x:v>禁止有承载即自动判中和</x:v>
      </x:c>
      <x:c r="R80" s="68"/>
      <x:c r="S80" s="68" t="str">
        <x:v>弱区别于极弱的关键是仍保留一定有效扶持</x:v>
      </x:c>
      <x:c r="T80" s="82" t="str">
        <x:v>是</x:v>
      </x:c>
      <x:c r="U80" s="82" t="str">
        <x:v>弱</x:v>
      </x:c>
      <x:c r="V80" s="84" t="str">
        <x:v>七级弱</x:v>
      </x:c>
      <x:c r="W80" s="84" t="str">
        <x:v>制泄耗明显占优，但日主仍保留一定有效承载，判为弱。</x:v>
      </x:c>
      <x:c r="X80" s="82" t="str">
        <x:v>较高</x:v>
      </x:c>
      <x:c r="Y80" s="82" t="str">
        <x:v>现代综合</x:v>
      </x:c>
      <x:c r="Z80" s="68" t="str">
        <x:v>七级分级依据双侧净优势和是否存在决定性证据；中和区看轻度偏向，极端等级要求多维同向且缺少强反证。</x:v>
      </x:c>
      <x:c r="AA80" s="68" t="str">
        <x:v>正例：当“负荷侧明显强于扶身侧，且日主仍有有效根/印比之一”真实成立，且必要条件与增强条件同向时，按“弱表示负荷侧明显占优但日主仍有一定承载”记录对应旺衰证据。</x:v>
      </x:c>
      <x:c r="AB80" s="90" t="str">
        <x:v>反例：只有表面条件，但出现“禁止有承载即自动判中和”或关键有效性未成立时，不得套用本规则。</x:v>
      </x:c>
      <x:c r="AC80" s="68" t="str">
        <x:v>https://zh.wikisource.org/wiki/%E6%B7%B5%E6%B5%B7%E5%AD%90%E5%B9%B3%E5%A4%A7%E5%85%A8 ; https://zh.wikisource.org/wiki/%E6%BB%B4%E5%A4%A9%E9%AB%93%E9%97%A1%E5%BE%AE</x:v>
      </x:c>
      <x:c r="AD80" s="82" t="str">
        <x:v>采用</x:v>
      </x:c>
      <x:c r="AE80" s="82" t="str">
        <x:v>初审</x:v>
      </x:c>
      <x:c r="AF80" s="87" t="n">
        <x:v>46255</x:v>
      </x:c>
    </x:row>
    <x:row r="81">
      <x:c r="A81" s="72" t="str">
        <x:f>IF(OR(C81="",D81=""),"",B81&amp;"-"&amp;UPPER(C81)&amp;"-"&amp;TEXT(D81,"0000")&amp;"-"&amp;E81)</x:f>
        <x:v>M09-GRADE-0075-V1.0</x:v>
      </x:c>
      <x:c r="B81" s="74" t="str">
        <x:v>M09</x:v>
      </x:c>
      <x:c r="C81" s="74" t="str">
        <x:v>GRADE</x:v>
      </x:c>
      <x:c r="D81" s="79" t="n">
        <x:v>75</x:v>
      </x:c>
      <x:c r="E81" s="74" t="str">
        <x:v>V1.0</x:v>
      </x:c>
      <x:c r="F81" s="68" t="str">
        <x:v>中和偏弱表示负荷侧轻度占优且无决定性差距</x:v>
      </x:c>
      <x:c r="G81" s="82" t="str">
        <x:v>综合层</x:v>
      </x:c>
      <x:c r="H81" s="68" t="str">
        <x:v>综合分级</x:v>
      </x:c>
      <x:c r="I81" s="68" t="str">
        <x:v>轻度支持偏弱</x:v>
      </x:c>
      <x:c r="J81" s="68" t="str">
        <x:v>负荷侧略强于扶身侧，但两边都有有效证据</x:v>
      </x:c>
      <x:c r="K81" s="68" t="str">
        <x:v>高</x:v>
      </x:c>
      <x:c r="L81" s="82" t="str">
        <x:v>中</x:v>
      </x:c>
      <x:c r="M81" s="68" t="str">
        <x:v>M03/M08完成</x:v>
      </x:c>
      <x:c r="N81" s="68" t="str">
        <x:v>净优势存在但不大</x:v>
      </x:c>
      <x:c r="O81" s="68" t="str">
        <x:v>失令或单项强负荷</x:v>
      </x:c>
      <x:c r="P81" s="68" t="str">
        <x:v>扶身侧多根或强印比</x:v>
      </x:c>
      <x:c r="Q81" s="90" t="str">
        <x:v>禁止因一项失令直接降为弱</x:v>
      </x:c>
      <x:c r="R81" s="68"/>
      <x:c r="S81" s="68" t="str">
        <x:v>若去掉一项中等证据即可回到中和，通常属于偏弱而非弱</x:v>
      </x:c>
      <x:c r="T81" s="82" t="str">
        <x:v>是</x:v>
      </x:c>
      <x:c r="U81" s="82" t="str">
        <x:v>中和偏弱</x:v>
      </x:c>
      <x:c r="V81" s="84" t="str">
        <x:v>七级中和偏弱</x:v>
      </x:c>
      <x:c r="W81" s="84" t="str">
        <x:v>日主扶身与负荷总体接近，但负荷侧略占优势，判中和偏弱。</x:v>
      </x:c>
      <x:c r="X81" s="82" t="str">
        <x:v>较高</x:v>
      </x:c>
      <x:c r="Y81" s="82" t="str">
        <x:v>现代综合</x:v>
      </x:c>
      <x:c r="Z81" s="68" t="str">
        <x:v>七级分级依据双侧净优势和是否存在决定性证据；中和区看轻度偏向，极端等级要求多维同向且缺少强反证。</x:v>
      </x:c>
      <x:c r="AA81" s="68" t="str">
        <x:v>正例：当“负荷侧略强于扶身侧，但两边都有有效证据”真实成立，且必要条件与增强条件同向时，按“中和偏弱表示负荷侧轻度占优且无决定性差距”记录对应旺衰证据。</x:v>
      </x:c>
      <x:c r="AB81" s="90" t="str">
        <x:v>反例：只有表面条件，但出现“禁止因一项失令直接降为弱”或关键有效性未成立时，不得套用本规则。</x:v>
      </x:c>
      <x:c r="AC81" s="68" t="str">
        <x:v>https://zh.wikisource.org/wiki/%E6%B7%B5%E6%B5%B7%E5%AD%90%E5%B9%B3%E5%A4%A7%E5%85%A8 ; https://zh.wikisource.org/wiki/%E6%BB%B4%E5%A4%A9%E9%AB%93%E9%97%A1%E5%BE%AE</x:v>
      </x:c>
      <x:c r="AD81" s="82" t="str">
        <x:v>采用</x:v>
      </x:c>
      <x:c r="AE81" s="82" t="str">
        <x:v>初审</x:v>
      </x:c>
      <x:c r="AF81" s="87" t="n">
        <x:v>46255</x:v>
      </x:c>
    </x:row>
    <x:row r="82">
      <x:c r="A82" s="72" t="str">
        <x:f>IF(OR(C82="",D82=""),"",B82&amp;"-"&amp;UPPER(C82)&amp;"-"&amp;TEXT(D82,"0000")&amp;"-"&amp;E82)</x:f>
        <x:v>M09-GRADE-0076-V1.0</x:v>
      </x:c>
      <x:c r="B82" s="74" t="str">
        <x:v>M09</x:v>
      </x:c>
      <x:c r="C82" s="74" t="str">
        <x:v>GRADE</x:v>
      </x:c>
      <x:c r="D82" s="79" t="n">
        <x:v>76</x:v>
      </x:c>
      <x:c r="E82" s="74" t="str">
        <x:v>V1.0</x:v>
      </x:c>
      <x:c r="F82" s="68" t="str">
        <x:v>中和要求两侧有效力量大体相抵且无一方形成主导</x:v>
      </x:c>
      <x:c r="G82" s="82" t="str">
        <x:v>综合层</x:v>
      </x:c>
      <x:c r="H82" s="68" t="str">
        <x:v>综合分级</x:v>
      </x:c>
      <x:c r="I82" s="68" t="str">
        <x:v>中和</x:v>
      </x:c>
      <x:c r="J82" s="68" t="str">
        <x:v>扶身侧与负荷侧净差小，且均不存在未被抵消的决定性优势</x:v>
      </x:c>
      <x:c r="K82" s="68" t="str">
        <x:v>高</x:v>
      </x:c>
      <x:c r="L82" s="82" t="str">
        <x:v>强</x:v>
      </x:c>
      <x:c r="M82" s="68" t="str">
        <x:v>M03/M08完成</x:v>
      </x:c>
      <x:c r="N82" s="68" t="str">
        <x:v>两侧证据可比较</x:v>
      </x:c>
      <x:c r="O82" s="68" t="str">
        <x:v>多维证据相互制衡</x:v>
      </x:c>
      <x:c r="P82" s="68" t="str">
        <x:v>一侧出现决定性成势</x:v>
      </x:c>
      <x:c r="Q82" s="90" t="str">
        <x:v>禁止把中和理解为五行数量相等</x:v>
      </x:c>
      <x:c r="R82" s="68"/>
      <x:c r="S82" s="68" t="str">
        <x:v>中和是相对平衡，不要求绝对均等</x:v>
      </x:c>
      <x:c r="T82" s="82" t="str">
        <x:v>是</x:v>
      </x:c>
      <x:c r="U82" s="82" t="str">
        <x:v>中和</x:v>
      </x:c>
      <x:c r="V82" s="84" t="str">
        <x:v>七级中和</x:v>
      </x:c>
      <x:c r="W82" s="84" t="str">
        <x:v>扶身与制泄耗两侧有效力量大体相抵、无明显主导，判为中和。</x:v>
      </x:c>
      <x:c r="X82" s="82" t="str">
        <x:v>较高</x:v>
      </x:c>
      <x:c r="Y82" s="82" t="str">
        <x:v>现代综合</x:v>
      </x:c>
      <x:c r="Z82" s="68" t="str">
        <x:v>七级分级依据双侧净优势和是否存在决定性证据；中和区看轻度偏向，极端等级要求多维同向且缺少强反证。</x:v>
      </x:c>
      <x:c r="AA82" s="68" t="str">
        <x:v>正例：当“扶身侧与负荷侧净差小，且均不存在未被抵消的决定性优势”真实成立，且必要条件与增强条件同向时，按“中和要求两侧有效力量大体相抵且无一方形成主导”记录对应旺衰证据。</x:v>
      </x:c>
      <x:c r="AB82" s="90" t="str">
        <x:v>反例：只有表面条件，但出现“禁止把中和理解为五行数量相等”或关键有效性未成立时，不得套用本规则。</x:v>
      </x:c>
      <x:c r="AC82" s="68" t="str">
        <x:v>https://zh.wikisource.org/wiki/%E6%B7%B5%E6%B5%B7%E5%AD%90%E5%B9%B3%E5%A4%A7%E5%85%A8 ; https://zh.wikisource.org/wiki/%E6%BB%B4%E5%A4%A9%E9%AB%93%E9%97%A1%E5%BE%AE</x:v>
      </x:c>
      <x:c r="AD82" s="82" t="str">
        <x:v>采用</x:v>
      </x:c>
      <x:c r="AE82" s="82" t="str">
        <x:v>初审</x:v>
      </x:c>
      <x:c r="AF82" s="87" t="n">
        <x:v>46255</x:v>
      </x:c>
    </x:row>
    <x:row r="83">
      <x:c r="A83" s="72" t="str">
        <x:f>IF(OR(C83="",D83=""),"",B83&amp;"-"&amp;UPPER(C83)&amp;"-"&amp;TEXT(D83,"0000")&amp;"-"&amp;E83)</x:f>
        <x:v>M09-GRADE-0077-V1.0</x:v>
      </x:c>
      <x:c r="B83" s="74" t="str">
        <x:v>M09</x:v>
      </x:c>
      <x:c r="C83" s="74" t="str">
        <x:v>GRADE</x:v>
      </x:c>
      <x:c r="D83" s="79" t="n">
        <x:v>77</x:v>
      </x:c>
      <x:c r="E83" s="74" t="str">
        <x:v>V1.0</x:v>
      </x:c>
      <x:c r="F83" s="68" t="str">
        <x:v>中和偏旺表示扶身侧轻度占优且无决定性差距</x:v>
      </x:c>
      <x:c r="G83" s="82" t="str">
        <x:v>综合层</x:v>
      </x:c>
      <x:c r="H83" s="68" t="str">
        <x:v>综合分级</x:v>
      </x:c>
      <x:c r="I83" s="68" t="str">
        <x:v>轻度支持偏旺</x:v>
      </x:c>
      <x:c r="J83" s="68" t="str">
        <x:v>扶身侧略强于负荷侧，但两边都有有效证据</x:v>
      </x:c>
      <x:c r="K83" s="68" t="str">
        <x:v>高</x:v>
      </x:c>
      <x:c r="L83" s="82" t="str">
        <x:v>中</x:v>
      </x:c>
      <x:c r="M83" s="68" t="str">
        <x:v>M03/M08完成</x:v>
      </x:c>
      <x:c r="N83" s="68" t="str">
        <x:v>净优势存在但不大</x:v>
      </x:c>
      <x:c r="O83" s="68" t="str">
        <x:v>得令、多根或印比有效</x:v>
      </x:c>
      <x:c r="P83" s="68" t="str">
        <x:v>官杀食伤财一侧出现强集团</x:v>
      </x:c>
      <x:c r="Q83" s="90" t="str">
        <x:v>禁止得令即直接判偏旺</x:v>
      </x:c>
      <x:c r="R83" s="68"/>
      <x:c r="S83" s="68" t="str">
        <x:v>若去掉一项中等扶身证据即可回到中和，通常属于偏旺而非旺</x:v>
      </x:c>
      <x:c r="T83" s="82" t="str">
        <x:v>是</x:v>
      </x:c>
      <x:c r="U83" s="82" t="str">
        <x:v>中和偏旺</x:v>
      </x:c>
      <x:c r="V83" s="84" t="str">
        <x:v>七级中和偏旺</x:v>
      </x:c>
      <x:c r="W83" s="84" t="str">
        <x:v>日主扶身与负荷总体接近，但扶身侧略占优势，判中和偏旺。</x:v>
      </x:c>
      <x:c r="X83" s="82" t="str">
        <x:v>较高</x:v>
      </x:c>
      <x:c r="Y83" s="82" t="str">
        <x:v>现代综合</x:v>
      </x:c>
      <x:c r="Z83" s="68" t="str">
        <x:v>七级分级依据双侧净优势和是否存在决定性证据；中和区看轻度偏向，极端等级要求多维同向且缺少强反证。</x:v>
      </x:c>
      <x:c r="AA83" s="68" t="str">
        <x:v>正例：当“扶身侧略强于负荷侧，但两边都有有效证据”真实成立，且必要条件与增强条件同向时，按“中和偏旺表示扶身侧轻度占优且无决定性差距”记录对应旺衰证据。</x:v>
      </x:c>
      <x:c r="AB83" s="90" t="str">
        <x:v>反例：只有表面条件，但出现“禁止得令即直接判偏旺”或关键有效性未成立时，不得套用本规则。</x:v>
      </x:c>
      <x:c r="AC83" s="68" t="str">
        <x:v>https://zh.wikisource.org/wiki/%E6%B7%B5%E6%B5%B7%E5%AD%90%E5%B9%B3%E5%A4%A7%E5%85%A8 ; https://zh.wikisource.org/wiki/%E6%BB%B4%E5%A4%A9%E9%AB%93%E9%97%A1%E5%BE%AE</x:v>
      </x:c>
      <x:c r="AD83" s="82" t="str">
        <x:v>采用</x:v>
      </x:c>
      <x:c r="AE83" s="82" t="str">
        <x:v>初审</x:v>
      </x:c>
      <x:c r="AF83" s="87" t="n">
        <x:v>46255</x:v>
      </x:c>
    </x:row>
    <x:row r="84">
      <x:c r="A84" s="72" t="str">
        <x:f>IF(OR(C84="",D84=""),"",B84&amp;"-"&amp;UPPER(C84)&amp;"-"&amp;TEXT(D84,"0000")&amp;"-"&amp;E84)</x:f>
        <x:v>M09-GRADE-0078-V1.0</x:v>
      </x:c>
      <x:c r="B84" s="74" t="str">
        <x:v>M09</x:v>
      </x:c>
      <x:c r="C84" s="74" t="str">
        <x:v>GRADE</x:v>
      </x:c>
      <x:c r="D84" s="79" t="n">
        <x:v>78</x:v>
      </x:c>
      <x:c r="E84" s="74" t="str">
        <x:v>V1.0</x:v>
      </x:c>
      <x:c r="F84" s="68" t="str">
        <x:v>旺要求扶身侧明显占优且日主具有稳定承载</x:v>
      </x:c>
      <x:c r="G84" s="82" t="str">
        <x:v>综合层</x:v>
      </x:c>
      <x:c r="H84" s="68" t="str">
        <x:v>综合分级</x:v>
      </x:c>
      <x:c r="I84" s="68" t="str">
        <x:v>支持偏旺</x:v>
      </x:c>
      <x:c r="J84" s="68" t="str">
        <x:v>有效根、印比与季令等多项扶身证据明显强于负荷侧</x:v>
      </x:c>
      <x:c r="K84" s="68" t="str">
        <x:v>高</x:v>
      </x:c>
      <x:c r="L84" s="82" t="str">
        <x:v>强</x:v>
      </x:c>
      <x:c r="M84" s="68" t="str">
        <x:v>M03/M08完成</x:v>
      </x:c>
      <x:c r="N84" s="68" t="str">
        <x:v>至少有稳定根气或等价承载</x:v>
      </x:c>
      <x:c r="O84" s="68" t="str">
        <x:v>得令、多根、印比成势</x:v>
      </x:c>
      <x:c r="P84" s="68" t="str">
        <x:v>负荷侧出现决定性强压</x:v>
      </x:c>
      <x:c r="Q84" s="90" t="str">
        <x:v>禁止一项强证据单独判旺</x:v>
      </x:c>
      <x:c r="R84" s="68" t="str">
        <x:v>特殊格局转M14</x:v>
      </x:c>
      <x:c r="S84" s="68" t="str">
        <x:v>旺区别于极旺在于仍存在有意义的负荷或制衡</x:v>
      </x:c>
      <x:c r="T84" s="82" t="str">
        <x:v>是</x:v>
      </x:c>
      <x:c r="U84" s="82" t="str">
        <x:v>旺</x:v>
      </x:c>
      <x:c r="V84" s="84" t="str">
        <x:v>七级旺</x:v>
      </x:c>
      <x:c r="W84" s="84" t="str">
        <x:v>扶身侧明显占优且承载稳定，判日主旺。</x:v>
      </x:c>
      <x:c r="X84" s="82" t="str">
        <x:v>较高</x:v>
      </x:c>
      <x:c r="Y84" s="82" t="str">
        <x:v>现代综合</x:v>
      </x:c>
      <x:c r="Z84" s="68" t="str">
        <x:v>七级分级依据双侧净优势和是否存在决定性证据；中和区看轻度偏向，极端等级要求多维同向且缺少强反证。</x:v>
      </x:c>
      <x:c r="AA84" s="68" t="str">
        <x:v>正例：当“有效根、印比与季令等多项扶身证据明显强于负荷侧”真实成立，且必要条件与增强条件同向时，按“旺要求扶身侧明显占优且日主具有稳定承载”记录对应旺衰证据。</x:v>
      </x:c>
      <x:c r="AB84" s="90" t="str">
        <x:v>反例：只有表面条件，但出现“禁止一项强证据单独判旺”或关键有效性未成立时，不得套用本规则。</x:v>
      </x:c>
      <x:c r="AC84" s="68" t="str">
        <x:v>https://zh.wikisource.org/wiki/%E6%B7%B5%E6%B5%B7%E5%AD%90%E5%B9%B3%E5%A4%A7%E5%85%A8 ; https://zh.wikisource.org/wiki/%E6%BB%B4%E5%A4%A9%E9%AB%93%E9%97%A1%E5%BE%AE</x:v>
      </x:c>
      <x:c r="AD84" s="82" t="str">
        <x:v>采用</x:v>
      </x:c>
      <x:c r="AE84" s="82" t="str">
        <x:v>初审</x:v>
      </x:c>
      <x:c r="AF84" s="87" t="n">
        <x:v>46255</x:v>
      </x:c>
    </x:row>
    <x:row r="85">
      <x:c r="A85" s="72" t="str">
        <x:f>IF(OR(C85="",D85=""),"",B85&amp;"-"&amp;UPPER(C85)&amp;"-"&amp;TEXT(D85,"0000")&amp;"-"&amp;E85)</x:f>
        <x:v>M09-GRADE-0079-V1.0</x:v>
      </x:c>
      <x:c r="B85" s="74" t="str">
        <x:v>M09</x:v>
      </x:c>
      <x:c r="C85" s="74" t="str">
        <x:v>GRADE</x:v>
      </x:c>
      <x:c r="D85" s="79" t="n">
        <x:v>79</x:v>
      </x:c>
      <x:c r="E85" s="74" t="str">
        <x:v>V1.0</x:v>
      </x:c>
      <x:c r="F85" s="68" t="str">
        <x:v>极旺要求扶身侧高度集中且负荷侧缺乏有效制衡</x:v>
      </x:c>
      <x:c r="G85" s="82" t="str">
        <x:v>综合层</x:v>
      </x:c>
      <x:c r="H85" s="68" t="str">
        <x:v>综合分级</x:v>
      </x:c>
      <x:c r="I85" s="68" t="str">
        <x:v>支持极旺</x:v>
      </x:c>
      <x:c r="J85" s="68" t="str">
        <x:v>得令或强季令、多重强根、印比成势且制泄耗普遍弱或失效</x:v>
      </x:c>
      <x:c r="K85" s="68" t="str">
        <x:v>高</x:v>
      </x:c>
      <x:c r="L85" s="82" t="str">
        <x:v>决定性</x:v>
      </x:c>
      <x:c r="M85" s="68" t="str">
        <x:v>M03/M08完成</x:v>
      </x:c>
      <x:c r="N85" s="68" t="str">
        <x:v>多维扶身强证据同向</x:v>
      </x:c>
      <x:c r="O85" s="68" t="str">
        <x:v>全局气势高度集中于日主一侧</x:v>
      </x:c>
      <x:c r="P85" s="68" t="str">
        <x:v>存在强官杀/食伤/财有效制衡</x:v>
      </x:c>
      <x:c r="Q85" s="90" t="str">
        <x:v>禁止仅因印比多判极旺</x:v>
      </x:c>
      <x:c r="R85" s="68" t="str">
        <x:v>专旺从旺候选转M14</x:v>
      </x:c>
      <x:c r="S85" s="68" t="str">
        <x:v>出现一项强制衡时通常回落至旺</x:v>
      </x:c>
      <x:c r="T85" s="82" t="str">
        <x:v>是</x:v>
      </x:c>
      <x:c r="U85" s="82" t="str">
        <x:v>极旺</x:v>
      </x:c>
      <x:c r="V85" s="84" t="str">
        <x:v>七级极旺</x:v>
      </x:c>
      <x:c r="W85" s="84" t="str">
        <x:v>扶身侧高度集中、负荷侧缺乏有效制衡，可判日主极旺；特殊格局另审。</x:v>
      </x:c>
      <x:c r="X85" s="82" t="str">
        <x:v>较高</x:v>
      </x:c>
      <x:c r="Y85" s="82" t="str">
        <x:v>现代综合</x:v>
      </x:c>
      <x:c r="Z85" s="68" t="str">
        <x:v>七级分级依据双侧净优势和是否存在决定性证据；中和区看轻度偏向，极端等级要求多维同向且缺少强反证。</x:v>
      </x:c>
      <x:c r="AA85" s="68" t="str">
        <x:v>正例：当“得令或强季令、多重强根、印比成势且制泄耗普遍弱或失效”真实成立，且必要条件与增强条件同向时，按“极旺要求扶身侧高度集中且负荷侧缺乏有效制衡”记录对应旺衰证据。</x:v>
      </x:c>
      <x:c r="AB85" s="90" t="str">
        <x:v>反例：只有表面条件，但出现“禁止仅因印比多判极旺”或关键有效性未成立时，不得套用本规则。</x:v>
      </x:c>
      <x:c r="AC85" s="68" t="str">
        <x:v>https://zh.wikisource.org/wiki/%E6%B7%B5%E6%B5%B7%E5%AD%90%E5%B9%B3%E5%A4%A7%E5%85%A8 ; https://zh.wikisource.org/wiki/%E6%BB%B4%E5%A4%A9%E9%AB%93%E9%97%A1%E5%BE%AE</x:v>
      </x:c>
      <x:c r="AD85" s="82" t="str">
        <x:v>采用</x:v>
      </x:c>
      <x:c r="AE85" s="82" t="str">
        <x:v>初审</x:v>
      </x:c>
      <x:c r="AF85" s="87" t="n">
        <x:v>46255</x:v>
      </x:c>
    </x:row>
    <x:row r="86">
      <x:c r="A86" s="72" t="str">
        <x:f>IF(OR(C86="",D86=""),"",B86&amp;"-"&amp;UPPER(C86)&amp;"-"&amp;TEXT(D86,"0000")&amp;"-"&amp;E86)</x:f>
        <x:v>M09-GRADE-0080-V1.0</x:v>
      </x:c>
      <x:c r="B86" s="74" t="str">
        <x:v>M09</x:v>
      </x:c>
      <x:c r="C86" s="74" t="str">
        <x:v>GRADE</x:v>
      </x:c>
      <x:c r="D86" s="79" t="n">
        <x:v>80</x:v>
      </x:c>
      <x:c r="E86" s="74" t="str">
        <x:v>V1.0</x:v>
      </x:c>
      <x:c r="F86" s="68" t="str">
        <x:v>相邻等级边界应优先给主级加次级候选而非跨两级跳判</x:v>
      </x:c>
      <x:c r="G86" s="82" t="str">
        <x:v>综合层</x:v>
      </x:c>
      <x:c r="H86" s="68" t="str">
        <x:v>综合分级</x:v>
      </x:c>
      <x:c r="I86" s="68" t="str">
        <x:v>治理</x:v>
      </x:c>
      <x:c r="J86" s="68" t="str">
        <x:v>关键证据只产生轻微净差或存在中等反证</x:v>
      </x:c>
      <x:c r="K86" s="68" t="str">
        <x:v>中高</x:v>
      </x:c>
      <x:c r="L86" s="82" t="str">
        <x:v>中</x:v>
      </x:c>
      <x:c r="M86" s="68" t="str">
        <x:v>M03/M08完成</x:v>
      </x:c>
      <x:c r="N86" s="68" t="str">
        <x:v>主级与相邻级均有合理证据</x:v>
      </x:c>
      <x:c r="O86" s="68" t="str">
        <x:v>后续案例验证支持</x:v>
      </x:c>
      <x:c r="P86" s="68" t="str">
        <x:v>出现决定性新增证据</x:v>
      </x:c>
      <x:c r="Q86" s="90" t="str">
        <x:v>禁止无充分理由从中和直接跳至极旺/极弱</x:v>
      </x:c>
      <x:c r="R86" s="68" t="str">
        <x:v>可给“中和偏弱（接近弱）”等内部标签</x:v>
      </x:c>
      <x:c r="S86" s="68" t="str">
        <x:v>边界输出有助于后续M20回归</x:v>
      </x:c>
      <x:c r="T86" s="82" t="str">
        <x:v>是</x:v>
      </x:c>
      <x:c r="U86" s="82" t="str">
        <x:v>中和</x:v>
      </x:c>
      <x:c r="V86" s="84" t="str">
        <x:v>等级边界</x:v>
      </x:c>
      <x:c r="W86" s="84" t="str">
        <x:v>证据处于边界时优先保留相邻候选，并说明偏向与反证，不做无依据的大幅跳级。</x:v>
      </x:c>
      <x:c r="X86" s="82" t="str">
        <x:v>较高</x:v>
      </x:c>
      <x:c r="Y86" s="82" t="str">
        <x:v>现代综合</x:v>
      </x:c>
      <x:c r="Z86" s="68" t="str">
        <x:v>七级分级依据双侧净优势和是否存在决定性证据；中和区看轻度偏向，极端等级要求多维同向且缺少强反证。</x:v>
      </x:c>
      <x:c r="AA86" s="68" t="str">
        <x:v>正例：当“关键证据只产生轻微净差或存在中等反证”真实成立，且必要条件与增强条件同向时，按“相邻等级边界应优先给主级加次级候选而非跨两级跳判”记录对应旺衰证据。</x:v>
      </x:c>
      <x:c r="AB86" s="90" t="str">
        <x:v>反例：只有表面条件，但出现“禁止无充分理由从中和直接跳至极旺/极弱”或关键有效性未成立时，不得套用本规则。</x:v>
      </x:c>
      <x:c r="AC86" s="68" t="str">
        <x:v>https://zh.wikisource.org/wiki/%E6%B7%B5%E6%B5%B7%E5%AD%90%E5%B9%B3%E5%A4%A7%E5%85%A8 ; https://zh.wikisource.org/wiki/%E6%BB%B4%E5%A4%A9%E9%AB%93%E9%97%A1%E5%BE%AE</x:v>
      </x:c>
      <x:c r="AD86" s="82" t="str">
        <x:v>采用</x:v>
      </x:c>
      <x:c r="AE86" s="82" t="str">
        <x:v>初审</x:v>
      </x:c>
      <x:c r="AF86" s="87" t="n">
        <x:v>46255</x:v>
      </x:c>
    </x:row>
    <x:row r="87">
      <x:c r="A87" s="72" t="str">
        <x:f>IF(OR(C87="",D87=""),"",B87&amp;"-"&amp;UPPER(C87)&amp;"-"&amp;TEXT(D87,"0000")&amp;"-"&amp;E87)</x:f>
        <x:v>M09-BOUND-0081-V1.0</x:v>
      </x:c>
      <x:c r="B87" s="74" t="str">
        <x:v>M09</x:v>
      </x:c>
      <x:c r="C87" s="74" t="str">
        <x:v>BOUND</x:v>
      </x:c>
      <x:c r="D87" s="79" t="n">
        <x:v>81</x:v>
      </x:c>
      <x:c r="E87" s="74" t="str">
        <x:v>V1.0</x:v>
      </x:c>
      <x:c r="F87" s="68" t="str">
        <x:v>M09禁止固定分值总和代替旺衰裁定</x:v>
      </x:c>
      <x:c r="G87" s="82" t="str">
        <x:v>综合层</x:v>
      </x:c>
      <x:c r="H87" s="68" t="str">
        <x:v>判断边界</x:v>
      </x:c>
      <x:c r="I87" s="68" t="str">
        <x:v>治理</x:v>
      </x:c>
      <x:c r="J87" s="68" t="str">
        <x:v>任何日主旺衰综合</x:v>
      </x:c>
      <x:c r="K87" s="68" t="str">
        <x:v>高</x:v>
      </x:c>
      <x:c r="L87" s="82" t="str">
        <x:v>决定性</x:v>
      </x:c>
      <x:c r="M87" s="68" t="str">
        <x:v>M03/M08完成</x:v>
      </x:c>
      <x:c r="N87" s="68" t="str">
        <x:v>证据采用等级与方向而非机械总分</x:v>
      </x:c>
      <x:c r="O87" s="68" t="str">
        <x:v>可用内部参考权重辅助排序</x:v>
      </x:c>
      <x:c r="P87" s="68"/>
      <x:c r="Q87" s="90" t="str">
        <x:v>禁止用固定百分比或简单加减分输出最终等级</x:v>
      </x:c>
      <x:c r="R87" s="68" t="str">
        <x:v>可在M20测试中保存辅助评分但不得覆盖规则结论</x:v>
      </x:c>
      <x:c r="S87" s="68" t="str">
        <x:v>相同分数可能由完全不同的结构产生</x:v>
      </x:c>
      <x:c r="T87" s="82" t="str">
        <x:v>是</x:v>
      </x:c>
      <x:c r="U87" s="82" t="str">
        <x:v>中和</x:v>
      </x:c>
      <x:c r="V87" s="84" t="str">
        <x:v>非机械计分</x:v>
      </x:c>
      <x:c r="W87" s="84" t="str">
        <x:v>参考权重只帮助组织证据，最终七级旺衰必须由结构与有效力量裁定。</x:v>
      </x:c>
      <x:c r="X87" s="82" t="str">
        <x:v>较高</x:v>
      </x:c>
      <x:c r="Y87" s="82" t="str">
        <x:v>现代综合</x:v>
      </x:c>
      <x:c r="Z87" s="68" t="str">
        <x:v>该规则属于M09治理边界，用于防止机械计分、数量投票、越级定喜忌/格局及静动态混用。</x:v>
      </x:c>
      <x:c r="AA87" s="68" t="str">
        <x:v>正例：当“任何日主旺衰综合”真实成立，且必要条件与增强条件同向时，按“M09禁止固定分值总和代替旺衰裁定”记录对应旺衰证据。</x:v>
      </x:c>
      <x:c r="AB87" s="90" t="str">
        <x:v>反例：只有表面条件，但出现“禁止用固定百分比或简单加减分输出最终等级”或关键有效性未成立时，不得套用本规则。</x:v>
      </x:c>
      <x:c r="AC87" s="68" t="str">
        <x:v>https://zh.wikisource.org/wiki/%E6%B7%B5%E6%B5%B7%E5%AD%90%E5%B9%B3%E5%A4%A7%E5%85%A8 ; https://zh.wikisource.org/wiki/%E6%BB%B4%E5%A4%A9%E9%AB%93%E9%97%A1%E5%BE%AE</x:v>
      </x:c>
      <x:c r="AD87" s="82" t="str">
        <x:v>采用</x:v>
      </x:c>
      <x:c r="AE87" s="82" t="str">
        <x:v>初审</x:v>
      </x:c>
      <x:c r="AF87" s="87" t="n">
        <x:v>46255</x:v>
      </x:c>
    </x:row>
    <x:row r="88">
      <x:c r="A88" s="72" t="str">
        <x:f>IF(OR(C88="",D88=""),"",B88&amp;"-"&amp;UPPER(C88)&amp;"-"&amp;TEXT(D88,"0000")&amp;"-"&amp;E88)</x:f>
        <x:v>M09-BOUND-0082-V1.0</x:v>
      </x:c>
      <x:c r="B88" s="74" t="str">
        <x:v>M09</x:v>
      </x:c>
      <x:c r="C88" s="74" t="str">
        <x:v>BOUND</x:v>
      </x:c>
      <x:c r="D88" s="79" t="n">
        <x:v>82</x:v>
      </x:c>
      <x:c r="E88" s="74" t="str">
        <x:v>V1.0</x:v>
      </x:c>
      <x:c r="F88" s="68" t="str">
        <x:v>M09禁止按五行或十神数量投票决定身强身弱</x:v>
      </x:c>
      <x:c r="G88" s="82" t="str">
        <x:v>综合层</x:v>
      </x:c>
      <x:c r="H88" s="68" t="str">
        <x:v>判断边界</x:v>
      </x:c>
      <x:c r="I88" s="68" t="str">
        <x:v>治理</x:v>
      </x:c>
      <x:c r="J88" s="68" t="str">
        <x:v>任何日主旺衰综合</x:v>
      </x:c>
      <x:c r="K88" s="68" t="str">
        <x:v>高</x:v>
      </x:c>
      <x:c r="L88" s="82" t="str">
        <x:v>决定性</x:v>
      </x:c>
      <x:c r="M88" s="68" t="str">
        <x:v>M08完成</x:v>
      </x:c>
      <x:c r="N88" s="68" t="str">
        <x:v>所有节点先看有效质量</x:v>
      </x:c>
      <x:c r="O88" s="68"/>
      <x:c r="P88" s="68"/>
      <x:c r="Q88" s="90" t="str">
        <x:v>禁止“印比多所以旺”“财官食伤多所以弱”</x:v>
      </x:c>
      <x:c r="R88" s="68" t="str">
        <x:v>数量可作低层提示</x:v>
      </x:c>
      <x:c r="S88" s="68" t="str">
        <x:v>数量必须经过得令、根气、透达和作用通路修正</x:v>
      </x:c>
      <x:c r="T88" s="82" t="str">
        <x:v>是</x:v>
      </x:c>
      <x:c r="U88" s="82" t="str">
        <x:v>中和</x:v>
      </x:c>
      <x:c r="V88" s="84" t="str">
        <x:v>数量非结论</x:v>
      </x:c>
      <x:c r="W88" s="84" t="str">
        <x:v>五行与十神数量只能作为候选证据，不能直接决定日主旺衰。</x:v>
      </x:c>
      <x:c r="X88" s="82" t="str">
        <x:v>较高</x:v>
      </x:c>
      <x:c r="Y88" s="82" t="str">
        <x:v>现代综合</x:v>
      </x:c>
      <x:c r="Z88" s="68" t="str">
        <x:v>该规则属于M09治理边界，用于防止机械计分、数量投票、越级定喜忌/格局及静动态混用。</x:v>
      </x:c>
      <x:c r="AA88" s="68" t="str">
        <x:v>正例：当“任何日主旺衰综合”真实成立，且必要条件与增强条件同向时，按“M09禁止按五行或十神数量投票决定身强身弱”记录对应旺衰证据。</x:v>
      </x:c>
      <x:c r="AB88" s="90" t="str">
        <x:v>反例：只有表面条件，但出现“禁止“印比多所以旺”“财官食伤多所以弱””或关键有效性未成立时，不得套用本规则。</x:v>
      </x:c>
      <x:c r="AC88" s="68" t="str">
        <x:v>https://zh.wikisource.org/wiki/%E6%B7%B5%E6%B5%B7%E5%AD%90%E5%B9%B3%E5%A4%A7%E5%85%A8 ; https://zh.wikisource.org/wiki/%E6%BB%B4%E5%A4%A9%E9%AB%93%E9%97%A1%E5%BE%AE</x:v>
      </x:c>
      <x:c r="AD88" s="82" t="str">
        <x:v>采用</x:v>
      </x:c>
      <x:c r="AE88" s="82" t="str">
        <x:v>初审</x:v>
      </x:c>
      <x:c r="AF88" s="87" t="n">
        <x:v>46255</x:v>
      </x:c>
    </x:row>
    <x:row r="89">
      <x:c r="A89" s="72" t="str">
        <x:f>IF(OR(C89="",D89=""),"",B89&amp;"-"&amp;UPPER(C89)&amp;"-"&amp;TEXT(D89,"0000")&amp;"-"&amp;E89)</x:f>
        <x:v>M09-BOUND-0083-V1.0</x:v>
      </x:c>
      <x:c r="B89" s="74" t="str">
        <x:v>M09</x:v>
      </x:c>
      <x:c r="C89" s="74" t="str">
        <x:v>BOUND</x:v>
      </x:c>
      <x:c r="D89" s="79" t="n">
        <x:v>83</x:v>
      </x:c>
      <x:c r="E89" s="74" t="str">
        <x:v>V1.0</x:v>
      </x:c>
      <x:c r="F89" s="68" t="str">
        <x:v>日主旺衰与喜忌用神严格分离</x:v>
      </x:c>
      <x:c r="G89" s="82" t="str">
        <x:v>综合层</x:v>
      </x:c>
      <x:c r="H89" s="68" t="str">
        <x:v>判断边界</x:v>
      </x:c>
      <x:c r="I89" s="68" t="str">
        <x:v>禁止越级</x:v>
      </x:c>
      <x:c r="J89" s="68" t="str">
        <x:v>已得到七级旺衰</x:v>
      </x:c>
      <x:c r="K89" s="68" t="str">
        <x:v>高</x:v>
      </x:c>
      <x:c r="L89" s="82" t="str">
        <x:v>决定性</x:v>
      </x:c>
      <x:c r="M89" s="68" t="str">
        <x:v>M09完成</x:v>
      </x:c>
      <x:c r="N89" s="68" t="str">
        <x:v>只输出力量事实</x:v>
      </x:c>
      <x:c r="O89" s="68"/>
      <x:c r="P89" s="68"/>
      <x:c r="Q89" s="90" t="str">
        <x:v>禁止身旺直接等于忌印比、身弱直接等于喜印比</x:v>
      </x:c>
      <x:c r="R89" s="68" t="str">
        <x:v>喜忌转M16/M17/M18</x:v>
      </x:c>
      <x:c r="S89" s="68" t="str">
        <x:v>格局、调候、病药可能改变最终用神</x:v>
      </x:c>
      <x:c r="T89" s="82" t="str">
        <x:v>是</x:v>
      </x:c>
      <x:c r="U89" s="82" t="str">
        <x:v>中和</x:v>
      </x:c>
      <x:c r="V89" s="84" t="str">
        <x:v>旺衰喜忌分离</x:v>
      </x:c>
      <x:c r="W89" s="84" t="str">
        <x:v>M09只判断日主力量，不直接确定喜神、忌神或用神。</x:v>
      </x:c>
      <x:c r="X89" s="82" t="str">
        <x:v>较高</x:v>
      </x:c>
      <x:c r="Y89" s="82" t="str">
        <x:v>现代综合</x:v>
      </x:c>
      <x:c r="Z89" s="68" t="str">
        <x:v>该规则属于M09治理边界，用于防止机械计分、数量投票、越级定喜忌/格局及静动态混用。</x:v>
      </x:c>
      <x:c r="AA89" s="68" t="str">
        <x:v>正例：当“已得到七级旺衰”真实成立，且必要条件与增强条件同向时，按“日主旺衰与喜忌用神严格分离”记录对应旺衰证据。</x:v>
      </x:c>
      <x:c r="AB89" s="90" t="str">
        <x:v>反例：只有表面条件，但出现“禁止身旺直接等于忌印比、身弱直接等于喜印比”或关键有效性未成立时，不得套用本规则。</x:v>
      </x:c>
      <x:c r="AC89" s="68" t="str">
        <x:v>https://zh.wikisource.org/wiki/%E6%B7%B5%E6%B5%B7%E5%AD%90%E5%B9%B3%E5%A4%A7%E5%85%A8 ; https://zh.wikisource.org/wiki/%E6%BB%B4%E5%A4%A9%E9%AB%93%E9%97%A1%E5%BE%AE</x:v>
      </x:c>
      <x:c r="AD89" s="82" t="str">
        <x:v>采用</x:v>
      </x:c>
      <x:c r="AE89" s="82" t="str">
        <x:v>初审</x:v>
      </x:c>
      <x:c r="AF89" s="87" t="n">
        <x:v>46255</x:v>
      </x:c>
    </x:row>
    <x:row r="90">
      <x:c r="A90" s="72" t="str">
        <x:f>IF(OR(C90="",D90=""),"",B90&amp;"-"&amp;UPPER(C90)&amp;"-"&amp;TEXT(D90,"0000")&amp;"-"&amp;E90)</x:f>
        <x:v>M09-BOUND-0084-V1.0</x:v>
      </x:c>
      <x:c r="B90" s="74" t="str">
        <x:v>M09</x:v>
      </x:c>
      <x:c r="C90" s="74" t="str">
        <x:v>BOUND</x:v>
      </x:c>
      <x:c r="D90" s="79" t="n">
        <x:v>84</x:v>
      </x:c>
      <x:c r="E90" s="74" t="str">
        <x:v>V1.0</x:v>
      </x:c>
      <x:c r="F90" s="68" t="str">
        <x:v>极旺极弱只生成特殊格局候选不在M09确认从格</x:v>
      </x:c>
      <x:c r="G90" s="82" t="str">
        <x:v>综合层</x:v>
      </x:c>
      <x:c r="H90" s="68" t="str">
        <x:v>判断边界</x:v>
      </x:c>
      <x:c r="I90" s="68" t="str">
        <x:v>转审</x:v>
      </x:c>
      <x:c r="J90" s="68" t="str">
        <x:v>日主被判极旺或极弱</x:v>
      </x:c>
      <x:c r="K90" s="68" t="str">
        <x:v>高</x:v>
      </x:c>
      <x:c r="L90" s="82" t="str">
        <x:v>决定性</x:v>
      </x:c>
      <x:c r="M90" s="68" t="str">
        <x:v>M09完成</x:v>
      </x:c>
      <x:c r="N90" s="68" t="str">
        <x:v>达到极端等级</x:v>
      </x:c>
      <x:c r="O90" s="68" t="str">
        <x:v>气势高度单向</x:v>
      </x:c>
      <x:c r="P90" s="68" t="str">
        <x:v>存在强反证</x:v>
      </x:c>
      <x:c r="Q90" s="90" t="str">
        <x:v>禁止在M09直接宣布从旺、从弱、从财、从杀等格局成立</x:v>
      </x:c>
      <x:c r="R90" s="68" t="str">
        <x:v>M14按严格条件淘汰</x:v>
      </x:c>
      <x:c r="S90" s="68" t="str">
        <x:v>常规格旺衰极端与特殊格局成立是两个结论</x:v>
      </x:c>
      <x:c r="T90" s="82" t="str">
        <x:v>是</x:v>
      </x:c>
      <x:c r="U90" s="82" t="str">
        <x:v>极弱</x:v>
      </x:c>
      <x:c r="V90" s="84" t="str">
        <x:v>特殊格局接口</x:v>
      </x:c>
      <x:c r="W90" s="84" t="str">
        <x:v>日主极旺/极弱仅触发特殊格局候选，是否从格或专旺转M14严格判断。</x:v>
      </x:c>
      <x:c r="X90" s="82" t="str">
        <x:v>较高</x:v>
      </x:c>
      <x:c r="Y90" s="82" t="str">
        <x:v>现代综合</x:v>
      </x:c>
      <x:c r="Z90" s="68" t="str">
        <x:v>该规则属于M09治理边界，用于防止机械计分、数量投票、越级定喜忌/格局及静动态混用。</x:v>
      </x:c>
      <x:c r="AA90" s="68" t="str">
        <x:v>正例：当“日主被判极旺或极弱”真实成立，且必要条件与增强条件同向时，按“极旺极弱只生成特殊格局候选不在M09确认从格”记录对应旺衰证据。</x:v>
      </x:c>
      <x:c r="AB90" s="90" t="str">
        <x:v>反例：只有表面条件，但出现“禁止在M09直接宣布从旺、从弱、从财、从杀等格局成立”或关键有效性未成立时，不得套用本规则。</x:v>
      </x:c>
      <x:c r="AC90" s="68" t="str">
        <x:v>https://zh.wikisource.org/wiki/%E6%B7%B5%E6%B5%B7%E5%AD%90%E5%B9%B3%E5%A4%A7%E5%85%A8 ; https://zh.wikisource.org/wiki/%E6%BB%B4%E5%A4%A9%E9%AB%93%E9%97%A1%E5%BE%AE</x:v>
      </x:c>
      <x:c r="AD90" s="82" t="str">
        <x:v>采用</x:v>
      </x:c>
      <x:c r="AE90" s="82" t="str">
        <x:v>初审</x:v>
      </x:c>
      <x:c r="AF90" s="87" t="n">
        <x:v>46255</x:v>
      </x:c>
    </x:row>
    <x:row r="91">
      <x:c r="A91" s="72" t="str">
        <x:f>IF(OR(C91="",D91=""),"",B91&amp;"-"&amp;UPPER(C91)&amp;"-"&amp;TEXT(D91,"0000")&amp;"-"&amp;E91)</x:f>
        <x:v>M09-BOUND-0085-V1.0</x:v>
      </x:c>
      <x:c r="B91" s="74" t="str">
        <x:v>M09</x:v>
      </x:c>
      <x:c r="C91" s="74" t="str">
        <x:v>BOUND</x:v>
      </x:c>
      <x:c r="D91" s="79" t="n">
        <x:v>85</x:v>
      </x:c>
      <x:c r="E91" s="74" t="str">
        <x:v>V1.0</x:v>
      </x:c>
      <x:c r="F91" s="68" t="str">
        <x:v>寒暖燥湿只通过M08有效性影响M09不直接定身强弱</x:v>
      </x:c>
      <x:c r="G91" s="82" t="str">
        <x:v>综合层</x:v>
      </x:c>
      <x:c r="H91" s="68" t="str">
        <x:v>判断边界</x:v>
      </x:c>
      <x:c r="I91" s="68" t="str">
        <x:v>接口</x:v>
      </x:c>
      <x:c r="J91" s="68" t="str">
        <x:v>原局存在明显寒凝、燥烈、湿滞等气候问题</x:v>
      </x:c>
      <x:c r="K91" s="68" t="str">
        <x:v>中高</x:v>
      </x:c>
      <x:c r="L91" s="82" t="str">
        <x:v>中</x:v>
      </x:c>
      <x:c r="M91" s="68" t="str">
        <x:v>M08/M13接口</x:v>
      </x:c>
      <x:c r="N91" s="68" t="str">
        <x:v>M08已体现其对根源透达的实际影响</x:v>
      </x:c>
      <x:c r="O91" s="68" t="str">
        <x:v>气候问题确实削弱某扶身节点</x:v>
      </x:c>
      <x:c r="P91" s="68" t="str">
        <x:v>仅为调候需要但不改变有效力量</x:v>
      </x:c>
      <x:c r="Q91" s="90" t="str">
        <x:v>禁止“寒=身弱”“燥=身旺”等直接映射</x:v>
      </x:c>
      <x:c r="R91" s="68" t="str">
        <x:v>调候主问题转M13</x:v>
      </x:c>
      <x:c r="S91" s="68" t="str">
        <x:v>气候与旺衰相关但不是同一维度</x:v>
      </x:c>
      <x:c r="T91" s="82" t="str">
        <x:v>是</x:v>
      </x:c>
      <x:c r="U91" s="82" t="str">
        <x:v>中和</x:v>
      </x:c>
      <x:c r="V91" s="84" t="str">
        <x:v>调候旺衰分离</x:v>
      </x:c>
      <x:c r="W91" s="84" t="str">
        <x:v>寒暖燥湿只有在已影响五行有效力量时才进入M09；调候需求另由M13判断。</x:v>
      </x:c>
      <x:c r="X91" s="82" t="str">
        <x:v>较高</x:v>
      </x:c>
      <x:c r="Y91" s="82" t="str">
        <x:v>现代综合</x:v>
      </x:c>
      <x:c r="Z91" s="68" t="str">
        <x:v>该规则属于M09治理边界，用于防止机械计分、数量投票、越级定喜忌/格局及静动态混用。</x:v>
      </x:c>
      <x:c r="AA91" s="68" t="str">
        <x:v>正例：当“原局存在明显寒凝、燥烈、湿滞等气候问题”真实成立，且必要条件与增强条件同向时，按“寒暖燥湿只通过M08有效性影响M09不直接定身强弱”记录对应旺衰证据。</x:v>
      </x:c>
      <x:c r="AB91" s="90" t="str">
        <x:v>反例：只有表面条件，但出现“禁止“寒=身弱”“燥=身旺”等直接映射”或关键有效性未成立时，不得套用本规则。</x:v>
      </x:c>
      <x:c r="AC91" s="68" t="str">
        <x:v>https://zh.wikisource.org/wiki/%E6%B7%B5%E6%B5%B7%E5%AD%90%E5%B9%B3%E5%A4%A7%E5%85%A8 ; https://zh.wikisource.org/wiki/%E6%BB%B4%E5%A4%A9%E9%AB%93%E9%97%A1%E5%BE%AE</x:v>
      </x:c>
      <x:c r="AD91" s="82" t="str">
        <x:v>采用</x:v>
      </x:c>
      <x:c r="AE91" s="82" t="str">
        <x:v>初审</x:v>
      </x:c>
      <x:c r="AF91" s="87" t="n">
        <x:v>46255</x:v>
      </x:c>
    </x:row>
    <x:row r="92">
      <x:c r="A92" s="72" t="str">
        <x:f>IF(OR(C92="",D92=""),"",B92&amp;"-"&amp;UPPER(C92)&amp;"-"&amp;TEXT(D92,"0000")&amp;"-"&amp;E92)</x:f>
        <x:v>M09-BOUND-0086-V1.0</x:v>
      </x:c>
      <x:c r="B92" s="74" t="str">
        <x:v>M09</x:v>
      </x:c>
      <x:c r="C92" s="74" t="str">
        <x:v>BOUND</x:v>
      </x:c>
      <x:c r="D92" s="79" t="n">
        <x:v>86</x:v>
      </x:c>
      <x:c r="E92" s="74" t="str">
        <x:v>V1.0</x:v>
      </x:c>
      <x:c r="F92" s="68" t="str">
        <x:v>原局静态旺衰不得混入大运流年动态增减</x:v>
      </x:c>
      <x:c r="G92" s="82" t="str">
        <x:v>综合层</x:v>
      </x:c>
      <x:c r="H92" s="68" t="str">
        <x:v>判断边界</x:v>
      </x:c>
      <x:c r="I92" s="68" t="str">
        <x:v>治理</x:v>
      </x:c>
      <x:c r="J92" s="68" t="str">
        <x:v>M09原局分析</x:v>
      </x:c>
      <x:c r="K92" s="68" t="str">
        <x:v>高</x:v>
      </x:c>
      <x:c r="L92" s="82" t="str">
        <x:v>决定性</x:v>
      </x:c>
      <x:c r="M92" s="68" t="str">
        <x:v>原局四柱已确定</x:v>
      </x:c>
      <x:c r="N92" s="68" t="str">
        <x:v>只读取原局M03/M08结果</x:v>
      </x:c>
      <x:c r="O92" s="68"/>
      <x:c r="P92" s="68"/>
      <x:c r="Q92" s="90" t="str">
        <x:v>禁止用未来大运流年反推原局身强身弱</x:v>
      </x:c>
      <x:c r="R92" s="68" t="str">
        <x:v>动态作用转D0岁运引擎</x:v>
      </x:c>
      <x:c r="S92" s="68" t="str">
        <x:v>原局等级可在岁运被临时改变但不重写出生结构</x:v>
      </x:c>
      <x:c r="T92" s="82" t="str">
        <x:v>是</x:v>
      </x:c>
      <x:c r="U92" s="82" t="str">
        <x:v>中和</x:v>
      </x:c>
      <x:c r="V92" s="84" t="str">
        <x:v>静动态分离</x:v>
      </x:c>
      <x:c r="W92" s="84" t="str">
        <x:v>M09输出原局静态日主旺衰，不混入大运流年力量。</x:v>
      </x:c>
      <x:c r="X92" s="82" t="str">
        <x:v>较高</x:v>
      </x:c>
      <x:c r="Y92" s="82" t="str">
        <x:v>现代综合</x:v>
      </x:c>
      <x:c r="Z92" s="68" t="str">
        <x:v>该规则属于M09治理边界，用于防止机械计分、数量投票、越级定喜忌/格局及静动态混用。</x:v>
      </x:c>
      <x:c r="AA92" s="68" t="str">
        <x:v>正例：当“M09原局分析”真实成立，且必要条件与增强条件同向时，按“原局静态旺衰不得混入大运流年动态增减”记录对应旺衰证据。</x:v>
      </x:c>
      <x:c r="AB92" s="90" t="str">
        <x:v>反例：只有表面条件，但出现“禁止用未来大运流年反推原局身强身弱”或关键有效性未成立时，不得套用本规则。</x:v>
      </x:c>
      <x:c r="AC92" s="68" t="str">
        <x:v>https://zh.wikisource.org/wiki/%E6%B7%B5%E6%B5%B7%E5%AD%90%E5%B9%B3%E5%A4%A7%E5%85%A8 ; https://zh.wikisource.org/wiki/%E6%BB%B4%E5%A4%A9%E9%AB%93%E9%97%A1%E5%BE%AE</x:v>
      </x:c>
      <x:c r="AD92" s="82" t="str">
        <x:v>采用</x:v>
      </x:c>
      <x:c r="AE92" s="82" t="str">
        <x:v>初审</x:v>
      </x:c>
      <x:c r="AF92" s="87" t="n">
        <x:v>46255</x:v>
      </x:c>
    </x:row>
    <x:row r="93">
      <x:c r="A93" s="72" t="str">
        <x:f>IF(OR(C93="",D93=""),"",B93&amp;"-"&amp;UPPER(C93)&amp;"-"&amp;TEXT(D93,"0000")&amp;"-"&amp;E93)</x:f>
        <x:v>M09-BOUND-0087-V1.0</x:v>
      </x:c>
      <x:c r="B93" s="74" t="str">
        <x:v>M09</x:v>
      </x:c>
      <x:c r="C93" s="74" t="str">
        <x:v>BOUND</x:v>
      </x:c>
      <x:c r="D93" s="79" t="n">
        <x:v>87</x:v>
      </x:c>
      <x:c r="E93" s="74" t="str">
        <x:v>V1.0</x:v>
      </x:c>
      <x:c r="F93" s="68" t="str">
        <x:v>性别不参与原局日主旺衰计算</x:v>
      </x:c>
      <x:c r="G93" s="82" t="str">
        <x:v>综合层</x:v>
      </x:c>
      <x:c r="H93" s="68" t="str">
        <x:v>判断边界</x:v>
      </x:c>
      <x:c r="I93" s="68" t="str">
        <x:v>治理</x:v>
      </x:c>
      <x:c r="J93" s="68" t="str">
        <x:v>任何日主旺衰综合</x:v>
      </x:c>
      <x:c r="K93" s="68" t="str">
        <x:v>高</x:v>
      </x:c>
      <x:c r="L93" s="82" t="str">
        <x:v>决定性</x:v>
      </x:c>
      <x:c r="M93" s="68" t="str">
        <x:v>原局四柱已确定</x:v>
      </x:c>
      <x:c r="N93" s="68"/>
      <x:c r="O93" s="68"/>
      <x:c r="P93" s="68"/>
      <x:c r="Q93" s="90" t="str">
        <x:v>禁止因男命女命改变同一八字的旺衰等级</x:v>
      </x:c>
      <x:c r="R93" s="68" t="str">
        <x:v>性别只在特定上层解释模型使用</x:v>
      </x:c>
      <x:c r="S93" s="68" t="str">
        <x:v>相同四柱在M09应得到相同旺衰结论</x:v>
      </x:c>
      <x:c r="T93" s="82" t="str">
        <x:v>是</x:v>
      </x:c>
      <x:c r="U93" s="82" t="str">
        <x:v>中和</x:v>
      </x:c>
      <x:c r="V93" s="84" t="str">
        <x:v>性别无关旺衰</x:v>
      </x:c>
      <x:c r="W93" s="84" t="str">
        <x:v>日主旺衰是原局结构判断，性别不改变同一四柱的力量结论。</x:v>
      </x:c>
      <x:c r="X93" s="82" t="str">
        <x:v>较高</x:v>
      </x:c>
      <x:c r="Y93" s="82" t="str">
        <x:v>现代综合</x:v>
      </x:c>
      <x:c r="Z93" s="68" t="str">
        <x:v>该规则属于M09治理边界，用于防止机械计分、数量投票、越级定喜忌/格局及静动态混用。</x:v>
      </x:c>
      <x:c r="AA93" s="68" t="str">
        <x:v>正例：当“任何日主旺衰综合”真实成立，且必要条件与增强条件同向时，按“性别不参与原局日主旺衰计算”记录对应旺衰证据。</x:v>
      </x:c>
      <x:c r="AB93" s="90" t="str">
        <x:v>反例：只有表面条件，但出现“禁止因男命女命改变同一八字的旺衰等级”或关键有效性未成立时，不得套用本规则。</x:v>
      </x:c>
      <x:c r="AC93" s="68" t="str">
        <x:v>https://zh.wikisource.org/wiki/%E6%B7%B5%E6%B5%B7%E5%AD%90%E5%B9%B3%E5%A4%A7%E5%85%A8 ; https://zh.wikisource.org/wiki/%E6%BB%B4%E5%A4%A9%E9%AB%93%E9%97%A1%E5%BE%AE</x:v>
      </x:c>
      <x:c r="AD93" s="82" t="str">
        <x:v>采用</x:v>
      </x:c>
      <x:c r="AE93" s="82" t="str">
        <x:v>初审</x:v>
      </x:c>
      <x:c r="AF93" s="87" t="n">
        <x:v>46255</x:v>
      </x:c>
    </x:row>
    <x:row r="94">
      <x:c r="A94" s="72" t="str">
        <x:f>IF(OR(C94="",D94=""),"",B94&amp;"-"&amp;UPPER(C94)&amp;"-"&amp;TEXT(D94,"0000")&amp;"-"&amp;E94)</x:f>
        <x:v>M09-BOUND-0088-V1.0</x:v>
      </x:c>
      <x:c r="B94" s="74" t="str">
        <x:v>M09</x:v>
      </x:c>
      <x:c r="C94" s="74" t="str">
        <x:v>BOUND</x:v>
      </x:c>
      <x:c r="D94" s="79" t="n">
        <x:v>88</x:v>
      </x:c>
      <x:c r="E94" s="74" t="str">
        <x:v>V1.0</x:v>
      </x:c>
      <x:c r="F94" s="68" t="str">
        <x:v>十神功能成败不在M09提前裁定</x:v>
      </x:c>
      <x:c r="G94" s="82" t="str">
        <x:v>综合层</x:v>
      </x:c>
      <x:c r="H94" s="68" t="str">
        <x:v>判断边界</x:v>
      </x:c>
      <x:c r="I94" s="68" t="str">
        <x:v>禁止越级</x:v>
      </x:c>
      <x:c r="J94" s="68" t="str">
        <x:v>发现食神制杀、杀印相生、伤官配印等候选</x:v>
      </x:c>
      <x:c r="K94" s="68" t="str">
        <x:v>高</x:v>
      </x:c>
      <x:c r="L94" s="82" t="str">
        <x:v>决定性</x:v>
      </x:c>
      <x:c r="M94" s="68" t="str">
        <x:v>M09完成</x:v>
      </x:c>
      <x:c r="N94" s="68" t="str">
        <x:v>M09仅把对应五行作用作为制泄耗或生扶证据</x:v>
      </x:c>
      <x:c r="O94" s="68"/>
      <x:c r="P94" s="68"/>
      <x:c r="Q94" s="90" t="str">
        <x:v>禁止从日主旺衰层直接宣布十神组合成立</x:v>
      </x:c>
      <x:c r="R94" s="68" t="str">
        <x:v>组合转M10/M11</x:v>
      </x:c>
      <x:c r="S94" s="68" t="str">
        <x:v>相同力量可形成不同十神功能结构</x:v>
      </x:c>
      <x:c r="T94" s="82" t="str">
        <x:v>是</x:v>
      </x:c>
      <x:c r="U94" s="82" t="str">
        <x:v>中和</x:v>
      </x:c>
      <x:c r="V94" s="84" t="str">
        <x:v>十神功能接口</x:v>
      </x:c>
      <x:c r="W94" s="84" t="str">
        <x:v>M09只记录相关力量对日主的影响；十神功能、清纯度与组合成立转M10/M11。</x:v>
      </x:c>
      <x:c r="X94" s="82" t="str">
        <x:v>较高</x:v>
      </x:c>
      <x:c r="Y94" s="82" t="str">
        <x:v>现代综合</x:v>
      </x:c>
      <x:c r="Z94" s="68" t="str">
        <x:v>该规则属于M09治理边界，用于防止机械计分、数量投票、越级定喜忌/格局及静动态混用。</x:v>
      </x:c>
      <x:c r="AA94" s="68" t="str">
        <x:v>正例：当“发现食神制杀、杀印相生、伤官配印等候选”真实成立，且必要条件与增强条件同向时，按“十神功能成败不在M09提前裁定”记录对应旺衰证据。</x:v>
      </x:c>
      <x:c r="AB94" s="90" t="str">
        <x:v>反例：只有表面条件，但出现“禁止从日主旺衰层直接宣布十神组合成立”或关键有效性未成立时，不得套用本规则。</x:v>
      </x:c>
      <x:c r="AC94" s="68" t="str">
        <x:v>https://zh.wikisource.org/wiki/%E6%B7%B5%E6%B5%B7%E5%AD%90%E5%B9%B3%E5%A4%A7%E5%85%A8 ; https://zh.wikisource.org/wiki/%E6%BB%B4%E5%A4%A9%E9%AB%93%E9%97%A1%E5%BE%AE</x:v>
      </x:c>
      <x:c r="AD94" s="82" t="str">
        <x:v>采用</x:v>
      </x:c>
      <x:c r="AE94" s="82" t="str">
        <x:v>初审</x:v>
      </x:c>
      <x:c r="AF94" s="87" t="n">
        <x:v>46255</x:v>
      </x:c>
    </x:row>
    <x:row r="95">
      <x:c r="A95" s="72" t="str">
        <x:f>IF(OR(C95="",D95=""),"",B95&amp;"-"&amp;UPPER(C95)&amp;"-"&amp;TEXT(D95,"0000")&amp;"-"&amp;E95)</x:f>
        <x:v>M09-BOUND-0089-V1.0</x:v>
      </x:c>
      <x:c r="B95" s="74" t="str">
        <x:v>M09</x:v>
      </x:c>
      <x:c r="C95" s="74" t="str">
        <x:v>BOUND</x:v>
      </x:c>
      <x:c r="D95" s="79" t="n">
        <x:v>89</x:v>
      </x:c>
      <x:c r="E95" s="74" t="str">
        <x:v>V1.0</x:v>
      </x:c>
      <x:c r="F95" s="68" t="str">
        <x:v>最终旺衰输出必须包含正证、反证、关键转折和置信度</x:v>
      </x:c>
      <x:c r="G95" s="82" t="str">
        <x:v>综合层</x:v>
      </x:c>
      <x:c r="H95" s="68" t="str">
        <x:v>判断边界</x:v>
      </x:c>
      <x:c r="I95" s="68" t="str">
        <x:v>治理</x:v>
      </x:c>
      <x:c r="J95" s="68" t="str">
        <x:v>形成最终日主旺衰</x:v>
      </x:c>
      <x:c r="K95" s="68" t="str">
        <x:v>高</x:v>
      </x:c>
      <x:c r="L95" s="82" t="str">
        <x:v>决定性</x:v>
      </x:c>
      <x:c r="M95" s="68" t="str">
        <x:v>M09完成</x:v>
      </x:c>
      <x:c r="N95" s="68" t="str">
        <x:v>至少列主支持证据、主反向证据与边界说明</x:v>
      </x:c>
      <x:c r="O95" s="68" t="str">
        <x:v>证据高度一致可给较高置信</x:v>
      </x:c>
      <x:c r="P95" s="68" t="str">
        <x:v>关键效应待验证或月令不确定</x:v>
      </x:c>
      <x:c r="Q95" s="90" t="str">
        <x:v>禁止只给“身旺/身弱”标签</x:v>
      </x:c>
      <x:c r="R95" s="68"/>
      <x:c r="S95" s="68" t="str">
        <x:v>可追溯输出便于M20复盘</x:v>
      </x:c>
      <x:c r="T95" s="82" t="str">
        <x:v>是</x:v>
      </x:c>
      <x:c r="U95" s="82" t="str">
        <x:v>中和</x:v>
      </x:c>
      <x:c r="V95" s="84" t="str">
        <x:v>旺衰输出规范</x:v>
      </x:c>
      <x:c r="W95" s="84" t="str">
        <x:v>最终输出须包含：旺衰等级、得令/得地/得势/得生、主要制泄耗、最强反证、关键转折与置信度。</x:v>
      </x:c>
      <x:c r="X95" s="82" t="str">
        <x:v>较高</x:v>
      </x:c>
      <x:c r="Y95" s="82" t="str">
        <x:v>现代综合</x:v>
      </x:c>
      <x:c r="Z95" s="68" t="str">
        <x:v>该规则属于M09治理边界，用于防止机械计分、数量投票、越级定喜忌/格局及静动态混用。</x:v>
      </x:c>
      <x:c r="AA95" s="68" t="str">
        <x:v>正例：当“形成最终日主旺衰”真实成立，且必要条件与增强条件同向时，按“最终旺衰输出必须包含正证、反证、关键转折和置信度”记录对应旺衰证据。</x:v>
      </x:c>
      <x:c r="AB95" s="90" t="str">
        <x:v>反例：只有表面条件，但出现“禁止只给“身旺/身弱”标签”或关键有效性未成立时，不得套用本规则。</x:v>
      </x:c>
      <x:c r="AC95" s="68" t="str">
        <x:v>https://zh.wikisource.org/wiki/%E6%B7%B5%E6%B5%B7%E5%AD%90%E5%B9%B3%E5%A4%A7%E5%85%A8 ; https://zh.wikisource.org/wiki/%E6%BB%B4%E5%A4%A9%E9%AB%93%E9%97%A1%E5%BE%AE</x:v>
      </x:c>
      <x:c r="AD95" s="82" t="str">
        <x:v>采用</x:v>
      </x:c>
      <x:c r="AE95" s="82" t="str">
        <x:v>初审</x:v>
      </x:c>
      <x:c r="AF95" s="87" t="n">
        <x:v>46255</x:v>
      </x:c>
    </x:row>
    <x:row r="96">
      <x:c r="A96" s="72" t="str">
        <x:f>IF(OR(C96="",D96=""),"",B96&amp;"-"&amp;UPPER(C96)&amp;"-"&amp;TEXT(D96,"0000")&amp;"-"&amp;E96)</x:f>
        <x:v>M09-BOUND-0090-V1.0</x:v>
      </x:c>
      <x:c r="B96" s="74" t="str">
        <x:v>M09</x:v>
      </x:c>
      <x:c r="C96" s="74" t="str">
        <x:v>BOUND</x:v>
      </x:c>
      <x:c r="D96" s="79" t="n">
        <x:v>90</x:v>
      </x:c>
      <x:c r="E96" s="74" t="str">
        <x:v>V1.0</x:v>
      </x:c>
      <x:c r="F96" s="68" t="str">
        <x:v>中和偏旺与中和偏弱必须由轻度净优势而非主观感觉区分</x:v>
      </x:c>
      <x:c r="G96" s="82" t="str">
        <x:v>综合层</x:v>
      </x:c>
      <x:c r="H96" s="68" t="str">
        <x:v>判断边界</x:v>
      </x:c>
      <x:c r="I96" s="68" t="str">
        <x:v>治理</x:v>
      </x:c>
      <x:c r="J96" s="68" t="str">
        <x:v>旺衰位于中和附近</x:v>
      </x:c>
      <x:c r="K96" s="68" t="str">
        <x:v>高</x:v>
      </x:c>
      <x:c r="L96" s="82" t="str">
        <x:v>强</x:v>
      </x:c>
      <x:c r="M96" s="68" t="str">
        <x:v>M03/M08完成</x:v>
      </x:c>
      <x:c r="N96" s="68" t="str">
        <x:v>两侧均有有效证据且差距较小</x:v>
      </x:c>
      <x:c r="O96" s="68" t="str">
        <x:v>一侧存在可明确指出的轻度净优势</x:v>
      </x:c>
      <x:c r="P96" s="68" t="str">
        <x:v>两侧完全对等或差异来自待验证规则</x:v>
      </x:c>
      <x:c r="Q96" s="90" t="str">
        <x:v>禁止在无净优势证据时随意选偏旺或偏弱</x:v>
      </x:c>
      <x:c r="R96" s="68" t="str">
        <x:v>无法裁定时输出中和并降低置信度</x:v>
      </x:c>
      <x:c r="S96" s="68" t="str">
        <x:v>偏向必须能回溯到一至两条关键有效证据</x:v>
      </x:c>
      <x:c r="T96" s="82" t="str">
        <x:v>是</x:v>
      </x:c>
      <x:c r="U96" s="82" t="str">
        <x:v>中和</x:v>
      </x:c>
      <x:c r="V96" s="84" t="str">
        <x:v>中和偏向分界</x:v>
      </x:c>
      <x:c r="W96" s="84" t="str">
        <x:v>中和偏旺/偏弱必须指出造成轻度净优势的具体证据；无法指出时不得强行偏向。</x:v>
      </x:c>
      <x:c r="X96" s="82" t="str">
        <x:v>较高</x:v>
      </x:c>
      <x:c r="Y96" s="82" t="str">
        <x:v>现代综合</x:v>
      </x:c>
      <x:c r="Z96" s="68" t="str">
        <x:v>该规则属于M09治理边界，用于防止机械计分、数量投票、越级定喜忌/格局及静动态混用。</x:v>
      </x:c>
      <x:c r="AA96" s="68" t="str">
        <x:v>正例：当“旺衰位于中和附近”真实成立，且必要条件与增强条件同向时，按“中和偏旺与中和偏弱必须由轻度净优势而非主观感觉区分”记录对应旺衰证据。</x:v>
      </x:c>
      <x:c r="AB96" s="90" t="str">
        <x:v>反例：只有表面条件，但出现“禁止在无净优势证据时随意选偏旺或偏弱”或关键有效性未成立时，不得套用本规则。</x:v>
      </x:c>
      <x:c r="AC96" s="68" t="str">
        <x:v>https://zh.wikisource.org/wiki/%E6%B7%B5%E6%B5%B7%E5%AD%90%E5%B9%B3%E5%A4%A7%E5%85%A8 ; https://zh.wikisource.org/wiki/%E6%BB%B4%E5%A4%A9%E9%AB%93%E9%97%A1%E5%BE%AE</x:v>
      </x:c>
      <x:c r="AD96" s="82" t="str">
        <x:v>采用</x:v>
      </x:c>
      <x:c r="AE96" s="82" t="str">
        <x:v>初审</x:v>
      </x:c>
      <x:c r="AF96" s="87" t="n">
        <x:v>46255</x:v>
      </x:c>
    </x:row>
    <x:row r="97">
      <x:c r="A97" s="72" t="str">
        <x:f>IF(OR(C97="",D97=""),"",B97&amp;"-"&amp;UPPER(C97)&amp;"-"&amp;TEXT(D97,"0000")&amp;"-"&amp;E97)</x:f>
      </x:c>
      <x:c r="B97" s="74" t="str">
        <x:v>M09</x:v>
      </x:c>
      <x:c r="C97" s="74"/>
      <x:c r="D97" s="79"/>
      <x:c r="E97" s="74" t="str">
        <x:v>V1.0</x:v>
      </x:c>
      <x:c r="F97" s="68"/>
      <x:c r="G97" s="82"/>
      <x:c r="H97" s="68"/>
      <x:c r="I97" s="68"/>
      <x:c r="J97" s="68"/>
      <x:c r="K97" s="68"/>
      <x:c r="L97" s="82"/>
      <x:c r="M97" s="68"/>
      <x:c r="N97" s="68"/>
      <x:c r="O97" s="68"/>
      <x:c r="P97" s="68"/>
      <x:c r="Q97" s="90"/>
      <x:c r="R97" s="68"/>
      <x:c r="S97" s="68"/>
      <x:c r="T97" s="82"/>
      <x:c r="U97" s="82"/>
      <x:c r="V97" s="84"/>
      <x:c r="W97" s="84"/>
      <x:c r="X97" s="82"/>
      <x:c r="Y97" s="82"/>
      <x:c r="Z97" s="68"/>
      <x:c r="AA97" s="68"/>
      <x:c r="AB97" s="90"/>
      <x:c r="AC97" s="68"/>
      <x:c r="AD97" s="82"/>
      <x:c r="AE97" s="82"/>
      <x:c r="AF97" s="87"/>
    </x:row>
    <x:row r="98">
      <x:c r="A98" s="72" t="str">
        <x:f>IF(OR(C98="",D98=""),"",B98&amp;"-"&amp;UPPER(C98)&amp;"-"&amp;TEXT(D98,"0000")&amp;"-"&amp;E98)</x:f>
      </x:c>
      <x:c r="B98" s="74" t="str">
        <x:v>M09</x:v>
      </x:c>
      <x:c r="C98" s="74"/>
      <x:c r="D98" s="79"/>
      <x:c r="E98" s="74" t="str">
        <x:v>V1.0</x:v>
      </x:c>
      <x:c r="F98" s="68"/>
      <x:c r="G98" s="82"/>
      <x:c r="H98" s="68"/>
      <x:c r="I98" s="68"/>
      <x:c r="J98" s="68"/>
      <x:c r="K98" s="68"/>
      <x:c r="L98" s="82"/>
      <x:c r="M98" s="68"/>
      <x:c r="N98" s="68"/>
      <x:c r="O98" s="68"/>
      <x:c r="P98" s="68"/>
      <x:c r="Q98" s="90"/>
      <x:c r="R98" s="68"/>
      <x:c r="S98" s="68"/>
      <x:c r="T98" s="82"/>
      <x:c r="U98" s="82"/>
      <x:c r="V98" s="84"/>
      <x:c r="W98" s="84"/>
      <x:c r="X98" s="82"/>
      <x:c r="Y98" s="82"/>
      <x:c r="Z98" s="68"/>
      <x:c r="AA98" s="68"/>
      <x:c r="AB98" s="90"/>
      <x:c r="AC98" s="68"/>
      <x:c r="AD98" s="82"/>
      <x:c r="AE98" s="82"/>
      <x:c r="AF98" s="87"/>
    </x:row>
    <x:row r="99">
      <x:c r="A99" s="72" t="str">
        <x:f>IF(OR(C99="",D99=""),"",B99&amp;"-"&amp;UPPER(C99)&amp;"-"&amp;TEXT(D99,"0000")&amp;"-"&amp;E99)</x:f>
      </x:c>
      <x:c r="B99" s="74" t="str">
        <x:v>M09</x:v>
      </x:c>
      <x:c r="C99" s="74"/>
      <x:c r="D99" s="79"/>
      <x:c r="E99" s="74" t="str">
        <x:v>V1.0</x:v>
      </x:c>
      <x:c r="F99" s="68"/>
      <x:c r="G99" s="82"/>
      <x:c r="H99" s="68"/>
      <x:c r="I99" s="68"/>
      <x:c r="J99" s="68"/>
      <x:c r="K99" s="68"/>
      <x:c r="L99" s="82"/>
      <x:c r="M99" s="68"/>
      <x:c r="N99" s="68"/>
      <x:c r="O99" s="68"/>
      <x:c r="P99" s="68"/>
      <x:c r="Q99" s="90"/>
      <x:c r="R99" s="68"/>
      <x:c r="S99" s="68"/>
      <x:c r="T99" s="82"/>
      <x:c r="U99" s="82"/>
      <x:c r="V99" s="84"/>
      <x:c r="W99" s="84"/>
      <x:c r="X99" s="82"/>
      <x:c r="Y99" s="82"/>
      <x:c r="Z99" s="68"/>
      <x:c r="AA99" s="68"/>
      <x:c r="AB99" s="90"/>
      <x:c r="AC99" s="68"/>
      <x:c r="AD99" s="82"/>
      <x:c r="AE99" s="82"/>
      <x:c r="AF99" s="87"/>
    </x:row>
    <x:row r="100">
      <x:c r="A100" s="72" t="str">
        <x:f>IF(OR(C100="",D100=""),"",B100&amp;"-"&amp;UPPER(C100)&amp;"-"&amp;TEXT(D100,"0000")&amp;"-"&amp;E100)</x:f>
      </x:c>
      <x:c r="B100" s="74" t="str">
        <x:v>M09</x:v>
      </x:c>
      <x:c r="C100" s="74"/>
      <x:c r="D100" s="79"/>
      <x:c r="E100" s="74" t="str">
        <x:v>V1.0</x:v>
      </x:c>
      <x:c r="F100" s="68"/>
      <x:c r="G100" s="82"/>
      <x:c r="H100" s="68"/>
      <x:c r="I100" s="68"/>
      <x:c r="J100" s="68"/>
      <x:c r="K100" s="68"/>
      <x:c r="L100" s="82"/>
      <x:c r="M100" s="68"/>
      <x:c r="N100" s="68"/>
      <x:c r="O100" s="68"/>
      <x:c r="P100" s="68"/>
      <x:c r="Q100" s="90"/>
      <x:c r="R100" s="68"/>
      <x:c r="S100" s="68"/>
      <x:c r="T100" s="82"/>
      <x:c r="U100" s="82"/>
      <x:c r="V100" s="84"/>
      <x:c r="W100" s="84"/>
      <x:c r="X100" s="82"/>
      <x:c r="Y100" s="82"/>
      <x:c r="Z100" s="68"/>
      <x:c r="AA100" s="68"/>
      <x:c r="AB100" s="90"/>
      <x:c r="AC100" s="68"/>
      <x:c r="AD100" s="82"/>
      <x:c r="AE100" s="82"/>
      <x:c r="AF100" s="87"/>
    </x:row>
    <x:row r="101">
      <x:c r="A101" s="72" t="str">
        <x:f>IF(OR(C101="",D101=""),"",B101&amp;"-"&amp;UPPER(C101)&amp;"-"&amp;TEXT(D101,"0000")&amp;"-"&amp;E101)</x:f>
      </x:c>
      <x:c r="B101" s="74" t="str">
        <x:v>M09</x:v>
      </x:c>
      <x:c r="C101" s="74"/>
      <x:c r="D101" s="79"/>
      <x:c r="E101" s="74" t="str">
        <x:v>V1.0</x:v>
      </x:c>
      <x:c r="F101" s="68"/>
      <x:c r="G101" s="82"/>
      <x:c r="H101" s="68"/>
      <x:c r="I101" s="68"/>
      <x:c r="J101" s="68"/>
      <x:c r="K101" s="68"/>
      <x:c r="L101" s="82"/>
      <x:c r="M101" s="68"/>
      <x:c r="N101" s="68"/>
      <x:c r="O101" s="68"/>
      <x:c r="P101" s="68"/>
      <x:c r="Q101" s="90"/>
      <x:c r="R101" s="68"/>
      <x:c r="S101" s="68"/>
      <x:c r="T101" s="82"/>
      <x:c r="U101" s="82"/>
      <x:c r="V101" s="84"/>
      <x:c r="W101" s="84"/>
      <x:c r="X101" s="82"/>
      <x:c r="Y101" s="82"/>
      <x:c r="Z101" s="68"/>
      <x:c r="AA101" s="68"/>
      <x:c r="AB101" s="90"/>
      <x:c r="AC101" s="68"/>
      <x:c r="AD101" s="82"/>
      <x:c r="AE101" s="82"/>
      <x:c r="AF101" s="87"/>
    </x:row>
    <x:row r="102">
      <x:c r="A102" s="72" t="str">
        <x:f>IF(OR(C102="",D102=""),"",B102&amp;"-"&amp;UPPER(C102)&amp;"-"&amp;TEXT(D102,"0000")&amp;"-"&amp;E102)</x:f>
      </x:c>
      <x:c r="B102" s="74" t="str">
        <x:v>M09</x:v>
      </x:c>
      <x:c r="C102" s="74"/>
      <x:c r="D102" s="79"/>
      <x:c r="E102" s="74" t="str">
        <x:v>V1.0</x:v>
      </x:c>
      <x:c r="F102" s="68"/>
      <x:c r="G102" s="82"/>
      <x:c r="H102" s="68"/>
      <x:c r="I102" s="68"/>
      <x:c r="J102" s="68"/>
      <x:c r="K102" s="68"/>
      <x:c r="L102" s="82"/>
      <x:c r="M102" s="68"/>
      <x:c r="N102" s="68"/>
      <x:c r="O102" s="68"/>
      <x:c r="P102" s="68"/>
      <x:c r="Q102" s="90"/>
      <x:c r="R102" s="68"/>
      <x:c r="S102" s="68"/>
      <x:c r="T102" s="82"/>
      <x:c r="U102" s="82"/>
      <x:c r="V102" s="84"/>
      <x:c r="W102" s="84"/>
      <x:c r="X102" s="82"/>
      <x:c r="Y102" s="82"/>
      <x:c r="Z102" s="68"/>
      <x:c r="AA102" s="68"/>
      <x:c r="AB102" s="90"/>
      <x:c r="AC102" s="68"/>
      <x:c r="AD102" s="82"/>
      <x:c r="AE102" s="82"/>
      <x:c r="AF102" s="87"/>
    </x:row>
    <x:row r="103">
      <x:c r="A103" s="72" t="str">
        <x:f>IF(OR(C103="",D103=""),"",B103&amp;"-"&amp;UPPER(C103)&amp;"-"&amp;TEXT(D103,"0000")&amp;"-"&amp;E103)</x:f>
      </x:c>
      <x:c r="B103" s="74" t="str">
        <x:v>M09</x:v>
      </x:c>
      <x:c r="C103" s="74"/>
      <x:c r="D103" s="79"/>
      <x:c r="E103" s="74" t="str">
        <x:v>V1.0</x:v>
      </x:c>
      <x:c r="F103" s="68"/>
      <x:c r="G103" s="82"/>
      <x:c r="H103" s="68"/>
      <x:c r="I103" s="68"/>
      <x:c r="J103" s="68"/>
      <x:c r="K103" s="68"/>
      <x:c r="L103" s="82"/>
      <x:c r="M103" s="68"/>
      <x:c r="N103" s="68"/>
      <x:c r="O103" s="68"/>
      <x:c r="P103" s="68"/>
      <x:c r="Q103" s="90"/>
      <x:c r="R103" s="68"/>
      <x:c r="S103" s="68"/>
      <x:c r="T103" s="82"/>
      <x:c r="U103" s="82"/>
      <x:c r="V103" s="84"/>
      <x:c r="W103" s="84"/>
      <x:c r="X103" s="82"/>
      <x:c r="Y103" s="82"/>
      <x:c r="Z103" s="68"/>
      <x:c r="AA103" s="68"/>
      <x:c r="AB103" s="90"/>
      <x:c r="AC103" s="68"/>
      <x:c r="AD103" s="82"/>
      <x:c r="AE103" s="82"/>
      <x:c r="AF103" s="87"/>
    </x:row>
    <x:row r="104">
      <x:c r="A104" s="72" t="str">
        <x:f>IF(OR(C104="",D104=""),"",B104&amp;"-"&amp;UPPER(C104)&amp;"-"&amp;TEXT(D104,"0000")&amp;"-"&amp;E104)</x:f>
      </x:c>
      <x:c r="B104" s="74" t="str">
        <x:v>M09</x:v>
      </x:c>
      <x:c r="C104" s="74"/>
      <x:c r="D104" s="79"/>
      <x:c r="E104" s="74" t="str">
        <x:v>V1.0</x:v>
      </x:c>
      <x:c r="F104" s="68"/>
      <x:c r="G104" s="82"/>
      <x:c r="H104" s="68"/>
      <x:c r="I104" s="68"/>
      <x:c r="J104" s="68"/>
      <x:c r="K104" s="68"/>
      <x:c r="L104" s="82"/>
      <x:c r="M104" s="68"/>
      <x:c r="N104" s="68"/>
      <x:c r="O104" s="68"/>
      <x:c r="P104" s="68"/>
      <x:c r="Q104" s="90"/>
      <x:c r="R104" s="68"/>
      <x:c r="S104" s="68"/>
      <x:c r="T104" s="82"/>
      <x:c r="U104" s="82"/>
      <x:c r="V104" s="84"/>
      <x:c r="W104" s="84"/>
      <x:c r="X104" s="82"/>
      <x:c r="Y104" s="82"/>
      <x:c r="Z104" s="68"/>
      <x:c r="AA104" s="68"/>
      <x:c r="AB104" s="90"/>
      <x:c r="AC104" s="68"/>
      <x:c r="AD104" s="82"/>
      <x:c r="AE104" s="82"/>
      <x:c r="AF104" s="87"/>
    </x:row>
    <x:row r="105">
      <x:c r="A105" s="72" t="str">
        <x:f>IF(OR(C105="",D105=""),"",B105&amp;"-"&amp;UPPER(C105)&amp;"-"&amp;TEXT(D105,"0000")&amp;"-"&amp;E105)</x:f>
      </x:c>
      <x:c r="B105" s="74" t="str">
        <x:v>M09</x:v>
      </x:c>
      <x:c r="C105" s="74"/>
      <x:c r="D105" s="79"/>
      <x:c r="E105" s="74" t="str">
        <x:v>V1.0</x:v>
      </x:c>
      <x:c r="F105" s="68"/>
      <x:c r="G105" s="82"/>
      <x:c r="H105" s="68"/>
      <x:c r="I105" s="68"/>
      <x:c r="J105" s="68"/>
      <x:c r="K105" s="68"/>
      <x:c r="L105" s="82"/>
      <x:c r="M105" s="68"/>
      <x:c r="N105" s="68"/>
      <x:c r="O105" s="68"/>
      <x:c r="P105" s="68"/>
      <x:c r="Q105" s="90"/>
      <x:c r="R105" s="68"/>
      <x:c r="S105" s="68"/>
      <x:c r="T105" s="82"/>
      <x:c r="U105" s="82"/>
      <x:c r="V105" s="84"/>
      <x:c r="W105" s="84"/>
      <x:c r="X105" s="82"/>
      <x:c r="Y105" s="82"/>
      <x:c r="Z105" s="68"/>
      <x:c r="AA105" s="68"/>
      <x:c r="AB105" s="90"/>
      <x:c r="AC105" s="68"/>
      <x:c r="AD105" s="82"/>
      <x:c r="AE105" s="82"/>
      <x:c r="AF105" s="87"/>
    </x:row>
  </x:sheetData>
  <x:mergeCells>
    <x:mergeCell ref="A1:O1"/>
    <x:mergeCell ref="A2:O2"/>
    <x:mergeCell ref="A3:O3"/>
    <x:mergeCell ref="A4:O4"/>
  </x:mergeCells>
  <x:conditionalFormatting sqref="A6:A105">
    <x:cfRule type="expression" dxfId="7"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L6:L105">
      <x:formula1>'99_下拉选项'!$N$4:$N$8</x:formula1>
    </x:dataValidation>
    <x:dataValidation type="list" sqref="T6:T105">
      <x:formula1>'99_下拉选项'!$X$4:$X$7</x:formula1>
    </x:dataValidation>
    <x:dataValidation type="list" sqref="U6:U105">
      <x:formula1>'99_下拉选项'!$U$4:$U$11</x:formula1>
    </x:dataValidation>
    <x:dataValidation type="list" sqref="X6:X105">
      <x:formula1>'99_下拉选项'!$Q$4:$Q$8</x:formula1>
    </x:dataValidation>
    <x:dataValidation type="list" sqref="Y6:Y105">
      <x:formula1>'99_下拉选项'!$R$4:$R$11</x:formula1>
    </x:dataValidation>
    <x:dataValidation type="list" sqref="AD6:AD105">
      <x:formula1>'99_下拉选项'!$S$4:$S$9</x:formula1>
    </x:dataValidation>
    <x:dataValidation type="list" sqref="AE6:AE105">
      <x:formula1>'99_下拉选项'!$T$4:$T$8</x:formula1>
    </x:dataValidation>
    <x:dataValidation type="list" sqref="E6:E130">
      <x:formula1>'99_下拉选项'!$BG$4:$BG$14</x:formula1>
    </x:dataValidation>
    <x:dataValidation type="list" sqref="E7:E105">
      <x:formula1>'99_下拉选项'!$BG$4:$BG$16</x:formula1>
    </x:dataValidation>
  </x:dataValidations>
  <x:pageMargins left="0.7" right="0.7" top="0.75" bottom="0.75" header="0.3" footer="0.3"/>
  <x:tableParts count="1">
    <x:tablePart xmlns:r="http://schemas.openxmlformats.org/officeDocument/2006/relationships" r:id="R4b60db085c624fcf"/>
  </x:tableParts>
</x:worksheet>
</file>

<file path=xl/worksheets/sheet1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16" hidden="0" customWidth="1"/>
    <x:col min="11" max="11" width="16" hidden="0" customWidth="1"/>
    <x:col min="12" max="12" width="16" hidden="0" customWidth="1"/>
    <x:col min="13" max="13" width="30" hidden="0" customWidth="1"/>
    <x:col min="14" max="14" width="30" hidden="0" customWidth="1"/>
    <x:col min="15" max="15" width="30" hidden="0" customWidth="1"/>
    <x:col min="16" max="16" width="30" hidden="0" customWidth="1"/>
    <x:col min="17" max="17" width="30" hidden="0" customWidth="1"/>
    <x:col min="18" max="18" width="16"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M10｜十神存在、旺衰与功能状态规则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分别判断十神是否存在、自身力量、清纯度、功能是否有效及对全局喜忌。禁止把十神旺弱直接等同于吉凶。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前置依赖：M02/M08/M09　｜　主要输出：十神力量、清纯度、功能状态与喜忌候选　｜　直接下游：M11/M14/M15/M16/M17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十神</x:v>
      </x:c>
      <x:c r="I5" s="61" t="str">
        <x:v>存在方式</x:v>
      </x:c>
      <x:c r="J5" s="61" t="str">
        <x:v>原始力量</x:v>
      </x:c>
      <x:c r="K5" s="61" t="str">
        <x:v>有效力量</x:v>
      </x:c>
      <x:c r="L5" s="61" t="str">
        <x:v>清纯程度</x:v>
      </x:c>
      <x:c r="M5" s="61" t="str">
        <x:v>生源状态</x:v>
      </x:c>
      <x:c r="N5" s="61" t="str">
        <x:v>制约状态</x:v>
      </x:c>
      <x:c r="O5" s="61" t="str">
        <x:v>功能状态</x:v>
      </x:c>
      <x:c r="P5" s="61" t="str">
        <x:v>格局功能</x:v>
      </x:c>
      <x:c r="Q5" s="61" t="str">
        <x:v>对日主作用</x:v>
      </x:c>
      <x:c r="R5" s="61" t="str">
        <x:v>喜忌候选</x:v>
      </x:c>
      <x:c r="S5" s="61" t="str">
        <x:v>判断条件</x:v>
      </x:c>
      <x:c r="T5" s="61" t="str">
        <x:v>前置条件</x:v>
      </x:c>
      <x:c r="U5" s="61" t="str">
        <x:v>必要条件</x:v>
      </x:c>
      <x:c r="V5" s="61" t="str">
        <x:v>增强条件</x:v>
      </x:c>
      <x:c r="W5" s="61" t="str">
        <x:v>削弱条件</x:v>
      </x:c>
      <x:c r="X5" s="61" t="str">
        <x:v>否决条件</x:v>
      </x:c>
      <x:c r="Y5" s="61" t="str">
        <x:v>例外条件</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M10-DEMO-9999-V0.1</x:v>
      </x:c>
      <x:c r="B6" s="76" t="str">
        <x:v>M10</x:v>
      </x:c>
      <x:c r="C6" s="76" t="str">
        <x:v>DEMO</x:v>
      </x:c>
      <x:c r="D6" s="78" t="n">
        <x:v>9999</x:v>
      </x:c>
      <x:c r="E6" s="76" t="str">
        <x:v>V0.1</x:v>
      </x:c>
      <x:c r="F6" s="76" t="str">
        <x:v>七杀旺不等于七杀直接为害</x:v>
      </x:c>
      <x:c r="G6" s="76" t="str">
        <x:v>结构层</x:v>
      </x:c>
      <x:c r="H6" s="76" t="str">
        <x:v>七杀</x:v>
      </x:c>
      <x:c r="I6" s="76" t="str">
        <x:v>透干</x:v>
      </x:c>
      <x:c r="J6" s="76" t="str">
        <x:v>旺</x:v>
      </x:c>
      <x:c r="K6" s="76" t="str">
        <x:v>待定</x:v>
      </x:c>
      <x:c r="L6" s="76" t="str">
        <x:v>较清</x:v>
      </x:c>
      <x:c r="M6" s="76" t="str">
        <x:v>财星是否生杀另查</x:v>
      </x:c>
      <x:c r="N6" s="76" t="str">
        <x:v>检查食神制杀、印化杀及合绊</x:v>
      </x:c>
      <x:c r="O6" s="76" t="str">
        <x:v>待定</x:v>
      </x:c>
      <x:c r="P6" s="76" t="str">
        <x:v>可能成为杀印相生或食神制杀核心</x:v>
      </x:c>
      <x:c r="Q6" s="76" t="str">
        <x:v>有制身压力，但压力是否化为害取决于制化</x:v>
      </x:c>
      <x:c r="R6" s="76" t="str">
        <x:v>待定</x:v>
      </x:c>
      <x:c r="S6" s="76" t="str">
        <x:v>七杀真实有力</x:v>
      </x:c>
      <x:c r="T6" s="76" t="str">
        <x:v>M08与M09完成</x:v>
      </x:c>
      <x:c r="U6" s="76" t="str">
        <x:v>分别评估杀、印、食神及日主承载</x:v>
      </x:c>
      <x:c r="V6" s="76" t="str">
        <x:v>财生杀且无制化</x:v>
      </x:c>
      <x:c r="W6" s="76" t="str">
        <x:v>印化杀、食神制杀或合住</x:v>
      </x:c>
      <x:c r="X6" s="76" t="str">
        <x:v>不得仅凭七杀旺直接定为忌神</x:v>
      </x:c>
      <x:c r="Y6" s="76" t="str">
        <x:v>杀旺攻身且无制无化、日主无承载时可定明显为忌</x:v>
      </x:c>
      <x:c r="Z6" s="76" t="str">
        <x:v>不得直接推出凶、灾或具体事件</x:v>
      </x:c>
      <x:c r="AA6" s="76" t="str">
        <x:v>十神功能性</x:v>
      </x:c>
      <x:c r="AB6" s="76" t="str">
        <x:v>七杀原始力量较强，但其实际功能仍取决于印化、食制、合绊及日主承载，不宜只以旺弱定吉凶。</x:v>
      </x:c>
      <x:c r="AC6" s="76" t="str">
        <x:v>较高</x:v>
      </x:c>
      <x:c r="AD6" s="76" t="str">
        <x:v>现代综合</x:v>
      </x:c>
      <x:c r="AE6" s="76" t="str">
        <x:v>十神存在性、旺衰性、功能性与喜忌性须分开。</x:v>
      </x:c>
      <x:c r="AF6" s="76" t="str">
        <x:v>七杀旺而印有力，可形成杀印相生。</x:v>
      </x:c>
      <x:c r="AG6" s="76" t="str">
        <x:v>七杀旺便直接写成七杀为害。</x:v>
      </x:c>
      <x:c r="AH6" s="76" t="str">
        <x:v>示例，仅演示字段用法</x:v>
      </x:c>
      <x:c r="AI6" s="76" t="str">
        <x:v>示例</x:v>
      </x:c>
      <x:c r="AJ6" s="76" t="str">
        <x:v>未审核</x:v>
      </x:c>
      <x:c r="AK6" s="86" t="n">
        <x:v>46254</x:v>
      </x:c>
    </x:row>
    <x:row r="7">
      <x:c r="A7" s="72" t="str">
        <x:f>IF(OR(C7="",D7=""),"",B7&amp;"-"&amp;UPPER(C7)&amp;"-"&amp;TEXT(D7,"0000")&amp;"-"&amp;E7)</x:f>
        <x:v>M10-PRES-0001-V1.0</x:v>
      </x:c>
      <x:c r="B7" s="74" t="str">
        <x:v>M10</x:v>
      </x:c>
      <x:c r="C7" s="74" t="str">
        <x:v>PRES</x:v>
      </x:c>
      <x:c r="D7" s="215" t="n">
        <x:v>1</x:v>
      </x:c>
      <x:c r="E7" s="74" t="str">
        <x:v>V1.0</x:v>
      </x:c>
      <x:c r="F7" s="68" t="str">
        <x:v>十神透干属于明确显性存在</x:v>
      </x:c>
      <x:c r="G7" s="82" t="str">
        <x:v>结构层</x:v>
      </x:c>
      <x:c r="H7" s="82" t="str">
        <x:v>比肩</x:v>
      </x:c>
      <x:c r="I7" s="82" t="str">
        <x:v>透干</x:v>
      </x:c>
      <x:c r="J7" s="82" t="str">
        <x:v>待定</x:v>
      </x:c>
      <x:c r="K7" s="82" t="str">
        <x:v>待定</x:v>
      </x:c>
      <x:c r="L7" s="82" t="str">
        <x:v>待定</x:v>
      </x:c>
      <x:c r="M7" s="68" t="str">
        <x:v>按M08核查</x:v>
      </x:c>
      <x:c r="N7" s="68" t="str">
        <x:v>按M06/M08核查</x:v>
      </x:c>
      <x:c r="O7" s="82" t="str">
        <x:v>待定</x:v>
      </x:c>
      <x:c r="P7" s="68" t="str">
        <x:v>转M11/M14判断</x:v>
      </x:c>
      <x:c r="Q7" s="68" t="str">
        <x:v>存在层面明确，但实际帮身或分力取决于有效旺衰</x:v>
      </x:c>
      <x:c r="R7" s="82" t="str">
        <x:v>待定</x:v>
      </x:c>
      <x:c r="S7" s="68" t="str">
        <x:v>目标十神出现在四柱天干</x:v>
      </x:c>
      <x:c r="T7" s="68" t="str">
        <x:v>M02十神映射、M08五行有效旺衰、M09日主旺衰已完成</x:v>
      </x:c>
      <x:c r="U7" s="68" t="str">
        <x:v>先依据日主阴阳生克正确映射该天干十神</x:v>
      </x:c>
      <x:c r="V7" s="68" t="str">
        <x:v>得令、有根、透干、同党或生源形成独立有效证据</x:v>
      </x:c>
      <x:c r="W7" s="68" t="str">
        <x:v>失令、无根、被合绊、被制、改性或作用路径受阻</x:v>
      </x:c>
      <x:c r="X7" s="90" t="str">
        <x:v>不得以十神名称、数量或单一旺弱证据直接完成定性</x:v>
      </x:c>
      <x:c r="Y7" s="68" t="str">
        <x:v>特殊格局、从化候选及明确组合转M11/M14另审</x:v>
      </x:c>
      <x:c r="Z7" s="68" t="str">
        <x:v>不得由透干直接推出十神旺、清纯、有用或为喜忌</x:v>
      </x:c>
      <x:c r="AA7" s="84" t="str">
        <x:v>十神显性存在</x:v>
      </x:c>
      <x:c r="AB7" s="84" t="str">
        <x:v>十神透干属于明确显性存在：当“目标十神出现在四柱天干”成立时，按本规则记录十神的有效功能；同时保留制化、承载和反向证据。</x:v>
      </x:c>
      <x:c r="AC7" s="82" t="str">
        <x:v>较高</x:v>
      </x:c>
      <x:c r="AD7" s="82" t="str">
        <x:v>现代综合</x:v>
      </x:c>
      <x:c r="AE7" s="68" t="str">
        <x:v>十神必须分开判断存在性、力量、清纯度、功能性与喜忌性；M10只形成结构层结论和候选，不越级替代M11—M18。</x:v>
      </x:c>
      <x:c r="AF7" s="68" t="str">
        <x:v>相关条件真实成立，且增强条件有效时，可按“十神透干属于明确显性存在”记录对应功能。</x:v>
      </x:c>
      <x:c r="AG7" s="90" t="str">
        <x:v>仅见表面十神名称或数量，但“不得以十神名称、数量或单一旺弱证据直接完成定性”所述限制存在时，不得套用本规则。</x:v>
      </x:c>
      <x:c r="AH7" s="68" t="str">
        <x:v>https://zh.wikisource.org/wiki/%E6%B8%8A%E6%B5%B7%E5%AD%90%E5%B9%B3%E5%A4%A7%E5%85%A8 ; https://zh.wikisource.org/wiki/%E6%BB%B4%E5%A4%A9%E9%AB%93%E9%97%A1%E5%BE%AE</x:v>
      </x:c>
      <x:c r="AI7" s="82" t="str">
        <x:v>采用</x:v>
      </x:c>
      <x:c r="AJ7" s="82" t="str">
        <x:v>初审</x:v>
      </x:c>
      <x:c r="AK7" s="87" t="n">
        <x:v>46255</x:v>
      </x:c>
    </x:row>
    <x:row r="8">
      <x:c r="A8" s="72" t="str">
        <x:f>IF(OR(C8="",D8=""),"",B8&amp;"-"&amp;UPPER(C8)&amp;"-"&amp;TEXT(D8,"0000")&amp;"-"&amp;E8)</x:f>
        <x:v>M10-PRES-0002-V1.0</x:v>
      </x:c>
      <x:c r="B8" s="74" t="str">
        <x:v>M10</x:v>
      </x:c>
      <x:c r="C8" s="74" t="str">
        <x:v>PRES</x:v>
      </x:c>
      <x:c r="D8" s="215" t="n">
        <x:v>2</x:v>
      </x:c>
      <x:c r="E8" s="74" t="str">
        <x:v>V1.0</x:v>
      </x:c>
      <x:c r="F8" s="68" t="str">
        <x:v>藏于地支本气属于稳定的隐性存在</x:v>
      </x:c>
      <x:c r="G8" s="82" t="str">
        <x:v>结构层</x:v>
      </x:c>
      <x:c r="H8" s="82" t="str">
        <x:v>劫财</x:v>
      </x:c>
      <x:c r="I8" s="82" t="str">
        <x:v>藏支本气</x:v>
      </x:c>
      <x:c r="J8" s="82" t="str">
        <x:v>待定</x:v>
      </x:c>
      <x:c r="K8" s="82" t="str">
        <x:v>待定</x:v>
      </x:c>
      <x:c r="L8" s="82" t="str">
        <x:v>待定</x:v>
      </x:c>
      <x:c r="M8" s="68" t="str">
        <x:v>按M08核查</x:v>
      </x:c>
      <x:c r="N8" s="68" t="str">
        <x:v>按M06/M08核查</x:v>
      </x:c>
      <x:c r="O8" s="82" t="str">
        <x:v>待定</x:v>
      </x:c>
      <x:c r="P8" s="68" t="str">
        <x:v>转M11/M14判断</x:v>
      </x:c>
      <x:c r="Q8" s="68" t="str">
        <x:v>需结合M09日主承载判断</x:v>
      </x:c>
      <x:c r="R8" s="82" t="str">
        <x:v>待定</x:v>
      </x:c>
      <x:c r="S8" s="68" t="str">
        <x:v>目标十神对应天干藏于某地支本气</x:v>
      </x:c>
      <x:c r="T8" s="68" t="str">
        <x:v>M02十神映射、M08五行有效旺衰、M09日主旺衰已完成</x:v>
      </x:c>
      <x:c r="U8" s="68" t="str">
        <x:v>相关十神已由M02正确映射，并以M08有效力量为准</x:v>
      </x:c>
      <x:c r="V8" s="68" t="str">
        <x:v>得令、有根、透干、同党或生源形成独立有效证据</x:v>
      </x:c>
      <x:c r="W8" s="68" t="str">
        <x:v>失令、无根、被合绊、被制、改性或作用路径受阻</x:v>
      </x:c>
      <x:c r="X8" s="90" t="str">
        <x:v>不得以十神名称、数量或单一旺弱证据直接完成定性</x:v>
      </x:c>
      <x:c r="Y8" s="68" t="str">
        <x:v>特殊格局、从化候选及明确组合转M11/M14另审</x:v>
      </x:c>
      <x:c r="Z8" s="68" t="str">
        <x:v>不得由本气藏支直接推出已经透达或一定发挥强功能</x:v>
      </x:c>
      <x:c r="AA8" s="84" t="str">
        <x:v>十神本气藏支</x:v>
      </x:c>
      <x:c r="AB8" s="84" t="str">
        <x:v>藏于地支本气属于稳定的隐性存在：当“目标十神对应天干藏于某地支本气”成立时，按本规则记录十神的有效功能；同时保留制化、承载和反向证据。</x:v>
      </x:c>
      <x:c r="AC8" s="82" t="str">
        <x:v>较高</x:v>
      </x:c>
      <x:c r="AD8" s="82" t="str">
        <x:v>现代综合</x:v>
      </x:c>
      <x:c r="AE8" s="68" t="str">
        <x:v>十神必须分开判断存在性、力量、清纯度、功能性与喜忌性；M10只形成结构层结论和候选，不越级替代M11—M18。</x:v>
      </x:c>
      <x:c r="AF8" s="68" t="str">
        <x:v>相关条件真实成立，且增强条件有效时，可按“藏于地支本气属于稳定的隐性存在”记录对应功能。</x:v>
      </x:c>
      <x:c r="AG8" s="90" t="str">
        <x:v>仅见表面十神名称或数量，但“不得以十神名称、数量或单一旺弱证据直接完成定性”所述限制存在时，不得套用本规则。</x:v>
      </x:c>
      <x:c r="AH8" s="68" t="str">
        <x:v>https://zh.wikisource.org/wiki/%E6%B8%8A%E6%B5%B7%E5%AD%90%E5%B9%B3%E5%A4%A7%E5%85%A8 ; https://zh.wikisource.org/wiki/%E6%BB%B4%E5%A4%A9%E9%AB%93%E9%97%A1%E5%BE%AE</x:v>
      </x:c>
      <x:c r="AI8" s="82" t="str">
        <x:v>采用</x:v>
      </x:c>
      <x:c r="AJ8" s="82" t="str">
        <x:v>初审</x:v>
      </x:c>
      <x:c r="AK8" s="87" t="n">
        <x:v>46255</x:v>
      </x:c>
    </x:row>
    <x:row r="9">
      <x:c r="A9" s="72" t="str">
        <x:f>IF(OR(C9="",D9=""),"",B9&amp;"-"&amp;UPPER(C9)&amp;"-"&amp;TEXT(D9,"0000")&amp;"-"&amp;E9)</x:f>
        <x:v>M10-PRES-0003-V1.0</x:v>
      </x:c>
      <x:c r="B9" s="74" t="str">
        <x:v>M10</x:v>
      </x:c>
      <x:c r="C9" s="74" t="str">
        <x:v>PRES</x:v>
      </x:c>
      <x:c r="D9" s="215" t="n">
        <x:v>3</x:v>
      </x:c>
      <x:c r="E9" s="74" t="str">
        <x:v>V1.0</x:v>
      </x:c>
      <x:c r="F9" s="68" t="str">
        <x:v>藏于地支中气属于中层隐性存在</x:v>
      </x:c>
      <x:c r="G9" s="82" t="str">
        <x:v>结构层</x:v>
      </x:c>
      <x:c r="H9" s="82" t="str">
        <x:v>食神</x:v>
      </x:c>
      <x:c r="I9" s="82" t="str">
        <x:v>藏支中气</x:v>
      </x:c>
      <x:c r="J9" s="82" t="str">
        <x:v>待定</x:v>
      </x:c>
      <x:c r="K9" s="82" t="str">
        <x:v>待定</x:v>
      </x:c>
      <x:c r="L9" s="82" t="str">
        <x:v>待定</x:v>
      </x:c>
      <x:c r="M9" s="68" t="str">
        <x:v>按M08核查</x:v>
      </x:c>
      <x:c r="N9" s="68" t="str">
        <x:v>按M06/M08核查</x:v>
      </x:c>
      <x:c r="O9" s="82" t="str">
        <x:v>待定</x:v>
      </x:c>
      <x:c r="P9" s="68" t="str">
        <x:v>转M11/M14判断</x:v>
      </x:c>
      <x:c r="Q9" s="68" t="str">
        <x:v>需结合M09日主承载判断</x:v>
      </x:c>
      <x:c r="R9" s="82" t="str">
        <x:v>待定</x:v>
      </x:c>
      <x:c r="S9" s="68" t="str">
        <x:v>目标十神对应天干藏于某地支中气</x:v>
      </x:c>
      <x:c r="T9" s="68" t="str">
        <x:v>M02十神映射、M08五行有效旺衰、M09日主旺衰已完成</x:v>
      </x:c>
      <x:c r="U9" s="68" t="str">
        <x:v>相关十神已由M02正确映射，并以M08有效力量为准</x:v>
      </x:c>
      <x:c r="V9" s="68" t="str">
        <x:v>得令、有根、透干、同党或生源形成独立有效证据</x:v>
      </x:c>
      <x:c r="W9" s="68" t="str">
        <x:v>失令、无根、被合绊、被制、改性或作用路径受阻</x:v>
      </x:c>
      <x:c r="X9" s="90" t="str">
        <x:v>不得以十神名称、数量或单一旺弱证据直接完成定性</x:v>
      </x:c>
      <x:c r="Y9" s="68" t="str">
        <x:v>特殊格局、从化候选及明确组合转M11/M14另审</x:v>
      </x:c>
      <x:c r="Z9" s="68" t="str">
        <x:v>不得把中气藏干与本气、透干等权</x:v>
      </x:c>
      <x:c r="AA9" s="84" t="str">
        <x:v>十神中气藏支</x:v>
      </x:c>
      <x:c r="AB9" s="84" t="str">
        <x:v>藏于地支中气属于中层隐性存在：当“目标十神对应天干藏于某地支中气”成立时，按本规则记录十神的有效功能；同时保留制化、承载和反向证据。</x:v>
      </x:c>
      <x:c r="AC9" s="82" t="str">
        <x:v>较高</x:v>
      </x:c>
      <x:c r="AD9" s="82" t="str">
        <x:v>现代综合</x:v>
      </x:c>
      <x:c r="AE9" s="68" t="str">
        <x:v>十神必须分开判断存在性、力量、清纯度、功能性与喜忌性；M10只形成结构层结论和候选，不越级替代M11—M18。</x:v>
      </x:c>
      <x:c r="AF9" s="68" t="str">
        <x:v>相关条件真实成立，且增强条件有效时，可按“藏于地支中气属于中层隐性存在”记录对应功能。</x:v>
      </x:c>
      <x:c r="AG9" s="90" t="str">
        <x:v>仅见表面十神名称或数量，但“不得以十神名称、数量或单一旺弱证据直接完成定性”所述限制存在时，不得套用本规则。</x:v>
      </x:c>
      <x:c r="AH9" s="68" t="str">
        <x:v>https://zh.wikisource.org/wiki/%E6%B8%8A%E6%B5%B7%E5%AD%90%E5%B9%B3%E5%A4%A7%E5%85%A8 ; https://zh.wikisource.org/wiki/%E6%BB%B4%E5%A4%A9%E9%AB%93%E9%97%A1%E5%BE%AE</x:v>
      </x:c>
      <x:c r="AI9" s="82" t="str">
        <x:v>采用</x:v>
      </x:c>
      <x:c r="AJ9" s="82" t="str">
        <x:v>初审</x:v>
      </x:c>
      <x:c r="AK9" s="87" t="n">
        <x:v>46255</x:v>
      </x:c>
    </x:row>
    <x:row r="10">
      <x:c r="A10" s="72" t="str">
        <x:f>IF(OR(C10="",D10=""),"",B10&amp;"-"&amp;UPPER(C10)&amp;"-"&amp;TEXT(D10,"0000")&amp;"-"&amp;E10)</x:f>
        <x:v>M10-PRES-0004-V1.0</x:v>
      </x:c>
      <x:c r="B10" s="74" t="str">
        <x:v>M10</x:v>
      </x:c>
      <x:c r="C10" s="74" t="str">
        <x:v>PRES</x:v>
      </x:c>
      <x:c r="D10" s="215" t="n">
        <x:v>4</x:v>
      </x:c>
      <x:c r="E10" s="74" t="str">
        <x:v>V1.0</x:v>
      </x:c>
      <x:c r="F10" s="68" t="str">
        <x:v>藏于地支余气属于弱层隐性存在</x:v>
      </x:c>
      <x:c r="G10" s="82" t="str">
        <x:v>结构层</x:v>
      </x:c>
      <x:c r="H10" s="82" t="str">
        <x:v>伤官</x:v>
      </x:c>
      <x:c r="I10" s="82" t="str">
        <x:v>藏支余气</x:v>
      </x:c>
      <x:c r="J10" s="82" t="str">
        <x:v>待定</x:v>
      </x:c>
      <x:c r="K10" s="82" t="str">
        <x:v>待定</x:v>
      </x:c>
      <x:c r="L10" s="82" t="str">
        <x:v>待定</x:v>
      </x:c>
      <x:c r="M10" s="68" t="str">
        <x:v>按M08核查</x:v>
      </x:c>
      <x:c r="N10" s="68" t="str">
        <x:v>按M06/M08核查</x:v>
      </x:c>
      <x:c r="O10" s="82" t="str">
        <x:v>待定</x:v>
      </x:c>
      <x:c r="P10" s="68" t="str">
        <x:v>转M11/M14判断</x:v>
      </x:c>
      <x:c r="Q10" s="68" t="str">
        <x:v>需结合M09日主承载判断</x:v>
      </x:c>
      <x:c r="R10" s="82" t="str">
        <x:v>待定</x:v>
      </x:c>
      <x:c r="S10" s="68" t="str">
        <x:v>目标十神对应天干藏于某地支余气</x:v>
      </x:c>
      <x:c r="T10" s="68" t="str">
        <x:v>M02十神映射、M08五行有效旺衰、M09日主旺衰已完成</x:v>
      </x:c>
      <x:c r="U10" s="68" t="str">
        <x:v>相关十神已由M02正确映射，并以M08有效力量为准</x:v>
      </x:c>
      <x:c r="V10" s="68" t="str">
        <x:v>得令、有根、透干、同党或生源形成独立有效证据</x:v>
      </x:c>
      <x:c r="W10" s="68" t="str">
        <x:v>失令、无根、被合绊、被制、改性或作用路径受阻</x:v>
      </x:c>
      <x:c r="X10" s="90" t="str">
        <x:v>不得以十神名称、数量或单一旺弱证据直接完成定性</x:v>
      </x:c>
      <x:c r="Y10" s="68" t="str">
        <x:v>特殊格局、从化候选及明确组合转M11/M14另审</x:v>
      </x:c>
      <x:c r="Z10" s="68" t="str">
        <x:v>不得把余气存在直接写成该十神旺或主导</x:v>
      </x:c>
      <x:c r="AA10" s="84" t="str">
        <x:v>十神余气藏支</x:v>
      </x:c>
      <x:c r="AB10" s="84" t="str">
        <x:v>藏于地支余气属于弱层隐性存在：当“目标十神对应天干藏于某地支余气”成立时，按本规则记录十神的有效功能；同时保留制化、承载和反向证据。</x:v>
      </x:c>
      <x:c r="AC10" s="82" t="str">
        <x:v>较高</x:v>
      </x:c>
      <x:c r="AD10" s="82" t="str">
        <x:v>现代综合</x:v>
      </x:c>
      <x:c r="AE10" s="68" t="str">
        <x:v>十神必须分开判断存在性、力量、清纯度、功能性与喜忌性；M10只形成结构层结论和候选，不越级替代M11—M18。</x:v>
      </x:c>
      <x:c r="AF10" s="68" t="str">
        <x:v>相关条件真实成立，且增强条件有效时，可按“藏于地支余气属于弱层隐性存在”记录对应功能。</x:v>
      </x:c>
      <x:c r="AG10" s="90" t="str">
        <x:v>仅见表面十神名称或数量，但“不得以十神名称、数量或单一旺弱证据直接完成定性”所述限制存在时，不得套用本规则。</x:v>
      </x:c>
      <x:c r="AH10" s="68" t="str">
        <x:v>https://zh.wikisource.org/wiki/%E6%B8%8A%E6%B5%B7%E5%AD%90%E5%B9%B3%E5%A4%A7%E5%85%A8 ; https://zh.wikisource.org/wiki/%E6%BB%B4%E5%A4%A9%E9%AB%93%E9%97%A1%E5%BE%AE</x:v>
      </x:c>
      <x:c r="AI10" s="82" t="str">
        <x:v>采用</x:v>
      </x:c>
      <x:c r="AJ10" s="82" t="str">
        <x:v>初审</x:v>
      </x:c>
      <x:c r="AK10" s="87" t="n">
        <x:v>46255</x:v>
      </x:c>
    </x:row>
    <x:row r="11">
      <x:c r="A11" s="72" t="str">
        <x:f>IF(OR(C11="",D11=""),"",B11&amp;"-"&amp;UPPER(C11)&amp;"-"&amp;TEXT(D11,"0000")&amp;"-"&amp;E11)</x:f>
        <x:v>M10-PRES-0005-V1.0</x:v>
      </x:c>
      <x:c r="B11" s="74" t="str">
        <x:v>M10</x:v>
      </x:c>
      <x:c r="C11" s="74" t="str">
        <x:v>PRES</x:v>
      </x:c>
      <x:c r="D11" s="215" t="n">
        <x:v>5</x:v>
      </x:c>
      <x:c r="E11" s="74" t="str">
        <x:v>V1.0</x:v>
      </x:c>
      <x:c r="F11" s="68" t="str">
        <x:v>同一十神多处出现只证明节点增多</x:v>
      </x:c>
      <x:c r="G11" s="82" t="str">
        <x:v>结构层</x:v>
      </x:c>
      <x:c r="H11" s="82" t="str">
        <x:v>偏财</x:v>
      </x:c>
      <x:c r="I11" s="82" t="str">
        <x:v>多处出现</x:v>
      </x:c>
      <x:c r="J11" s="82" t="str">
        <x:v>待定</x:v>
      </x:c>
      <x:c r="K11" s="82" t="str">
        <x:v>待定</x:v>
      </x:c>
      <x:c r="L11" s="82" t="str">
        <x:v>待定</x:v>
      </x:c>
      <x:c r="M11" s="68" t="str">
        <x:v>按M08核查</x:v>
      </x:c>
      <x:c r="N11" s="68" t="str">
        <x:v>按M06/M08核查</x:v>
      </x:c>
      <x:c r="O11" s="82" t="str">
        <x:v>待定</x:v>
      </x:c>
      <x:c r="P11" s="68" t="str">
        <x:v>转M11/M14判断</x:v>
      </x:c>
      <x:c r="Q11" s="68" t="str">
        <x:v>需结合M09日主承载判断</x:v>
      </x:c>
      <x:c r="R11" s="82" t="str">
        <x:v>待定</x:v>
      </x:c>
      <x:c r="S11" s="68" t="str">
        <x:v>同一十神在两个及以上独立干支节点出现</x:v>
      </x:c>
      <x:c r="T11" s="68" t="str">
        <x:v>M02十神映射、M08五行有效旺衰、M09日主旺衰已完成</x:v>
      </x:c>
      <x:c r="U11" s="68" t="str">
        <x:v>相关十神已由M02正确映射，并以M08有效力量为准</x:v>
      </x:c>
      <x:c r="V11" s="68" t="str">
        <x:v>得令、有根、透干、同党或生源形成独立有效证据</x:v>
      </x:c>
      <x:c r="W11" s="68" t="str">
        <x:v>失令、无根、被合绊、被制、改性或作用路径受阻</x:v>
      </x:c>
      <x:c r="X11" s="90" t="str">
        <x:v>不得以十神名称、数量或单一旺弱证据直接完成定性</x:v>
      </x:c>
      <x:c r="Y11" s="68" t="str">
        <x:v>特殊格局、从化候选及明确组合转M11/M14另审</x:v>
      </x:c>
      <x:c r="Z11" s="68" t="str">
        <x:v>不得按出现次数线性累加十神力量或直接判成势</x:v>
      </x:c>
      <x:c r="AA11" s="84" t="str">
        <x:v>十神多节点存在</x:v>
      </x:c>
      <x:c r="AB11" s="84" t="str">
        <x:v>同一十神多处出现只证明节点增多：当“同一十神在两个及以上独立干支节点出现”成立时，按本规则记录十神的有效功能；同时保留制化、承载和反向证据。</x:v>
      </x:c>
      <x:c r="AC11" s="82" t="str">
        <x:v>较高</x:v>
      </x:c>
      <x:c r="AD11" s="82" t="str">
        <x:v>现代综合</x:v>
      </x:c>
      <x:c r="AE11" s="68" t="str">
        <x:v>十神必须分开判断存在性、力量、清纯度、功能性与喜忌性；M10只形成结构层结论和候选，不越级替代M11—M18。</x:v>
      </x:c>
      <x:c r="AF11" s="68" t="str">
        <x:v>相关条件真实成立，且增强条件有效时，可按“同一十神多处出现只证明节点增多”记录对应功能。</x:v>
      </x:c>
      <x:c r="AG11" s="90" t="str">
        <x:v>仅见表面十神名称或数量，但“不得以十神名称、数量或单一旺弱证据直接完成定性”所述限制存在时，不得套用本规则。</x:v>
      </x:c>
      <x:c r="AH11" s="68" t="str">
        <x:v>https://zh.wikisource.org/wiki/%E6%B8%8A%E6%B5%B7%E5%AD%90%E5%B9%B3%E5%A4%A7%E5%85%A8 ; https://zh.wikisource.org/wiki/%E6%BB%B4%E5%A4%A9%E9%AB%93%E9%97%A1%E5%BE%AE</x:v>
      </x:c>
      <x:c r="AI11" s="82" t="str">
        <x:v>采用</x:v>
      </x:c>
      <x:c r="AJ11" s="82" t="str">
        <x:v>初审</x:v>
      </x:c>
      <x:c r="AK11" s="87" t="n">
        <x:v>46255</x:v>
      </x:c>
    </x:row>
    <x:row r="12">
      <x:c r="A12" s="72" t="str">
        <x:f>IF(OR(C12="",D12=""),"",B12&amp;"-"&amp;UPPER(C12)&amp;"-"&amp;TEXT(D12,"0000")&amp;"-"&amp;E12)</x:f>
        <x:v>M10-PRES-0006-V1.0</x:v>
      </x:c>
      <x:c r="B12" s="74" t="str">
        <x:v>M10</x:v>
      </x:c>
      <x:c r="C12" s="74" t="str">
        <x:v>PRES</x:v>
      </x:c>
      <x:c r="D12" s="215" t="n">
        <x:v>6</x:v>
      </x:c>
      <x:c r="E12" s="74" t="str">
        <x:v>V1.0</x:v>
      </x:c>
      <x:c r="F12" s="68" t="str">
        <x:v>十神完全不现仅表示原局无直接节点</x:v>
      </x:c>
      <x:c r="G12" s="82" t="str">
        <x:v>结构层</x:v>
      </x:c>
      <x:c r="H12" s="82" t="str">
        <x:v>正财</x:v>
      </x:c>
      <x:c r="I12" s="82" t="str">
        <x:v>完全不现</x:v>
      </x:c>
      <x:c r="J12" s="82" t="str">
        <x:v>极弱</x:v>
      </x:c>
      <x:c r="K12" s="82" t="str">
        <x:v>极弱</x:v>
      </x:c>
      <x:c r="L12" s="82" t="str">
        <x:v>待定</x:v>
      </x:c>
      <x:c r="M12" s="68" t="str">
        <x:v>按M08核查</x:v>
      </x:c>
      <x:c r="N12" s="68" t="str">
        <x:v>按M06/M08核查</x:v>
      </x:c>
      <x:c r="O12" s="82" t="str">
        <x:v>待定</x:v>
      </x:c>
      <x:c r="P12" s="68" t="str">
        <x:v>转M11/M14判断</x:v>
      </x:c>
      <x:c r="Q12" s="68" t="str">
        <x:v>需结合M09日主承载判断</x:v>
      </x:c>
      <x:c r="R12" s="82" t="str">
        <x:v>待定</x:v>
      </x:c>
      <x:c r="S12" s="68" t="str">
        <x:v>四柱明干与藏干均未出现目标十神</x:v>
      </x:c>
      <x:c r="T12" s="68" t="str">
        <x:v>M02十神映射、M08五行有效旺衰、M09日主旺衰已完成</x:v>
      </x:c>
      <x:c r="U12" s="68" t="str">
        <x:v>相关十神已由M02正确映射，并以M08有效力量为准</x:v>
      </x:c>
      <x:c r="V12" s="68" t="str">
        <x:v>得令、有根、透干、同党或生源形成独立有效证据</x:v>
      </x:c>
      <x:c r="W12" s="68" t="str">
        <x:v>失令、无根、被合绊、被制、改性或作用路径受阻</x:v>
      </x:c>
      <x:c r="X12" s="90" t="str">
        <x:v>不得以十神名称、数量或单一旺弱证据直接完成定性</x:v>
      </x:c>
      <x:c r="Y12" s="68" t="str">
        <x:v>特殊格局、从化候选及明确组合转M11/M14另审</x:v>
      </x:c>
      <x:c r="Z12" s="68" t="str">
        <x:v>不得由原局不现直接推出人生领域缺失、没有某类亲属或具体事件不会发生</x:v>
      </x:c>
      <x:c r="AA12" s="84" t="str">
        <x:v>十神原局不现</x:v>
      </x:c>
      <x:c r="AB12" s="84" t="str">
        <x:v>十神完全不现仅表示原局无直接节点：当“四柱明干与藏干均未出现目标十神”成立时，按本规则记录十神的有效功能；同时保留制化、承载和反向证据。</x:v>
      </x:c>
      <x:c r="AC12" s="82" t="str">
        <x:v>较高</x:v>
      </x:c>
      <x:c r="AD12" s="82" t="str">
        <x:v>现代综合</x:v>
      </x:c>
      <x:c r="AE12" s="68" t="str">
        <x:v>十神必须分开判断存在性、力量、清纯度、功能性与喜忌性；M10只形成结构层结论和候选，不越级替代M11—M18。</x:v>
      </x:c>
      <x:c r="AF12" s="68" t="str">
        <x:v>相关条件真实成立，且增强条件有效时，可按“十神完全不现仅表示原局无直接节点”记录对应功能。</x:v>
      </x:c>
      <x:c r="AG12" s="90" t="str">
        <x:v>仅见表面十神名称或数量，但“不得以十神名称、数量或单一旺弱证据直接完成定性”所述限制存在时，不得套用本规则。</x:v>
      </x:c>
      <x:c r="AH12" s="68" t="str">
        <x:v>https://zh.wikisource.org/wiki/%E6%B8%8A%E6%B5%B7%E5%AD%90%E5%B9%B3%E5%A4%A7%E5%85%A8 ; https://zh.wikisource.org/wiki/%E6%BB%B4%E5%A4%A9%E9%AB%93%E9%97%A1%E5%BE%AE</x:v>
      </x:c>
      <x:c r="AI12" s="82" t="str">
        <x:v>采用</x:v>
      </x:c>
      <x:c r="AJ12" s="82" t="str">
        <x:v>初审</x:v>
      </x:c>
      <x:c r="AK12" s="87" t="n">
        <x:v>46255</x:v>
      </x:c>
    </x:row>
    <x:row r="13">
      <x:c r="A13" s="72" t="str">
        <x:f>IF(OR(C13="",D13=""),"",B13&amp;"-"&amp;UPPER(C13)&amp;"-"&amp;TEXT(D13,"0000")&amp;"-"&amp;E13)</x:f>
        <x:v>M10-PRES-0007-V1.0</x:v>
      </x:c>
      <x:c r="B13" s="74" t="str">
        <x:v>M10</x:v>
      </x:c>
      <x:c r="C13" s="74" t="str">
        <x:v>PRES</x:v>
      </x:c>
      <x:c r="D13" s="215" t="n">
        <x:v>7</x:v>
      </x:c>
      <x:c r="E13" s="74" t="str">
        <x:v>V1.0</x:v>
      </x:c>
      <x:c r="F13" s="68" t="str">
        <x:v>透干且通根应同时记录存在方式与承载</x:v>
      </x:c>
      <x:c r="G13" s="82" t="str">
        <x:v>结构层</x:v>
      </x:c>
      <x:c r="H13" s="82" t="str">
        <x:v>七杀</x:v>
      </x:c>
      <x:c r="I13" s="82" t="str">
        <x:v>透干</x:v>
      </x:c>
      <x:c r="J13" s="82" t="str">
        <x:v>待定</x:v>
      </x:c>
      <x:c r="K13" s="82" t="str">
        <x:v>待定</x:v>
      </x:c>
      <x:c r="L13" s="82" t="str">
        <x:v>待定</x:v>
      </x:c>
      <x:c r="M13" s="68" t="str">
        <x:v>按M08核查</x:v>
      </x:c>
      <x:c r="N13" s="68" t="str">
        <x:v>按M06/M08核查</x:v>
      </x:c>
      <x:c r="O13" s="82" t="str">
        <x:v>待定</x:v>
      </x:c>
      <x:c r="P13" s="68" t="str">
        <x:v>转M11/M14判断</x:v>
      </x:c>
      <x:c r="Q13" s="68" t="str">
        <x:v>七杀制身路径更容易形成，但仍须审制化与日主承载</x:v>
      </x:c>
      <x:c r="R13" s="82" t="str">
        <x:v>待定</x:v>
      </x:c>
      <x:c r="S13" s="68" t="str">
        <x:v>七杀透干并在地支有有效同类根</x:v>
      </x:c>
      <x:c r="T13" s="68" t="str">
        <x:v>M02十神映射、M08五行有效旺衰、M09日主旺衰已完成</x:v>
      </x:c>
      <x:c r="U13" s="68" t="str">
        <x:v>相关十神已由M02正确映射，并以M08有效力量为准</x:v>
      </x:c>
      <x:c r="V13" s="68" t="str">
        <x:v>得令、有根、透干、同党或生源形成独立有效证据</x:v>
      </x:c>
      <x:c r="W13" s="68" t="str">
        <x:v>失令、无根、被合绊、被制、改性或作用路径受阻</x:v>
      </x:c>
      <x:c r="X13" s="90" t="str">
        <x:v>不得以十神名称、数量或单一旺弱证据直接完成定性</x:v>
      </x:c>
      <x:c r="Y13" s="68" t="str">
        <x:v>特殊格局、从化候选及明确组合转M11/M14另审</x:v>
      </x:c>
      <x:c r="Z13" s="68" t="str">
        <x:v>不得直接推出吉凶、具体事件、亲属结果或最终喜忌</x:v>
      </x:c>
      <x:c r="AA13" s="84" t="str">
        <x:v>十神透根相应</x:v>
      </x:c>
      <x:c r="AB13" s="84" t="str">
        <x:v>透干且通根应同时记录存在方式与承载：当“七杀透干并在地支有有效同类根”成立时，按本规则记录十神的有效功能；同时保留制化、承载和反向证据。</x:v>
      </x:c>
      <x:c r="AC13" s="82" t="str">
        <x:v>较高</x:v>
      </x:c>
      <x:c r="AD13" s="82" t="str">
        <x:v>现代综合</x:v>
      </x:c>
      <x:c r="AE13" s="68" t="str">
        <x:v>十神必须分开判断存在性、力量、清纯度、功能性与喜忌性；M10只形成结构层结论和候选，不越级替代M11—M18。</x:v>
      </x:c>
      <x:c r="AF13" s="68" t="str">
        <x:v>相关条件真实成立，且增强条件有效时，可按“透干且通根应同时记录存在方式与承载”记录对应功能。</x:v>
      </x:c>
      <x:c r="AG13" s="90" t="str">
        <x:v>仅见表面十神名称或数量，但“不得以十神名称、数量或单一旺弱证据直接完成定性”所述限制存在时，不得套用本规则。</x:v>
      </x:c>
      <x:c r="AH13" s="68" t="str">
        <x:v>https://zh.wikisource.org/wiki/%E6%B8%8A%E6%B5%B7%E5%AD%90%E5%B9%B3%E5%A4%A7%E5%85%A8 ; https://zh.wikisource.org/wiki/%E6%BB%B4%E5%A4%A9%E9%AB%93%E9%97%A1%E5%BE%AE</x:v>
      </x:c>
      <x:c r="AI13" s="82" t="str">
        <x:v>采用</x:v>
      </x:c>
      <x:c r="AJ13" s="82" t="str">
        <x:v>初审</x:v>
      </x:c>
      <x:c r="AK13" s="87" t="n">
        <x:v>46255</x:v>
      </x:c>
    </x:row>
    <x:row r="14">
      <x:c r="A14" s="72" t="str">
        <x:f>IF(OR(C14="",D14=""),"",B14&amp;"-"&amp;UPPER(C14)&amp;"-"&amp;TEXT(D14,"0000")&amp;"-"&amp;E14)</x:f>
        <x:v>M10-PRES-0008-V1.0</x:v>
      </x:c>
      <x:c r="B14" s="74" t="str">
        <x:v>M10</x:v>
      </x:c>
      <x:c r="C14" s="74" t="str">
        <x:v>PRES</x:v>
      </x:c>
      <x:c r="D14" s="215" t="n">
        <x:v>8</x:v>
      </x:c>
      <x:c r="E14" s="74" t="str">
        <x:v>V1.0</x:v>
      </x:c>
      <x:c r="F14" s="68" t="str">
        <x:v>藏而不透不等于十神不存在</x:v>
      </x:c>
      <x:c r="G14" s="82" t="str">
        <x:v>结构层</x:v>
      </x:c>
      <x:c r="H14" s="82" t="str">
        <x:v>正官</x:v>
      </x:c>
      <x:c r="I14" s="82" t="str">
        <x:v>藏支本气</x:v>
      </x:c>
      <x:c r="J14" s="82" t="str">
        <x:v>待定</x:v>
      </x:c>
      <x:c r="K14" s="82" t="str">
        <x:v>待定</x:v>
      </x:c>
      <x:c r="L14" s="82" t="str">
        <x:v>待定</x:v>
      </x:c>
      <x:c r="M14" s="68" t="str">
        <x:v>按M08核查</x:v>
      </x:c>
      <x:c r="N14" s="68" t="str">
        <x:v>按M06/M08核查</x:v>
      </x:c>
      <x:c r="O14" s="82" t="str">
        <x:v>待定</x:v>
      </x:c>
      <x:c r="P14" s="68" t="str">
        <x:v>转M11/M14判断</x:v>
      </x:c>
      <x:c r="Q14" s="68" t="str">
        <x:v>原局存在官星基础，但显性作用和组合接口较弱</x:v>
      </x:c>
      <x:c r="R14" s="82" t="str">
        <x:v>待定</x:v>
      </x:c>
      <x:c r="S14" s="68" t="str">
        <x:v>正官只见于地支藏干而天干不透</x:v>
      </x:c>
      <x:c r="T14" s="68" t="str">
        <x:v>M02十神映射、M08五行有效旺衰、M09日主旺衰已完成</x:v>
      </x:c>
      <x:c r="U14" s="68" t="str">
        <x:v>相关十神已由M02正确映射，并以M08有效力量为准</x:v>
      </x:c>
      <x:c r="V14" s="68" t="str">
        <x:v>得令、有根、透干、同党或生源形成独立有效证据</x:v>
      </x:c>
      <x:c r="W14" s="68" t="str">
        <x:v>失令、无根、被合绊、被制、改性或作用路径受阻</x:v>
      </x:c>
      <x:c r="X14" s="90" t="str">
        <x:v>不得以十神名称、数量或单一旺弱证据直接完成定性</x:v>
      </x:c>
      <x:c r="Y14" s="68" t="str">
        <x:v>特殊格局、从化候选及明确组合转M11/M14另审</x:v>
      </x:c>
      <x:c r="Z14" s="68" t="str">
        <x:v>不得直接推出吉凶、具体事件、亲属结果或最终喜忌</x:v>
      </x:c>
      <x:c r="AA14" s="84" t="str">
        <x:v>十神藏而不透</x:v>
      </x:c>
      <x:c r="AB14" s="84" t="str">
        <x:v>藏而不透不等于十神不存在：当“正官只见于地支藏干而天干不透”成立时，按本规则记录十神的有效功能；同时保留制化、承载和反向证据。</x:v>
      </x:c>
      <x:c r="AC14" s="82" t="str">
        <x:v>较高</x:v>
      </x:c>
      <x:c r="AD14" s="82" t="str">
        <x:v>现代综合</x:v>
      </x:c>
      <x:c r="AE14" s="68" t="str">
        <x:v>十神必须分开判断存在性、力量、清纯度、功能性与喜忌性；M10只形成结构层结论和候选，不越级替代M11—M18。</x:v>
      </x:c>
      <x:c r="AF14" s="68" t="str">
        <x:v>相关条件真实成立，且增强条件有效时，可按“藏而不透不等于十神不存在”记录对应功能。</x:v>
      </x:c>
      <x:c r="AG14" s="90" t="str">
        <x:v>仅见表面十神名称或数量，但“不得以十神名称、数量或单一旺弱证据直接完成定性”所述限制存在时，不得套用本规则。</x:v>
      </x:c>
      <x:c r="AH14" s="68" t="str">
        <x:v>https://zh.wikisource.org/wiki/%E6%B8%8A%E6%B5%B7%E5%AD%90%E5%B9%B3%E5%A4%A7%E5%85%A8 ; https://zh.wikisource.org/wiki/%E6%BB%B4%E5%A4%A9%E9%AB%93%E9%97%A1%E5%BE%AE</x:v>
      </x:c>
      <x:c r="AI14" s="82" t="str">
        <x:v>采用</x:v>
      </x:c>
      <x:c r="AJ14" s="82" t="str">
        <x:v>初审</x:v>
      </x:c>
      <x:c r="AK14" s="87" t="n">
        <x:v>46255</x:v>
      </x:c>
    </x:row>
    <x:row r="15">
      <x:c r="A15" s="72" t="str">
        <x:f>IF(OR(C15="",D15=""),"",B15&amp;"-"&amp;UPPER(C15)&amp;"-"&amp;TEXT(D15,"0000")&amp;"-"&amp;E15)</x:f>
        <x:v>M10-PRES-0009-V1.0</x:v>
      </x:c>
      <x:c r="B15" s="74" t="str">
        <x:v>M10</x:v>
      </x:c>
      <x:c r="C15" s="74" t="str">
        <x:v>PRES</x:v>
      </x:c>
      <x:c r="D15" s="215" t="n">
        <x:v>9</x:v>
      </x:c>
      <x:c r="E15" s="74" t="str">
        <x:v>V1.0</x:v>
      </x:c>
      <x:c r="F15" s="68" t="str">
        <x:v>同一地支含多个藏干时各十神分别识别</x:v>
      </x:c>
      <x:c r="G15" s="82" t="str">
        <x:v>结构层</x:v>
      </x:c>
      <x:c r="H15" s="82" t="str">
        <x:v>偏印</x:v>
      </x:c>
      <x:c r="I15" s="82" t="str">
        <x:v>藏支中气</x:v>
      </x:c>
      <x:c r="J15" s="82" t="str">
        <x:v>待定</x:v>
      </x:c>
      <x:c r="K15" s="82" t="str">
        <x:v>待定</x:v>
      </x:c>
      <x:c r="L15" s="82" t="str">
        <x:v>待定</x:v>
      </x:c>
      <x:c r="M15" s="68" t="str">
        <x:v>按M08核查</x:v>
      </x:c>
      <x:c r="N15" s="68" t="str">
        <x:v>按M06/M08核查</x:v>
      </x:c>
      <x:c r="O15" s="82" t="str">
        <x:v>待定</x:v>
      </x:c>
      <x:c r="P15" s="68" t="str">
        <x:v>转M11/M14判断</x:v>
      </x:c>
      <x:c r="Q15" s="68" t="str">
        <x:v>需结合M09日主承载判断</x:v>
      </x:c>
      <x:c r="R15" s="82" t="str">
        <x:v>待定</x:v>
      </x:c>
      <x:c r="S15" s="68" t="str">
        <x:v>一个地支藏干映射出两个或三个不同十神</x:v>
      </x:c>
      <x:c r="T15" s="68" t="str">
        <x:v>M02十神映射、M08五行有效旺衰、M09日主旺衰已完成</x:v>
      </x:c>
      <x:c r="U15" s="68" t="str">
        <x:v>相关十神已由M02正确映射，并以M08有效力量为准</x:v>
      </x:c>
      <x:c r="V15" s="68" t="str">
        <x:v>得令、有根、透干、同党或生源形成独立有效证据</x:v>
      </x:c>
      <x:c r="W15" s="68" t="str">
        <x:v>失令、无根、被合绊、被制、改性或作用路径受阻</x:v>
      </x:c>
      <x:c r="X15" s="90" t="str">
        <x:v>不得以十神名称、数量或单一旺弱证据直接完成定性</x:v>
      </x:c>
      <x:c r="Y15" s="68" t="str">
        <x:v>特殊格局、从化候选及明确组合转M11/M14另审</x:v>
      </x:c>
      <x:c r="Z15" s="68" t="str">
        <x:v>不得把整支只按本气十神代表而删除中余气十神</x:v>
      </x:c>
      <x:c r="AA15" s="84" t="str">
        <x:v>藏干十神分项识别</x:v>
      </x:c>
      <x:c r="AB15" s="84" t="str">
        <x:v>同一地支含多个藏干时各十神分别识别：当“一个地支藏干映射出两个或三个不同十神”成立时，按本规则记录十神的有效功能；同时保留制化、承载和反向证据。</x:v>
      </x:c>
      <x:c r="AC15" s="82" t="str">
        <x:v>较高</x:v>
      </x:c>
      <x:c r="AD15" s="82" t="str">
        <x:v>现代综合</x:v>
      </x:c>
      <x:c r="AE15" s="68" t="str">
        <x:v>十神必须分开判断存在性、力量、清纯度、功能性与喜忌性；M10只形成结构层结论和候选，不越级替代M11—M18。</x:v>
      </x:c>
      <x:c r="AF15" s="68" t="str">
        <x:v>相关条件真实成立，且增强条件有效时，可按“同一地支含多个藏干时各十神分别识别”记录对应功能。</x:v>
      </x:c>
      <x:c r="AG15" s="90" t="str">
        <x:v>仅见表面十神名称或数量，但“不得以十神名称、数量或单一旺弱证据直接完成定性”所述限制存在时，不得套用本规则。</x:v>
      </x:c>
      <x:c r="AH15" s="68" t="str">
        <x:v>https://zh.wikisource.org/wiki/%E6%B8%8A%E6%B5%B7%E5%AD%90%E5%B9%B3%E5%A4%A7%E5%85%A8 ; https://zh.wikisource.org/wiki/%E6%BB%B4%E5%A4%A9%E9%AB%93%E9%97%A1%E5%BE%AE</x:v>
      </x:c>
      <x:c r="AI15" s="82" t="str">
        <x:v>采用</x:v>
      </x:c>
      <x:c r="AJ15" s="82" t="str">
        <x:v>初审</x:v>
      </x:c>
      <x:c r="AK15" s="87" t="n">
        <x:v>46255</x:v>
      </x:c>
    </x:row>
    <x:row r="16">
      <x:c r="A16" s="72" t="str">
        <x:f>IF(OR(C16="",D16=""),"",B16&amp;"-"&amp;UPPER(C16)&amp;"-"&amp;TEXT(D16,"0000")&amp;"-"&amp;E16)</x:f>
        <x:v>M10-PRES-0010-V1.0</x:v>
      </x:c>
      <x:c r="B16" s="74" t="str">
        <x:v>M10</x:v>
      </x:c>
      <x:c r="C16" s="74" t="str">
        <x:v>PRES</x:v>
      </x:c>
      <x:c r="D16" s="215" t="n">
        <x:v>10</x:v>
      </x:c>
      <x:c r="E16" s="74" t="str">
        <x:v>V1.0</x:v>
      </x:c>
      <x:c r="F16" s="68" t="str">
        <x:v>正偏同类十神并见先生成混杂候选</x:v>
      </x:c>
      <x:c r="G16" s="82" t="str">
        <x:v>结构层</x:v>
      </x:c>
      <x:c r="H16" s="82" t="str">
        <x:v>正印</x:v>
      </x:c>
      <x:c r="I16" s="82" t="str">
        <x:v>多处出现</x:v>
      </x:c>
      <x:c r="J16" s="82" t="str">
        <x:v>待定</x:v>
      </x:c>
      <x:c r="K16" s="82" t="str">
        <x:v>待定</x:v>
      </x:c>
      <x:c r="L16" s="82" t="str">
        <x:v>有杂</x:v>
      </x:c>
      <x:c r="M16" s="68" t="str">
        <x:v>按M08核查</x:v>
      </x:c>
      <x:c r="N16" s="68" t="str">
        <x:v>按M06/M08核查</x:v>
      </x:c>
      <x:c r="O16" s="82" t="str">
        <x:v>待定</x:v>
      </x:c>
      <x:c r="P16" s="68" t="str">
        <x:v>转M11/M14判断</x:v>
      </x:c>
      <x:c r="Q16" s="68" t="str">
        <x:v>需结合M09日主承载判断</x:v>
      </x:c>
      <x:c r="R16" s="82" t="str">
        <x:v>待定</x:v>
      </x:c>
      <x:c r="S16" s="68" t="str">
        <x:v>同一功能群的正、偏十神同时有效存在</x:v>
      </x:c>
      <x:c r="T16" s="68" t="str">
        <x:v>M02十神映射、M08五行有效旺衰、M09日主旺衰已完成</x:v>
      </x:c>
      <x:c r="U16" s="68" t="str">
        <x:v>相关十神已由M02正确映射，并以M08有效力量为准</x:v>
      </x:c>
      <x:c r="V16" s="68" t="str">
        <x:v>得令、有根、透干、同党或生源形成独立有效证据</x:v>
      </x:c>
      <x:c r="W16" s="68" t="str">
        <x:v>失令、无根、被合绊、被制、改性或作用路径受阻</x:v>
      </x:c>
      <x:c r="X16" s="90" t="str">
        <x:v>不得以十神名称、数量或单一旺弱证据直接完成定性</x:v>
      </x:c>
      <x:c r="Y16" s="68" t="str">
        <x:v>特殊格局、从化候选及明确组合转M11/M14另审</x:v>
      </x:c>
      <x:c r="Z16" s="68" t="str">
        <x:v>不得仅因正偏并见直接判严重混杂或凶</x:v>
      </x:c>
      <x:c r="AA16" s="84" t="str">
        <x:v>正偏并见候选</x:v>
      </x:c>
      <x:c r="AB16" s="84" t="str">
        <x:v>正偏同类十神并见先生成混杂候选：当“同一功能群的正、偏十神同时有效存在”成立时，按本规则记录十神的有效功能；同时保留制化、承载和反向证据。</x:v>
      </x:c>
      <x:c r="AC16" s="82" t="str">
        <x:v>较高</x:v>
      </x:c>
      <x:c r="AD16" s="82" t="str">
        <x:v>现代综合</x:v>
      </x:c>
      <x:c r="AE16" s="68" t="str">
        <x:v>十神必须分开判断存在性、力量、清纯度、功能性与喜忌性；M10只形成结构层结论和候选，不越级替代M11—M18。</x:v>
      </x:c>
      <x:c r="AF16" s="68" t="str">
        <x:v>相关条件真实成立，且增强条件有效时，可按“正偏同类十神并见先生成混杂候选”记录对应功能。</x:v>
      </x:c>
      <x:c r="AG16" s="90" t="str">
        <x:v>仅见表面十神名称或数量，但“不得以十神名称、数量或单一旺弱证据直接完成定性”所述限制存在时，不得套用本规则。</x:v>
      </x:c>
      <x:c r="AH16" s="68" t="str">
        <x:v>https://zh.wikisource.org/wiki/%E6%B8%8A%E6%B5%B7%E5%AD%90%E5%B9%B3%E5%A4%A7%E5%85%A8 ; https://zh.wikisource.org/wiki/%E6%BB%B4%E5%A4%A9%E9%AB%93%E9%97%A1%E5%BE%AE</x:v>
      </x:c>
      <x:c r="AI16" s="82" t="str">
        <x:v>采用</x:v>
      </x:c>
      <x:c r="AJ16" s="82" t="str">
        <x:v>初审</x:v>
      </x:c>
      <x:c r="AK16" s="87" t="n">
        <x:v>46255</x:v>
      </x:c>
    </x:row>
    <x:row r="17">
      <x:c r="A17" s="72" t="str">
        <x:f>IF(OR(C17="",D17=""),"",B17&amp;"-"&amp;UPPER(C17)&amp;"-"&amp;TEXT(D17,"0000")&amp;"-"&amp;E17)</x:f>
        <x:v>M10-PRES-0011-V1.0</x:v>
      </x:c>
      <x:c r="B17" s="74" t="str">
        <x:v>M10</x:v>
      </x:c>
      <x:c r="C17" s="74" t="str">
        <x:v>PRES</x:v>
      </x:c>
      <x:c r="D17" s="215" t="n">
        <x:v>11</x:v>
      </x:c>
      <x:c r="E17" s="74" t="str">
        <x:v>V1.0</x:v>
      </x:c>
      <x:c r="F17" s="68" t="str">
        <x:v>十神存在必须以日主为参照映射</x:v>
      </x:c>
      <x:c r="G17" s="82" t="str">
        <x:v>结构层</x:v>
      </x:c>
      <x:c r="H17" s="82" t="str">
        <x:v>食神</x:v>
      </x:c>
      <x:c r="I17" s="82" t="str">
        <x:v>待定</x:v>
      </x:c>
      <x:c r="J17" s="82" t="str">
        <x:v>待定</x:v>
      </x:c>
      <x:c r="K17" s="82" t="str">
        <x:v>待定</x:v>
      </x:c>
      <x:c r="L17" s="82" t="str">
        <x:v>待定</x:v>
      </x:c>
      <x:c r="M17" s="68" t="str">
        <x:v>按M08核查</x:v>
      </x:c>
      <x:c r="N17" s="68" t="str">
        <x:v>按M06/M08核查</x:v>
      </x:c>
      <x:c r="O17" s="82" t="str">
        <x:v>待定</x:v>
      </x:c>
      <x:c r="P17" s="68" t="str">
        <x:v>转M11/M14判断</x:v>
      </x:c>
      <x:c r="Q17" s="68" t="str">
        <x:v>需结合M09日主承载判断</x:v>
      </x:c>
      <x:c r="R17" s="82" t="str">
        <x:v>待定</x:v>
      </x:c>
      <x:c r="S17" s="68" t="str">
        <x:v>识别食神、伤官等十神时必须先确定日主天干及阴阳</x:v>
      </x:c>
      <x:c r="T17" s="68" t="str">
        <x:v>M02十神映射、M08五行有效旺衰、M09日主旺衰已完成</x:v>
      </x:c>
      <x:c r="U17" s="68" t="str">
        <x:v>日主天干准确、阴阳生克映射无误</x:v>
      </x:c>
      <x:c r="V17" s="68" t="str">
        <x:v>得令、有根、透干、同党或生源形成独立有效证据</x:v>
      </x:c>
      <x:c r="W17" s="68" t="str">
        <x:v>失令、无根、被合绊、被制、改性或作用路径受阻</x:v>
      </x:c>
      <x:c r="X17" s="90" t="str">
        <x:v>不得以十神名称、数量或单一旺弱证据直接完成定性</x:v>
      </x:c>
      <x:c r="Y17" s="68" t="str">
        <x:v>特殊格局、从化候选及明确组合转M11/M14另审</x:v>
      </x:c>
      <x:c r="Z17" s="68" t="str">
        <x:v>不得给某个固定天干脱离日主贴永久十神标签</x:v>
      </x:c>
      <x:c r="AA17" s="84" t="str">
        <x:v>十神相对映射</x:v>
      </x:c>
      <x:c r="AB17" s="84" t="str">
        <x:v>十神存在必须以日主为参照映射：当“识别食神、伤官等十神时必须先确定日主天干及阴阳”成立时，按本规则记录十神的有效功能；同时保留制化、承载和反向证据。</x:v>
      </x:c>
      <x:c r="AC17" s="82" t="str">
        <x:v>较高</x:v>
      </x:c>
      <x:c r="AD17" s="82" t="str">
        <x:v>现代综合</x:v>
      </x:c>
      <x:c r="AE17" s="68" t="str">
        <x:v>十神必须分开判断存在性、力量、清纯度、功能性与喜忌性；M10只形成结构层结论和候选，不越级替代M11—M18。</x:v>
      </x:c>
      <x:c r="AF17" s="68" t="str">
        <x:v>相关条件真实成立，且增强条件有效时，可按“十神存在必须以日主为参照映射”记录对应功能。</x:v>
      </x:c>
      <x:c r="AG17" s="90" t="str">
        <x:v>仅见表面十神名称或数量，但“不得以十神名称、数量或单一旺弱证据直接完成定性”所述限制存在时，不得套用本规则。</x:v>
      </x:c>
      <x:c r="AH17" s="68" t="str">
        <x:v>https://zh.wikisource.org/wiki/%E6%B8%8A%E6%B5%B7%E5%AD%90%E5%B9%B3%E5%A4%A7%E5%85%A8 ; https://zh.wikisource.org/wiki/%E6%BB%B4%E5%A4%A9%E9%AB%93%E9%97%A1%E5%BE%AE</x:v>
      </x:c>
      <x:c r="AI17" s="82" t="str">
        <x:v>采用</x:v>
      </x:c>
      <x:c r="AJ17" s="82" t="str">
        <x:v>初审</x:v>
      </x:c>
      <x:c r="AK17" s="87" t="n">
        <x:v>46255</x:v>
      </x:c>
    </x:row>
    <x:row r="18">
      <x:c r="A18" s="72" t="str">
        <x:f>IF(OR(C18="",D18=""),"",B18&amp;"-"&amp;UPPER(C18)&amp;"-"&amp;TEXT(D18,"0000")&amp;"-"&amp;E18)</x:f>
        <x:v>M10-PRES-0012-V1.0</x:v>
      </x:c>
      <x:c r="B18" s="74" t="str">
        <x:v>M10</x:v>
      </x:c>
      <x:c r="C18" s="74" t="str">
        <x:v>PRES</x:v>
      </x:c>
      <x:c r="D18" s="215" t="n">
        <x:v>12</x:v>
      </x:c>
      <x:c r="E18" s="74" t="str">
        <x:v>V1.0</x:v>
      </x:c>
      <x:c r="F18" s="68" t="str">
        <x:v>静态原局存在与岁运引动必须分开</x:v>
      </x:c>
      <x:c r="G18" s="82" t="str">
        <x:v>结构层</x:v>
      </x:c>
      <x:c r="H18" s="82" t="str">
        <x:v>正官</x:v>
      </x:c>
      <x:c r="I18" s="82" t="str">
        <x:v>待定</x:v>
      </x:c>
      <x:c r="J18" s="82" t="str">
        <x:v>待定</x:v>
      </x:c>
      <x:c r="K18" s="82" t="str">
        <x:v>待定</x:v>
      </x:c>
      <x:c r="L18" s="82" t="str">
        <x:v>待定</x:v>
      </x:c>
      <x:c r="M18" s="68" t="str">
        <x:v>按M08核查</x:v>
      </x:c>
      <x:c r="N18" s="68" t="str">
        <x:v>按M06/M08核查</x:v>
      </x:c>
      <x:c r="O18" s="82" t="str">
        <x:v>待定</x:v>
      </x:c>
      <x:c r="P18" s="68" t="str">
        <x:v>转M11/M14判断</x:v>
      </x:c>
      <x:c r="Q18" s="68" t="str">
        <x:v>需结合M09日主承载判断</x:v>
      </x:c>
      <x:c r="R18" s="82" t="str">
        <x:v>待定</x:v>
      </x:c>
      <x:c r="S18" s="68" t="str">
        <x:v>M10只处理原局十神存在，不使用未来岁运补入作为原局存在证据</x:v>
      </x:c>
      <x:c r="T18" s="68" t="str">
        <x:v>M02十神映射、M08五行有效旺衰、M09日主旺衰已完成</x:v>
      </x:c>
      <x:c r="U18" s="68" t="str">
        <x:v>相关十神已由M02正确映射，并以M08有效力量为准</x:v>
      </x:c>
      <x:c r="V18" s="68" t="str">
        <x:v>得令、有根、透干、同党或生源形成独立有效证据</x:v>
      </x:c>
      <x:c r="W18" s="68" t="str">
        <x:v>失令、无根、被合绊、被制、改性或作用路径受阻</x:v>
      </x:c>
      <x:c r="X18" s="90" t="str">
        <x:v>不得以十神名称、数量或单一旺弱证据直接完成定性</x:v>
      </x:c>
      <x:c r="Y18" s="68" t="str">
        <x:v>岁运作用转专门的大运流年引擎</x:v>
      </x:c>
      <x:c r="Z18" s="68" t="str">
        <x:v>不得把未来可能出现的十神提前计入原局静态力量</x:v>
      </x:c>
      <x:c r="AA18" s="84" t="str">
        <x:v>静动态存在分离</x:v>
      </x:c>
      <x:c r="AB18" s="84" t="str">
        <x:v>静态原局存在与岁运引动必须分开：当“M10只处理原局十神存在，不使用未来岁运补入作为原局存在证据”成立时，按本规则记录十神的有效功能；同时保留制化、承载和反向证据。</x:v>
      </x:c>
      <x:c r="AC18" s="82" t="str">
        <x:v>较高</x:v>
      </x:c>
      <x:c r="AD18" s="82" t="str">
        <x:v>现代综合</x:v>
      </x:c>
      <x:c r="AE18" s="68" t="str">
        <x:v>十神必须分开判断存在性、力量、清纯度、功能性与喜忌性；M10只形成结构层结论和候选，不越级替代M11—M18。</x:v>
      </x:c>
      <x:c r="AF18" s="68" t="str">
        <x:v>相关条件真实成立，且增强条件有效时，可按“静态原局存在与岁运引动必须分开”记录对应功能。</x:v>
      </x:c>
      <x:c r="AG18" s="90" t="str">
        <x:v>仅见表面十神名称或数量，但“不得以十神名称、数量或单一旺弱证据直接完成定性”所述限制存在时，不得套用本规则。</x:v>
      </x:c>
      <x:c r="AH18" s="68" t="str">
        <x:v>https://zh.wikisource.org/wiki/%E6%B8%8A%E6%B5%B7%E5%AD%90%E5%B9%B3%E5%A4%A7%E5%85%A8 ; https://zh.wikisource.org/wiki/%E6%BB%B4%E5%A4%A9%E9%AB%93%E9%97%A1%E5%BE%AE</x:v>
      </x:c>
      <x:c r="AI18" s="82" t="str">
        <x:v>采用</x:v>
      </x:c>
      <x:c r="AJ18" s="82" t="str">
        <x:v>初审</x:v>
      </x:c>
      <x:c r="AK18" s="87" t="n">
        <x:v>46255</x:v>
      </x:c>
    </x:row>
    <x:row r="19">
      <x:c r="A19" s="72" t="str">
        <x:f>IF(OR(C19="",D19=""),"",B19&amp;"-"&amp;UPPER(C19)&amp;"-"&amp;TEXT(D19,"0000")&amp;"-"&amp;E19)</x:f>
        <x:v>M10-POWER-0013-V1.0</x:v>
      </x:c>
      <x:c r="B19" s="74" t="str">
        <x:v>M10</x:v>
      </x:c>
      <x:c r="C19" s="74" t="str">
        <x:v>POWER</x:v>
      </x:c>
      <x:c r="D19" s="215" t="n">
        <x:v>13</x:v>
      </x:c>
      <x:c r="E19" s="74" t="str">
        <x:v>V1.0</x:v>
      </x:c>
      <x:c r="F19" s="68" t="str">
        <x:v>十神有效力量继承对应五行的M08结果</x:v>
      </x:c>
      <x:c r="G19" s="82" t="str">
        <x:v>结构层</x:v>
      </x:c>
      <x:c r="H19" s="82" t="str">
        <x:v>比肩</x:v>
      </x:c>
      <x:c r="I19" s="82" t="str">
        <x:v>待定</x:v>
      </x:c>
      <x:c r="J19" s="82" t="str">
        <x:v>待定</x:v>
      </x:c>
      <x:c r="K19" s="82" t="str">
        <x:v>待定</x:v>
      </x:c>
      <x:c r="L19" s="82" t="str">
        <x:v>待定</x:v>
      </x:c>
      <x:c r="M19" s="68" t="str">
        <x:v>按M08核查</x:v>
      </x:c>
      <x:c r="N19" s="68" t="str">
        <x:v>按M06/M08核查</x:v>
      </x:c>
      <x:c r="O19" s="82" t="str">
        <x:v>待定</x:v>
      </x:c>
      <x:c r="P19" s="68" t="str">
        <x:v>转M11/M14判断</x:v>
      </x:c>
      <x:c r="Q19" s="68" t="str">
        <x:v>需结合M09日主承载判断</x:v>
      </x:c>
      <x:c r="R19" s="82" t="str">
        <x:v>待定</x:v>
      </x:c>
      <x:c r="S19" s="68" t="str">
        <x:v>目标十神已映射到具体干支节点，并有M08有效旺衰结果</x:v>
      </x:c>
      <x:c r="T19" s="68" t="str">
        <x:v>M02十神映射、M08五行有效旺衰、M09日主旺衰已完成</x:v>
      </x:c>
      <x:c r="U19" s="68" t="str">
        <x:v>必须按具体节点读取M08，而非只看五行总量</x:v>
      </x:c>
      <x:c r="V19" s="68" t="str">
        <x:v>得令、有根、透干、同党或生源形成独立有效证据</x:v>
      </x:c>
      <x:c r="W19" s="68" t="str">
        <x:v>失令、无根、被合绊、被制、改性或作用路径受阻</x:v>
      </x:c>
      <x:c r="X19" s="90" t="str">
        <x:v>不得以十神名称、数量或单一旺弱证据直接完成定性</x:v>
      </x:c>
      <x:c r="Y19" s="68" t="str">
        <x:v>特殊格局、从化候选及明确组合转M11/M14另审</x:v>
      </x:c>
      <x:c r="Z19" s="68" t="str">
        <x:v>不得直接推出吉凶、具体事件、亲属结果或最终喜忌</x:v>
      </x:c>
      <x:c r="AA19" s="84" t="str">
        <x:v>十神力量继承</x:v>
      </x:c>
      <x:c r="AB19" s="84" t="str">
        <x:v>十神有效力量继承对应五行的M08结果：当“目标十神已映射到具体干支节点，并有M08有效旺衰结果”成立时，按本规则记录十神的有效功能；同时保留制化、承载和反向证据。</x:v>
      </x:c>
      <x:c r="AC19" s="82" t="str">
        <x:v>较高</x:v>
      </x:c>
      <x:c r="AD19" s="82" t="str">
        <x:v>现代综合</x:v>
      </x:c>
      <x:c r="AE19" s="68" t="str">
        <x:v>十神必须分开判断存在性、力量、清纯度、功能性与喜忌性；M10只形成结构层结论和候选，不越级替代M11—M18。</x:v>
      </x:c>
      <x:c r="AF19" s="68" t="str">
        <x:v>相关条件真实成立，且增强条件有效时，可按“十神有效力量继承对应五行的M08结果”记录对应功能。</x:v>
      </x:c>
      <x:c r="AG19" s="90" t="str">
        <x:v>仅见表面十神名称或数量，但“不得以十神名称、数量或单一旺弱证据直接完成定性”所述限制存在时，不得套用本规则。</x:v>
      </x:c>
      <x:c r="AH19" s="68" t="str">
        <x:v>https://zh.wikisource.org/wiki/%E6%B8%8A%E6%B5%B7%E5%AD%90%E5%B9%B3%E5%A4%A7%E5%85%A8 ; https://zh.wikisource.org/wiki/%E6%BB%B4%E5%A4%A9%E9%AB%93%E9%97%A1%E5%BE%AE</x:v>
      </x:c>
      <x:c r="AI19" s="82" t="str">
        <x:v>采用</x:v>
      </x:c>
      <x:c r="AJ19" s="82" t="str">
        <x:v>初审</x:v>
      </x:c>
      <x:c r="AK19" s="87" t="n">
        <x:v>46255</x:v>
      </x:c>
    </x:row>
    <x:row r="20">
      <x:c r="A20" s="72" t="str">
        <x:f>IF(OR(C20="",D20=""),"",B20&amp;"-"&amp;UPPER(C20)&amp;"-"&amp;TEXT(D20,"0000")&amp;"-"&amp;E20)</x:f>
        <x:v>M10-POWER-0014-V1.0</x:v>
      </x:c>
      <x:c r="B20" s="74" t="str">
        <x:v>M10</x:v>
      </x:c>
      <x:c r="C20" s="74" t="str">
        <x:v>POWER</x:v>
      </x:c>
      <x:c r="D20" s="215" t="n">
        <x:v>14</x:v>
      </x:c>
      <x:c r="E20" s="74" t="str">
        <x:v>V1.0</x:v>
      </x:c>
      <x:c r="F20" s="68" t="str">
        <x:v>十神原始力量与有效力量必须分开</x:v>
      </x:c>
      <x:c r="G20" s="82" t="str">
        <x:v>结构层</x:v>
      </x:c>
      <x:c r="H20" s="82" t="str">
        <x:v>劫财</x:v>
      </x:c>
      <x:c r="I20" s="82" t="str">
        <x:v>待定</x:v>
      </x:c>
      <x:c r="J20" s="82" t="str">
        <x:v>旺</x:v>
      </x:c>
      <x:c r="K20" s="82" t="str">
        <x:v>待定</x:v>
      </x:c>
      <x:c r="L20" s="82" t="str">
        <x:v>待定</x:v>
      </x:c>
      <x:c r="M20" s="68" t="str">
        <x:v>按M08核查</x:v>
      </x:c>
      <x:c r="N20" s="68" t="str">
        <x:v>按M06/M08核查</x:v>
      </x:c>
      <x:c r="O20" s="82" t="str">
        <x:v>待定</x:v>
      </x:c>
      <x:c r="P20" s="68" t="str">
        <x:v>转M11/M14判断</x:v>
      </x:c>
      <x:c r="Q20" s="68" t="str">
        <x:v>需结合M09日主承载判断</x:v>
      </x:c>
      <x:c r="R20" s="82" t="str">
        <x:v>待定</x:v>
      </x:c>
      <x:c r="S20" s="68" t="str">
        <x:v>十神节点在M07原始有力，但经M06/M08受到合冲制化修正</x:v>
      </x:c>
      <x:c r="T20" s="68" t="str">
        <x:v>M02十神映射、M08五行有效旺衰、M09日主旺衰已完成</x:v>
      </x:c>
      <x:c r="U20" s="68" t="str">
        <x:v>相关十神已由M02正确映射，并以M08有效力量为准</x:v>
      </x:c>
      <x:c r="V20" s="68" t="str">
        <x:v>得令、有根、透干、同党或生源形成独立有效证据</x:v>
      </x:c>
      <x:c r="W20" s="68" t="str">
        <x:v>失令、无根、被合绊、被制、改性或作用路径受阻</x:v>
      </x:c>
      <x:c r="X20" s="90" t="str">
        <x:v>不得以十神名称、数量或单一旺弱证据直接完成定性</x:v>
      </x:c>
      <x:c r="Y20" s="68" t="str">
        <x:v>特殊格局、从化候选及明确组合转M11/M14另审</x:v>
      </x:c>
      <x:c r="Z20" s="68" t="str">
        <x:v>不得用原始旺衰替代有效旺衰</x:v>
      </x:c>
      <x:c r="AA20" s="84" t="str">
        <x:v>十神原效分离</x:v>
      </x:c>
      <x:c r="AB20" s="84" t="str">
        <x:v>十神原始力量与有效力量必须分开：当“十神节点在M07原始有力，但经M06/M08受到合冲制化修正”成立时，按本规则记录十神的有效功能；同时保留制化、承载和反向证据。</x:v>
      </x:c>
      <x:c r="AC20" s="82" t="str">
        <x:v>较高</x:v>
      </x:c>
      <x:c r="AD20" s="82" t="str">
        <x:v>现代综合</x:v>
      </x:c>
      <x:c r="AE20" s="68" t="str">
        <x:v>十神必须分开判断存在性、力量、清纯度、功能性与喜忌性；M10只形成结构层结论和候选，不越级替代M11—M18。</x:v>
      </x:c>
      <x:c r="AF20" s="68" t="str">
        <x:v>相关条件真实成立，且增强条件有效时，可按“十神原始力量与有效力量必须分开”记录对应功能。</x:v>
      </x:c>
      <x:c r="AG20" s="90" t="str">
        <x:v>仅见表面十神名称或数量，但“不得以十神名称、数量或单一旺弱证据直接完成定性”所述限制存在时，不得套用本规则。</x:v>
      </x:c>
      <x:c r="AH20" s="68" t="str">
        <x:v>https://zh.wikisource.org/wiki/%E6%B8%8A%E6%B5%B7%E5%AD%90%E5%B9%B3%E5%A4%A7%E5%85%A8 ; https://zh.wikisource.org/wiki/%E6%BB%B4%E5%A4%A9%E9%AB%93%E9%97%A1%E5%BE%AE</x:v>
      </x:c>
      <x:c r="AI20" s="82" t="str">
        <x:v>采用</x:v>
      </x:c>
      <x:c r="AJ20" s="82" t="str">
        <x:v>初审</x:v>
      </x:c>
      <x:c r="AK20" s="87" t="n">
        <x:v>46255</x:v>
      </x:c>
    </x:row>
    <x:row r="21">
      <x:c r="A21" s="72" t="str">
        <x:f>IF(OR(C21="",D21=""),"",B21&amp;"-"&amp;UPPER(C21)&amp;"-"&amp;TEXT(D21,"0000")&amp;"-"&amp;E21)</x:f>
        <x:v>M10-POWER-0015-V1.0</x:v>
      </x:c>
      <x:c r="B21" s="74" t="str">
        <x:v>M10</x:v>
      </x:c>
      <x:c r="C21" s="74" t="str">
        <x:v>POWER</x:v>
      </x:c>
      <x:c r="D21" s="215" t="n">
        <x:v>15</x:v>
      </x:c>
      <x:c r="E21" s="74" t="str">
        <x:v>V1.0</x:v>
      </x:c>
      <x:c r="F21" s="68" t="str">
        <x:v>多节点十神力量采用独立节点汇总而非次数计分</x:v>
      </x:c>
      <x:c r="G21" s="82" t="str">
        <x:v>结构层</x:v>
      </x:c>
      <x:c r="H21" s="82" t="str">
        <x:v>食神</x:v>
      </x:c>
      <x:c r="I21" s="82" t="str">
        <x:v>多处出现</x:v>
      </x:c>
      <x:c r="J21" s="82" t="str">
        <x:v>待定</x:v>
      </x:c>
      <x:c r="K21" s="82" t="str">
        <x:v>待定</x:v>
      </x:c>
      <x:c r="L21" s="82" t="str">
        <x:v>待定</x:v>
      </x:c>
      <x:c r="M21" s="68" t="str">
        <x:v>按M08核查</x:v>
      </x:c>
      <x:c r="N21" s="68" t="str">
        <x:v>按M06/M08核查</x:v>
      </x:c>
      <x:c r="O21" s="82" t="str">
        <x:v>待定</x:v>
      </x:c>
      <x:c r="P21" s="68" t="str">
        <x:v>转M11/M14判断</x:v>
      </x:c>
      <x:c r="Q21" s="68" t="str">
        <x:v>需结合M09日主承载判断</x:v>
      </x:c>
      <x:c r="R21" s="82" t="str">
        <x:v>待定</x:v>
      </x:c>
      <x:c r="S21" s="68" t="str">
        <x:v>同一十神在多个独立节点出现</x:v>
      </x:c>
      <x:c r="T21" s="68" t="str">
        <x:v>M02十神映射、M08五行有效旺衰、M09日主旺衰已完成</x:v>
      </x:c>
      <x:c r="U21" s="68" t="str">
        <x:v>相关十神已由M02正确映射，并以M08有效力量为准</x:v>
      </x:c>
      <x:c r="V21" s="68" t="str">
        <x:v>得令、有根、透干、同党或生源形成独立有效证据</x:v>
      </x:c>
      <x:c r="W21" s="68" t="str">
        <x:v>失令、无根、被合绊、被制、改性或作用路径受阻</x:v>
      </x:c>
      <x:c r="X21" s="90" t="str">
        <x:v>不得以十神名称、数量或单一旺弱证据直接完成定性</x:v>
      </x:c>
      <x:c r="Y21" s="68" t="str">
        <x:v>特殊格局、从化候选及明确组合转M11/M14另审</x:v>
      </x:c>
      <x:c r="Z21" s="68" t="str">
        <x:v>不得以出现三个就必然旺、出现一个就必然弱</x:v>
      </x:c>
      <x:c r="AA21" s="84" t="str">
        <x:v>十神多节点汇总</x:v>
      </x:c>
      <x:c r="AB21" s="84" t="str">
        <x:v>多节点十神力量采用独立节点汇总而非次数计分：当“同一十神在多个独立节点出现”成立时，按本规则记录十神的有效功能；同时保留制化、承载和反向证据。</x:v>
      </x:c>
      <x:c r="AC21" s="82" t="str">
        <x:v>较高</x:v>
      </x:c>
      <x:c r="AD21" s="82" t="str">
        <x:v>现代综合</x:v>
      </x:c>
      <x:c r="AE21" s="68" t="str">
        <x:v>十神必须分开判断存在性、力量、清纯度、功能性与喜忌性；M10只形成结构层结论和候选，不越级替代M11—M18。</x:v>
      </x:c>
      <x:c r="AF21" s="68" t="str">
        <x:v>相关条件真实成立，且增强条件有效时，可按“多节点十神力量采用独立节点汇总而非次数计分”记录对应功能。</x:v>
      </x:c>
      <x:c r="AG21" s="90" t="str">
        <x:v>仅见表面十神名称或数量，但“不得以十神名称、数量或单一旺弱证据直接完成定性”所述限制存在时，不得套用本规则。</x:v>
      </x:c>
      <x:c r="AH21" s="68" t="str">
        <x:v>https://zh.wikisource.org/wiki/%E6%B8%8A%E6%B5%B7%E5%AD%90%E5%B9%B3%E5%A4%A7%E5%85%A8 ; https://zh.wikisource.org/wiki/%E6%BB%B4%E5%A4%A9%E9%AB%93%E9%97%A1%E5%BE%AE</x:v>
      </x:c>
      <x:c r="AI21" s="82" t="str">
        <x:v>采用</x:v>
      </x:c>
      <x:c r="AJ21" s="82" t="str">
        <x:v>初审</x:v>
      </x:c>
      <x:c r="AK21" s="87" t="n">
        <x:v>46255</x:v>
      </x:c>
    </x:row>
    <x:row r="22">
      <x:c r="A22" s="72" t="str">
        <x:f>IF(OR(C22="",D22=""),"",B22&amp;"-"&amp;UPPER(C22)&amp;"-"&amp;TEXT(D22,"0000")&amp;"-"&amp;E22)</x:f>
        <x:v>M10-POWER-0016-V1.0</x:v>
      </x:c>
      <x:c r="B22" s="74" t="str">
        <x:v>M10</x:v>
      </x:c>
      <x:c r="C22" s="74" t="str">
        <x:v>POWER</x:v>
      </x:c>
      <x:c r="D22" s="215" t="n">
        <x:v>16</x:v>
      </x:c>
      <x:c r="E22" s="74" t="str">
        <x:v>V1.0</x:v>
      </x:c>
      <x:c r="F22" s="68" t="str">
        <x:v>得令提高十神力量但不是旺的充分条件</x:v>
      </x:c>
      <x:c r="G22" s="82" t="str">
        <x:v>结构层</x:v>
      </x:c>
      <x:c r="H22" s="82" t="str">
        <x:v>伤官</x:v>
      </x:c>
      <x:c r="I22" s="82" t="str">
        <x:v>待定</x:v>
      </x:c>
      <x:c r="J22" s="82" t="str">
        <x:v>待定</x:v>
      </x:c>
      <x:c r="K22" s="82" t="str">
        <x:v>中和偏旺</x:v>
      </x:c>
      <x:c r="L22" s="82" t="str">
        <x:v>待定</x:v>
      </x:c>
      <x:c r="M22" s="68" t="str">
        <x:v>按M08核查</x:v>
      </x:c>
      <x:c r="N22" s="68" t="str">
        <x:v>按M06/M08核查</x:v>
      </x:c>
      <x:c r="O22" s="82" t="str">
        <x:v>待定</x:v>
      </x:c>
      <x:c r="P22" s="68" t="str">
        <x:v>转M11/M14判断</x:v>
      </x:c>
      <x:c r="Q22" s="68" t="str">
        <x:v>需结合M09日主承载判断</x:v>
      </x:c>
      <x:c r="R22" s="82" t="str">
        <x:v>待定</x:v>
      </x:c>
      <x:c r="S22" s="68" t="str">
        <x:v>目标十神对应五行获得强季令支持</x:v>
      </x:c>
      <x:c r="T22" s="68" t="str">
        <x:v>M02十神映射、M08五行有效旺衰、M09日主旺衰已完成</x:v>
      </x:c>
      <x:c r="U22" s="68" t="str">
        <x:v>相关十神已由M02正确映射，并以M08有效力量为准</x:v>
      </x:c>
      <x:c r="V22" s="68" t="str">
        <x:v>得令、有根、透干、同党或生源形成独立有效证据</x:v>
      </x:c>
      <x:c r="W22" s="68" t="str">
        <x:v>失令、无根、被合绊、被制、改性或作用路径受阻</x:v>
      </x:c>
      <x:c r="X22" s="90" t="str">
        <x:v>不得以十神名称、数量或单一旺弱证据直接完成定性</x:v>
      </x:c>
      <x:c r="Y22" s="68" t="str">
        <x:v>特殊格局、从化候选及明确组合转M11/M14另审</x:v>
      </x:c>
      <x:c r="Z22" s="68" t="str">
        <x:v>不得由得令单项直接判十神旺</x:v>
      </x:c>
      <x:c r="AA22" s="84" t="str">
        <x:v>十神季令支持</x:v>
      </x:c>
      <x:c r="AB22" s="84" t="str">
        <x:v>得令提高十神力量但不是旺的充分条件：当“目标十神对应五行获得强季令支持”成立时，按本规则记录十神的有效功能；同时保留制化、承载和反向证据。</x:v>
      </x:c>
      <x:c r="AC22" s="82" t="str">
        <x:v>较高</x:v>
      </x:c>
      <x:c r="AD22" s="82" t="str">
        <x:v>现代综合</x:v>
      </x:c>
      <x:c r="AE22" s="68" t="str">
        <x:v>十神必须分开判断存在性、力量、清纯度、功能性与喜忌性；M10只形成结构层结论和候选，不越级替代M11—M18。</x:v>
      </x:c>
      <x:c r="AF22" s="68" t="str">
        <x:v>相关条件真实成立，且增强条件有效时，可按“得令提高十神力量但不是旺的充分条件”记录对应功能。</x:v>
      </x:c>
      <x:c r="AG22" s="90" t="str">
        <x:v>仅见表面十神名称或数量，但“不得以十神名称、数量或单一旺弱证据直接完成定性”所述限制存在时，不得套用本规则。</x:v>
      </x:c>
      <x:c r="AH22" s="68" t="str">
        <x:v>https://zh.wikisource.org/wiki/%E6%B8%8A%E6%B5%B7%E5%AD%90%E5%B9%B3%E5%A4%A7%E5%85%A8 ; https://zh.wikisource.org/wiki/%E6%BB%B4%E5%A4%A9%E9%AB%93%E9%97%A1%E5%BE%AE</x:v>
      </x:c>
      <x:c r="AI22" s="82" t="str">
        <x:v>采用</x:v>
      </x:c>
      <x:c r="AJ22" s="82" t="str">
        <x:v>初审</x:v>
      </x:c>
      <x:c r="AK22" s="87" t="n">
        <x:v>46255</x:v>
      </x:c>
    </x:row>
    <x:row r="23">
      <x:c r="A23" s="72" t="str">
        <x:f>IF(OR(C23="",D23=""),"",B23&amp;"-"&amp;UPPER(C23)&amp;"-"&amp;TEXT(D23,"0000")&amp;"-"&amp;E23)</x:f>
        <x:v>M10-POWER-0017-V1.0</x:v>
      </x:c>
      <x:c r="B23" s="74" t="str">
        <x:v>M10</x:v>
      </x:c>
      <x:c r="C23" s="74" t="str">
        <x:v>POWER</x:v>
      </x:c>
      <x:c r="D23" s="215" t="n">
        <x:v>17</x:v>
      </x:c>
      <x:c r="E23" s="74" t="str">
        <x:v>V1.0</x:v>
      </x:c>
      <x:c r="F23" s="68" t="str">
        <x:v>有效根气增强十神持续作用能力</x:v>
      </x:c>
      <x:c r="G23" s="82" t="str">
        <x:v>结构层</x:v>
      </x:c>
      <x:c r="H23" s="82" t="str">
        <x:v>偏财</x:v>
      </x:c>
      <x:c r="I23" s="82" t="str">
        <x:v>待定</x:v>
      </x:c>
      <x:c r="J23" s="82" t="str">
        <x:v>待定</x:v>
      </x:c>
      <x:c r="K23" s="82" t="str">
        <x:v>中和偏旺</x:v>
      </x:c>
      <x:c r="L23" s="82" t="str">
        <x:v>待定</x:v>
      </x:c>
      <x:c r="M23" s="68" t="str">
        <x:v>按M08核查</x:v>
      </x:c>
      <x:c r="N23" s="68" t="str">
        <x:v>按M06/M08核查</x:v>
      </x:c>
      <x:c r="O23" s="82" t="str">
        <x:v>待定</x:v>
      </x:c>
      <x:c r="P23" s="68" t="str">
        <x:v>转M11/M14判断</x:v>
      </x:c>
      <x:c r="Q23" s="68" t="str">
        <x:v>需结合M09日主承载判断</x:v>
      </x:c>
      <x:c r="R23" s="82" t="str">
        <x:v>待定</x:v>
      </x:c>
      <x:c r="S23" s="68" t="str">
        <x:v>财星透干或藏支且存在可调用的有效根</x:v>
      </x:c>
      <x:c r="T23" s="68" t="str">
        <x:v>M02十神映射、M08五行有效旺衰、M09日主旺衰已完成</x:v>
      </x:c>
      <x:c r="U23" s="68" t="str">
        <x:v>相关十神已由M02正确映射，并以M08有效力量为准</x:v>
      </x:c>
      <x:c r="V23" s="68" t="str">
        <x:v>得令、有根、透干、同党或生源形成独立有效证据</x:v>
      </x:c>
      <x:c r="W23" s="68" t="str">
        <x:v>失令、无根、被合绊、被制、改性或作用路径受阻</x:v>
      </x:c>
      <x:c r="X23" s="90" t="str">
        <x:v>不得以十神名称、数量或单一旺弱证据直接完成定性</x:v>
      </x:c>
      <x:c r="Y23" s="68" t="str">
        <x:v>特殊格局、从化候选及明确组合转M11/M14另审</x:v>
      </x:c>
      <x:c r="Z23" s="68" t="str">
        <x:v>不得直接推出吉凶、具体事件、亲属结果或最终喜忌</x:v>
      </x:c>
      <x:c r="AA23" s="84" t="str">
        <x:v>十神根气支持</x:v>
      </x:c>
      <x:c r="AB23" s="84" t="str">
        <x:v>有效根气增强十神持续作用能力：当“财星透干或藏支且存在可调用的有效根”成立时，按本规则记录十神的有效功能；同时保留制化、承载和反向证据。</x:v>
      </x:c>
      <x:c r="AC23" s="82" t="str">
        <x:v>较高</x:v>
      </x:c>
      <x:c r="AD23" s="82" t="str">
        <x:v>现代综合</x:v>
      </x:c>
      <x:c r="AE23" s="68" t="str">
        <x:v>十神必须分开判断存在性、力量、清纯度、功能性与喜忌性；M10只形成结构层结论和候选，不越级替代M11—M18。</x:v>
      </x:c>
      <x:c r="AF23" s="68" t="str">
        <x:v>相关条件真实成立，且增强条件有效时，可按“有效根气增强十神持续作用能力”记录对应功能。</x:v>
      </x:c>
      <x:c r="AG23" s="90" t="str">
        <x:v>仅见表面十神名称或数量，但“不得以十神名称、数量或单一旺弱证据直接完成定性”所述限制存在时，不得套用本规则。</x:v>
      </x:c>
      <x:c r="AH23" s="68" t="str">
        <x:v>https://zh.wikisource.org/wiki/%E6%B8%8A%E6%B5%B7%E5%AD%90%E5%B9%B3%E5%A4%A7%E5%85%A8 ; https://zh.wikisource.org/wiki/%E6%BB%B4%E5%A4%A9%E9%AB%93%E9%97%A1%E5%BE%AE</x:v>
      </x:c>
      <x:c r="AI23" s="82" t="str">
        <x:v>采用</x:v>
      </x:c>
      <x:c r="AJ23" s="82" t="str">
        <x:v>初审</x:v>
      </x:c>
      <x:c r="AK23" s="87" t="n">
        <x:v>46255</x:v>
      </x:c>
    </x:row>
    <x:row r="24">
      <x:c r="A24" s="72" t="str">
        <x:f>IF(OR(C24="",D24=""),"",B24&amp;"-"&amp;UPPER(C24)&amp;"-"&amp;TEXT(D24,"0000")&amp;"-"&amp;E24)</x:f>
        <x:v>M10-POWER-0018-V1.0</x:v>
      </x:c>
      <x:c r="B24" s="74" t="str">
        <x:v>M10</x:v>
      </x:c>
      <x:c r="C24" s="74" t="str">
        <x:v>POWER</x:v>
      </x:c>
      <x:c r="D24" s="215" t="n">
        <x:v>18</x:v>
      </x:c>
      <x:c r="E24" s="74" t="str">
        <x:v>V1.0</x:v>
      </x:c>
      <x:c r="F24" s="68" t="str">
        <x:v>无根透干属于显而承载不足的候选</x:v>
      </x:c>
      <x:c r="G24" s="82" t="str">
        <x:v>结构层</x:v>
      </x:c>
      <x:c r="H24" s="82" t="str">
        <x:v>正财</x:v>
      </x:c>
      <x:c r="I24" s="82" t="str">
        <x:v>透干</x:v>
      </x:c>
      <x:c r="J24" s="82" t="str">
        <x:v>待定</x:v>
      </x:c>
      <x:c r="K24" s="82" t="str">
        <x:v>中和偏弱</x:v>
      </x:c>
      <x:c r="L24" s="82" t="str">
        <x:v>待定</x:v>
      </x:c>
      <x:c r="M24" s="68" t="str">
        <x:v>按M08核查</x:v>
      </x:c>
      <x:c r="N24" s="68" t="str">
        <x:v>按M06/M08核查</x:v>
      </x:c>
      <x:c r="O24" s="82" t="str">
        <x:v>待定</x:v>
      </x:c>
      <x:c r="P24" s="68" t="str">
        <x:v>转M11/M14判断</x:v>
      </x:c>
      <x:c r="Q24" s="68" t="str">
        <x:v>需结合M09日主承载判断</x:v>
      </x:c>
      <x:c r="R24" s="82" t="str">
        <x:v>待定</x:v>
      </x:c>
      <x:c r="S24" s="68" t="str">
        <x:v>财星透干但M08确认无有效根、无强生源</x:v>
      </x:c>
      <x:c r="T24" s="68" t="str">
        <x:v>M02十神映射、M08五行有效旺衰、M09日主旺衰已完成</x:v>
      </x:c>
      <x:c r="U24" s="68" t="str">
        <x:v>相关十神已由M02正确映射，并以M08有效力量为准</x:v>
      </x:c>
      <x:c r="V24" s="68" t="str">
        <x:v>得令、有根、透干、同党或生源形成独立有效证据</x:v>
      </x:c>
      <x:c r="W24" s="68" t="str">
        <x:v>失令、无根、被合绊、被制、改性或作用路径受阻</x:v>
      </x:c>
      <x:c r="X24" s="90" t="str">
        <x:v>不得以十神名称、数量或单一旺弱证据直接完成定性</x:v>
      </x:c>
      <x:c r="Y24" s="68" t="str">
        <x:v>特殊格局、从化候选及明确组合转M11/M14另审</x:v>
      </x:c>
      <x:c r="Z24" s="68" t="str">
        <x:v>不得把透干等同有力</x:v>
      </x:c>
      <x:c r="AA24" s="84" t="str">
        <x:v>十神浮显</x:v>
      </x:c>
      <x:c r="AB24" s="84" t="str">
        <x:v>无根透干属于显而承载不足的候选：当“财星透干但M08确认无有效根、无强生源”成立时，按本规则记录十神的有效功能；同时保留制化、承载和反向证据。</x:v>
      </x:c>
      <x:c r="AC24" s="82" t="str">
        <x:v>较高</x:v>
      </x:c>
      <x:c r="AD24" s="82" t="str">
        <x:v>现代综合</x:v>
      </x:c>
      <x:c r="AE24" s="68" t="str">
        <x:v>十神必须分开判断存在性、力量、清纯度、功能性与喜忌性；M10只形成结构层结论和候选，不越级替代M11—M18。</x:v>
      </x:c>
      <x:c r="AF24" s="68" t="str">
        <x:v>相关条件真实成立，且增强条件有效时，可按“无根透干属于显而承载不足的候选”记录对应功能。</x:v>
      </x:c>
      <x:c r="AG24" s="90" t="str">
        <x:v>仅见表面十神名称或数量，但“不得以十神名称、数量或单一旺弱证据直接完成定性”所述限制存在时，不得套用本规则。</x:v>
      </x:c>
      <x:c r="AH24" s="68" t="str">
        <x:v>https://zh.wikisource.org/wiki/%E6%B8%8A%E6%B5%B7%E5%AD%90%E5%B9%B3%E5%A4%A7%E5%85%A8 ; https://zh.wikisource.org/wiki/%E6%BB%B4%E5%A4%A9%E9%AB%93%E9%97%A1%E5%BE%AE</x:v>
      </x:c>
      <x:c r="AI24" s="82" t="str">
        <x:v>采用</x:v>
      </x:c>
      <x:c r="AJ24" s="82" t="str">
        <x:v>初审</x:v>
      </x:c>
      <x:c r="AK24" s="87" t="n">
        <x:v>46255</x:v>
      </x:c>
    </x:row>
    <x:row r="25">
      <x:c r="A25" s="72" t="str">
        <x:f>IF(OR(C25="",D25=""),"",B25&amp;"-"&amp;UPPER(C25)&amp;"-"&amp;TEXT(D25,"0000")&amp;"-"&amp;E25)</x:f>
        <x:v>M10-POWER-0019-V1.0</x:v>
      </x:c>
      <x:c r="B25" s="74" t="str">
        <x:v>M10</x:v>
      </x:c>
      <x:c r="C25" s="74" t="str">
        <x:v>POWER</x:v>
      </x:c>
      <x:c r="D25" s="215" t="n">
        <x:v>19</x:v>
      </x:c>
      <x:c r="E25" s="74" t="str">
        <x:v>V1.0</x:v>
      </x:c>
      <x:c r="F25" s="68" t="str">
        <x:v>生源有力可增强官杀实际压力</x:v>
      </x:c>
      <x:c r="G25" s="82" t="str">
        <x:v>结构层</x:v>
      </x:c>
      <x:c r="H25" s="82" t="str">
        <x:v>七杀</x:v>
      </x:c>
      <x:c r="I25" s="82" t="str">
        <x:v>待定</x:v>
      </x:c>
      <x:c r="J25" s="82" t="str">
        <x:v>待定</x:v>
      </x:c>
      <x:c r="K25" s="82" t="str">
        <x:v>中和偏旺</x:v>
      </x:c>
      <x:c r="L25" s="82" t="str">
        <x:v>待定</x:v>
      </x:c>
      <x:c r="M25" s="68" t="str">
        <x:v>财星提供有效生源</x:v>
      </x:c>
      <x:c r="N25" s="68" t="str">
        <x:v>按M06/M08核查</x:v>
      </x:c>
      <x:c r="O25" s="82" t="str">
        <x:v>待定</x:v>
      </x:c>
      <x:c r="P25" s="68" t="str">
        <x:v>转M11/M14判断</x:v>
      </x:c>
      <x:c r="Q25" s="68" t="str">
        <x:v>需结合M09日主承载判断</x:v>
      </x:c>
      <x:c r="R25" s="82" t="str">
        <x:v>待定</x:v>
      </x:c>
      <x:c r="S25" s="68" t="str">
        <x:v>财星有效生官杀，且生扶通路未被阻断</x:v>
      </x:c>
      <x:c r="T25" s="68" t="str">
        <x:v>M02十神映射、M08五行有效旺衰、M09日主旺衰已完成</x:v>
      </x:c>
      <x:c r="U25" s="68" t="str">
        <x:v>相关十神已由M02正确映射，并以M08有效力量为准</x:v>
      </x:c>
      <x:c r="V25" s="68" t="str">
        <x:v>得令、有根、透干、同党或生源形成独立有效证据</x:v>
      </x:c>
      <x:c r="W25" s="68" t="str">
        <x:v>失令、无根、被合绊、被制、改性或作用路径受阻</x:v>
      </x:c>
      <x:c r="X25" s="90" t="str">
        <x:v>不得以十神名称、数量或单一旺弱证据直接完成定性</x:v>
      </x:c>
      <x:c r="Y25" s="68" t="str">
        <x:v>特殊格局、从化候选及明确组合转M11/M14另审</x:v>
      </x:c>
      <x:c r="Z25" s="68" t="str">
        <x:v>不得直接推出吉凶、具体事件、亲属结果或最终喜忌</x:v>
      </x:c>
      <x:c r="AA25" s="84" t="str">
        <x:v>官杀受生增强</x:v>
      </x:c>
      <x:c r="AB25" s="84" t="str">
        <x:v>生源有力可增强官杀实际压力：当“财星有效生官杀，且生扶通路未被阻断”成立时，按本规则记录十神的有效功能；同时保留制化、承载和反向证据。</x:v>
      </x:c>
      <x:c r="AC25" s="82" t="str">
        <x:v>较高</x:v>
      </x:c>
      <x:c r="AD25" s="82" t="str">
        <x:v>现代综合</x:v>
      </x:c>
      <x:c r="AE25" s="68" t="str">
        <x:v>十神必须分开判断存在性、力量、清纯度、功能性与喜忌性；M10只形成结构层结论和候选，不越级替代M11—M18。</x:v>
      </x:c>
      <x:c r="AF25" s="68" t="str">
        <x:v>相关条件真实成立，且增强条件有效时，可按“生源有力可增强官杀实际压力”记录对应功能。</x:v>
      </x:c>
      <x:c r="AG25" s="90" t="str">
        <x:v>仅见表面十神名称或数量，但“不得以十神名称、数量或单一旺弱证据直接完成定性”所述限制存在时，不得套用本规则。</x:v>
      </x:c>
      <x:c r="AH25" s="68" t="str">
        <x:v>https://zh.wikisource.org/wiki/%E6%B8%8A%E6%B5%B7%E5%AD%90%E5%B9%B3%E5%A4%A7%E5%85%A8 ; https://zh.wikisource.org/wiki/%E6%BB%B4%E5%A4%A9%E9%AB%93%E9%97%A1%E5%BE%AE</x:v>
      </x:c>
      <x:c r="AI25" s="82" t="str">
        <x:v>采用</x:v>
      </x:c>
      <x:c r="AJ25" s="82" t="str">
        <x:v>初审</x:v>
      </x:c>
      <x:c r="AK25" s="87" t="n">
        <x:v>46255</x:v>
      </x:c>
    </x:row>
    <x:row r="26">
      <x:c r="A26" s="72" t="str">
        <x:f>IF(OR(C26="",D26=""),"",B26&amp;"-"&amp;UPPER(C26)&amp;"-"&amp;TEXT(D26,"0000")&amp;"-"&amp;E26)</x:f>
        <x:v>M10-POWER-0020-V1.0</x:v>
      </x:c>
      <x:c r="B26" s="74" t="str">
        <x:v>M10</x:v>
      </x:c>
      <x:c r="C26" s="74" t="str">
        <x:v>POWER</x:v>
      </x:c>
      <x:c r="D26" s="215" t="n">
        <x:v>20</x:v>
      </x:c>
      <x:c r="E26" s="74" t="str">
        <x:v>V1.0</x:v>
      </x:c>
      <x:c r="F26" s="68" t="str">
        <x:v>十神受制时须按实际克制效应下调</x:v>
      </x:c>
      <x:c r="G26" s="82" t="str">
        <x:v>结构层</x:v>
      </x:c>
      <x:c r="H26" s="82" t="str">
        <x:v>正官</x:v>
      </x:c>
      <x:c r="I26" s="82" t="str">
        <x:v>待定</x:v>
      </x:c>
      <x:c r="J26" s="82" t="str">
        <x:v>待定</x:v>
      </x:c>
      <x:c r="K26" s="82" t="str">
        <x:v>中和偏弱</x:v>
      </x:c>
      <x:c r="L26" s="82" t="str">
        <x:v>待定</x:v>
      </x:c>
      <x:c r="M26" s="68" t="str">
        <x:v>按M08核查</x:v>
      </x:c>
      <x:c r="N26" s="68" t="str">
        <x:v>受伤官或合冲实际制约</x:v>
      </x:c>
      <x:c r="O26" s="82" t="str">
        <x:v>受限</x:v>
      </x:c>
      <x:c r="P26" s="68" t="str">
        <x:v>转M11/M14判断</x:v>
      </x:c>
      <x:c r="Q26" s="68" t="str">
        <x:v>需结合M09日主承载判断</x:v>
      </x:c>
      <x:c r="R26" s="82" t="str">
        <x:v>待定</x:v>
      </x:c>
      <x:c r="S26" s="68" t="str">
        <x:v>正官遭有效伤官克制、合绊或改性，M06/M08确认作用成立</x:v>
      </x:c>
      <x:c r="T26" s="68" t="str">
        <x:v>M02十神映射、M08五行有效旺衰、M09日主旺衰已完成</x:v>
      </x:c>
      <x:c r="U26" s="68" t="str">
        <x:v>相关十神已由M02正确映射，并以M08有效力量为准</x:v>
      </x:c>
      <x:c r="V26" s="68" t="str">
        <x:v>得令、有根、透干、同党或生源形成独立有效证据</x:v>
      </x:c>
      <x:c r="W26" s="68" t="str">
        <x:v>失令、无根、被合绊、被制、改性或作用路径受阻</x:v>
      </x:c>
      <x:c r="X26" s="90" t="str">
        <x:v>不得以十神名称、数量或单一旺弱证据直接完成定性</x:v>
      </x:c>
      <x:c r="Y26" s="68" t="str">
        <x:v>特殊格局、从化候选及明确组合转M11/M14另审</x:v>
      </x:c>
      <x:c r="Z26" s="68" t="str">
        <x:v>不得直接推出吉凶、具体事件、亲属结果或最终喜忌</x:v>
      </x:c>
      <x:c r="AA26" s="84" t="str">
        <x:v>十神受制修正</x:v>
      </x:c>
      <x:c r="AB26" s="84" t="str">
        <x:v>十神受制时须按实际克制效应下调：当“正官遭有效伤官克制、合绊或改性，M06/M08确认作用成立”成立时，按本规则记录十神的有效功能；同时保留制化、承载和反向证据。</x:v>
      </x:c>
      <x:c r="AC26" s="82" t="str">
        <x:v>较高</x:v>
      </x:c>
      <x:c r="AD26" s="82" t="str">
        <x:v>现代综合</x:v>
      </x:c>
      <x:c r="AE26" s="68" t="str">
        <x:v>十神必须分开判断存在性、力量、清纯度、功能性与喜忌性；M10只形成结构层结论和候选，不越级替代M11—M18。</x:v>
      </x:c>
      <x:c r="AF26" s="68" t="str">
        <x:v>相关条件真实成立，且增强条件有效时，可按“十神受制时须按实际克制效应下调”记录对应功能。</x:v>
      </x:c>
      <x:c r="AG26" s="90" t="str">
        <x:v>仅见表面十神名称或数量，但“不得以十神名称、数量或单一旺弱证据直接完成定性”所述限制存在时，不得套用本规则。</x:v>
      </x:c>
      <x:c r="AH26" s="68" t="str">
        <x:v>https://zh.wikisource.org/wiki/%E6%B8%8A%E6%B5%B7%E5%AD%90%E5%B9%B3%E5%A4%A7%E5%85%A8 ; https://zh.wikisource.org/wiki/%E6%BB%B4%E5%A4%A9%E9%AB%93%E9%97%A1%E5%BE%AE</x:v>
      </x:c>
      <x:c r="AI26" s="82" t="str">
        <x:v>采用</x:v>
      </x:c>
      <x:c r="AJ26" s="82" t="str">
        <x:v>初审</x:v>
      </x:c>
      <x:c r="AK26" s="87" t="n">
        <x:v>46255</x:v>
      </x:c>
    </x:row>
    <x:row r="27">
      <x:c r="A27" s="72" t="str">
        <x:f>IF(OR(C27="",D27=""),"",B27&amp;"-"&amp;UPPER(C27)&amp;"-"&amp;TEXT(D27,"0000")&amp;"-"&amp;E27)</x:f>
        <x:v>M10-POWER-0021-V1.0</x:v>
      </x:c>
      <x:c r="B27" s="74" t="str">
        <x:v>M10</x:v>
      </x:c>
      <x:c r="C27" s="74" t="str">
        <x:v>POWER</x:v>
      </x:c>
      <x:c r="D27" s="215" t="n">
        <x:v>21</x:v>
      </x:c>
      <x:c r="E27" s="74" t="str">
        <x:v>V1.0</x:v>
      </x:c>
      <x:c r="F27" s="68" t="str">
        <x:v>被合化改性的节点不再按原十神全额调用</x:v>
      </x:c>
      <x:c r="G27" s="82" t="str">
        <x:v>结构层</x:v>
      </x:c>
      <x:c r="H27" s="82" t="str">
        <x:v>偏印</x:v>
      </x:c>
      <x:c r="I27" s="82" t="str">
        <x:v>待定</x:v>
      </x:c>
      <x:c r="J27" s="82" t="str">
        <x:v>待定</x:v>
      </x:c>
      <x:c r="K27" s="82" t="str">
        <x:v>待定</x:v>
      </x:c>
      <x:c r="L27" s="82" t="str">
        <x:v>待定</x:v>
      </x:c>
      <x:c r="M27" s="68" t="str">
        <x:v>按M08核查</x:v>
      </x:c>
      <x:c r="N27" s="68" t="str">
        <x:v>按M06/M08核查</x:v>
      </x:c>
      <x:c r="O27" s="82" t="str">
        <x:v>转化</x:v>
      </x:c>
      <x:c r="P27" s="68" t="str">
        <x:v>转M11/M14判断</x:v>
      </x:c>
      <x:c r="Q27" s="68" t="str">
        <x:v>需结合M09日主承载判断</x:v>
      </x:c>
      <x:c r="R27" s="82" t="str">
        <x:v>待定</x:v>
      </x:c>
      <x:c r="S27" s="68" t="str">
        <x:v>原偏印节点经M06确认发生实质五行改性</x:v>
      </x:c>
      <x:c r="T27" s="68" t="str">
        <x:v>M02十神映射、M08五行有效旺衰、M09日主旺衰已完成</x:v>
      </x:c>
      <x:c r="U27" s="68" t="str">
        <x:v>相关十神已由M02正确映射，并以M08有效力量为准</x:v>
      </x:c>
      <x:c r="V27" s="68" t="str">
        <x:v>得令、有根、透干、同党或生源形成独立有效证据</x:v>
      </x:c>
      <x:c r="W27" s="68" t="str">
        <x:v>失令、无根、被合绊、被制、改性或作用路径受阻</x:v>
      </x:c>
      <x:c r="X27" s="90" t="str">
        <x:v>不得以十神名称、数量或单一旺弱证据直接完成定性</x:v>
      </x:c>
      <x:c r="Y27" s="68" t="str">
        <x:v>特殊格局、从化候选及明确组合转M11/M14另审</x:v>
      </x:c>
      <x:c r="Z27" s="68" t="str">
        <x:v>不得在改性后同时把原十神与化神重复全额计力</x:v>
      </x:c>
      <x:c r="AA27" s="84" t="str">
        <x:v>十神改性重算</x:v>
      </x:c>
      <x:c r="AB27" s="84" t="str">
        <x:v>被合化改性的节点不再按原十神全额调用：当“原偏印节点经M06确认发生实质五行改性”成立时，按本规则记录十神的有效功能；同时保留制化、承载和反向证据。</x:v>
      </x:c>
      <x:c r="AC27" s="82" t="str">
        <x:v>较高</x:v>
      </x:c>
      <x:c r="AD27" s="82" t="str">
        <x:v>现代综合</x:v>
      </x:c>
      <x:c r="AE27" s="68" t="str">
        <x:v>十神必须分开判断存在性、力量、清纯度、功能性与喜忌性；M10只形成结构层结论和候选，不越级替代M11—M18。</x:v>
      </x:c>
      <x:c r="AF27" s="68" t="str">
        <x:v>相关条件真实成立，且增强条件有效时，可按“被合化改性的节点不再按原十神全额调用”记录对应功能。</x:v>
      </x:c>
      <x:c r="AG27" s="90" t="str">
        <x:v>仅见表面十神名称或数量，但“不得以十神名称、数量或单一旺弱证据直接完成定性”所述限制存在时，不得套用本规则。</x:v>
      </x:c>
      <x:c r="AH27" s="68" t="str">
        <x:v>https://zh.wikisource.org/wiki/%E6%B8%8A%E6%B5%B7%E5%AD%90%E5%B9%B3%E5%A4%A7%E5%85%A8 ; https://zh.wikisource.org/wiki/%E6%BB%B4%E5%A4%A9%E9%AB%93%E9%97%A1%E5%BE%AE</x:v>
      </x:c>
      <x:c r="AI27" s="82" t="str">
        <x:v>采用</x:v>
      </x:c>
      <x:c r="AJ27" s="82" t="str">
        <x:v>初审</x:v>
      </x:c>
      <x:c r="AK27" s="87" t="n">
        <x:v>46255</x:v>
      </x:c>
    </x:row>
    <x:row r="28">
      <x:c r="A28" s="72" t="str">
        <x:f>IF(OR(C28="",D28=""),"",B28&amp;"-"&amp;UPPER(C28)&amp;"-"&amp;TEXT(D28,"0000")&amp;"-"&amp;E28)</x:f>
        <x:v>M10-POWER-0022-V1.0</x:v>
      </x:c>
      <x:c r="B28" s="74" t="str">
        <x:v>M10</x:v>
      </x:c>
      <x:c r="C28" s="74" t="str">
        <x:v>POWER</x:v>
      </x:c>
      <x:c r="D28" s="215" t="n">
        <x:v>22</x:v>
      </x:c>
      <x:c r="E28" s="74" t="str">
        <x:v>V1.0</x:v>
      </x:c>
      <x:c r="F28" s="68" t="str">
        <x:v>同源季令根气透干证据必须去重</x:v>
      </x:c>
      <x:c r="G28" s="82" t="str">
        <x:v>结构层</x:v>
      </x:c>
      <x:c r="H28" s="82" t="str">
        <x:v>正印</x:v>
      </x:c>
      <x:c r="I28" s="82" t="str">
        <x:v>待定</x:v>
      </x:c>
      <x:c r="J28" s="82" t="str">
        <x:v>待定</x:v>
      </x:c>
      <x:c r="K28" s="82" t="str">
        <x:v>待定</x:v>
      </x:c>
      <x:c r="L28" s="82" t="str">
        <x:v>待定</x:v>
      </x:c>
      <x:c r="M28" s="68" t="str">
        <x:v>按M08核查</x:v>
      </x:c>
      <x:c r="N28" s="68" t="str">
        <x:v>按M06/M08核查</x:v>
      </x:c>
      <x:c r="O28" s="82" t="str">
        <x:v>待定</x:v>
      </x:c>
      <x:c r="P28" s="68" t="str">
        <x:v>转M11/M14判断</x:v>
      </x:c>
      <x:c r="Q28" s="68" t="str">
        <x:v>需结合M09日主承载判断</x:v>
      </x:c>
      <x:c r="R28" s="82" t="str">
        <x:v>待定</x:v>
      </x:c>
      <x:c r="S28" s="68" t="str">
        <x:v>同一干支节点同时提供得令、通根、透出等多个标签</x:v>
      </x:c>
      <x:c r="T28" s="68" t="str">
        <x:v>M02十神映射、M08五行有效旺衰、M09日主旺衰已完成</x:v>
      </x:c>
      <x:c r="U28" s="68" t="str">
        <x:v>相关十神已由M02正确映射，并以M08有效力量为准</x:v>
      </x:c>
      <x:c r="V28" s="68" t="str">
        <x:v>得令、有根、透干、同党或生源形成独立有效证据</x:v>
      </x:c>
      <x:c r="W28" s="68" t="str">
        <x:v>失令、无根、被合绊、被制、改性或作用路径受阻</x:v>
      </x:c>
      <x:c r="X28" s="90" t="str">
        <x:v>不得以十神名称、数量或单一旺弱证据直接完成定性</x:v>
      </x:c>
      <x:c r="Y28" s="68" t="str">
        <x:v>特殊格局、从化候选及明确组合转M11/M14另审</x:v>
      </x:c>
      <x:c r="Z28" s="68" t="str">
        <x:v>不得把同一节点的多个标签重复按决定性权重累加</x:v>
      </x:c>
      <x:c r="AA28" s="84" t="str">
        <x:v>十神证据去重</x:v>
      </x:c>
      <x:c r="AB28" s="84" t="str">
        <x:v>同源季令根气透干证据必须去重：当“同一干支节点同时提供得令、通根、透出等多个标签”成立时，按本规则记录十神的有效功能；同时保留制化、承载和反向证据。</x:v>
      </x:c>
      <x:c r="AC28" s="82" t="str">
        <x:v>较高</x:v>
      </x:c>
      <x:c r="AD28" s="82" t="str">
        <x:v>现代综合</x:v>
      </x:c>
      <x:c r="AE28" s="68" t="str">
        <x:v>十神必须分开判断存在性、力量、清纯度、功能性与喜忌性；M10只形成结构层结论和候选，不越级替代M11—M18。</x:v>
      </x:c>
      <x:c r="AF28" s="68" t="str">
        <x:v>相关条件真实成立，且增强条件有效时，可按“同源季令根气透干证据必须去重”记录对应功能。</x:v>
      </x:c>
      <x:c r="AG28" s="90" t="str">
        <x:v>仅见表面十神名称或数量，但“不得以十神名称、数量或单一旺弱证据直接完成定性”所述限制存在时，不得套用本规则。</x:v>
      </x:c>
      <x:c r="AH28" s="68" t="str">
        <x:v>https://zh.wikisource.org/wiki/%E6%B8%8A%E6%B5%B7%E5%AD%90%E5%B9%B3%E5%A4%A7%E5%85%A8 ; https://zh.wikisource.org/wiki/%E6%BB%B4%E5%A4%A9%E9%AB%93%E9%97%A1%E5%BE%AE</x:v>
      </x:c>
      <x:c r="AI28" s="82" t="str">
        <x:v>采用</x:v>
      </x:c>
      <x:c r="AJ28" s="82" t="str">
        <x:v>初审</x:v>
      </x:c>
      <x:c r="AK28" s="87" t="n">
        <x:v>46255</x:v>
      </x:c>
    </x:row>
    <x:row r="29">
      <x:c r="A29" s="72" t="str">
        <x:f>IF(OR(C29="",D29=""),"",B29&amp;"-"&amp;UPPER(C29)&amp;"-"&amp;TEXT(D29,"0000")&amp;"-"&amp;E29)</x:f>
        <x:v>M10-POWER-0023-V1.0</x:v>
      </x:c>
      <x:c r="B29" s="74" t="str">
        <x:v>M10</x:v>
      </x:c>
      <x:c r="C29" s="74" t="str">
        <x:v>POWER</x:v>
      </x:c>
      <x:c r="D29" s="215" t="n">
        <x:v>23</x:v>
      </x:c>
      <x:c r="E29" s="74" t="str">
        <x:v>V1.0</x:v>
      </x:c>
      <x:c r="F29" s="68" t="str">
        <x:v>藏支弱十神不等于零力量</x:v>
      </x:c>
      <x:c r="G29" s="82" t="str">
        <x:v>结构层</x:v>
      </x:c>
      <x:c r="H29" s="82" t="str">
        <x:v>食神</x:v>
      </x:c>
      <x:c r="I29" s="82" t="str">
        <x:v>藏支余气</x:v>
      </x:c>
      <x:c r="J29" s="82" t="str">
        <x:v>待定</x:v>
      </x:c>
      <x:c r="K29" s="82" t="str">
        <x:v>弱</x:v>
      </x:c>
      <x:c r="L29" s="82" t="str">
        <x:v>待定</x:v>
      </x:c>
      <x:c r="M29" s="68" t="str">
        <x:v>按M08核查</x:v>
      </x:c>
      <x:c r="N29" s="68" t="str">
        <x:v>按M06/M08核查</x:v>
      </x:c>
      <x:c r="O29" s="82" t="str">
        <x:v>待定</x:v>
      </x:c>
      <x:c r="P29" s="68" t="str">
        <x:v>转M11/M14判断</x:v>
      </x:c>
      <x:c r="Q29" s="68" t="str">
        <x:v>需结合M09日主承载判断</x:v>
      </x:c>
      <x:c r="R29" s="82" t="str">
        <x:v>待定</x:v>
      </x:c>
      <x:c r="S29" s="68" t="str">
        <x:v>食神仅藏中余气但其根位未被实质破坏</x:v>
      </x:c>
      <x:c r="T29" s="68" t="str">
        <x:v>M02十神映射、M08五行有效旺衰、M09日主旺衰已完成</x:v>
      </x:c>
      <x:c r="U29" s="68" t="str">
        <x:v>相关十神已由M02正确映射，并以M08有效力量为准</x:v>
      </x:c>
      <x:c r="V29" s="68" t="str">
        <x:v>得令、有根、透干、同党或生源形成独立有效证据</x:v>
      </x:c>
      <x:c r="W29" s="68" t="str">
        <x:v>失令、无根、被合绊、被制、改性或作用路径受阻</x:v>
      </x:c>
      <x:c r="X29" s="90" t="str">
        <x:v>不得以十神名称、数量或单一旺弱证据直接完成定性</x:v>
      </x:c>
      <x:c r="Y29" s="68" t="str">
        <x:v>特殊格局、从化候选及明确组合转M11/M14另审</x:v>
      </x:c>
      <x:c r="Z29" s="68" t="str">
        <x:v>不得因不透干将该十神直接删除</x:v>
      </x:c>
      <x:c r="AA29" s="84" t="str">
        <x:v>隐性弱十神保留</x:v>
      </x:c>
      <x:c r="AB29" s="84" t="str">
        <x:v>藏支弱十神不等于零力量：当“食神仅藏中余气但其根位未被实质破坏”成立时，按本规则记录十神的有效功能；同时保留制化、承载和反向证据。</x:v>
      </x:c>
      <x:c r="AC29" s="82" t="str">
        <x:v>较高</x:v>
      </x:c>
      <x:c r="AD29" s="82" t="str">
        <x:v>现代综合</x:v>
      </x:c>
      <x:c r="AE29" s="68" t="str">
        <x:v>十神必须分开判断存在性、力量、清纯度、功能性与喜忌性；M10只形成结构层结论和候选，不越级替代M11—M18。</x:v>
      </x:c>
      <x:c r="AF29" s="68" t="str">
        <x:v>相关条件真实成立，且增强条件有效时，可按“藏支弱十神不等于零力量”记录对应功能。</x:v>
      </x:c>
      <x:c r="AG29" s="90" t="str">
        <x:v>仅见表面十神名称或数量，但“不得以十神名称、数量或单一旺弱证据直接完成定性”所述限制存在时，不得套用本规则。</x:v>
      </x:c>
      <x:c r="AH29" s="68" t="str">
        <x:v>https://zh.wikisource.org/wiki/%E6%B8%8A%E6%B5%B7%E5%AD%90%E5%B9%B3%E5%A4%A7%E5%85%A8 ; https://zh.wikisource.org/wiki/%E6%BB%B4%E5%A4%A9%E9%AB%93%E9%97%A1%E5%BE%AE</x:v>
      </x:c>
      <x:c r="AI29" s="82" t="str">
        <x:v>采用</x:v>
      </x:c>
      <x:c r="AJ29" s="82" t="str">
        <x:v>初审</x:v>
      </x:c>
      <x:c r="AK29" s="87" t="n">
        <x:v>46255</x:v>
      </x:c>
    </x:row>
    <x:row r="30">
      <x:c r="A30" s="72" t="str">
        <x:f>IF(OR(C30="",D30=""),"",B30&amp;"-"&amp;UPPER(C30)&amp;"-"&amp;TEXT(D30,"0000")&amp;"-"&amp;E30)</x:f>
        <x:v>M10-POWER-0024-V1.0</x:v>
      </x:c>
      <x:c r="B30" s="74" t="str">
        <x:v>M10</x:v>
      </x:c>
      <x:c r="C30" s="74" t="str">
        <x:v>POWER</x:v>
      </x:c>
      <x:c r="D30" s="215" t="n">
        <x:v>24</x:v>
      </x:c>
      <x:c r="E30" s="74" t="str">
        <x:v>V1.0</x:v>
      </x:c>
      <x:c r="F30" s="68" t="str">
        <x:v>十神旺衰统一采用七级有效等级</x:v>
      </x:c>
      <x:c r="G30" s="82" t="str">
        <x:v>结构层</x:v>
      </x:c>
      <x:c r="H30" s="82" t="str">
        <x:v>七杀</x:v>
      </x:c>
      <x:c r="I30" s="82" t="str">
        <x:v>待定</x:v>
      </x:c>
      <x:c r="J30" s="82" t="str">
        <x:v>待定</x:v>
      </x:c>
      <x:c r="K30" s="82" t="str">
        <x:v>待定</x:v>
      </x:c>
      <x:c r="L30" s="82" t="str">
        <x:v>待定</x:v>
      </x:c>
      <x:c r="M30" s="68" t="str">
        <x:v>按M08核查</x:v>
      </x:c>
      <x:c r="N30" s="68" t="str">
        <x:v>按M06/M08核查</x:v>
      </x:c>
      <x:c r="O30" s="82" t="str">
        <x:v>待定</x:v>
      </x:c>
      <x:c r="P30" s="68" t="str">
        <x:v>转M11/M14判断</x:v>
      </x:c>
      <x:c r="Q30" s="68" t="str">
        <x:v>需结合M09日主承载判断</x:v>
      </x:c>
      <x:c r="R30" s="82" t="str">
        <x:v>待定</x:v>
      </x:c>
      <x:c r="S30" s="68" t="str">
        <x:v>综合M08节点力量后需输出极弱至极旺七级之一</x:v>
      </x:c>
      <x:c r="T30" s="68" t="str">
        <x:v>M02十神映射、M08五行有效旺衰、M09日主旺衰已完成</x:v>
      </x:c>
      <x:c r="U30" s="68" t="str">
        <x:v>相关十神已由M02正确映射，并以M08有效力量为准</x:v>
      </x:c>
      <x:c r="V30" s="68" t="str">
        <x:v>得令、有根、透干、同党或生源形成独立有效证据</x:v>
      </x:c>
      <x:c r="W30" s="68" t="str">
        <x:v>失令、无根、被合绊、被制、改性或作用路径受阻</x:v>
      </x:c>
      <x:c r="X30" s="90" t="str">
        <x:v>不得以十神名称、数量或单一旺弱证据直接完成定性</x:v>
      </x:c>
      <x:c r="Y30" s="68" t="str">
        <x:v>特殊格局、从化候选及明确组合转M11/M14另审</x:v>
      </x:c>
      <x:c r="Z30" s="68" t="str">
        <x:v>不得直接推出吉凶、具体事件、亲属结果或最终喜忌</x:v>
      </x:c>
      <x:c r="AA30" s="84" t="str">
        <x:v>十神七级分级</x:v>
      </x:c>
      <x:c r="AB30" s="84" t="str">
        <x:v>十神有效旺衰须按极弱、弱、中和偏弱、中和、中和偏旺、旺、极旺输出，并附主要正反证据。</x:v>
      </x:c>
      <x:c r="AC30" s="82" t="str">
        <x:v>较高</x:v>
      </x:c>
      <x:c r="AD30" s="82" t="str">
        <x:v>现代综合</x:v>
      </x:c>
      <x:c r="AE30" s="68" t="str">
        <x:v>十神必须分开判断存在性、力量、清纯度、功能性与喜忌性；M10只形成结构层结论和候选，不越级替代M11—M18。</x:v>
      </x:c>
      <x:c r="AF30" s="68" t="str">
        <x:v>相关条件真实成立，且增强条件有效时，可按“十神旺衰统一采用七级有效等级”记录对应功能。</x:v>
      </x:c>
      <x:c r="AG30" s="90" t="str">
        <x:v>仅见表面十神名称或数量，但“不得以十神名称、数量或单一旺弱证据直接完成定性”所述限制存在时，不得套用本规则。</x:v>
      </x:c>
      <x:c r="AH30" s="68" t="str">
        <x:v>https://zh.wikisource.org/wiki/%E6%B8%8A%E6%B5%B7%E5%AD%90%E5%B9%B3%E5%A4%A7%E5%85%A8 ; https://zh.wikisource.org/wiki/%E6%BB%B4%E5%A4%A9%E9%AB%93%E9%97%A1%E5%BE%AE</x:v>
      </x:c>
      <x:c r="AI30" s="82" t="str">
        <x:v>采用</x:v>
      </x:c>
      <x:c r="AJ30" s="82" t="str">
        <x:v>初审</x:v>
      </x:c>
      <x:c r="AK30" s="87" t="n">
        <x:v>46255</x:v>
      </x:c>
    </x:row>
    <x:row r="31">
      <x:c r="A31" s="72" t="str">
        <x:f>IF(OR(C31="",D31=""),"",B31&amp;"-"&amp;UPPER(C31)&amp;"-"&amp;TEXT(D31,"0000")&amp;"-"&amp;E31)</x:f>
        <x:v>M10-PURE-0025-V1.0</x:v>
      </x:c>
      <x:c r="B31" s="74" t="str">
        <x:v>M10</x:v>
      </x:c>
      <x:c r="C31" s="74" t="str">
        <x:v>PURE</x:v>
      </x:c>
      <x:c r="D31" s="215" t="n">
        <x:v>25</x:v>
      </x:c>
      <x:c r="E31" s="74" t="str">
        <x:v>V1.0</x:v>
      </x:c>
      <x:c r="F31" s="68" t="str">
        <x:v>同一功能群仅一类十神有效主导时可判较清</x:v>
      </x:c>
      <x:c r="G31" s="82" t="str">
        <x:v>结构层</x:v>
      </x:c>
      <x:c r="H31" s="82" t="str">
        <x:v>正官</x:v>
      </x:c>
      <x:c r="I31" s="82" t="str">
        <x:v>待定</x:v>
      </x:c>
      <x:c r="J31" s="82" t="str">
        <x:v>待定</x:v>
      </x:c>
      <x:c r="K31" s="82" t="str">
        <x:v>待定</x:v>
      </x:c>
      <x:c r="L31" s="82" t="str">
        <x:v>较清</x:v>
      </x:c>
      <x:c r="M31" s="68" t="str">
        <x:v>按M08核查</x:v>
      </x:c>
      <x:c r="N31" s="68" t="str">
        <x:v>按M06/M08核查</x:v>
      </x:c>
      <x:c r="O31" s="82" t="str">
        <x:v>待定</x:v>
      </x:c>
      <x:c r="P31" s="68" t="str">
        <x:v>转M11/M14判断</x:v>
      </x:c>
      <x:c r="Q31" s="68" t="str">
        <x:v>需结合M09日主承载判断</x:v>
      </x:c>
      <x:c r="R31" s="82" t="str">
        <x:v>待定</x:v>
      </x:c>
      <x:c r="S31" s="68" t="str">
        <x:v>官杀功能群中正官明显有效，七杀不现或极弱</x:v>
      </x:c>
      <x:c r="T31" s="68" t="str">
        <x:v>M02十神映射、M08五行有效旺衰、M09日主旺衰已完成</x:v>
      </x:c>
      <x:c r="U31" s="68" t="str">
        <x:v>相关十神已由M02正确映射，并以M08有效力量为准</x:v>
      </x:c>
      <x:c r="V31" s="68" t="str">
        <x:v>得令、有根、透干、同党或生源形成独立有效证据</x:v>
      </x:c>
      <x:c r="W31" s="68" t="str">
        <x:v>失令、无根、被合绊、被制、改性或作用路径受阻</x:v>
      </x:c>
      <x:c r="X31" s="90" t="str">
        <x:v>不得以十神名称、数量或单一旺弱证据直接完成定性</x:v>
      </x:c>
      <x:c r="Y31" s="68" t="str">
        <x:v>特殊格局、从化候选及明确组合转M11/M14另审</x:v>
      </x:c>
      <x:c r="Z31" s="68" t="str">
        <x:v>不得由较清直接推出正官为喜或格局成立</x:v>
      </x:c>
      <x:c r="AA31" s="84" t="str">
        <x:v>官杀较清</x:v>
      </x:c>
      <x:c r="AB31" s="84" t="str">
        <x:v>同一功能群仅一类十神有效主导时可判较清：当“官杀功能群中正官明显有效，七杀不现或极弱”成立时，按本规则记录十神的有效功能；同时保留制化、承载和反向证据。</x:v>
      </x:c>
      <x:c r="AC31" s="82" t="str">
        <x:v>较高</x:v>
      </x:c>
      <x:c r="AD31" s="82" t="str">
        <x:v>现代综合</x:v>
      </x:c>
      <x:c r="AE31" s="68" t="str">
        <x:v>十神必须分开判断存在性、力量、清纯度、功能性与喜忌性；M10只形成结构层结论和候选，不越级替代M11—M18。</x:v>
      </x:c>
      <x:c r="AF31" s="68" t="str">
        <x:v>相关条件真实成立，且增强条件有效时，可按“同一功能群仅一类十神有效主导时可判较清”记录对应功能。</x:v>
      </x:c>
      <x:c r="AG31" s="90" t="str">
        <x:v>仅见表面十神名称或数量，但“不得以十神名称、数量或单一旺弱证据直接完成定性”所述限制存在时，不得套用本规则。</x:v>
      </x:c>
      <x:c r="AH31" s="68" t="str">
        <x:v>https://zh.wikisource.org/wiki/%E6%B8%8A%E6%B5%B7%E5%AD%90%E5%B9%B3%E5%A4%A7%E5%85%A8 ; https://zh.wikisource.org/wiki/%E6%BB%B4%E5%A4%A9%E9%AB%93%E9%97%A1%E5%BE%AE</x:v>
      </x:c>
      <x:c r="AI31" s="82" t="str">
        <x:v>采用</x:v>
      </x:c>
      <x:c r="AJ31" s="82" t="str">
        <x:v>初审</x:v>
      </x:c>
      <x:c r="AK31" s="87" t="n">
        <x:v>46255</x:v>
      </x:c>
    </x:row>
    <x:row r="32">
      <x:c r="A32" s="72" t="str">
        <x:f>IF(OR(C32="",D32=""),"",B32&amp;"-"&amp;UPPER(C32)&amp;"-"&amp;TEXT(D32,"0000")&amp;"-"&amp;E32)</x:f>
        <x:v>M10-PURE-0026-V1.0</x:v>
      </x:c>
      <x:c r="B32" s="74" t="str">
        <x:v>M10</x:v>
      </x:c>
      <x:c r="C32" s="74" t="str">
        <x:v>PURE</x:v>
      </x:c>
      <x:c r="D32" s="215" t="n">
        <x:v>26</x:v>
      </x:c>
      <x:c r="E32" s="74" t="str">
        <x:v>V1.0</x:v>
      </x:c>
      <x:c r="F32" s="68" t="str">
        <x:v>七杀主导而正官无效时不按官杀混杂处理</x:v>
      </x:c>
      <x:c r="G32" s="82" t="str">
        <x:v>结构层</x:v>
      </x:c>
      <x:c r="H32" s="82" t="str">
        <x:v>七杀</x:v>
      </x:c>
      <x:c r="I32" s="82" t="str">
        <x:v>待定</x:v>
      </x:c>
      <x:c r="J32" s="82" t="str">
        <x:v>待定</x:v>
      </x:c>
      <x:c r="K32" s="82" t="str">
        <x:v>待定</x:v>
      </x:c>
      <x:c r="L32" s="82" t="str">
        <x:v>较清</x:v>
      </x:c>
      <x:c r="M32" s="68" t="str">
        <x:v>按M08核查</x:v>
      </x:c>
      <x:c r="N32" s="68" t="str">
        <x:v>按M06/M08核查</x:v>
      </x:c>
      <x:c r="O32" s="82" t="str">
        <x:v>待定</x:v>
      </x:c>
      <x:c r="P32" s="68" t="str">
        <x:v>转M11/M14判断</x:v>
      </x:c>
      <x:c r="Q32" s="68" t="str">
        <x:v>需结合M09日主承载判断</x:v>
      </x:c>
      <x:c r="R32" s="82" t="str">
        <x:v>待定</x:v>
      </x:c>
      <x:c r="S32" s="68" t="str">
        <x:v>七杀有效主导，正官不现或仅有失效弱节点</x:v>
      </x:c>
      <x:c r="T32" s="68" t="str">
        <x:v>M02十神映射、M08五行有效旺衰、M09日主旺衰已完成</x:v>
      </x:c>
      <x:c r="U32" s="68" t="str">
        <x:v>相关十神已由M02正确映射，并以M08有效力量为准</x:v>
      </x:c>
      <x:c r="V32" s="68" t="str">
        <x:v>得令、有根、透干、同党或生源形成独立有效证据</x:v>
      </x:c>
      <x:c r="W32" s="68" t="str">
        <x:v>失令、无根、被合绊、被制、改性或作用路径受阻</x:v>
      </x:c>
      <x:c r="X32" s="90" t="str">
        <x:v>不得以十神名称、数量或单一旺弱证据直接完成定性</x:v>
      </x:c>
      <x:c r="Y32" s="68" t="str">
        <x:v>特殊格局、从化候选及明确组合转M11/M14另审</x:v>
      </x:c>
      <x:c r="Z32" s="68" t="str">
        <x:v>不得直接推出吉凶、具体事件、亲属结果或最终喜忌</x:v>
      </x:c>
      <x:c r="AA32" s="84" t="str">
        <x:v>七杀较清</x:v>
      </x:c>
      <x:c r="AB32" s="84" t="str">
        <x:v>七杀主导而正官无效时不按官杀混杂处理：当“七杀有效主导，正官不现或仅有失效弱节点”成立时，按本规则记录十神的有效功能；同时保留制化、承载和反向证据。</x:v>
      </x:c>
      <x:c r="AC32" s="82" t="str">
        <x:v>较高</x:v>
      </x:c>
      <x:c r="AD32" s="82" t="str">
        <x:v>现代综合</x:v>
      </x:c>
      <x:c r="AE32" s="68" t="str">
        <x:v>十神必须分开判断存在性、力量、清纯度、功能性与喜忌性；M10只形成结构层结论和候选，不越级替代M11—M18。</x:v>
      </x:c>
      <x:c r="AF32" s="68" t="str">
        <x:v>相关条件真实成立，且增强条件有效时，可按“七杀主导而正官无效时不按官杀混杂处理”记录对应功能。</x:v>
      </x:c>
      <x:c r="AG32" s="90" t="str">
        <x:v>仅见表面十神名称或数量，但“不得以十神名称、数量或单一旺弱证据直接完成定性”所述限制存在时，不得套用本规则。</x:v>
      </x:c>
      <x:c r="AH32" s="68" t="str">
        <x:v>https://zh.wikisource.org/wiki/%E6%B8%8A%E6%B5%B7%E5%AD%90%E5%B9%B3%E5%A4%A7%E5%85%A8 ; https://zh.wikisource.org/wiki/%E6%BB%B4%E5%A4%A9%E9%AB%93%E9%97%A1%E5%BE%AE</x:v>
      </x:c>
      <x:c r="AI32" s="82" t="str">
        <x:v>采用</x:v>
      </x:c>
      <x:c r="AJ32" s="82" t="str">
        <x:v>初审</x:v>
      </x:c>
      <x:c r="AK32" s="87" t="n">
        <x:v>46255</x:v>
      </x:c>
    </x:row>
    <x:row r="33">
      <x:c r="A33" s="72" t="str">
        <x:f>IF(OR(C33="",D33=""),"",B33&amp;"-"&amp;UPPER(C33)&amp;"-"&amp;TEXT(D33,"0000")&amp;"-"&amp;E33)</x:f>
        <x:v>M10-PURE-0027-V1.0</x:v>
      </x:c>
      <x:c r="B33" s="74" t="str">
        <x:v>M10</x:v>
      </x:c>
      <x:c r="C33" s="74" t="str">
        <x:v>PURE</x:v>
      </x:c>
      <x:c r="D33" s="215" t="n">
        <x:v>27</x:v>
      </x:c>
      <x:c r="E33" s="74" t="str">
        <x:v>V1.0</x:v>
      </x:c>
      <x:c r="F33" s="68" t="str">
        <x:v>食伤正偏并见先判有杂而非自动混杂</x:v>
      </x:c>
      <x:c r="G33" s="82" t="str">
        <x:v>结构层</x:v>
      </x:c>
      <x:c r="H33" s="82" t="str">
        <x:v>食神</x:v>
      </x:c>
      <x:c r="I33" s="82" t="str">
        <x:v>待定</x:v>
      </x:c>
      <x:c r="J33" s="82" t="str">
        <x:v>待定</x:v>
      </x:c>
      <x:c r="K33" s="82" t="str">
        <x:v>待定</x:v>
      </x:c>
      <x:c r="L33" s="82" t="str">
        <x:v>有杂</x:v>
      </x:c>
      <x:c r="M33" s="68" t="str">
        <x:v>按M08核查</x:v>
      </x:c>
      <x:c r="N33" s="68" t="str">
        <x:v>按M06/M08核查</x:v>
      </x:c>
      <x:c r="O33" s="82" t="str">
        <x:v>待定</x:v>
      </x:c>
      <x:c r="P33" s="68" t="str">
        <x:v>转M11/M14判断</x:v>
      </x:c>
      <x:c r="Q33" s="68" t="str">
        <x:v>需结合M09日主承载判断</x:v>
      </x:c>
      <x:c r="R33" s="82" t="str">
        <x:v>待定</x:v>
      </x:c>
      <x:c r="S33" s="68" t="str">
        <x:v>食神与伤官均存在，但一方明显主导、另一方弱</x:v>
      </x:c>
      <x:c r="T33" s="68" t="str">
        <x:v>M02十神映射、M08五行有效旺衰、M09日主旺衰已完成</x:v>
      </x:c>
      <x:c r="U33" s="68" t="str">
        <x:v>相关十神已由M02正确映射，并以M08有效力量为准</x:v>
      </x:c>
      <x:c r="V33" s="68" t="str">
        <x:v>得令、有根、透干、同党或生源形成独立有效证据</x:v>
      </x:c>
      <x:c r="W33" s="68" t="str">
        <x:v>失令、无根、被合绊、被制、改性或作用路径受阻</x:v>
      </x:c>
      <x:c r="X33" s="90" t="str">
        <x:v>不得以十神名称、数量或单一旺弱证据直接完成定性</x:v>
      </x:c>
      <x:c r="Y33" s="68" t="str">
        <x:v>特殊格局、从化候选及明确组合转M11/M14另审</x:v>
      </x:c>
      <x:c r="Z33" s="68" t="str">
        <x:v>不得直接推出吉凶、具体事件、亲属结果或最终喜忌</x:v>
      </x:c>
      <x:c r="AA33" s="84" t="str">
        <x:v>食伤有杂</x:v>
      </x:c>
      <x:c r="AB33" s="84" t="str">
        <x:v>食伤正偏并见先判有杂而非自动混杂：当“食神与伤官均存在，但一方明显主导、另一方弱”成立时，按本规则记录十神的有效功能；同时保留制化、承载和反向证据。</x:v>
      </x:c>
      <x:c r="AC33" s="82" t="str">
        <x:v>较高</x:v>
      </x:c>
      <x:c r="AD33" s="82" t="str">
        <x:v>现代综合</x:v>
      </x:c>
      <x:c r="AE33" s="68" t="str">
        <x:v>十神必须分开判断存在性、力量、清纯度、功能性与喜忌性；M10只形成结构层结论和候选，不越级替代M11—M18。</x:v>
      </x:c>
      <x:c r="AF33" s="68" t="str">
        <x:v>相关条件真实成立，且增强条件有效时，可按“食伤正偏并见先判有杂而非自动混杂”记录对应功能。</x:v>
      </x:c>
      <x:c r="AG33" s="90" t="str">
        <x:v>仅见表面十神名称或数量，但“不得以十神名称、数量或单一旺弱证据直接完成定性”所述限制存在时，不得套用本规则。</x:v>
      </x:c>
      <x:c r="AH33" s="68" t="str">
        <x:v>https://zh.wikisource.org/wiki/%E6%B8%8A%E6%B5%B7%E5%AD%90%E5%B9%B3%E5%A4%A7%E5%85%A8 ; https://zh.wikisource.org/wiki/%E6%BB%B4%E5%A4%A9%E9%AB%93%E9%97%A1%E5%BE%AE</x:v>
      </x:c>
      <x:c r="AI33" s="82" t="str">
        <x:v>采用</x:v>
      </x:c>
      <x:c r="AJ33" s="82" t="str">
        <x:v>初审</x:v>
      </x:c>
      <x:c r="AK33" s="87" t="n">
        <x:v>46255</x:v>
      </x:c>
    </x:row>
    <x:row r="34">
      <x:c r="A34" s="72" t="str">
        <x:f>IF(OR(C34="",D34=""),"",B34&amp;"-"&amp;UPPER(C34)&amp;"-"&amp;TEXT(D34,"0000")&amp;"-"&amp;E34)</x:f>
        <x:v>M10-PURE-0028-V1.0</x:v>
      </x:c>
      <x:c r="B34" s="74" t="str">
        <x:v>M10</x:v>
      </x:c>
      <x:c r="C34" s="74" t="str">
        <x:v>PURE</x:v>
      </x:c>
      <x:c r="D34" s="215" t="n">
        <x:v>28</x:v>
      </x:c>
      <x:c r="E34" s="74" t="str">
        <x:v>V1.0</x:v>
      </x:c>
      <x:c r="F34" s="68" t="str">
        <x:v>食伤两类均旺且透达时混杂程度上升</x:v>
      </x:c>
      <x:c r="G34" s="82" t="str">
        <x:v>结构层</x:v>
      </x:c>
      <x:c r="H34" s="82" t="str">
        <x:v>伤官</x:v>
      </x:c>
      <x:c r="I34" s="82" t="str">
        <x:v>待定</x:v>
      </x:c>
      <x:c r="J34" s="82" t="str">
        <x:v>待定</x:v>
      </x:c>
      <x:c r="K34" s="82" t="str">
        <x:v>待定</x:v>
      </x:c>
      <x:c r="L34" s="82" t="str">
        <x:v>混杂</x:v>
      </x:c>
      <x:c r="M34" s="68" t="str">
        <x:v>按M08核查</x:v>
      </x:c>
      <x:c r="N34" s="68" t="str">
        <x:v>按M06/M08核查</x:v>
      </x:c>
      <x:c r="O34" s="82" t="str">
        <x:v>待定</x:v>
      </x:c>
      <x:c r="P34" s="68" t="str">
        <x:v>转M11/M14判断</x:v>
      </x:c>
      <x:c r="Q34" s="68" t="str">
        <x:v>需结合M09日主承载判断</x:v>
      </x:c>
      <x:c r="R34" s="82" t="str">
        <x:v>待定</x:v>
      </x:c>
      <x:c r="S34" s="68" t="str">
        <x:v>食神与伤官同时有效且均达到中和偏旺以上</x:v>
      </x:c>
      <x:c r="T34" s="68" t="str">
        <x:v>M02十神映射、M08五行有效旺衰、M09日主旺衰已完成</x:v>
      </x:c>
      <x:c r="U34" s="68" t="str">
        <x:v>相关十神已由M02正确映射，并以M08有效力量为准</x:v>
      </x:c>
      <x:c r="V34" s="68" t="str">
        <x:v>得令、有根、透干、同党或生源形成独立有效证据</x:v>
      </x:c>
      <x:c r="W34" s="68" t="str">
        <x:v>失令、无根、被合绊、被制、改性或作用路径受阻</x:v>
      </x:c>
      <x:c r="X34" s="90" t="str">
        <x:v>不得以十神名称、数量或单一旺弱证据直接完成定性</x:v>
      </x:c>
      <x:c r="Y34" s="68" t="str">
        <x:v>特殊格局、从化候选及明确组合转M11/M14另审</x:v>
      </x:c>
      <x:c r="Z34" s="68" t="str">
        <x:v>不得直接推出吉凶、具体事件、亲属结果或最终喜忌</x:v>
      </x:c>
      <x:c r="AA34" s="84" t="str">
        <x:v>食伤混杂候选</x:v>
      </x:c>
      <x:c r="AB34" s="84" t="str">
        <x:v>食伤两类均旺且透达时混杂程度上升：当“食神与伤官同时有效且均达到中和偏旺以上”成立时，按本规则记录十神的有效功能；同时保留制化、承载和反向证据。</x:v>
      </x:c>
      <x:c r="AC34" s="82" t="str">
        <x:v>较高</x:v>
      </x:c>
      <x:c r="AD34" s="82" t="str">
        <x:v>现代综合</x:v>
      </x:c>
      <x:c r="AE34" s="68" t="str">
        <x:v>十神必须分开判断存在性、力量、清纯度、功能性与喜忌性；M10只形成结构层结论和候选，不越级替代M11—M18。</x:v>
      </x:c>
      <x:c r="AF34" s="68" t="str">
        <x:v>相关条件真实成立，且增强条件有效时，可按“食伤两类均旺且透达时混杂程度上升”记录对应功能。</x:v>
      </x:c>
      <x:c r="AG34" s="90" t="str">
        <x:v>仅见表面十神名称或数量，但“不得以十神名称、数量或单一旺弱证据直接完成定性”所述限制存在时，不得套用本规则。</x:v>
      </x:c>
      <x:c r="AH34" s="68" t="str">
        <x:v>https://zh.wikisource.org/wiki/%E6%B8%8A%E6%B5%B7%E5%AD%90%E5%B9%B3%E5%A4%A7%E5%85%A8 ; https://zh.wikisource.org/wiki/%E6%BB%B4%E5%A4%A9%E9%AB%93%E9%97%A1%E5%BE%AE</x:v>
      </x:c>
      <x:c r="AI34" s="82" t="str">
        <x:v>采用</x:v>
      </x:c>
      <x:c r="AJ34" s="82" t="str">
        <x:v>初审</x:v>
      </x:c>
      <x:c r="AK34" s="87" t="n">
        <x:v>46255</x:v>
      </x:c>
    </x:row>
    <x:row r="35">
      <x:c r="A35" s="72" t="str">
        <x:f>IF(OR(C35="",D35=""),"",B35&amp;"-"&amp;UPPER(C35)&amp;"-"&amp;TEXT(D35,"0000")&amp;"-"&amp;E35)</x:f>
        <x:v>M10-PURE-0029-V1.0</x:v>
      </x:c>
      <x:c r="B35" s="74" t="str">
        <x:v>M10</x:v>
      </x:c>
      <x:c r="C35" s="74" t="str">
        <x:v>PURE</x:v>
      </x:c>
      <x:c r="D35" s="215" t="n">
        <x:v>29</x:v>
      </x:c>
      <x:c r="E35" s="74" t="str">
        <x:v>V1.0</x:v>
      </x:c>
      <x:c r="F35" s="68" t="str">
        <x:v>印枭并见但偏印失效时可降低混杂等级</x:v>
      </x:c>
      <x:c r="G35" s="82" t="str">
        <x:v>结构层</x:v>
      </x:c>
      <x:c r="H35" s="82" t="str">
        <x:v>正印</x:v>
      </x:c>
      <x:c r="I35" s="82" t="str">
        <x:v>待定</x:v>
      </x:c>
      <x:c r="J35" s="82" t="str">
        <x:v>待定</x:v>
      </x:c>
      <x:c r="K35" s="82" t="str">
        <x:v>待定</x:v>
      </x:c>
      <x:c r="L35" s="82" t="str">
        <x:v>较清</x:v>
      </x:c>
      <x:c r="M35" s="68" t="str">
        <x:v>按M08核查</x:v>
      </x:c>
      <x:c r="N35" s="68" t="str">
        <x:v>按M06/M08核查</x:v>
      </x:c>
      <x:c r="O35" s="82" t="str">
        <x:v>待定</x:v>
      </x:c>
      <x:c r="P35" s="68" t="str">
        <x:v>转M11/M14判断</x:v>
      </x:c>
      <x:c r="Q35" s="68" t="str">
        <x:v>需结合M09日主承载判断</x:v>
      </x:c>
      <x:c r="R35" s="82" t="str">
        <x:v>待定</x:v>
      </x:c>
      <x:c r="S35" s="68" t="str">
        <x:v>正印有效而偏印仅名义存在、被制或改性</x:v>
      </x:c>
      <x:c r="T35" s="68" t="str">
        <x:v>M02十神映射、M08五行有效旺衰、M09日主旺衰已完成</x:v>
      </x:c>
      <x:c r="U35" s="68" t="str">
        <x:v>相关十神已由M02正确映射，并以M08有效力量为准</x:v>
      </x:c>
      <x:c r="V35" s="68" t="str">
        <x:v>得令、有根、透干、同党或生源形成独立有效证据</x:v>
      </x:c>
      <x:c r="W35" s="68" t="str">
        <x:v>失令、无根、被合绊、被制、改性或作用路径受阻</x:v>
      </x:c>
      <x:c r="X35" s="90" t="str">
        <x:v>不得以十神名称、数量或单一旺弱证据直接完成定性</x:v>
      </x:c>
      <x:c r="Y35" s="68" t="str">
        <x:v>特殊格局、从化候选及明确组合转M11/M14另审</x:v>
      </x:c>
      <x:c r="Z35" s="68" t="str">
        <x:v>不得直接推出吉凶、具体事件、亲属结果或最终喜忌</x:v>
      </x:c>
      <x:c r="AA35" s="84" t="str">
        <x:v>印枭主次清晰</x:v>
      </x:c>
      <x:c r="AB35" s="84" t="str">
        <x:v>印枭并见但偏印失效时可降低混杂等级：当“正印有效而偏印仅名义存在、被制或改性”成立时，按本规则记录十神的有效功能；同时保留制化、承载和反向证据。</x:v>
      </x:c>
      <x:c r="AC35" s="82" t="str">
        <x:v>较高</x:v>
      </x:c>
      <x:c r="AD35" s="82" t="str">
        <x:v>现代综合</x:v>
      </x:c>
      <x:c r="AE35" s="68" t="str">
        <x:v>十神必须分开判断存在性、力量、清纯度、功能性与喜忌性；M10只形成结构层结论和候选，不越级替代M11—M18。</x:v>
      </x:c>
      <x:c r="AF35" s="68" t="str">
        <x:v>相关条件真实成立，且增强条件有效时，可按“印枭并见但偏印失效时可降低混杂等级”记录对应功能。</x:v>
      </x:c>
      <x:c r="AG35" s="90" t="str">
        <x:v>仅见表面十神名称或数量，但“不得以十神名称、数量或单一旺弱证据直接完成定性”所述限制存在时，不得套用本规则。</x:v>
      </x:c>
      <x:c r="AH35" s="68" t="str">
        <x:v>https://zh.wikisource.org/wiki/%E6%B8%8A%E6%B5%B7%E5%AD%90%E5%B9%B3%E5%A4%A7%E5%85%A8 ; https://zh.wikisource.org/wiki/%E6%BB%B4%E5%A4%A9%E9%AB%93%E9%97%A1%E5%BE%AE</x:v>
      </x:c>
      <x:c r="AI35" s="82" t="str">
        <x:v>采用</x:v>
      </x:c>
      <x:c r="AJ35" s="82" t="str">
        <x:v>初审</x:v>
      </x:c>
      <x:c r="AK35" s="87" t="n">
        <x:v>46255</x:v>
      </x:c>
    </x:row>
    <x:row r="36">
      <x:c r="A36" s="72" t="str">
        <x:f>IF(OR(C36="",D36=""),"",B36&amp;"-"&amp;UPPER(C36)&amp;"-"&amp;TEXT(D36,"0000")&amp;"-"&amp;E36)</x:f>
        <x:v>M10-PURE-0030-V1.0</x:v>
      </x:c>
      <x:c r="B36" s="74" t="str">
        <x:v>M10</x:v>
      </x:c>
      <x:c r="C36" s="74" t="str">
        <x:v>PURE</x:v>
      </x:c>
      <x:c r="D36" s="215" t="n">
        <x:v>30</x:v>
      </x:c>
      <x:c r="E36" s="74" t="str">
        <x:v>V1.0</x:v>
      </x:c>
      <x:c r="F36" s="68" t="str">
        <x:v>正偏财并见不等于财星失效</x:v>
      </x:c>
      <x:c r="G36" s="82" t="str">
        <x:v>结构层</x:v>
      </x:c>
      <x:c r="H36" s="82" t="str">
        <x:v>偏财</x:v>
      </x:c>
      <x:c r="I36" s="82" t="str">
        <x:v>待定</x:v>
      </x:c>
      <x:c r="J36" s="82" t="str">
        <x:v>待定</x:v>
      </x:c>
      <x:c r="K36" s="82" t="str">
        <x:v>待定</x:v>
      </x:c>
      <x:c r="L36" s="82" t="str">
        <x:v>有杂</x:v>
      </x:c>
      <x:c r="M36" s="68" t="str">
        <x:v>按M08核查</x:v>
      </x:c>
      <x:c r="N36" s="68" t="str">
        <x:v>按M06/M08核查</x:v>
      </x:c>
      <x:c r="O36" s="82" t="str">
        <x:v>正常发挥</x:v>
      </x:c>
      <x:c r="P36" s="68" t="str">
        <x:v>转M11/M14判断</x:v>
      </x:c>
      <x:c r="Q36" s="68" t="str">
        <x:v>需结合M09日主承载判断</x:v>
      </x:c>
      <x:c r="R36" s="82" t="str">
        <x:v>待定</x:v>
      </x:c>
      <x:c r="S36" s="68" t="str">
        <x:v>正财偏财同时有效存在</x:v>
      </x:c>
      <x:c r="T36" s="68" t="str">
        <x:v>M02十神映射、M08五行有效旺衰、M09日主旺衰已完成</x:v>
      </x:c>
      <x:c r="U36" s="68" t="str">
        <x:v>相关十神已由M02正确映射，并以M08有效力量为准</x:v>
      </x:c>
      <x:c r="V36" s="68" t="str">
        <x:v>得令、有根、透干、同党或生源形成独立有效证据</x:v>
      </x:c>
      <x:c r="W36" s="68" t="str">
        <x:v>失令、无根、被合绊、被制、改性或作用路径受阻</x:v>
      </x:c>
      <x:c r="X36" s="90" t="str">
        <x:v>不得以十神名称、数量或单一旺弱证据直接完成定性</x:v>
      </x:c>
      <x:c r="Y36" s="68" t="str">
        <x:v>特殊格局、从化候选及明确组合转M11/M14另审</x:v>
      </x:c>
      <x:c r="Z36" s="68" t="str">
        <x:v>不得由正偏财并见直接推出破格、婚恋或财富事件</x:v>
      </x:c>
      <x:c r="AA36" s="84" t="str">
        <x:v>财星正偏并见</x:v>
      </x:c>
      <x:c r="AB36" s="84" t="str">
        <x:v>正偏财并见不等于财星失效：当“正财偏财同时有效存在”成立时，按本规则记录十神的有效功能；同时保留制化、承载和反向证据。</x:v>
      </x:c>
      <x:c r="AC36" s="82" t="str">
        <x:v>较高</x:v>
      </x:c>
      <x:c r="AD36" s="82" t="str">
        <x:v>现代综合</x:v>
      </x:c>
      <x:c r="AE36" s="68" t="str">
        <x:v>十神必须分开判断存在性、力量、清纯度、功能性与喜忌性；M10只形成结构层结论和候选，不越级替代M11—M18。</x:v>
      </x:c>
      <x:c r="AF36" s="68" t="str">
        <x:v>相关条件真实成立，且增强条件有效时，可按“正偏财并见不等于财星失效”记录对应功能。</x:v>
      </x:c>
      <x:c r="AG36" s="90" t="str">
        <x:v>仅见表面十神名称或数量，但“不得以十神名称、数量或单一旺弱证据直接完成定性”所述限制存在时，不得套用本规则。</x:v>
      </x:c>
      <x:c r="AH36" s="68" t="str">
        <x:v>https://zh.wikisource.org/wiki/%E6%B8%8A%E6%B5%B7%E5%AD%90%E5%B9%B3%E5%A4%A7%E5%85%A8 ; https://zh.wikisource.org/wiki/%E6%BB%B4%E5%A4%A9%E9%AB%93%E9%97%A1%E5%BE%AE</x:v>
      </x:c>
      <x:c r="AI36" s="82" t="str">
        <x:v>采用</x:v>
      </x:c>
      <x:c r="AJ36" s="82" t="str">
        <x:v>初审</x:v>
      </x:c>
      <x:c r="AK36" s="87" t="n">
        <x:v>46255</x:v>
      </x:c>
    </x:row>
    <x:row r="37">
      <x:c r="A37" s="72" t="str">
        <x:f>IF(OR(C37="",D37=""),"",B37&amp;"-"&amp;UPPER(C37)&amp;"-"&amp;TEXT(D37,"0000")&amp;"-"&amp;E37)</x:f>
        <x:v>M10-PURE-0031-V1.0</x:v>
      </x:c>
      <x:c r="B37" s="74" t="str">
        <x:v>M10</x:v>
      </x:c>
      <x:c r="C37" s="74" t="str">
        <x:v>PURE</x:v>
      </x:c>
      <x:c r="D37" s="215" t="n">
        <x:v>31</x:v>
      </x:c>
      <x:c r="E37" s="74" t="str">
        <x:v>V1.0</x:v>
      </x:c>
      <x:c r="F37" s="68" t="str">
        <x:v>同一十神多处出现属于数量问题而非清纯问题</x:v>
      </x:c>
      <x:c r="G37" s="82" t="str">
        <x:v>结构层</x:v>
      </x:c>
      <x:c r="H37" s="82" t="str">
        <x:v>比肩</x:v>
      </x:c>
      <x:c r="I37" s="82" t="str">
        <x:v>多处出现</x:v>
      </x:c>
      <x:c r="J37" s="82" t="str">
        <x:v>待定</x:v>
      </x:c>
      <x:c r="K37" s="82" t="str">
        <x:v>待定</x:v>
      </x:c>
      <x:c r="L37" s="82" t="str">
        <x:v>清纯</x:v>
      </x:c>
      <x:c r="M37" s="68" t="str">
        <x:v>按M08核查</x:v>
      </x:c>
      <x:c r="N37" s="68" t="str">
        <x:v>按M06/M08核查</x:v>
      </x:c>
      <x:c r="O37" s="82" t="str">
        <x:v>待定</x:v>
      </x:c>
      <x:c r="P37" s="68" t="str">
        <x:v>转M11/M14判断</x:v>
      </x:c>
      <x:c r="Q37" s="68" t="str">
        <x:v>需结合M09日主承载判断</x:v>
      </x:c>
      <x:c r="R37" s="82" t="str">
        <x:v>待定</x:v>
      </x:c>
      <x:c r="S37" s="68" t="str">
        <x:v>比肩在多个节点重复出现，但未混入劫财</x:v>
      </x:c>
      <x:c r="T37" s="68" t="str">
        <x:v>M02十神映射、M08五行有效旺衰、M09日主旺衰已完成</x:v>
      </x:c>
      <x:c r="U37" s="68" t="str">
        <x:v>相关十神已由M02正确映射，并以M08有效力量为准</x:v>
      </x:c>
      <x:c r="V37" s="68" t="str">
        <x:v>得令、有根、透干、同党或生源形成独立有效证据</x:v>
      </x:c>
      <x:c r="W37" s="68" t="str">
        <x:v>失令、无根、被合绊、被制、改性或作用路径受阻</x:v>
      </x:c>
      <x:c r="X37" s="90" t="str">
        <x:v>不得以十神名称、数量或单一旺弱证据直接完成定性</x:v>
      </x:c>
      <x:c r="Y37" s="68" t="str">
        <x:v>特殊格局、从化候选及明确组合转M11/M14另审</x:v>
      </x:c>
      <x:c r="Z37" s="68" t="str">
        <x:v>不得直接推出吉凶、具体事件、亲属结果或最终喜忌</x:v>
      </x:c>
      <x:c r="AA37" s="84" t="str">
        <x:v>同类重复非混杂</x:v>
      </x:c>
      <x:c r="AB37" s="84" t="str">
        <x:v>同一十神多处出现属于数量问题而非清纯问题：当“比肩在多个节点重复出现，但未混入劫财”成立时，按本规则记录十神的有效功能；同时保留制化、承载和反向证据。</x:v>
      </x:c>
      <x:c r="AC37" s="82" t="str">
        <x:v>较高</x:v>
      </x:c>
      <x:c r="AD37" s="82" t="str">
        <x:v>现代综合</x:v>
      </x:c>
      <x:c r="AE37" s="68" t="str">
        <x:v>十神必须分开判断存在性、力量、清纯度、功能性与喜忌性；M10只形成结构层结论和候选，不越级替代M11—M18。</x:v>
      </x:c>
      <x:c r="AF37" s="68" t="str">
        <x:v>相关条件真实成立，且增强条件有效时，可按“同一十神多处出现属于数量问题而非清纯问题”记录对应功能。</x:v>
      </x:c>
      <x:c r="AG37" s="90" t="str">
        <x:v>仅见表面十神名称或数量，但“不得以十神名称、数量或单一旺弱证据直接完成定性”所述限制存在时，不得套用本规则。</x:v>
      </x:c>
      <x:c r="AH37" s="68" t="str">
        <x:v>https://zh.wikisource.org/wiki/%E6%B8%8A%E6%B5%B7%E5%AD%90%E5%B9%B3%E5%A4%A7%E5%85%A8 ; https://zh.wikisource.org/wiki/%E6%BB%B4%E5%A4%A9%E9%AB%93%E9%97%A1%E5%BE%AE</x:v>
      </x:c>
      <x:c r="AI37" s="82" t="str">
        <x:v>采用</x:v>
      </x:c>
      <x:c r="AJ37" s="82" t="str">
        <x:v>初审</x:v>
      </x:c>
      <x:c r="AK37" s="87" t="n">
        <x:v>46255</x:v>
      </x:c>
    </x:row>
    <x:row r="38">
      <x:c r="A38" s="72" t="str">
        <x:f>IF(OR(C38="",D38=""),"",B38&amp;"-"&amp;UPPER(C38)&amp;"-"&amp;TEXT(D38,"0000")&amp;"-"&amp;E38)</x:f>
        <x:v>M10-PURE-0032-V1.0</x:v>
      </x:c>
      <x:c r="B38" s="74" t="str">
        <x:v>M10</x:v>
      </x:c>
      <x:c r="C38" s="74" t="str">
        <x:v>PURE</x:v>
      </x:c>
      <x:c r="D38" s="215" t="n">
        <x:v>32</x:v>
      </x:c>
      <x:c r="E38" s="74" t="str">
        <x:v>V1.0</x:v>
      </x:c>
      <x:c r="F38" s="68" t="str">
        <x:v>清纯度与喜忌价值必须分开</x:v>
      </x:c>
      <x:c r="G38" s="82" t="str">
        <x:v>结构层</x:v>
      </x:c>
      <x:c r="H38" s="82" t="str">
        <x:v>正印</x:v>
      </x:c>
      <x:c r="I38" s="82" t="str">
        <x:v>待定</x:v>
      </x:c>
      <x:c r="J38" s="82" t="str">
        <x:v>待定</x:v>
      </x:c>
      <x:c r="K38" s="82" t="str">
        <x:v>待定</x:v>
      </x:c>
      <x:c r="L38" s="82" t="str">
        <x:v>待定</x:v>
      </x:c>
      <x:c r="M38" s="68" t="str">
        <x:v>按M08核查</x:v>
      </x:c>
      <x:c r="N38" s="68" t="str">
        <x:v>按M06/M08核查</x:v>
      </x:c>
      <x:c r="O38" s="82" t="str">
        <x:v>待定</x:v>
      </x:c>
      <x:c r="P38" s="68" t="str">
        <x:v>转M11/M14判断</x:v>
      </x:c>
      <x:c r="Q38" s="68" t="str">
        <x:v>需结合M09日主承载判断</x:v>
      </x:c>
      <x:c r="R38" s="82" t="str">
        <x:v>待定</x:v>
      </x:c>
      <x:c r="S38" s="68" t="str">
        <x:v>十神清纯度已完成判断</x:v>
      </x:c>
      <x:c r="T38" s="68" t="str">
        <x:v>M02十神映射、M08五行有效旺衰、M09日主旺衰已完成</x:v>
      </x:c>
      <x:c r="U38" s="68" t="str">
        <x:v>相关十神已由M02正确映射，并以M08有效力量为准</x:v>
      </x:c>
      <x:c r="V38" s="68" t="str">
        <x:v>得令、有根、透干、同党或生源形成独立有效证据</x:v>
      </x:c>
      <x:c r="W38" s="68" t="str">
        <x:v>失令、无根、被合绊、被制、改性或作用路径受阻</x:v>
      </x:c>
      <x:c r="X38" s="90" t="str">
        <x:v>不得以十神名称、数量或单一旺弱证据直接完成定性</x:v>
      </x:c>
      <x:c r="Y38" s="68" t="str">
        <x:v>特殊格局、从化候选及明确组合转M11/M14另审</x:v>
      </x:c>
      <x:c r="Z38" s="68" t="str">
        <x:v>不得由清纯直接判喜，也不得由混杂直接判忌</x:v>
      </x:c>
      <x:c r="AA38" s="84" t="str">
        <x:v>清纯喜忌分离</x:v>
      </x:c>
      <x:c r="AB38" s="84" t="str">
        <x:v>清纯度与喜忌价值必须分开：当“十神清纯度已完成判断”成立时，按本规则记录十神的有效功能；同时保留制化、承载和反向证据。</x:v>
      </x:c>
      <x:c r="AC38" s="82" t="str">
        <x:v>较高</x:v>
      </x:c>
      <x:c r="AD38" s="82" t="str">
        <x:v>现代综合</x:v>
      </x:c>
      <x:c r="AE38" s="68" t="str">
        <x:v>十神必须分开判断存在性、力量、清纯度、功能性与喜忌性；M10只形成结构层结论和候选，不越级替代M11—M18。</x:v>
      </x:c>
      <x:c r="AF38" s="68" t="str">
        <x:v>相关条件真实成立，且增强条件有效时，可按“清纯度与喜忌价值必须分开”记录对应功能。</x:v>
      </x:c>
      <x:c r="AG38" s="90" t="str">
        <x:v>仅见表面十神名称或数量，但“不得以十神名称、数量或单一旺弱证据直接完成定性”所述限制存在时，不得套用本规则。</x:v>
      </x:c>
      <x:c r="AH38" s="68" t="str">
        <x:v>https://zh.wikisource.org/wiki/%E6%B8%8A%E6%B5%B7%E5%AD%90%E5%B9%B3%E5%A4%A7%E5%85%A8 ; https://zh.wikisource.org/wiki/%E6%BB%B4%E5%A4%A9%E9%AB%93%E9%97%A1%E5%BE%AE</x:v>
      </x:c>
      <x:c r="AI38" s="82" t="str">
        <x:v>采用</x:v>
      </x:c>
      <x:c r="AJ38" s="82" t="str">
        <x:v>初审</x:v>
      </x:c>
      <x:c r="AK38" s="87" t="n">
        <x:v>46255</x:v>
      </x:c>
    </x:row>
    <x:row r="39">
      <x:c r="A39" s="72" t="str">
        <x:f>IF(OR(C39="",D39=""),"",B39&amp;"-"&amp;UPPER(C39)&amp;"-"&amp;TEXT(D39,"0000")&amp;"-"&amp;E39)</x:f>
        <x:v>M10-BIJIE-0033-V1.0</x:v>
      </x:c>
      <x:c r="B39" s="74" t="str">
        <x:v>M10</x:v>
      </x:c>
      <x:c r="C39" s="74" t="str">
        <x:v>BIJIE</x:v>
      </x:c>
      <x:c r="D39" s="215" t="n">
        <x:v>33</x:v>
      </x:c>
      <x:c r="E39" s="74" t="str">
        <x:v>V1.0</x:v>
      </x:c>
      <x:c r="F39" s="68" t="str">
        <x:v>比肩有效时首先提供同类扶身</x:v>
      </x:c>
      <x:c r="G39" s="82" t="str">
        <x:v>结构层</x:v>
      </x:c>
      <x:c r="H39" s="82" t="str">
        <x:v>比肩</x:v>
      </x:c>
      <x:c r="I39" s="82" t="str">
        <x:v>待定</x:v>
      </x:c>
      <x:c r="J39" s="82" t="str">
        <x:v>待定</x:v>
      </x:c>
      <x:c r="K39" s="82" t="str">
        <x:v>待定</x:v>
      </x:c>
      <x:c r="L39" s="82" t="str">
        <x:v>待定</x:v>
      </x:c>
      <x:c r="M39" s="68" t="str">
        <x:v>按M08核查</x:v>
      </x:c>
      <x:c r="N39" s="68" t="str">
        <x:v>按M06/M08核查</x:v>
      </x:c>
      <x:c r="O39" s="82" t="str">
        <x:v>正常发挥</x:v>
      </x:c>
      <x:c r="P39" s="68" t="str">
        <x:v>转M11/M14判断</x:v>
      </x:c>
      <x:c r="Q39" s="68" t="str">
        <x:v>直接增强日主同类承载与抗制泄耗能力</x:v>
      </x:c>
      <x:c r="R39" s="82" t="str">
        <x:v>待定</x:v>
      </x:c>
      <x:c r="S39" s="68" t="str">
        <x:v>比肩有效存在且未被实质制化</x:v>
      </x:c>
      <x:c r="T39" s="68" t="str">
        <x:v>M02十神映射、M08五行有效旺衰、M09日主旺衰已完成</x:v>
      </x:c>
      <x:c r="U39" s="68" t="str">
        <x:v>相关十神已由M02正确映射，并以M08有效力量为准</x:v>
      </x:c>
      <x:c r="V39" s="68" t="str">
        <x:v>得令、有根、透干、同党或生源形成独立有效证据</x:v>
      </x:c>
      <x:c r="W39" s="68" t="str">
        <x:v>失令、无根、被合绊、被制、改性或作用路径受阻</x:v>
      </x:c>
      <x:c r="X39" s="90" t="str">
        <x:v>不得以十神名称、数量或单一旺弱证据直接完成定性</x:v>
      </x:c>
      <x:c r="Y39" s="68" t="str">
        <x:v>特殊格局、从化候选及明确组合转M11/M14另审</x:v>
      </x:c>
      <x:c r="Z39" s="68" t="str">
        <x:v>不得直接推出吉凶、具体事件、亲属结果或最终喜忌</x:v>
      </x:c>
      <x:c r="AA39" s="84" t="str">
        <x:v>比肩扶身</x:v>
      </x:c>
      <x:c r="AB39" s="84" t="str">
        <x:v>比肩有效时首先提供同类扶身：当“比肩有效存在且未被实质制化”成立时，按本规则记录十神的有效功能；同时保留制化、承载和反向证据。</x:v>
      </x:c>
      <x:c r="AC39" s="82" t="str">
        <x:v>较高</x:v>
      </x:c>
      <x:c r="AD39" s="82" t="str">
        <x:v>现代综合</x:v>
      </x:c>
      <x:c r="AE39" s="68" t="str">
        <x:v>十神必须分开判断存在性、力量、清纯度、功能性与喜忌性；M10只形成结构层结论和候选，不越级替代M11—M18。</x:v>
      </x:c>
      <x:c r="AF39" s="68" t="str">
        <x:v>相关条件真实成立，且增强条件有效时，可按“比肩有效时首先提供同类扶身”记录对应功能。</x:v>
      </x:c>
      <x:c r="AG39" s="90" t="str">
        <x:v>仅见表面十神名称或数量，但“不得以十神名称、数量或单一旺弱证据直接完成定性”所述限制存在时，不得套用本规则。</x:v>
      </x:c>
      <x:c r="AH39" s="68" t="str">
        <x:v>https://zh.wikisource.org/wiki/%E6%B8%8A%E6%B5%B7%E5%AD%90%E5%B9%B3%E5%A4%A7%E5%85%A8 ; https://zh.wikisource.org/wiki/%E6%BB%B4%E5%A4%A9%E9%AB%93%E9%97%A1%E5%BE%AE</x:v>
      </x:c>
      <x:c r="AI39" s="82" t="str">
        <x:v>采用</x:v>
      </x:c>
      <x:c r="AJ39" s="82" t="str">
        <x:v>初审</x:v>
      </x:c>
      <x:c r="AK39" s="87" t="n">
        <x:v>46255</x:v>
      </x:c>
    </x:row>
    <x:row r="40">
      <x:c r="A40" s="72" t="str">
        <x:f>IF(OR(C40="",D40=""),"",B40&amp;"-"&amp;UPPER(C40)&amp;"-"&amp;TEXT(D40,"0000")&amp;"-"&amp;E40)</x:f>
        <x:v>M10-BIJIE-0034-V1.0</x:v>
      </x:c>
      <x:c r="B40" s="74" t="str">
        <x:v>M10</x:v>
      </x:c>
      <x:c r="C40" s="74" t="str">
        <x:v>BIJIE</x:v>
      </x:c>
      <x:c r="D40" s="215" t="n">
        <x:v>34</x:v>
      </x:c>
      <x:c r="E40" s="74" t="str">
        <x:v>V1.0</x:v>
      </x:c>
      <x:c r="F40" s="68" t="str">
        <x:v>劫财有效时同时具有扶身与分财双重功能</x:v>
      </x:c>
      <x:c r="G40" s="82" t="str">
        <x:v>结构层</x:v>
      </x:c>
      <x:c r="H40" s="82" t="str">
        <x:v>劫财</x:v>
      </x:c>
      <x:c r="I40" s="82" t="str">
        <x:v>待定</x:v>
      </x:c>
      <x:c r="J40" s="82" t="str">
        <x:v>待定</x:v>
      </x:c>
      <x:c r="K40" s="82" t="str">
        <x:v>待定</x:v>
      </x:c>
      <x:c r="L40" s="82" t="str">
        <x:v>待定</x:v>
      </x:c>
      <x:c r="M40" s="68" t="str">
        <x:v>按M08核查</x:v>
      </x:c>
      <x:c r="N40" s="68" t="str">
        <x:v>按M06/M08核查</x:v>
      </x:c>
      <x:c r="O40" s="82" t="str">
        <x:v>正常发挥</x:v>
      </x:c>
      <x:c r="P40" s="68" t="str">
        <x:v>转M11/M14判断</x:v>
      </x:c>
      <x:c r="Q40" s="68" t="str">
        <x:v>一方面扶身，另一方面参与对财星的竞争与制约</x:v>
      </x:c>
      <x:c r="R40" s="82" t="str">
        <x:v>待定</x:v>
      </x:c>
      <x:c r="S40" s="68" t="str">
        <x:v>劫财有效且财星也存在</x:v>
      </x:c>
      <x:c r="T40" s="68" t="str">
        <x:v>M02十神映射、M08五行有效旺衰、M09日主旺衰已完成</x:v>
      </x:c>
      <x:c r="U40" s="68" t="str">
        <x:v>相关十神已由M02正确映射，并以M08有效力量为准</x:v>
      </x:c>
      <x:c r="V40" s="68" t="str">
        <x:v>得令、有根、透干、同党或生源形成独立有效证据</x:v>
      </x:c>
      <x:c r="W40" s="68" t="str">
        <x:v>失令、无根、被合绊、被制、改性或作用路径受阻</x:v>
      </x:c>
      <x:c r="X40" s="90" t="str">
        <x:v>不得以十神名称、数量或单一旺弱证据直接完成定性</x:v>
      </x:c>
      <x:c r="Y40" s="68" t="str">
        <x:v>特殊格局、从化候选及明确组合转M11/M14另审</x:v>
      </x:c>
      <x:c r="Z40" s="68" t="str">
        <x:v>不得直接推出吉凶、具体事件、亲属结果或最终喜忌</x:v>
      </x:c>
      <x:c r="AA40" s="84" t="str">
        <x:v>劫财双重功能</x:v>
      </x:c>
      <x:c r="AB40" s="84" t="str">
        <x:v>劫财有效时同时具有扶身与分财双重功能：当“劫财有效且财星也存在”成立时，按本规则记录十神的有效功能；同时保留制化、承载和反向证据。</x:v>
      </x:c>
      <x:c r="AC40" s="82" t="str">
        <x:v>较高</x:v>
      </x:c>
      <x:c r="AD40" s="82" t="str">
        <x:v>现代综合</x:v>
      </x:c>
      <x:c r="AE40" s="68" t="str">
        <x:v>十神必须分开判断存在性、力量、清纯度、功能性与喜忌性；M10只形成结构层结论和候选，不越级替代M11—M18。</x:v>
      </x:c>
      <x:c r="AF40" s="68" t="str">
        <x:v>相关条件真实成立，且增强条件有效时，可按“劫财有效时同时具有扶身与分财双重功能”记录对应功能。</x:v>
      </x:c>
      <x:c r="AG40" s="90" t="str">
        <x:v>仅见表面十神名称或数量，但“不得以十神名称、数量或单一旺弱证据直接完成定性”所述限制存在时，不得套用本规则。</x:v>
      </x:c>
      <x:c r="AH40" s="68" t="str">
        <x:v>https://zh.wikisource.org/wiki/%E6%B8%8A%E6%B5%B7%E5%AD%90%E5%B9%B3%E5%A4%A7%E5%85%A8 ; https://zh.wikisource.org/wiki/%E6%BB%B4%E5%A4%A9%E9%AB%93%E9%97%A1%E5%BE%AE</x:v>
      </x:c>
      <x:c r="AI40" s="82" t="str">
        <x:v>采用</x:v>
      </x:c>
      <x:c r="AJ40" s="82" t="str">
        <x:v>初审</x:v>
      </x:c>
      <x:c r="AK40" s="87" t="n">
        <x:v>46255</x:v>
      </x:c>
    </x:row>
    <x:row r="41">
      <x:c r="A41" s="72" t="str">
        <x:f>IF(OR(C41="",D41=""),"",B41&amp;"-"&amp;UPPER(C41)&amp;"-"&amp;TEXT(D41,"0000")&amp;"-"&amp;E41)</x:f>
        <x:v>M10-BIJIE-0035-V1.0</x:v>
      </x:c>
      <x:c r="B41" s="74" t="str">
        <x:v>M10</x:v>
      </x:c>
      <x:c r="C41" s="74" t="str">
        <x:v>BIJIE</x:v>
      </x:c>
      <x:c r="D41" s="215" t="n">
        <x:v>35</x:v>
      </x:c>
      <x:c r="E41" s="74" t="str">
        <x:v>V1.0</x:v>
      </x:c>
      <x:c r="F41" s="68" t="str">
        <x:v>身弱时有效比肩通常属于有利候选</x:v>
      </x:c>
      <x:c r="G41" s="82" t="str">
        <x:v>结构层</x:v>
      </x:c>
      <x:c r="H41" s="82" t="str">
        <x:v>比肩</x:v>
      </x:c>
      <x:c r="I41" s="82" t="str">
        <x:v>待定</x:v>
      </x:c>
      <x:c r="J41" s="82" t="str">
        <x:v>待定</x:v>
      </x:c>
      <x:c r="K41" s="82" t="str">
        <x:v>待定</x:v>
      </x:c>
      <x:c r="L41" s="82" t="str">
        <x:v>待定</x:v>
      </x:c>
      <x:c r="M41" s="68" t="str">
        <x:v>按M08核查</x:v>
      </x:c>
      <x:c r="N41" s="68" t="str">
        <x:v>按M06/M08核查</x:v>
      </x:c>
      <x:c r="O41" s="82" t="str">
        <x:v>正常发挥</x:v>
      </x:c>
      <x:c r="P41" s="68" t="str">
        <x:v>转M11/M14判断</x:v>
      </x:c>
      <x:c r="Q41" s="68" t="str">
        <x:v>补充承载、分担官杀与财食负荷</x:v>
      </x:c>
      <x:c r="R41" s="82" t="str">
        <x:v>条件性喜神</x:v>
      </x:c>
      <x:c r="S41" s="68" t="str">
        <x:v>M09日主弱或中和偏弱，且比肩有效</x:v>
      </x:c>
      <x:c r="T41" s="68" t="str">
        <x:v>M02十神映射、M08五行有效旺衰、M09日主旺衰已完成</x:v>
      </x:c>
      <x:c r="U41" s="68" t="str">
        <x:v>相关十神已由M02正确映射，并以M08有效力量为准</x:v>
      </x:c>
      <x:c r="V41" s="68" t="str">
        <x:v>得令、有根、透干、同党或生源形成独立有效证据</x:v>
      </x:c>
      <x:c r="W41" s="68" t="str">
        <x:v>失令、无根、被合绊、被制、改性或作用路径受阻</x:v>
      </x:c>
      <x:c r="X41" s="90" t="str">
        <x:v>不得以十神名称、数量或单一旺弱证据直接完成定性</x:v>
      </x:c>
      <x:c r="Y41" s="68" t="str">
        <x:v>特殊格局、从化候选及明确组合转M11/M14另审</x:v>
      </x:c>
      <x:c r="Z41" s="68" t="str">
        <x:v>不得直接推出吉凶、具体事件、亲属结果或最终喜忌</x:v>
      </x:c>
      <x:c r="AA41" s="84" t="str">
        <x:v>身弱比肩候选</x:v>
      </x:c>
      <x:c r="AB41" s="84" t="str">
        <x:v>身弱时有效比肩通常属于有利候选：当“M09日主弱或中和偏弱，且比肩有效”成立时，按本规则记录十神的有效功能；同时保留制化、承载和反向证据。</x:v>
      </x:c>
      <x:c r="AC41" s="82" t="str">
        <x:v>较高</x:v>
      </x:c>
      <x:c r="AD41" s="82" t="str">
        <x:v>现代综合</x:v>
      </x:c>
      <x:c r="AE41" s="68" t="str">
        <x:v>十神必须分开判断存在性、力量、清纯度、功能性与喜忌性；M10只形成结构层结论和候选，不越级替代M11—M18。</x:v>
      </x:c>
      <x:c r="AF41" s="68" t="str">
        <x:v>相关条件真实成立，且增强条件有效时，可按“身弱时有效比肩通常属于有利候选”记录对应功能。</x:v>
      </x:c>
      <x:c r="AG41" s="90" t="str">
        <x:v>仅见表面十神名称或数量，但“不得以十神名称、数量或单一旺弱证据直接完成定性”所述限制存在时，不得套用本规则。</x:v>
      </x:c>
      <x:c r="AH41" s="68" t="str">
        <x:v>https://zh.wikisource.org/wiki/%E6%B8%8A%E6%B5%B7%E5%AD%90%E5%B9%B3%E5%A4%A7%E5%85%A8 ; https://zh.wikisource.org/wiki/%E6%BB%B4%E5%A4%A9%E9%AB%93%E9%97%A1%E5%BE%AE</x:v>
      </x:c>
      <x:c r="AI41" s="82" t="str">
        <x:v>采用</x:v>
      </x:c>
      <x:c r="AJ41" s="82" t="str">
        <x:v>初审</x:v>
      </x:c>
      <x:c r="AK41" s="87" t="n">
        <x:v>46255</x:v>
      </x:c>
    </x:row>
    <x:row r="42">
      <x:c r="A42" s="72" t="str">
        <x:f>IF(OR(C42="",D42=""),"",B42&amp;"-"&amp;UPPER(C42)&amp;"-"&amp;TEXT(D42,"0000")&amp;"-"&amp;E42)</x:f>
        <x:v>M10-BIJIE-0036-V1.0</x:v>
      </x:c>
      <x:c r="B42" s="74" t="str">
        <x:v>M10</x:v>
      </x:c>
      <x:c r="C42" s="74" t="str">
        <x:v>BIJIE</x:v>
      </x:c>
      <x:c r="D42" s="215" t="n">
        <x:v>36</x:v>
      </x:c>
      <x:c r="E42" s="74" t="str">
        <x:v>V1.0</x:v>
      </x:c>
      <x:c r="F42" s="68" t="str">
        <x:v>身旺时劫财继续增强可能成为负荷候选</x:v>
      </x:c>
      <x:c r="G42" s="82" t="str">
        <x:v>结构层</x:v>
      </x:c>
      <x:c r="H42" s="82" t="str">
        <x:v>劫财</x:v>
      </x:c>
      <x:c r="I42" s="82" t="str">
        <x:v>待定</x:v>
      </x:c>
      <x:c r="J42" s="82" t="str">
        <x:v>待定</x:v>
      </x:c>
      <x:c r="K42" s="82" t="str">
        <x:v>待定</x:v>
      </x:c>
      <x:c r="L42" s="82" t="str">
        <x:v>待定</x:v>
      </x:c>
      <x:c r="M42" s="68" t="str">
        <x:v>按M08核查</x:v>
      </x:c>
      <x:c r="N42" s="68" t="str">
        <x:v>按M06/M08核查</x:v>
      </x:c>
      <x:c r="O42" s="82" t="str">
        <x:v>过度</x:v>
      </x:c>
      <x:c r="P42" s="68" t="str">
        <x:v>转M11/M14判断</x:v>
      </x:c>
      <x:c r="Q42" s="68" t="str">
        <x:v>进一步加强身势并可能制财</x:v>
      </x:c>
      <x:c r="R42" s="82" t="str">
        <x:v>条件性忌神</x:v>
      </x:c>
      <x:c r="S42" s="68" t="str">
        <x:v>M09日主旺或极旺，劫财又有力</x:v>
      </x:c>
      <x:c r="T42" s="68" t="str">
        <x:v>M02十神映射、M08五行有效旺衰、M09日主旺衰已完成</x:v>
      </x:c>
      <x:c r="U42" s="68" t="str">
        <x:v>相关十神已由M02正确映射，并以M08有效力量为准</x:v>
      </x:c>
      <x:c r="V42" s="68" t="str">
        <x:v>得令、有根、透干、同党或生源形成独立有效证据</x:v>
      </x:c>
      <x:c r="W42" s="68" t="str">
        <x:v>失令、无根、被合绊、被制、改性或作用路径受阻</x:v>
      </x:c>
      <x:c r="X42" s="90" t="str">
        <x:v>不得以十神名称、数量或单一旺弱证据直接完成定性</x:v>
      </x:c>
      <x:c r="Y42" s="68" t="str">
        <x:v>特殊格局、从化候选及明确组合转M11/M14另审</x:v>
      </x:c>
      <x:c r="Z42" s="68" t="str">
        <x:v>不得直接推出吉凶、具体事件、亲属结果或最终喜忌</x:v>
      </x:c>
      <x:c r="AA42" s="84" t="str">
        <x:v>身旺劫财过度</x:v>
      </x:c>
      <x:c r="AB42" s="84" t="str">
        <x:v>身旺时劫财继续增强可能成为负荷候选：当“M09日主旺或极旺，劫财又有力”成立时，按本规则记录十神的有效功能；同时保留制化、承载和反向证据。</x:v>
      </x:c>
      <x:c r="AC42" s="82" t="str">
        <x:v>较高</x:v>
      </x:c>
      <x:c r="AD42" s="82" t="str">
        <x:v>现代综合</x:v>
      </x:c>
      <x:c r="AE42" s="68" t="str">
        <x:v>十神必须分开判断存在性、力量、清纯度、功能性与喜忌性；M10只形成结构层结论和候选，不越级替代M11—M18。</x:v>
      </x:c>
      <x:c r="AF42" s="68" t="str">
        <x:v>相关条件真实成立，且增强条件有效时，可按“身旺时劫财继续增强可能成为负荷候选”记录对应功能。</x:v>
      </x:c>
      <x:c r="AG42" s="90" t="str">
        <x:v>仅见表面十神名称或数量，但“不得以十神名称、数量或单一旺弱证据直接完成定性”所述限制存在时，不得套用本规则。</x:v>
      </x:c>
      <x:c r="AH42" s="68" t="str">
        <x:v>https://zh.wikisource.org/wiki/%E6%B8%8A%E6%B5%B7%E5%AD%90%E5%B9%B3%E5%A4%A7%E5%85%A8 ; https://zh.wikisource.org/wiki/%E6%BB%B4%E5%A4%A9%E9%AB%93%E9%97%A1%E5%BE%AE</x:v>
      </x:c>
      <x:c r="AI42" s="82" t="str">
        <x:v>采用</x:v>
      </x:c>
      <x:c r="AJ42" s="82" t="str">
        <x:v>初审</x:v>
      </x:c>
      <x:c r="AK42" s="87" t="n">
        <x:v>46255</x:v>
      </x:c>
    </x:row>
    <x:row r="43">
      <x:c r="A43" s="72" t="str">
        <x:f>IF(OR(C43="",D43=""),"",B43&amp;"-"&amp;UPPER(C43)&amp;"-"&amp;TEXT(D43,"0000")&amp;"-"&amp;E43)</x:f>
        <x:v>M10-BIJIE-0037-V1.0</x:v>
      </x:c>
      <x:c r="B43" s="74" t="str">
        <x:v>M10</x:v>
      </x:c>
      <x:c r="C43" s="74" t="str">
        <x:v>BIJIE</x:v>
      </x:c>
      <x:c r="D43" s="215" t="n">
        <x:v>37</x:v>
      </x:c>
      <x:c r="E43" s="74" t="str">
        <x:v>V1.0</x:v>
      </x:c>
      <x:c r="F43" s="68" t="str">
        <x:v>比肩可帮助承受有效官杀制身</x:v>
      </x:c>
      <x:c r="G43" s="82" t="str">
        <x:v>结构层</x:v>
      </x:c>
      <x:c r="H43" s="82" t="str">
        <x:v>比肩</x:v>
      </x:c>
      <x:c r="I43" s="82" t="str">
        <x:v>待定</x:v>
      </x:c>
      <x:c r="J43" s="82" t="str">
        <x:v>待定</x:v>
      </x:c>
      <x:c r="K43" s="82" t="str">
        <x:v>待定</x:v>
      </x:c>
      <x:c r="L43" s="82" t="str">
        <x:v>待定</x:v>
      </x:c>
      <x:c r="M43" s="68" t="str">
        <x:v>按M08核查</x:v>
      </x:c>
      <x:c r="N43" s="68" t="str">
        <x:v>按M06/M08核查</x:v>
      </x:c>
      <x:c r="O43" s="82" t="str">
        <x:v>待定</x:v>
      </x:c>
      <x:c r="P43" s="68" t="str">
        <x:v>转M11/M14判断</x:v>
      </x:c>
      <x:c r="Q43" s="68" t="str">
        <x:v>增强日主抗制能力，但不等于已经化解官杀</x:v>
      </x:c>
      <x:c r="R43" s="82" t="str">
        <x:v>待定</x:v>
      </x:c>
      <x:c r="S43" s="68" t="str">
        <x:v>日主承载不足且官杀有力，比肩自身有效</x:v>
      </x:c>
      <x:c r="T43" s="68" t="str">
        <x:v>M02十神映射、M08五行有效旺衰、M09日主旺衰已完成</x:v>
      </x:c>
      <x:c r="U43" s="68" t="str">
        <x:v>相关十神已由M02正确映射，并以M08有效力量为准</x:v>
      </x:c>
      <x:c r="V43" s="68" t="str">
        <x:v>得令、有根、透干、同党或生源形成独立有效证据</x:v>
      </x:c>
      <x:c r="W43" s="68" t="str">
        <x:v>失令、无根、被合绊、被制、改性或作用路径受阻</x:v>
      </x:c>
      <x:c r="X43" s="90" t="str">
        <x:v>不得以十神名称、数量或单一旺弱证据直接完成定性</x:v>
      </x:c>
      <x:c r="Y43" s="68" t="str">
        <x:v>特殊格局、从化候选及明确组合转M11/M14另审</x:v>
      </x:c>
      <x:c r="Z43" s="68" t="str">
        <x:v>不得直接推出吉凶、具体事件、亲属结果或最终喜忌</x:v>
      </x:c>
      <x:c r="AA43" s="84" t="str">
        <x:v>比肩抗杀</x:v>
      </x:c>
      <x:c r="AB43" s="84" t="str">
        <x:v>比肩可帮助承受有效官杀制身：当“日主承载不足且官杀有力，比肩自身有效”成立时，按本规则记录十神的有效功能；同时保留制化、承载和反向证据。</x:v>
      </x:c>
      <x:c r="AC43" s="82" t="str">
        <x:v>较高</x:v>
      </x:c>
      <x:c r="AD43" s="82" t="str">
        <x:v>现代综合</x:v>
      </x:c>
      <x:c r="AE43" s="68" t="str">
        <x:v>十神必须分开判断存在性、力量、清纯度、功能性与喜忌性；M10只形成结构层结论和候选，不越级替代M11—M18。</x:v>
      </x:c>
      <x:c r="AF43" s="68" t="str">
        <x:v>相关条件真实成立，且增强条件有效时，可按“比肩可帮助承受有效官杀制身”记录对应功能。</x:v>
      </x:c>
      <x:c r="AG43" s="90" t="str">
        <x:v>仅见表面十神名称或数量，但“不得以十神名称、数量或单一旺弱证据直接完成定性”所述限制存在时，不得套用本规则。</x:v>
      </x:c>
      <x:c r="AH43" s="68" t="str">
        <x:v>https://zh.wikisource.org/wiki/%E6%B8%8A%E6%B5%B7%E5%AD%90%E5%B9%B3%E5%A4%A7%E5%85%A8 ; https://zh.wikisource.org/wiki/%E6%BB%B4%E5%A4%A9%E9%AB%93%E9%97%A1%E5%BE%AE</x:v>
      </x:c>
      <x:c r="AI43" s="82" t="str">
        <x:v>采用</x:v>
      </x:c>
      <x:c r="AJ43" s="82" t="str">
        <x:v>初审</x:v>
      </x:c>
      <x:c r="AK43" s="87" t="n">
        <x:v>46255</x:v>
      </x:c>
    </x:row>
    <x:row r="44">
      <x:c r="A44" s="72" t="str">
        <x:f>IF(OR(C44="",D44=""),"",B44&amp;"-"&amp;UPPER(C44)&amp;"-"&amp;TEXT(D44,"0000")&amp;"-"&amp;E44)</x:f>
        <x:v>M10-BIJIE-0038-V1.0</x:v>
      </x:c>
      <x:c r="B44" s="74" t="str">
        <x:v>M10</x:v>
      </x:c>
      <x:c r="C44" s="74" t="str">
        <x:v>BIJIE</x:v>
      </x:c>
      <x:c r="D44" s="215" t="n">
        <x:v>38</x:v>
      </x:c>
      <x:c r="E44" s="74" t="str">
        <x:v>V1.0</x:v>
      </x:c>
      <x:c r="F44" s="68" t="str">
        <x:v>劫财制财必须以双方有效力量匹配为条件</x:v>
      </x:c>
      <x:c r="G44" s="82" t="str">
        <x:v>结构层</x:v>
      </x:c>
      <x:c r="H44" s="82" t="str">
        <x:v>劫财</x:v>
      </x:c>
      <x:c r="I44" s="82" t="str">
        <x:v>待定</x:v>
      </x:c>
      <x:c r="J44" s="82" t="str">
        <x:v>待定</x:v>
      </x:c>
      <x:c r="K44" s="82" t="str">
        <x:v>待定</x:v>
      </x:c>
      <x:c r="L44" s="82" t="str">
        <x:v>待定</x:v>
      </x:c>
      <x:c r="M44" s="68" t="str">
        <x:v>按M08核查</x:v>
      </x:c>
      <x:c r="N44" s="68" t="str">
        <x:v>与财星形成克制</x:v>
      </x:c>
      <x:c r="O44" s="82" t="str">
        <x:v>待定</x:v>
      </x:c>
      <x:c r="P44" s="68" t="str">
        <x:v>可成为比劫制财类局部结构，转M11</x:v>
      </x:c>
      <x:c r="Q44" s="68" t="str">
        <x:v>需结合M09日主承载判断</x:v>
      </x:c>
      <x:c r="R44" s="82" t="str">
        <x:v>待定</x:v>
      </x:c>
      <x:c r="S44" s="68" t="str">
        <x:v>劫财与财星直接形成有效克制关系</x:v>
      </x:c>
      <x:c r="T44" s="68" t="str">
        <x:v>M02十神映射、M08五行有效旺衰、M09日主旺衰已完成</x:v>
      </x:c>
      <x:c r="U44" s="68" t="str">
        <x:v>相关十神已由M02正确映射，并以M08有效力量为准</x:v>
      </x:c>
      <x:c r="V44" s="68" t="str">
        <x:v>得令、有根、透干、同党或生源形成独立有效证据</x:v>
      </x:c>
      <x:c r="W44" s="68" t="str">
        <x:v>失令、无根、被合绊、被制、改性或作用路径受阻</x:v>
      </x:c>
      <x:c r="X44" s="90" t="str">
        <x:v>不得以十神名称、数量或单一旺弱证据直接完成定性</x:v>
      </x:c>
      <x:c r="Y44" s="68" t="str">
        <x:v>特殊格局、从化候选及明确组合转M11/M14另审</x:v>
      </x:c>
      <x:c r="Z44" s="68" t="str">
        <x:v>不得直接推出吉凶、具体事件、亲属结果或最终喜忌</x:v>
      </x:c>
      <x:c r="AA44" s="84" t="str">
        <x:v>劫财制财候选</x:v>
      </x:c>
      <x:c r="AB44" s="84" t="str">
        <x:v>劫财制财必须以双方有效力量匹配为条件：当“劫财与财星直接形成有效克制关系”成立时，按本规则记录十神的有效功能；同时保留制化、承载和反向证据。</x:v>
      </x:c>
      <x:c r="AC44" s="82" t="str">
        <x:v>较高</x:v>
      </x:c>
      <x:c r="AD44" s="82" t="str">
        <x:v>现代综合</x:v>
      </x:c>
      <x:c r="AE44" s="68" t="str">
        <x:v>十神必须分开判断存在性、力量、清纯度、功能性与喜忌性；M10只形成结构层结论和候选，不越级替代M11—M18。</x:v>
      </x:c>
      <x:c r="AF44" s="68" t="str">
        <x:v>相关条件真实成立，且增强条件有效时，可按“劫财制财必须以双方有效力量匹配为条件”记录对应功能。</x:v>
      </x:c>
      <x:c r="AG44" s="90" t="str">
        <x:v>仅见表面十神名称或数量，但“不得以十神名称、数量或单一旺弱证据直接完成定性”所述限制存在时，不得套用本规则。</x:v>
      </x:c>
      <x:c r="AH44" s="68" t="str">
        <x:v>https://zh.wikisource.org/wiki/%E6%B8%8A%E6%B5%B7%E5%AD%90%E5%B9%B3%E5%A4%A7%E5%85%A8 ; https://zh.wikisource.org/wiki/%E6%BB%B4%E5%A4%A9%E9%AB%93%E9%97%A1%E5%BE%AE</x:v>
      </x:c>
      <x:c r="AI44" s="82" t="str">
        <x:v>采用</x:v>
      </x:c>
      <x:c r="AJ44" s="82" t="str">
        <x:v>初审</x:v>
      </x:c>
      <x:c r="AK44" s="87" t="n">
        <x:v>46255</x:v>
      </x:c>
    </x:row>
    <x:row r="45">
      <x:c r="A45" s="72" t="str">
        <x:f>IF(OR(C45="",D45=""),"",B45&amp;"-"&amp;UPPER(C45)&amp;"-"&amp;TEXT(D45,"0000")&amp;"-"&amp;E45)</x:f>
        <x:v>M10-BIJIE-0039-V1.0</x:v>
      </x:c>
      <x:c r="B45" s="74" t="str">
        <x:v>M10</x:v>
      </x:c>
      <x:c r="C45" s="74" t="str">
        <x:v>BIJIE</x:v>
      </x:c>
      <x:c r="D45" s="215" t="n">
        <x:v>39</x:v>
      </x:c>
      <x:c r="E45" s="74" t="str">
        <x:v>V1.0</x:v>
      </x:c>
      <x:c r="F45" s="68" t="str">
        <x:v>比肩被官杀强制时扶身功能会受限</x:v>
      </x:c>
      <x:c r="G45" s="82" t="str">
        <x:v>结构层</x:v>
      </x:c>
      <x:c r="H45" s="82" t="str">
        <x:v>比肩</x:v>
      </x:c>
      <x:c r="I45" s="82" t="str">
        <x:v>待定</x:v>
      </x:c>
      <x:c r="J45" s="82" t="str">
        <x:v>待定</x:v>
      </x:c>
      <x:c r="K45" s="82" t="str">
        <x:v>待定</x:v>
      </x:c>
      <x:c r="L45" s="82" t="str">
        <x:v>待定</x:v>
      </x:c>
      <x:c r="M45" s="68" t="str">
        <x:v>按M08核查</x:v>
      </x:c>
      <x:c r="N45" s="68" t="str">
        <x:v>受官杀有效克制</x:v>
      </x:c>
      <x:c r="O45" s="82" t="str">
        <x:v>受限</x:v>
      </x:c>
      <x:c r="P45" s="68" t="str">
        <x:v>转M11/M14判断</x:v>
      </x:c>
      <x:c r="Q45" s="68" t="str">
        <x:v>可调用扶身能力下降</x:v>
      </x:c>
      <x:c r="R45" s="82" t="str">
        <x:v>待定</x:v>
      </x:c>
      <x:c r="S45" s="68" t="str">
        <x:v>比肩虽存在，但官杀对其形成实质强制</x:v>
      </x:c>
      <x:c r="T45" s="68" t="str">
        <x:v>M02十神映射、M08五行有效旺衰、M09日主旺衰已完成</x:v>
      </x:c>
      <x:c r="U45" s="68" t="str">
        <x:v>相关十神已由M02正确映射，并以M08有效力量为准</x:v>
      </x:c>
      <x:c r="V45" s="68" t="str">
        <x:v>得令、有根、透干、同党或生源形成独立有效证据</x:v>
      </x:c>
      <x:c r="W45" s="68" t="str">
        <x:v>失令、无根、被合绊、被制、改性或作用路径受阻</x:v>
      </x:c>
      <x:c r="X45" s="90" t="str">
        <x:v>不得以十神名称、数量或单一旺弱证据直接完成定性</x:v>
      </x:c>
      <x:c r="Y45" s="68" t="str">
        <x:v>特殊格局、从化候选及明确组合转M11/M14另审</x:v>
      </x:c>
      <x:c r="Z45" s="68" t="str">
        <x:v>不得直接推出吉凶、具体事件、亲属结果或最终喜忌</x:v>
      </x:c>
      <x:c r="AA45" s="84" t="str">
        <x:v>比肩功能受限</x:v>
      </x:c>
      <x:c r="AB45" s="84" t="str">
        <x:v>比肩被官杀强制时扶身功能会受限：当“比肩虽存在，但官杀对其形成实质强制”成立时，按本规则记录十神的有效功能；同时保留制化、承载和反向证据。</x:v>
      </x:c>
      <x:c r="AC45" s="82" t="str">
        <x:v>较高</x:v>
      </x:c>
      <x:c r="AD45" s="82" t="str">
        <x:v>现代综合</x:v>
      </x:c>
      <x:c r="AE45" s="68" t="str">
        <x:v>十神必须分开判断存在性、力量、清纯度、功能性与喜忌性；M10只形成结构层结论和候选，不越级替代M11—M18。</x:v>
      </x:c>
      <x:c r="AF45" s="68" t="str">
        <x:v>相关条件真实成立，且增强条件有效时，可按“比肩被官杀强制时扶身功能会受限”记录对应功能。</x:v>
      </x:c>
      <x:c r="AG45" s="90" t="str">
        <x:v>仅见表面十神名称或数量，但“不得以十神名称、数量或单一旺弱证据直接完成定性”所述限制存在时，不得套用本规则。</x:v>
      </x:c>
      <x:c r="AH45" s="68" t="str">
        <x:v>https://zh.wikisource.org/wiki/%E6%B8%8A%E6%B5%B7%E5%AD%90%E5%B9%B3%E5%A4%A7%E5%85%A8 ; https://zh.wikisource.org/wiki/%E6%BB%B4%E5%A4%A9%E9%AB%93%E9%97%A1%E5%BE%AE</x:v>
      </x:c>
      <x:c r="AI45" s="82" t="str">
        <x:v>采用</x:v>
      </x:c>
      <x:c r="AJ45" s="82" t="str">
        <x:v>初审</x:v>
      </x:c>
      <x:c r="AK45" s="87" t="n">
        <x:v>46255</x:v>
      </x:c>
    </x:row>
    <x:row r="46">
      <x:c r="A46" s="72" t="str">
        <x:f>IF(OR(C46="",D46=""),"",B46&amp;"-"&amp;UPPER(C46)&amp;"-"&amp;TEXT(D46,"0000")&amp;"-"&amp;E46)</x:f>
        <x:v>M10-BIJIE-0040-V1.0</x:v>
      </x:c>
      <x:c r="B46" s="74" t="str">
        <x:v>M10</x:v>
      </x:c>
      <x:c r="C46" s="74" t="str">
        <x:v>BIJIE</x:v>
      </x:c>
      <x:c r="D46" s="215" t="n">
        <x:v>40</x:v>
      </x:c>
      <x:c r="E46" s="74" t="str">
        <x:v>V1.0</x:v>
      </x:c>
      <x:c r="F46" s="68" t="str">
        <x:v>比劫集团成势时应作为整体扶身集团评估</x:v>
      </x:c>
      <x:c r="G46" s="82" t="str">
        <x:v>结构层</x:v>
      </x:c>
      <x:c r="H46" s="82" t="str">
        <x:v>劫财</x:v>
      </x:c>
      <x:c r="I46" s="82" t="str">
        <x:v>多处出现</x:v>
      </x:c>
      <x:c r="J46" s="82" t="str">
        <x:v>待定</x:v>
      </x:c>
      <x:c r="K46" s="82" t="str">
        <x:v>旺</x:v>
      </x:c>
      <x:c r="L46" s="82" t="str">
        <x:v>待定</x:v>
      </x:c>
      <x:c r="M46" s="68" t="str">
        <x:v>按M08核查</x:v>
      </x:c>
      <x:c r="N46" s="68" t="str">
        <x:v>按M06/M08核查</x:v>
      </x:c>
      <x:c r="O46" s="82" t="str">
        <x:v>正常发挥</x:v>
      </x:c>
      <x:c r="P46" s="68" t="str">
        <x:v>转M11/M14判断</x:v>
      </x:c>
      <x:c r="Q46" s="68" t="str">
        <x:v>显著提高扶身侧净优势</x:v>
      </x:c>
      <x:c r="R46" s="82" t="str">
        <x:v>待定</x:v>
      </x:c>
      <x:c r="S46" s="68" t="str">
        <x:v>比肩劫财多节点有效并形成同类集团</x:v>
      </x:c>
      <x:c r="T46" s="68" t="str">
        <x:v>M02十神映射、M08五行有效旺衰、M09日主旺衰已完成</x:v>
      </x:c>
      <x:c r="U46" s="68" t="str">
        <x:v>相关十神已由M02正确映射，并以M08有效力量为准</x:v>
      </x:c>
      <x:c r="V46" s="68" t="str">
        <x:v>得令、有根、透干、同党或生源形成独立有效证据</x:v>
      </x:c>
      <x:c r="W46" s="68" t="str">
        <x:v>失令、无根、被合绊、被制、改性或作用路径受阻</x:v>
      </x:c>
      <x:c r="X46" s="90" t="str">
        <x:v>不得以十神名称、数量或单一旺弱证据直接完成定性</x:v>
      </x:c>
      <x:c r="Y46" s="68" t="str">
        <x:v>特殊格局、从化候选及明确组合转M11/M14另审</x:v>
      </x:c>
      <x:c r="Z46" s="68" t="str">
        <x:v>不得直接推出吉凶、具体事件、亲属结果或最终喜忌</x:v>
      </x:c>
      <x:c r="AA46" s="84" t="str">
        <x:v>比劫集团成势</x:v>
      </x:c>
      <x:c r="AB46" s="84" t="str">
        <x:v>比劫集团成势时应作为整体扶身集团评估：当“比肩劫财多节点有效并形成同类集团”成立时，按本规则记录十神的有效功能；同时保留制化、承载和反向证据。</x:v>
      </x:c>
      <x:c r="AC46" s="82" t="str">
        <x:v>较高</x:v>
      </x:c>
      <x:c r="AD46" s="82" t="str">
        <x:v>现代综合</x:v>
      </x:c>
      <x:c r="AE46" s="68" t="str">
        <x:v>十神必须分开判断存在性、力量、清纯度、功能性与喜忌性；M10只形成结构层结论和候选，不越级替代M11—M18。</x:v>
      </x:c>
      <x:c r="AF46" s="68" t="str">
        <x:v>相关条件真实成立，且增强条件有效时，可按“比劫集团成势时应作为整体扶身集团评估”记录对应功能。</x:v>
      </x:c>
      <x:c r="AG46" s="90" t="str">
        <x:v>仅见表面十神名称或数量，但“不得以十神名称、数量或单一旺弱证据直接完成定性”所述限制存在时，不得套用本规则。</x:v>
      </x:c>
      <x:c r="AH46" s="68" t="str">
        <x:v>https://zh.wikisource.org/wiki/%E6%B8%8A%E6%B5%B7%E5%AD%90%E5%B9%B3%E5%A4%A7%E5%85%A8 ; https://zh.wikisource.org/wiki/%E6%BB%B4%E5%A4%A9%E9%AB%93%E9%97%A1%E5%BE%AE</x:v>
      </x:c>
      <x:c r="AI46" s="82" t="str">
        <x:v>采用</x:v>
      </x:c>
      <x:c r="AJ46" s="82" t="str">
        <x:v>初审</x:v>
      </x:c>
      <x:c r="AK46" s="87" t="n">
        <x:v>46255</x:v>
      </x:c>
    </x:row>
    <x:row r="47">
      <x:c r="A47" s="72" t="str">
        <x:f>IF(OR(C47="",D47=""),"",B47&amp;"-"&amp;UPPER(C47)&amp;"-"&amp;TEXT(D47,"0000")&amp;"-"&amp;E47)</x:f>
        <x:v>M10-BIJIE-0041-V1.0</x:v>
      </x:c>
      <x:c r="B47" s="74" t="str">
        <x:v>M10</x:v>
      </x:c>
      <x:c r="C47" s="74" t="str">
        <x:v>BIJIE</x:v>
      </x:c>
      <x:c r="D47" s="215" t="n">
        <x:v>41</x:v>
      </x:c>
      <x:c r="E47" s="74" t="str">
        <x:v>V1.0</x:v>
      </x:c>
      <x:c r="F47" s="68" t="str">
        <x:v>比劫过旺可阻塞日主向食伤财星的输出</x:v>
      </x:c>
      <x:c r="G47" s="82" t="str">
        <x:v>结构层</x:v>
      </x:c>
      <x:c r="H47" s="82" t="str">
        <x:v>比肩</x:v>
      </x:c>
      <x:c r="I47" s="82" t="str">
        <x:v>待定</x:v>
      </x:c>
      <x:c r="J47" s="82" t="str">
        <x:v>待定</x:v>
      </x:c>
      <x:c r="K47" s="82" t="str">
        <x:v>待定</x:v>
      </x:c>
      <x:c r="L47" s="82" t="str">
        <x:v>待定</x:v>
      </x:c>
      <x:c r="M47" s="68" t="str">
        <x:v>按M08核查</x:v>
      </x:c>
      <x:c r="N47" s="68" t="str">
        <x:v>按M06/M08核查</x:v>
      </x:c>
      <x:c r="O47" s="82" t="str">
        <x:v>过度</x:v>
      </x:c>
      <x:c r="P47" s="68" t="str">
        <x:v>转M11/M14判断</x:v>
      </x:c>
      <x:c r="Q47" s="68" t="str">
        <x:v>同类聚集但输出不足，可能形成壅塞</x:v>
      </x:c>
      <x:c r="R47" s="82" t="str">
        <x:v>条件性忌神</x:v>
      </x:c>
      <x:c r="S47" s="68" t="str">
        <x:v>比劫明显过旺，而食伤财星通道偏弱</x:v>
      </x:c>
      <x:c r="T47" s="68" t="str">
        <x:v>M02十神映射、M08五行有效旺衰、M09日主旺衰已完成</x:v>
      </x:c>
      <x:c r="U47" s="68" t="str">
        <x:v>相关十神已由M02正确映射，并以M08有效力量为准</x:v>
      </x:c>
      <x:c r="V47" s="68" t="str">
        <x:v>得令、有根、透干、同党或生源形成独立有效证据</x:v>
      </x:c>
      <x:c r="W47" s="68" t="str">
        <x:v>失令、无根、被合绊、被制、改性或作用路径受阻</x:v>
      </x:c>
      <x:c r="X47" s="90" t="str">
        <x:v>不得以十神名称、数量或单一旺弱证据直接完成定性</x:v>
      </x:c>
      <x:c r="Y47" s="68" t="str">
        <x:v>特殊格局、从化候选及明确组合转M11/M14另审</x:v>
      </x:c>
      <x:c r="Z47" s="68" t="str">
        <x:v>不得直接推出吉凶、具体事件、亲属结果或最终喜忌</x:v>
      </x:c>
      <x:c r="AA47" s="84" t="str">
        <x:v>比劫壅塞候选</x:v>
      </x:c>
      <x:c r="AB47" s="84" t="str">
        <x:v>比劫过旺可阻塞日主向食伤财星的输出：当“比劫明显过旺，而食伤财星通道偏弱”成立时，按本规则记录十神的有效功能；同时保留制化、承载和反向证据。</x:v>
      </x:c>
      <x:c r="AC47" s="82" t="str">
        <x:v>较高</x:v>
      </x:c>
      <x:c r="AD47" s="82" t="str">
        <x:v>现代综合</x:v>
      </x:c>
      <x:c r="AE47" s="68" t="str">
        <x:v>十神必须分开判断存在性、力量、清纯度、功能性与喜忌性；M10只形成结构层结论和候选，不越级替代M11—M18。</x:v>
      </x:c>
      <x:c r="AF47" s="68" t="str">
        <x:v>相关条件真实成立，且增强条件有效时，可按“比劫过旺可阻塞日主向食伤财星的输出”记录对应功能。</x:v>
      </x:c>
      <x:c r="AG47" s="90" t="str">
        <x:v>仅见表面十神名称或数量，但“不得以十神名称、数量或单一旺弱证据直接完成定性”所述限制存在时，不得套用本规则。</x:v>
      </x:c>
      <x:c r="AH47" s="68" t="str">
        <x:v>https://zh.wikisource.org/wiki/%E6%B8%8A%E6%B5%B7%E5%AD%90%E5%B9%B3%E5%A4%A7%E5%85%A8 ; https://zh.wikisource.org/wiki/%E6%BB%B4%E5%A4%A9%E9%AB%93%E9%97%A1%E5%BE%AE</x:v>
      </x:c>
      <x:c r="AI47" s="82" t="str">
        <x:v>采用</x:v>
      </x:c>
      <x:c r="AJ47" s="82" t="str">
        <x:v>初审</x:v>
      </x:c>
      <x:c r="AK47" s="87" t="n">
        <x:v>46255</x:v>
      </x:c>
    </x:row>
    <x:row r="48">
      <x:c r="A48" s="72" t="str">
        <x:f>IF(OR(C48="",D48=""),"",B48&amp;"-"&amp;UPPER(C48)&amp;"-"&amp;TEXT(D48,"0000")&amp;"-"&amp;E48)</x:f>
        <x:v>M10-BIJIE-0042-V1.0</x:v>
      </x:c>
      <x:c r="B48" s="74" t="str">
        <x:v>M10</x:v>
      </x:c>
      <x:c r="C48" s="74" t="str">
        <x:v>BIJIE</x:v>
      </x:c>
      <x:c r="D48" s="215" t="n">
        <x:v>42</x:v>
      </x:c>
      <x:c r="E48" s="74" t="str">
        <x:v>V1.0</x:v>
      </x:c>
      <x:c r="F48" s="68" t="str">
        <x:v>劫财喜忌不能脱离财星和日主状态</x:v>
      </x:c>
      <x:c r="G48" s="82" t="str">
        <x:v>结构层</x:v>
      </x:c>
      <x:c r="H48" s="82" t="str">
        <x:v>劫财</x:v>
      </x:c>
      <x:c r="I48" s="82" t="str">
        <x:v>待定</x:v>
      </x:c>
      <x:c r="J48" s="82" t="str">
        <x:v>待定</x:v>
      </x:c>
      <x:c r="K48" s="82" t="str">
        <x:v>待定</x:v>
      </x:c>
      <x:c r="L48" s="82" t="str">
        <x:v>待定</x:v>
      </x:c>
      <x:c r="M48" s="68" t="str">
        <x:v>按M08核查</x:v>
      </x:c>
      <x:c r="N48" s="68" t="str">
        <x:v>按M06/M08核查</x:v>
      </x:c>
      <x:c r="O48" s="82" t="str">
        <x:v>待定</x:v>
      </x:c>
      <x:c r="P48" s="68" t="str">
        <x:v>转M11/M14判断</x:v>
      </x:c>
      <x:c r="Q48" s="68" t="str">
        <x:v>需结合M09日主承载判断</x:v>
      </x:c>
      <x:c r="R48" s="82" t="str">
        <x:v>待定</x:v>
      </x:c>
      <x:c r="S48" s="68" t="str">
        <x:v>判断劫财价值时必须同时读取M09日主旺衰与财星有效力量</x:v>
      </x:c>
      <x:c r="T48" s="68" t="str">
        <x:v>M02十神映射、M08五行有效旺衰、M09日主旺衰已完成</x:v>
      </x:c>
      <x:c r="U48" s="68" t="str">
        <x:v>相关十神已由M02正确映射，并以M08有效力量为准</x:v>
      </x:c>
      <x:c r="V48" s="68" t="str">
        <x:v>得令、有根、透干、同党或生源形成独立有效证据</x:v>
      </x:c>
      <x:c r="W48" s="68" t="str">
        <x:v>失令、无根、被合绊、被制、改性或作用路径受阻</x:v>
      </x:c>
      <x:c r="X48" s="90" t="str">
        <x:v>不得以十神名称、数量或单一旺弱证据直接完成定性</x:v>
      </x:c>
      <x:c r="Y48" s="68" t="str">
        <x:v>特殊格局、从化候选及明确组合转M11/M14另审</x:v>
      </x:c>
      <x:c r="Z48" s="68" t="str">
        <x:v>不得用“劫财”名称直接解释为夺财、破财或人际竞争事件</x:v>
      </x:c>
      <x:c r="AA48" s="84" t="str">
        <x:v>劫财喜忌联判</x:v>
      </x:c>
      <x:c r="AB48" s="84" t="str">
        <x:v>劫财喜忌不能脱离财星和日主状态：当“判断劫财价值时必须同时读取M09日主旺衰与财星有效力量”成立时，按本规则记录十神的有效功能；同时保留制化、承载和反向证据。</x:v>
      </x:c>
      <x:c r="AC48" s="82" t="str">
        <x:v>较高</x:v>
      </x:c>
      <x:c r="AD48" s="82" t="str">
        <x:v>现代综合</x:v>
      </x:c>
      <x:c r="AE48" s="68" t="str">
        <x:v>十神必须分开判断存在性、力量、清纯度、功能性与喜忌性；M10只形成结构层结论和候选，不越级替代M11—M18。</x:v>
      </x:c>
      <x:c r="AF48" s="68" t="str">
        <x:v>相关条件真实成立，且增强条件有效时，可按“劫财喜忌不能脱离财星和日主状态”记录对应功能。</x:v>
      </x:c>
      <x:c r="AG48" s="90" t="str">
        <x:v>仅见表面十神名称或数量，但“不得以十神名称、数量或单一旺弱证据直接完成定性”所述限制存在时，不得套用本规则。</x:v>
      </x:c>
      <x:c r="AH48" s="68" t="str">
        <x:v>https://zh.wikisource.org/wiki/%E6%B8%8A%E6%B5%B7%E5%AD%90%E5%B9%B3%E5%A4%A7%E5%85%A8 ; https://zh.wikisource.org/wiki/%E6%BB%B4%E5%A4%A9%E9%AB%93%E9%97%A1%E5%BE%AE</x:v>
      </x:c>
      <x:c r="AI48" s="82" t="str">
        <x:v>采用</x:v>
      </x:c>
      <x:c r="AJ48" s="82" t="str">
        <x:v>初审</x:v>
      </x:c>
      <x:c r="AK48" s="87" t="n">
        <x:v>46255</x:v>
      </x:c>
    </x:row>
    <x:row r="49">
      <x:c r="A49" s="72" t="str">
        <x:f>IF(OR(C49="",D49=""),"",B49&amp;"-"&amp;UPPER(C49)&amp;"-"&amp;TEXT(D49,"0000")&amp;"-"&amp;E49)</x:f>
        <x:v>M10-YIN-0043-V1.0</x:v>
      </x:c>
      <x:c r="B49" s="74" t="str">
        <x:v>M10</x:v>
      </x:c>
      <x:c r="C49" s="74" t="str">
        <x:v>YIN</x:v>
      </x:c>
      <x:c r="D49" s="215" t="n">
        <x:v>43</x:v>
      </x:c>
      <x:c r="E49" s="74" t="str">
        <x:v>V1.0</x:v>
      </x:c>
      <x:c r="F49" s="68" t="str">
        <x:v>有效正印首先提供生身功能</x:v>
      </x:c>
      <x:c r="G49" s="82" t="str">
        <x:v>结构层</x:v>
      </x:c>
      <x:c r="H49" s="82" t="str">
        <x:v>正印</x:v>
      </x:c>
      <x:c r="I49" s="82" t="str">
        <x:v>待定</x:v>
      </x:c>
      <x:c r="J49" s="82" t="str">
        <x:v>待定</x:v>
      </x:c>
      <x:c r="K49" s="82" t="str">
        <x:v>待定</x:v>
      </x:c>
      <x:c r="L49" s="82" t="str">
        <x:v>待定</x:v>
      </x:c>
      <x:c r="M49" s="68" t="str">
        <x:v>按M08核查</x:v>
      </x:c>
      <x:c r="N49" s="68" t="str">
        <x:v>按M06/M08核查</x:v>
      </x:c>
      <x:c r="O49" s="82" t="str">
        <x:v>正常发挥</x:v>
      </x:c>
      <x:c r="P49" s="68" t="str">
        <x:v>转M11/M14判断</x:v>
      </x:c>
      <x:c r="Q49" s="68" t="str">
        <x:v>向日主提供生源和承载</x:v>
      </x:c>
      <x:c r="R49" s="82" t="str">
        <x:v>待定</x:v>
      </x:c>
      <x:c r="S49" s="68" t="str">
        <x:v>正印有效存在且生身路径未被阻断</x:v>
      </x:c>
      <x:c r="T49" s="68" t="str">
        <x:v>M02十神映射、M08五行有效旺衰、M09日主旺衰已完成</x:v>
      </x:c>
      <x:c r="U49" s="68" t="str">
        <x:v>相关十神已由M02正确映射，并以M08有效力量为准</x:v>
      </x:c>
      <x:c r="V49" s="68" t="str">
        <x:v>得令、有根、透干、同党或生源形成独立有效证据</x:v>
      </x:c>
      <x:c r="W49" s="68" t="str">
        <x:v>失令、无根、被合绊、被制、改性或作用路径受阻</x:v>
      </x:c>
      <x:c r="X49" s="90" t="str">
        <x:v>不得以十神名称、数量或单一旺弱证据直接完成定性</x:v>
      </x:c>
      <x:c r="Y49" s="68" t="str">
        <x:v>特殊格局、从化候选及明确组合转M11/M14另审</x:v>
      </x:c>
      <x:c r="Z49" s="68" t="str">
        <x:v>不得直接推出吉凶、具体事件、亲属结果或最终喜忌</x:v>
      </x:c>
      <x:c r="AA49" s="84" t="str">
        <x:v>正印生身</x:v>
      </x:c>
      <x:c r="AB49" s="84" t="str">
        <x:v>有效正印首先提供生身功能：当“正印有效存在且生身路径未被阻断”成立时，按本规则记录十神的有效功能；同时保留制化、承载和反向证据。</x:v>
      </x:c>
      <x:c r="AC49" s="82" t="str">
        <x:v>较高</x:v>
      </x:c>
      <x:c r="AD49" s="82" t="str">
        <x:v>现代综合</x:v>
      </x:c>
      <x:c r="AE49" s="68" t="str">
        <x:v>十神必须分开判断存在性、力量、清纯度、功能性与喜忌性；M10只形成结构层结论和候选，不越级替代M11—M18。</x:v>
      </x:c>
      <x:c r="AF49" s="68" t="str">
        <x:v>相关条件真实成立，且增强条件有效时，可按“有效正印首先提供生身功能”记录对应功能。</x:v>
      </x:c>
      <x:c r="AG49" s="90" t="str">
        <x:v>仅见表面十神名称或数量，但“不得以十神名称、数量或单一旺弱证据直接完成定性”所述限制存在时，不得套用本规则。</x:v>
      </x:c>
      <x:c r="AH49" s="68" t="str">
        <x:v>https://zh.wikisource.org/wiki/%E6%B8%8A%E6%B5%B7%E5%AD%90%E5%B9%B3%E5%A4%A7%E5%85%A8 ; https://zh.wikisource.org/wiki/%E6%BB%B4%E5%A4%A9%E9%AB%93%E9%97%A1%E5%BE%AE</x:v>
      </x:c>
      <x:c r="AI49" s="82" t="str">
        <x:v>采用</x:v>
      </x:c>
      <x:c r="AJ49" s="82" t="str">
        <x:v>初审</x:v>
      </x:c>
      <x:c r="AK49" s="87" t="n">
        <x:v>46255</x:v>
      </x:c>
    </x:row>
    <x:row r="50">
      <x:c r="A50" s="72" t="str">
        <x:f>IF(OR(C50="",D50=""),"",B50&amp;"-"&amp;UPPER(C50)&amp;"-"&amp;TEXT(D50,"0000")&amp;"-"&amp;E50)</x:f>
        <x:v>M10-YIN-0044-V1.0</x:v>
      </x:c>
      <x:c r="B50" s="74" t="str">
        <x:v>M10</x:v>
      </x:c>
      <x:c r="C50" s="74" t="str">
        <x:v>YIN</x:v>
      </x:c>
      <x:c r="D50" s="215" t="n">
        <x:v>44</x:v>
      </x:c>
      <x:c r="E50" s="74" t="str">
        <x:v>V1.0</x:v>
      </x:c>
      <x:c r="F50" s="68" t="str">
        <x:v>有效偏印同样可生身但需另审制食功能</x:v>
      </x:c>
      <x:c r="G50" s="82" t="str">
        <x:v>结构层</x:v>
      </x:c>
      <x:c r="H50" s="82" t="str">
        <x:v>偏印</x:v>
      </x:c>
      <x:c r="I50" s="82" t="str">
        <x:v>待定</x:v>
      </x:c>
      <x:c r="J50" s="82" t="str">
        <x:v>待定</x:v>
      </x:c>
      <x:c r="K50" s="82" t="str">
        <x:v>待定</x:v>
      </x:c>
      <x:c r="L50" s="82" t="str">
        <x:v>待定</x:v>
      </x:c>
      <x:c r="M50" s="68" t="str">
        <x:v>按M08核查</x:v>
      </x:c>
      <x:c r="N50" s="68" t="str">
        <x:v>按M06/M08核查</x:v>
      </x:c>
      <x:c r="O50" s="82" t="str">
        <x:v>正常发挥</x:v>
      </x:c>
      <x:c r="P50" s="68" t="str">
        <x:v>转M11/M14判断</x:v>
      </x:c>
      <x:c r="Q50" s="68" t="str">
        <x:v>可生身，同时可能对食神形成克制</x:v>
      </x:c>
      <x:c r="R50" s="82" t="str">
        <x:v>待定</x:v>
      </x:c>
      <x:c r="S50" s="68" t="str">
        <x:v>偏印有效存在</x:v>
      </x:c>
      <x:c r="T50" s="68" t="str">
        <x:v>M02十神映射、M08五行有效旺衰、M09日主旺衰已完成</x:v>
      </x:c>
      <x:c r="U50" s="68" t="str">
        <x:v>相关十神已由M02正确映射，并以M08有效力量为准</x:v>
      </x:c>
      <x:c r="V50" s="68" t="str">
        <x:v>得令、有根、透干、同党或生源形成独立有效证据</x:v>
      </x:c>
      <x:c r="W50" s="68" t="str">
        <x:v>失令、无根、被合绊、被制、改性或作用路径受阻</x:v>
      </x:c>
      <x:c r="X50" s="90" t="str">
        <x:v>不得以十神名称、数量或单一旺弱证据直接完成定性</x:v>
      </x:c>
      <x:c r="Y50" s="68" t="str">
        <x:v>特殊格局、从化候选及明确组合转M11/M14另审</x:v>
      </x:c>
      <x:c r="Z50" s="68" t="str">
        <x:v>不得直接推出吉凶、具体事件、亲属结果或最终喜忌</x:v>
      </x:c>
      <x:c r="AA50" s="84" t="str">
        <x:v>偏印双向功能</x:v>
      </x:c>
      <x:c r="AB50" s="84" t="str">
        <x:v>有效偏印同样可生身但需另审制食功能：当“偏印有效存在”成立时，按本规则记录十神的有效功能；同时保留制化、承载和反向证据。</x:v>
      </x:c>
      <x:c r="AC50" s="82" t="str">
        <x:v>较高</x:v>
      </x:c>
      <x:c r="AD50" s="82" t="str">
        <x:v>现代综合</x:v>
      </x:c>
      <x:c r="AE50" s="68" t="str">
        <x:v>十神必须分开判断存在性、力量、清纯度、功能性与喜忌性；M10只形成结构层结论和候选，不越级替代M11—M18。</x:v>
      </x:c>
      <x:c r="AF50" s="68" t="str">
        <x:v>相关条件真实成立，且增强条件有效时，可按“有效偏印同样可生身但需另审制食功能”记录对应功能。</x:v>
      </x:c>
      <x:c r="AG50" s="90" t="str">
        <x:v>仅见表面十神名称或数量，但“不得以十神名称、数量或单一旺弱证据直接完成定性”所述限制存在时，不得套用本规则。</x:v>
      </x:c>
      <x:c r="AH50" s="68" t="str">
        <x:v>https://zh.wikisource.org/wiki/%E6%B8%8A%E6%B5%B7%E5%AD%90%E5%B9%B3%E5%A4%A7%E5%85%A8 ; https://zh.wikisource.org/wiki/%E6%BB%B4%E5%A4%A9%E9%AB%93%E9%97%A1%E5%BE%AE</x:v>
      </x:c>
      <x:c r="AI50" s="82" t="str">
        <x:v>采用</x:v>
      </x:c>
      <x:c r="AJ50" s="82" t="str">
        <x:v>初审</x:v>
      </x:c>
      <x:c r="AK50" s="87" t="n">
        <x:v>46255</x:v>
      </x:c>
    </x:row>
    <x:row r="51">
      <x:c r="A51" s="72" t="str">
        <x:f>IF(OR(C51="",D51=""),"",B51&amp;"-"&amp;UPPER(C51)&amp;"-"&amp;TEXT(D51,"0000")&amp;"-"&amp;E51)</x:f>
        <x:v>M10-YIN-0045-V1.0</x:v>
      </x:c>
      <x:c r="B51" s="74" t="str">
        <x:v>M10</x:v>
      </x:c>
      <x:c r="C51" s="74" t="str">
        <x:v>YIN</x:v>
      </x:c>
      <x:c r="D51" s="215" t="n">
        <x:v>45</x:v>
      </x:c>
      <x:c r="E51" s="74" t="str">
        <x:v>V1.0</x:v>
      </x:c>
      <x:c r="F51" s="68" t="str">
        <x:v>身弱时印星有力通常形成生身有利候选</x:v>
      </x:c>
      <x:c r="G51" s="82" t="str">
        <x:v>结构层</x:v>
      </x:c>
      <x:c r="H51" s="82" t="str">
        <x:v>正印</x:v>
      </x:c>
      <x:c r="I51" s="82" t="str">
        <x:v>待定</x:v>
      </x:c>
      <x:c r="J51" s="82" t="str">
        <x:v>待定</x:v>
      </x:c>
      <x:c r="K51" s="82" t="str">
        <x:v>待定</x:v>
      </x:c>
      <x:c r="L51" s="82" t="str">
        <x:v>待定</x:v>
      </x:c>
      <x:c r="M51" s="68" t="str">
        <x:v>按M08核查</x:v>
      </x:c>
      <x:c r="N51" s="68" t="str">
        <x:v>按M06/M08核查</x:v>
      </x:c>
      <x:c r="O51" s="82" t="str">
        <x:v>待定</x:v>
      </x:c>
      <x:c r="P51" s="68" t="str">
        <x:v>转M11/M14判断</x:v>
      </x:c>
      <x:c r="Q51" s="68" t="str">
        <x:v>补充生源、缓解泄耗和官杀压力</x:v>
      </x:c>
      <x:c r="R51" s="82" t="str">
        <x:v>条件性喜神</x:v>
      </x:c>
      <x:c r="S51" s="68" t="str">
        <x:v>M09日主弱或中和偏弱且正印有效</x:v>
      </x:c>
      <x:c r="T51" s="68" t="str">
        <x:v>M02十神映射、M08五行有效旺衰、M09日主旺衰已完成</x:v>
      </x:c>
      <x:c r="U51" s="68" t="str">
        <x:v>相关十神已由M02正确映射，并以M08有效力量为准</x:v>
      </x:c>
      <x:c r="V51" s="68" t="str">
        <x:v>得令、有根、透干、同党或生源形成独立有效证据</x:v>
      </x:c>
      <x:c r="W51" s="68" t="str">
        <x:v>失令、无根、被合绊、被制、改性或作用路径受阻</x:v>
      </x:c>
      <x:c r="X51" s="90" t="str">
        <x:v>不得以十神名称、数量或单一旺弱证据直接完成定性</x:v>
      </x:c>
      <x:c r="Y51" s="68" t="str">
        <x:v>特殊格局、从化候选及明确组合转M11/M14另审</x:v>
      </x:c>
      <x:c r="Z51" s="68" t="str">
        <x:v>不得直接推出吉凶、具体事件、亲属结果或最终喜忌</x:v>
      </x:c>
      <x:c r="AA51" s="84" t="str">
        <x:v>身弱正印候选</x:v>
      </x:c>
      <x:c r="AB51" s="84" t="str">
        <x:v>身弱时印星有力通常形成生身有利候选：当“M09日主弱或中和偏弱且正印有效”成立时，按本规则记录十神的有效功能；同时保留制化、承载和反向证据。</x:v>
      </x:c>
      <x:c r="AC51" s="82" t="str">
        <x:v>较高</x:v>
      </x:c>
      <x:c r="AD51" s="82" t="str">
        <x:v>现代综合</x:v>
      </x:c>
      <x:c r="AE51" s="68" t="str">
        <x:v>十神必须分开判断存在性、力量、清纯度、功能性与喜忌性；M10只形成结构层结论和候选，不越级替代M11—M18。</x:v>
      </x:c>
      <x:c r="AF51" s="68" t="str">
        <x:v>相关条件真实成立，且增强条件有效时，可按“身弱时印星有力通常形成生身有利候选”记录对应功能。</x:v>
      </x:c>
      <x:c r="AG51" s="90" t="str">
        <x:v>仅见表面十神名称或数量，但“不得以十神名称、数量或单一旺弱证据直接完成定性”所述限制存在时，不得套用本规则。</x:v>
      </x:c>
      <x:c r="AH51" s="68" t="str">
        <x:v>https://zh.wikisource.org/wiki/%E6%B8%8A%E6%B5%B7%E5%AD%90%E5%B9%B3%E5%A4%A7%E5%85%A8 ; https://zh.wikisource.org/wiki/%E6%BB%B4%E5%A4%A9%E9%AB%93%E9%97%A1%E5%BE%AE</x:v>
      </x:c>
      <x:c r="AI51" s="82" t="str">
        <x:v>采用</x:v>
      </x:c>
      <x:c r="AJ51" s="82" t="str">
        <x:v>初审</x:v>
      </x:c>
      <x:c r="AK51" s="87" t="n">
        <x:v>46255</x:v>
      </x:c>
    </x:row>
    <x:row r="52">
      <x:c r="A52" s="72" t="str">
        <x:f>IF(OR(C52="",D52=""),"",B52&amp;"-"&amp;UPPER(C52)&amp;"-"&amp;TEXT(D52,"0000")&amp;"-"&amp;E52)</x:f>
        <x:v>M10-YIN-0046-V1.0</x:v>
      </x:c>
      <x:c r="B52" s="74" t="str">
        <x:v>M10</x:v>
      </x:c>
      <x:c r="C52" s="74" t="str">
        <x:v>YIN</x:v>
      </x:c>
      <x:c r="D52" s="215" t="n">
        <x:v>46</x:v>
      </x:c>
      <x:c r="E52" s="74" t="str">
        <x:v>V1.0</x:v>
      </x:c>
      <x:c r="F52" s="68" t="str">
        <x:v>偏印制食只有克制路径真实成立才记录</x:v>
      </x:c>
      <x:c r="G52" s="82" t="str">
        <x:v>结构层</x:v>
      </x:c>
      <x:c r="H52" s="82" t="str">
        <x:v>偏印</x:v>
      </x:c>
      <x:c r="I52" s="82" t="str">
        <x:v>待定</x:v>
      </x:c>
      <x:c r="J52" s="82" t="str">
        <x:v>待定</x:v>
      </x:c>
      <x:c r="K52" s="82" t="str">
        <x:v>待定</x:v>
      </x:c>
      <x:c r="L52" s="82" t="str">
        <x:v>待定</x:v>
      </x:c>
      <x:c r="M52" s="68" t="str">
        <x:v>按M08核查</x:v>
      </x:c>
      <x:c r="N52" s="68" t="str">
        <x:v>对食神形成有效制约</x:v>
      </x:c>
      <x:c r="O52" s="82" t="str">
        <x:v>正常发挥</x:v>
      </x:c>
      <x:c r="P52" s="68" t="str">
        <x:v>枭神夺食候选转M11判断</x:v>
      </x:c>
      <x:c r="Q52" s="68" t="str">
        <x:v>需结合M09日主承载判断</x:v>
      </x:c>
      <x:c r="R52" s="82" t="str">
        <x:v>待定</x:v>
      </x:c>
      <x:c r="S52" s="68" t="str">
        <x:v>偏印与食神形成有效克制，且偏印力量足以作用</x:v>
      </x:c>
      <x:c r="T52" s="68" t="str">
        <x:v>M02十神映射、M08五行有效旺衰、M09日主旺衰已完成</x:v>
      </x:c>
      <x:c r="U52" s="68" t="str">
        <x:v>相关十神已由M02正确映射，并以M08有效力量为准</x:v>
      </x:c>
      <x:c r="V52" s="68" t="str">
        <x:v>得令、有根、透干、同党或生源形成独立有效证据</x:v>
      </x:c>
      <x:c r="W52" s="68" t="str">
        <x:v>失令、无根、被合绊、被制、改性或作用路径受阻</x:v>
      </x:c>
      <x:c r="X52" s="90" t="str">
        <x:v>不得以十神名称、数量或单一旺弱证据直接完成定性</x:v>
      </x:c>
      <x:c r="Y52" s="68" t="str">
        <x:v>特殊格局、从化候选及明确组合转M11/M14另审</x:v>
      </x:c>
      <x:c r="Z52" s="68" t="str">
        <x:v>不得直接推出吉凶、具体事件、亲属结果或最终喜忌</x:v>
      </x:c>
      <x:c r="AA52" s="84" t="str">
        <x:v>偏印制食候选</x:v>
      </x:c>
      <x:c r="AB52" s="84" t="str">
        <x:v>偏印制食只有克制路径真实成立才记录：当“偏印与食神形成有效克制，且偏印力量足以作用”成立时，按本规则记录十神的有效功能；同时保留制化、承载和反向证据。</x:v>
      </x:c>
      <x:c r="AC52" s="82" t="str">
        <x:v>较高</x:v>
      </x:c>
      <x:c r="AD52" s="82" t="str">
        <x:v>现代综合</x:v>
      </x:c>
      <x:c r="AE52" s="68" t="str">
        <x:v>十神必须分开判断存在性、力量、清纯度、功能性与喜忌性；M10只形成结构层结论和候选，不越级替代M11—M18。</x:v>
      </x:c>
      <x:c r="AF52" s="68" t="str">
        <x:v>相关条件真实成立，且增强条件有效时，可按“偏印制食只有克制路径真实成立才记录”记录对应功能。</x:v>
      </x:c>
      <x:c r="AG52" s="90" t="str">
        <x:v>仅见表面十神名称或数量，但“不得以十神名称、数量或单一旺弱证据直接完成定性”所述限制存在时，不得套用本规则。</x:v>
      </x:c>
      <x:c r="AH52" s="68" t="str">
        <x:v>https://zh.wikisource.org/wiki/%E6%B8%8A%E6%B5%B7%E5%AD%90%E5%B9%B3%E5%A4%A7%E5%85%A8 ; https://zh.wikisource.org/wiki/%E6%BB%B4%E5%A4%A9%E9%AB%93%E9%97%A1%E5%BE%AE</x:v>
      </x:c>
      <x:c r="AI52" s="82" t="str">
        <x:v>采用</x:v>
      </x:c>
      <x:c r="AJ52" s="82" t="str">
        <x:v>初审</x:v>
      </x:c>
      <x:c r="AK52" s="87" t="n">
        <x:v>46255</x:v>
      </x:c>
    </x:row>
    <x:row r="53">
      <x:c r="A53" s="72" t="str">
        <x:f>IF(OR(C53="",D53=""),"",B53&amp;"-"&amp;UPPER(C53)&amp;"-"&amp;TEXT(D53,"0000")&amp;"-"&amp;E53)</x:f>
        <x:v>M10-YIN-0047-V1.0</x:v>
      </x:c>
      <x:c r="B53" s="74" t="str">
        <x:v>M10</x:v>
      </x:c>
      <x:c r="C53" s="74" t="str">
        <x:v>YIN</x:v>
      </x:c>
      <x:c r="D53" s="215" t="n">
        <x:v>47</x:v>
      </x:c>
      <x:c r="E53" s="74" t="str">
        <x:v>V1.0</x:v>
      </x:c>
      <x:c r="F53" s="68" t="str">
        <x:v>印星可承接官杀形成化杀生身路径</x:v>
      </x:c>
      <x:c r="G53" s="82" t="str">
        <x:v>结构层</x:v>
      </x:c>
      <x:c r="H53" s="82" t="str">
        <x:v>正印</x:v>
      </x:c>
      <x:c r="I53" s="82" t="str">
        <x:v>待定</x:v>
      </x:c>
      <x:c r="J53" s="82" t="str">
        <x:v>待定</x:v>
      </x:c>
      <x:c r="K53" s="82" t="str">
        <x:v>待定</x:v>
      </x:c>
      <x:c r="L53" s="82" t="str">
        <x:v>待定</x:v>
      </x:c>
      <x:c r="M53" s="68" t="str">
        <x:v>官杀为印星生源</x:v>
      </x:c>
      <x:c r="N53" s="68" t="str">
        <x:v>按M06/M08核查</x:v>
      </x:c>
      <x:c r="O53" s="82" t="str">
        <x:v>正常发挥</x:v>
      </x:c>
      <x:c r="P53" s="68" t="str">
        <x:v>官印相生或杀印相生候选转M11</x:v>
      </x:c>
      <x:c r="Q53" s="68" t="str">
        <x:v>需结合M09日主承载判断</x:v>
      </x:c>
      <x:c r="R53" s="82" t="str">
        <x:v>待定</x:v>
      </x:c>
      <x:c r="S53" s="68" t="str">
        <x:v>官杀生印、印再生日主的链路连续有效</x:v>
      </x:c>
      <x:c r="T53" s="68" t="str">
        <x:v>M02十神映射、M08五行有效旺衰、M09日主旺衰已完成</x:v>
      </x:c>
      <x:c r="U53" s="68" t="str">
        <x:v>相关十神已由M02正确映射，并以M08有效力量为准</x:v>
      </x:c>
      <x:c r="V53" s="68" t="str">
        <x:v>得令、有根、透干、同党或生源形成独立有效证据</x:v>
      </x:c>
      <x:c r="W53" s="68" t="str">
        <x:v>失令、无根、被合绊、被制、改性或作用路径受阻</x:v>
      </x:c>
      <x:c r="X53" s="90" t="str">
        <x:v>不得以十神名称、数量或单一旺弱证据直接完成定性</x:v>
      </x:c>
      <x:c r="Y53" s="68" t="str">
        <x:v>特殊格局、从化候选及明确组合转M11/M14另审</x:v>
      </x:c>
      <x:c r="Z53" s="68" t="str">
        <x:v>不得直接推出吉凶、具体事件、亲属结果或最终喜忌</x:v>
      </x:c>
      <x:c r="AA53" s="84" t="str">
        <x:v>印化官杀接口</x:v>
      </x:c>
      <x:c r="AB53" s="84" t="str">
        <x:v>印星可承接官杀形成化杀生身路径：当“官杀生印、印再生日主的链路连续有效”成立时，按本规则记录十神的有效功能；同时保留制化、承载和反向证据。</x:v>
      </x:c>
      <x:c r="AC53" s="82" t="str">
        <x:v>较高</x:v>
      </x:c>
      <x:c r="AD53" s="82" t="str">
        <x:v>现代综合</x:v>
      </x:c>
      <x:c r="AE53" s="68" t="str">
        <x:v>十神必须分开判断存在性、力量、清纯度、功能性与喜忌性；M10只形成结构层结论和候选，不越级替代M11—M18。</x:v>
      </x:c>
      <x:c r="AF53" s="68" t="str">
        <x:v>相关条件真实成立，且增强条件有效时，可按“印星可承接官杀形成化杀生身路径”记录对应功能。</x:v>
      </x:c>
      <x:c r="AG53" s="90" t="str">
        <x:v>仅见表面十神名称或数量，但“不得以十神名称、数量或单一旺弱证据直接完成定性”所述限制存在时，不得套用本规则。</x:v>
      </x:c>
      <x:c r="AH53" s="68" t="str">
        <x:v>https://zh.wikisource.org/wiki/%E6%B8%8A%E6%B5%B7%E5%AD%90%E5%B9%B3%E5%A4%A7%E5%85%A8 ; https://zh.wikisource.org/wiki/%E6%BB%B4%E5%A4%A9%E9%AB%93%E9%97%A1%E5%BE%AE</x:v>
      </x:c>
      <x:c r="AI53" s="82" t="str">
        <x:v>采用</x:v>
      </x:c>
      <x:c r="AJ53" s="82" t="str">
        <x:v>初审</x:v>
      </x:c>
      <x:c r="AK53" s="87" t="n">
        <x:v>46255</x:v>
      </x:c>
    </x:row>
    <x:row r="54">
      <x:c r="A54" s="72" t="str">
        <x:f>IF(OR(C54="",D54=""),"",B54&amp;"-"&amp;UPPER(C54)&amp;"-"&amp;TEXT(D54,"0000")&amp;"-"&amp;E54)</x:f>
        <x:v>M10-YIN-0048-V1.0</x:v>
      </x:c>
      <x:c r="B54" s="74" t="str">
        <x:v>M10</x:v>
      </x:c>
      <x:c r="C54" s="74" t="str">
        <x:v>YIN</x:v>
      </x:c>
      <x:c r="D54" s="215" t="n">
        <x:v>48</x:v>
      </x:c>
      <x:c r="E54" s="74" t="str">
        <x:v>V1.0</x:v>
      </x:c>
      <x:c r="F54" s="68" t="str">
        <x:v>印星受财星强制时生身功能下降</x:v>
      </x:c>
      <x:c r="G54" s="82" t="str">
        <x:v>结构层</x:v>
      </x:c>
      <x:c r="H54" s="82" t="str">
        <x:v>偏印</x:v>
      </x:c>
      <x:c r="I54" s="82" t="str">
        <x:v>待定</x:v>
      </x:c>
      <x:c r="J54" s="82" t="str">
        <x:v>待定</x:v>
      </x:c>
      <x:c r="K54" s="82" t="str">
        <x:v>待定</x:v>
      </x:c>
      <x:c r="L54" s="82" t="str">
        <x:v>待定</x:v>
      </x:c>
      <x:c r="M54" s="68" t="str">
        <x:v>按M08核查</x:v>
      </x:c>
      <x:c r="N54" s="68" t="str">
        <x:v>受财星有效克制</x:v>
      </x:c>
      <x:c r="O54" s="82" t="str">
        <x:v>受限</x:v>
      </x:c>
      <x:c r="P54" s="68" t="str">
        <x:v>转M11/M14判断</x:v>
      </x:c>
      <x:c r="Q54" s="68" t="str">
        <x:v>生身和承接官杀能力下降</x:v>
      </x:c>
      <x:c r="R54" s="82" t="str">
        <x:v>待定</x:v>
      </x:c>
      <x:c r="S54" s="68" t="str">
        <x:v>财星对印星形成实质有效克制</x:v>
      </x:c>
      <x:c r="T54" s="68" t="str">
        <x:v>M02十神映射、M08五行有效旺衰、M09日主旺衰已完成</x:v>
      </x:c>
      <x:c r="U54" s="68" t="str">
        <x:v>相关十神已由M02正确映射，并以M08有效力量为准</x:v>
      </x:c>
      <x:c r="V54" s="68" t="str">
        <x:v>得令、有根、透干、同党或生源形成独立有效证据</x:v>
      </x:c>
      <x:c r="W54" s="68" t="str">
        <x:v>失令、无根、被合绊、被制、改性或作用路径受阻</x:v>
      </x:c>
      <x:c r="X54" s="90" t="str">
        <x:v>不得以十神名称、数量或单一旺弱证据直接完成定性</x:v>
      </x:c>
      <x:c r="Y54" s="68" t="str">
        <x:v>特殊格局、从化候选及明确组合转M11/M14另审</x:v>
      </x:c>
      <x:c r="Z54" s="68" t="str">
        <x:v>不得直接推出吉凶、具体事件、亲属结果或最终喜忌</x:v>
      </x:c>
      <x:c r="AA54" s="84" t="str">
        <x:v>财制印功能受限</x:v>
      </x:c>
      <x:c r="AB54" s="84" t="str">
        <x:v>印星受财星强制时生身功能下降：当“财星对印星形成实质有效克制”成立时，按本规则记录十神的有效功能；同时保留制化、承载和反向证据。</x:v>
      </x:c>
      <x:c r="AC54" s="82" t="str">
        <x:v>较高</x:v>
      </x:c>
      <x:c r="AD54" s="82" t="str">
        <x:v>现代综合</x:v>
      </x:c>
      <x:c r="AE54" s="68" t="str">
        <x:v>十神必须分开判断存在性、力量、清纯度、功能性与喜忌性；M10只形成结构层结论和候选，不越级替代M11—M18。</x:v>
      </x:c>
      <x:c r="AF54" s="68" t="str">
        <x:v>相关条件真实成立，且增强条件有效时，可按“印星受财星强制时生身功能下降”记录对应功能。</x:v>
      </x:c>
      <x:c r="AG54" s="90" t="str">
        <x:v>仅见表面十神名称或数量，但“不得以十神名称、数量或单一旺弱证据直接完成定性”所述限制存在时，不得套用本规则。</x:v>
      </x:c>
      <x:c r="AH54" s="68" t="str">
        <x:v>https://zh.wikisource.org/wiki/%E6%B8%8A%E6%B5%B7%E5%AD%90%E5%B9%B3%E5%A4%A7%E5%85%A8 ; https://zh.wikisource.org/wiki/%E6%BB%B4%E5%A4%A9%E9%AB%93%E9%97%A1%E5%BE%AE</x:v>
      </x:c>
      <x:c r="AI54" s="82" t="str">
        <x:v>采用</x:v>
      </x:c>
      <x:c r="AJ54" s="82" t="str">
        <x:v>初审</x:v>
      </x:c>
      <x:c r="AK54" s="87" t="n">
        <x:v>46255</x:v>
      </x:c>
    </x:row>
    <x:row r="55">
      <x:c r="A55" s="72" t="str">
        <x:f>IF(OR(C55="",D55=""),"",B55&amp;"-"&amp;UPPER(C55)&amp;"-"&amp;TEXT(D55,"0000")&amp;"-"&amp;E55)</x:f>
        <x:v>M10-YIN-0049-V1.0</x:v>
      </x:c>
      <x:c r="B55" s="74" t="str">
        <x:v>M10</x:v>
      </x:c>
      <x:c r="C55" s="74" t="str">
        <x:v>YIN</x:v>
      </x:c>
      <x:c r="D55" s="215" t="n">
        <x:v>49</x:v>
      </x:c>
      <x:c r="E55" s="74" t="str">
        <x:v>V1.0</x:v>
      </x:c>
      <x:c r="F55" s="68" t="str">
        <x:v>印多但无根无源不等于印星旺</x:v>
      </x:c>
      <x:c r="G55" s="82" t="str">
        <x:v>结构层</x:v>
      </x:c>
      <x:c r="H55" s="82" t="str">
        <x:v>正印</x:v>
      </x:c>
      <x:c r="I55" s="82" t="str">
        <x:v>多处出现</x:v>
      </x:c>
      <x:c r="J55" s="82" t="str">
        <x:v>待定</x:v>
      </x:c>
      <x:c r="K55" s="82" t="str">
        <x:v>中和偏弱</x:v>
      </x:c>
      <x:c r="L55" s="82" t="str">
        <x:v>待定</x:v>
      </x:c>
      <x:c r="M55" s="68" t="str">
        <x:v>按M08核查</x:v>
      </x:c>
      <x:c r="N55" s="68" t="str">
        <x:v>按M06/M08核查</x:v>
      </x:c>
      <x:c r="O55" s="82" t="str">
        <x:v>待定</x:v>
      </x:c>
      <x:c r="P55" s="68" t="str">
        <x:v>转M11/M14判断</x:v>
      </x:c>
      <x:c r="Q55" s="68" t="str">
        <x:v>需结合M09日主承载判断</x:v>
      </x:c>
      <x:c r="R55" s="82" t="str">
        <x:v>待定</x:v>
      </x:c>
      <x:c r="S55" s="68" t="str">
        <x:v>正印多处出现但主要为浮干或弱藏、缺乏有效根源</x:v>
      </x:c>
      <x:c r="T55" s="68" t="str">
        <x:v>M02十神映射、M08五行有效旺衰、M09日主旺衰已完成</x:v>
      </x:c>
      <x:c r="U55" s="68" t="str">
        <x:v>相关十神已由M02正确映射，并以M08有效力量为准</x:v>
      </x:c>
      <x:c r="V55" s="68" t="str">
        <x:v>得令、有根、透干、同党或生源形成独立有效证据</x:v>
      </x:c>
      <x:c r="W55" s="68" t="str">
        <x:v>失令、无根、被合绊、被制、改性或作用路径受阻</x:v>
      </x:c>
      <x:c r="X55" s="90" t="str">
        <x:v>不得以十神名称、数量或单一旺弱证据直接完成定性</x:v>
      </x:c>
      <x:c r="Y55" s="68" t="str">
        <x:v>特殊格局、从化候选及明确组合转M11/M14另审</x:v>
      </x:c>
      <x:c r="Z55" s="68" t="str">
        <x:v>不得用印星数量直接推出身旺</x:v>
      </x:c>
      <x:c r="AA55" s="84" t="str">
        <x:v>印多不等于旺</x:v>
      </x:c>
      <x:c r="AB55" s="84" t="str">
        <x:v>印多但无根无源不等于印星旺：当“正印多处出现但主要为浮干或弱藏、缺乏有效根源”成立时，按本规则记录十神的有效功能；同时保留制化、承载和反向证据。</x:v>
      </x:c>
      <x:c r="AC55" s="82" t="str">
        <x:v>较高</x:v>
      </x:c>
      <x:c r="AD55" s="82" t="str">
        <x:v>现代综合</x:v>
      </x:c>
      <x:c r="AE55" s="68" t="str">
        <x:v>十神必须分开判断存在性、力量、清纯度、功能性与喜忌性；M10只形成结构层结论和候选，不越级替代M11—M18。</x:v>
      </x:c>
      <x:c r="AF55" s="68" t="str">
        <x:v>相关条件真实成立，且增强条件有效时，可按“印多但无根无源不等于印星旺”记录对应功能。</x:v>
      </x:c>
      <x:c r="AG55" s="90" t="str">
        <x:v>仅见表面十神名称或数量，但“不得以十神名称、数量或单一旺弱证据直接完成定性”所述限制存在时，不得套用本规则。</x:v>
      </x:c>
      <x:c r="AH55" s="68" t="str">
        <x:v>https://zh.wikisource.org/wiki/%E6%B8%8A%E6%B5%B7%E5%AD%90%E5%B9%B3%E5%A4%A7%E5%85%A8 ; https://zh.wikisource.org/wiki/%E6%BB%B4%E5%A4%A9%E9%AB%93%E9%97%A1%E5%BE%AE</x:v>
      </x:c>
      <x:c r="AI55" s="82" t="str">
        <x:v>采用</x:v>
      </x:c>
      <x:c r="AJ55" s="82" t="str">
        <x:v>初审</x:v>
      </x:c>
      <x:c r="AK55" s="87" t="n">
        <x:v>46255</x:v>
      </x:c>
    </x:row>
    <x:row r="56">
      <x:c r="A56" s="72" t="str">
        <x:f>IF(OR(C56="",D56=""),"",B56&amp;"-"&amp;UPPER(C56)&amp;"-"&amp;TEXT(D56,"0000")&amp;"-"&amp;E56)</x:f>
        <x:v>M10-YIN-0050-V1.0</x:v>
      </x:c>
      <x:c r="B56" s="74" t="str">
        <x:v>M10</x:v>
      </x:c>
      <x:c r="C56" s="74" t="str">
        <x:v>YIN</x:v>
      </x:c>
      <x:c r="D56" s="215" t="n">
        <x:v>50</x:v>
      </x:c>
      <x:c r="E56" s="74" t="str">
        <x:v>V1.0</x:v>
      </x:c>
      <x:c r="F56" s="68" t="str">
        <x:v>印星过旺可能压制食伤并造成输出不足</x:v>
      </x:c>
      <x:c r="G56" s="82" t="str">
        <x:v>结构层</x:v>
      </x:c>
      <x:c r="H56" s="82" t="str">
        <x:v>偏印</x:v>
      </x:c>
      <x:c r="I56" s="82" t="str">
        <x:v>待定</x:v>
      </x:c>
      <x:c r="J56" s="82" t="str">
        <x:v>待定</x:v>
      </x:c>
      <x:c r="K56" s="82" t="str">
        <x:v>待定</x:v>
      </x:c>
      <x:c r="L56" s="82" t="str">
        <x:v>待定</x:v>
      </x:c>
      <x:c r="M56" s="68" t="str">
        <x:v>按M08核查</x:v>
      </x:c>
      <x:c r="N56" s="68" t="str">
        <x:v>按M06/M08核查</x:v>
      </x:c>
      <x:c r="O56" s="82" t="str">
        <x:v>过度</x:v>
      </x:c>
      <x:c r="P56" s="68" t="str">
        <x:v>转M11/M14判断</x:v>
      </x:c>
      <x:c r="Q56" s="68" t="str">
        <x:v>生身过度并压制输出通道</x:v>
      </x:c>
      <x:c r="R56" s="82" t="str">
        <x:v>条件性忌神</x:v>
      </x:c>
      <x:c r="S56" s="68" t="str">
        <x:v>偏印旺或极旺，食伤偏弱且受其实际克制</x:v>
      </x:c>
      <x:c r="T56" s="68" t="str">
        <x:v>M02十神映射、M08五行有效旺衰、M09日主旺衰已完成</x:v>
      </x:c>
      <x:c r="U56" s="68" t="str">
        <x:v>相关十神已由M02正确映射，并以M08有效力量为准</x:v>
      </x:c>
      <x:c r="V56" s="68" t="str">
        <x:v>得令、有根、透干、同党或生源形成独立有效证据</x:v>
      </x:c>
      <x:c r="W56" s="68" t="str">
        <x:v>失令、无根、被合绊、被制、改性或作用路径受阻</x:v>
      </x:c>
      <x:c r="X56" s="90" t="str">
        <x:v>不得以十神名称、数量或单一旺弱证据直接完成定性</x:v>
      </x:c>
      <x:c r="Y56" s="68" t="str">
        <x:v>特殊格局、从化候选及明确组合转M11/M14另审</x:v>
      </x:c>
      <x:c r="Z56" s="68" t="str">
        <x:v>不得直接推出吉凶、具体事件、亲属结果或最终喜忌</x:v>
      </x:c>
      <x:c r="AA56" s="84" t="str">
        <x:v>印旺制食过度</x:v>
      </x:c>
      <x:c r="AB56" s="84" t="str">
        <x:v>印星过旺可能压制食伤并造成输出不足：当“偏印旺或极旺，食伤偏弱且受其实际克制”成立时，按本规则记录十神的有效功能；同时保留制化、承载和反向证据。</x:v>
      </x:c>
      <x:c r="AC56" s="82" t="str">
        <x:v>较高</x:v>
      </x:c>
      <x:c r="AD56" s="82" t="str">
        <x:v>现代综合</x:v>
      </x:c>
      <x:c r="AE56" s="68" t="str">
        <x:v>十神必须分开判断存在性、力量、清纯度、功能性与喜忌性；M10只形成结构层结论和候选，不越级替代M11—M18。</x:v>
      </x:c>
      <x:c r="AF56" s="68" t="str">
        <x:v>相关条件真实成立，且增强条件有效时，可按“印星过旺可能压制食伤并造成输出不足”记录对应功能。</x:v>
      </x:c>
      <x:c r="AG56" s="90" t="str">
        <x:v>仅见表面十神名称或数量，但“不得以十神名称、数量或单一旺弱证据直接完成定性”所述限制存在时，不得套用本规则。</x:v>
      </x:c>
      <x:c r="AH56" s="68" t="str">
        <x:v>https://zh.wikisource.org/wiki/%E6%B8%8A%E6%B5%B7%E5%AD%90%E5%B9%B3%E5%A4%A7%E5%85%A8 ; https://zh.wikisource.org/wiki/%E6%BB%B4%E5%A4%A9%E9%AB%93%E9%97%A1%E5%BE%AE</x:v>
      </x:c>
      <x:c r="AI56" s="82" t="str">
        <x:v>采用</x:v>
      </x:c>
      <x:c r="AJ56" s="82" t="str">
        <x:v>初审</x:v>
      </x:c>
      <x:c r="AK56" s="87" t="n">
        <x:v>46255</x:v>
      </x:c>
    </x:row>
    <x:row r="57">
      <x:c r="A57" s="72" t="str">
        <x:f>IF(OR(C57="",D57=""),"",B57&amp;"-"&amp;UPPER(C57)&amp;"-"&amp;TEXT(D57,"0000")&amp;"-"&amp;E57)</x:f>
        <x:v>M10-YIN-0051-V1.0</x:v>
      </x:c>
      <x:c r="B57" s="74" t="str">
        <x:v>M10</x:v>
      </x:c>
      <x:c r="C57" s="74" t="str">
        <x:v>YIN</x:v>
      </x:c>
      <x:c r="D57" s="215" t="n">
        <x:v>51</x:v>
      </x:c>
      <x:c r="E57" s="74" t="str">
        <x:v>V1.0</x:v>
      </x:c>
      <x:c r="F57" s="68" t="str">
        <x:v>印星与比劫连续生扶时扶身效果增强</x:v>
      </x:c>
      <x:c r="G57" s="82" t="str">
        <x:v>结构层</x:v>
      </x:c>
      <x:c r="H57" s="82" t="str">
        <x:v>正印</x:v>
      </x:c>
      <x:c r="I57" s="82" t="str">
        <x:v>待定</x:v>
      </x:c>
      <x:c r="J57" s="82" t="str">
        <x:v>待定</x:v>
      </x:c>
      <x:c r="K57" s="82" t="str">
        <x:v>待定</x:v>
      </x:c>
      <x:c r="L57" s="82" t="str">
        <x:v>待定</x:v>
      </x:c>
      <x:c r="M57" s="68" t="str">
        <x:v>印比连续扶身</x:v>
      </x:c>
      <x:c r="N57" s="68" t="str">
        <x:v>按M06/M08核查</x:v>
      </x:c>
      <x:c r="O57" s="82" t="str">
        <x:v>待定</x:v>
      </x:c>
      <x:c r="P57" s="68" t="str">
        <x:v>转M11/M14判断</x:v>
      </x:c>
      <x:c r="Q57" s="68" t="str">
        <x:v>提高扶身侧净优势</x:v>
      </x:c>
      <x:c r="R57" s="82" t="str">
        <x:v>待定</x:v>
      </x:c>
      <x:c r="S57" s="68" t="str">
        <x:v>有效印星生日主且比劫继续提供同类承载</x:v>
      </x:c>
      <x:c r="T57" s="68" t="str">
        <x:v>M02十神映射、M08五行有效旺衰、M09日主旺衰已完成</x:v>
      </x:c>
      <x:c r="U57" s="68" t="str">
        <x:v>相关十神已由M02正确映射，并以M08有效力量为准</x:v>
      </x:c>
      <x:c r="V57" s="68" t="str">
        <x:v>得令、有根、透干、同党或生源形成独立有效证据</x:v>
      </x:c>
      <x:c r="W57" s="68" t="str">
        <x:v>失令、无根、被合绊、被制、改性或作用路径受阻</x:v>
      </x:c>
      <x:c r="X57" s="90" t="str">
        <x:v>不得以十神名称、数量或单一旺弱证据直接完成定性</x:v>
      </x:c>
      <x:c r="Y57" s="68" t="str">
        <x:v>特殊格局、从化候选及明确组合转M11/M14另审</x:v>
      </x:c>
      <x:c r="Z57" s="68" t="str">
        <x:v>不得直接推出吉凶、具体事件、亲属结果或最终喜忌</x:v>
      </x:c>
      <x:c r="AA57" s="84" t="str">
        <x:v>印比协同扶身</x:v>
      </x:c>
      <x:c r="AB57" s="84" t="str">
        <x:v>印星与比劫连续生扶时扶身效果增强：当“有效印星生日主且比劫继续提供同类承载”成立时，按本规则记录十神的有效功能；同时保留制化、承载和反向证据。</x:v>
      </x:c>
      <x:c r="AC57" s="82" t="str">
        <x:v>较高</x:v>
      </x:c>
      <x:c r="AD57" s="82" t="str">
        <x:v>现代综合</x:v>
      </x:c>
      <x:c r="AE57" s="68" t="str">
        <x:v>十神必须分开判断存在性、力量、清纯度、功能性与喜忌性；M10只形成结构层结论和候选，不越级替代M11—M18。</x:v>
      </x:c>
      <x:c r="AF57" s="68" t="str">
        <x:v>相关条件真实成立，且增强条件有效时，可按“印星与比劫连续生扶时扶身效果增强”记录对应功能。</x:v>
      </x:c>
      <x:c r="AG57" s="90" t="str">
        <x:v>仅见表面十神名称或数量，但“不得以十神名称、数量或单一旺弱证据直接完成定性”所述限制存在时，不得套用本规则。</x:v>
      </x:c>
      <x:c r="AH57" s="68" t="str">
        <x:v>https://zh.wikisource.org/wiki/%E6%B8%8A%E6%B5%B7%E5%AD%90%E5%B9%B3%E5%A4%A7%E5%85%A8 ; https://zh.wikisource.org/wiki/%E6%BB%B4%E5%A4%A9%E9%AB%93%E9%97%A1%E5%BE%AE</x:v>
      </x:c>
      <x:c r="AI57" s="82" t="str">
        <x:v>采用</x:v>
      </x:c>
      <x:c r="AJ57" s="82" t="str">
        <x:v>初审</x:v>
      </x:c>
      <x:c r="AK57" s="87" t="n">
        <x:v>46255</x:v>
      </x:c>
    </x:row>
    <x:row r="58">
      <x:c r="A58" s="72" t="str">
        <x:f>IF(OR(C58="",D58=""),"",B58&amp;"-"&amp;UPPER(C58)&amp;"-"&amp;TEXT(D58,"0000")&amp;"-"&amp;E58)</x:f>
        <x:v>M10-YIN-0052-V1.0</x:v>
      </x:c>
      <x:c r="B58" s="74" t="str">
        <x:v>M10</x:v>
      </x:c>
      <x:c r="C58" s="74" t="str">
        <x:v>YIN</x:v>
      </x:c>
      <x:c r="D58" s="215" t="n">
        <x:v>52</x:v>
      </x:c>
      <x:c r="E58" s="74" t="str">
        <x:v>V1.0</x:v>
      </x:c>
      <x:c r="F58" s="68" t="str">
        <x:v>偏印是否为忌须同时判断食神价值与日主需要</x:v>
      </x:c>
      <x:c r="G58" s="82" t="str">
        <x:v>结构层</x:v>
      </x:c>
      <x:c r="H58" s="82" t="str">
        <x:v>偏印</x:v>
      </x:c>
      <x:c r="I58" s="82" t="str">
        <x:v>待定</x:v>
      </x:c>
      <x:c r="J58" s="82" t="str">
        <x:v>待定</x:v>
      </x:c>
      <x:c r="K58" s="82" t="str">
        <x:v>待定</x:v>
      </x:c>
      <x:c r="L58" s="82" t="str">
        <x:v>待定</x:v>
      </x:c>
      <x:c r="M58" s="68" t="str">
        <x:v>按M08核查</x:v>
      </x:c>
      <x:c r="N58" s="68" t="str">
        <x:v>按M06/M08核查</x:v>
      </x:c>
      <x:c r="O58" s="82" t="str">
        <x:v>待定</x:v>
      </x:c>
      <x:c r="P58" s="68" t="str">
        <x:v>转M11/M14判断</x:v>
      </x:c>
      <x:c r="Q58" s="68" t="str">
        <x:v>需结合M09日主承载判断</x:v>
      </x:c>
      <x:c r="R58" s="82" t="str">
        <x:v>待定</x:v>
      </x:c>
      <x:c r="S58" s="68" t="str">
        <x:v>偏印与食神同现，需要判断日主是否需要印、食神是否承担关键功能</x:v>
      </x:c>
      <x:c r="T58" s="68" t="str">
        <x:v>M02十神映射、M08五行有效旺衰、M09日主旺衰已完成</x:v>
      </x:c>
      <x:c r="U58" s="68" t="str">
        <x:v>相关十神已由M02正确映射，并以M08有效力量为准</x:v>
      </x:c>
      <x:c r="V58" s="68" t="str">
        <x:v>得令、有根、透干、同党或生源形成独立有效证据</x:v>
      </x:c>
      <x:c r="W58" s="68" t="str">
        <x:v>失令、无根、被合绊、被制、改性或作用路径受阻</x:v>
      </x:c>
      <x:c r="X58" s="90" t="str">
        <x:v>不得以十神名称、数量或单一旺弱证据直接完成定性</x:v>
      </x:c>
      <x:c r="Y58" s="68" t="str">
        <x:v>特殊格局、从化候选及明确组合转M11/M14另审</x:v>
      </x:c>
      <x:c r="Z58" s="68" t="str">
        <x:v>不得见偏印就直接定枭神夺食或凶</x:v>
      </x:c>
      <x:c r="AA58" s="84" t="str">
        <x:v>偏印价值条件化</x:v>
      </x:c>
      <x:c r="AB58" s="84" t="str">
        <x:v>偏印是否为忌须同时判断食神价值与日主需要：当“偏印与食神同现，需要判断日主是否需要印、食神是否承担关键功能”成立时，按本规则记录十神的有效功能；同时保留制化、承载和反向证据。</x:v>
      </x:c>
      <x:c r="AC58" s="82" t="str">
        <x:v>较高</x:v>
      </x:c>
      <x:c r="AD58" s="82" t="str">
        <x:v>现代综合</x:v>
      </x:c>
      <x:c r="AE58" s="68" t="str">
        <x:v>十神必须分开判断存在性、力量、清纯度、功能性与喜忌性；M10只形成结构层结论和候选，不越级替代M11—M18。</x:v>
      </x:c>
      <x:c r="AF58" s="68" t="str">
        <x:v>相关条件真实成立，且增强条件有效时，可按“偏印是否为忌须同时判断食神价值与日主需要”记录对应功能。</x:v>
      </x:c>
      <x:c r="AG58" s="90" t="str">
        <x:v>仅见表面十神名称或数量，但“不得以十神名称、数量或单一旺弱证据直接完成定性”所述限制存在时，不得套用本规则。</x:v>
      </x:c>
      <x:c r="AH58" s="68" t="str">
        <x:v>https://zh.wikisource.org/wiki/%E6%B8%8A%E6%B5%B7%E5%AD%90%E5%B9%B3%E5%A4%A7%E5%85%A8 ; https://zh.wikisource.org/wiki/%E6%BB%B4%E5%A4%A9%E9%AB%93%E9%97%A1%E5%BE%AE</x:v>
      </x:c>
      <x:c r="AI58" s="82" t="str">
        <x:v>采用</x:v>
      </x:c>
      <x:c r="AJ58" s="82" t="str">
        <x:v>初审</x:v>
      </x:c>
      <x:c r="AK58" s="87" t="n">
        <x:v>46255</x:v>
      </x:c>
    </x:row>
    <x:row r="59">
      <x:c r="A59" s="72" t="str">
        <x:f>IF(OR(C59="",D59=""),"",B59&amp;"-"&amp;UPPER(C59)&amp;"-"&amp;TEXT(D59,"0000")&amp;"-"&amp;E59)</x:f>
        <x:v>M10-SHISHANG-0053-V1.0</x:v>
      </x:c>
      <x:c r="B59" s="74" t="str">
        <x:v>M10</x:v>
      </x:c>
      <x:c r="C59" s="74" t="str">
        <x:v>SHISHANG</x:v>
      </x:c>
      <x:c r="D59" s="215" t="n">
        <x:v>53</x:v>
      </x:c>
      <x:c r="E59" s="74" t="str">
        <x:v>V1.0</x:v>
      </x:c>
      <x:c r="F59" s="68" t="str">
        <x:v>有效食神首先承担泄身输出功能</x:v>
      </x:c>
      <x:c r="G59" s="82" t="str">
        <x:v>结构层</x:v>
      </x:c>
      <x:c r="H59" s="82" t="str">
        <x:v>食神</x:v>
      </x:c>
      <x:c r="I59" s="82" t="str">
        <x:v>待定</x:v>
      </x:c>
      <x:c r="J59" s="82" t="str">
        <x:v>待定</x:v>
      </x:c>
      <x:c r="K59" s="82" t="str">
        <x:v>待定</x:v>
      </x:c>
      <x:c r="L59" s="82" t="str">
        <x:v>待定</x:v>
      </x:c>
      <x:c r="M59" s="68" t="str">
        <x:v>按M08核查</x:v>
      </x:c>
      <x:c r="N59" s="68" t="str">
        <x:v>按M06/M08核查</x:v>
      </x:c>
      <x:c r="O59" s="82" t="str">
        <x:v>正常发挥</x:v>
      </x:c>
      <x:c r="P59" s="68" t="str">
        <x:v>转M11/M14判断</x:v>
      </x:c>
      <x:c r="Q59" s="68" t="str">
        <x:v>泄日主之气并形成输出通道</x:v>
      </x:c>
      <x:c r="R59" s="82" t="str">
        <x:v>待定</x:v>
      </x:c>
      <x:c r="S59" s="68" t="str">
        <x:v>食神有效存在且日主有力量可泄</x:v>
      </x:c>
      <x:c r="T59" s="68" t="str">
        <x:v>M02十神映射、M08五行有效旺衰、M09日主旺衰已完成</x:v>
      </x:c>
      <x:c r="U59" s="68" t="str">
        <x:v>相关十神已由M02正确映射，并以M08有效力量为准</x:v>
      </x:c>
      <x:c r="V59" s="68" t="str">
        <x:v>得令、有根、透干、同党或生源形成独立有效证据</x:v>
      </x:c>
      <x:c r="W59" s="68" t="str">
        <x:v>失令、无根、被合绊、被制、改性或作用路径受阻</x:v>
      </x:c>
      <x:c r="X59" s="90" t="str">
        <x:v>不得以十神名称、数量或单一旺弱证据直接完成定性</x:v>
      </x:c>
      <x:c r="Y59" s="68" t="str">
        <x:v>特殊格局、从化候选及明确组合转M11/M14另审</x:v>
      </x:c>
      <x:c r="Z59" s="68" t="str">
        <x:v>不得直接推出吉凶、具体事件、亲属结果或最终喜忌</x:v>
      </x:c>
      <x:c r="AA59" s="84" t="str">
        <x:v>食神泄身</x:v>
      </x:c>
      <x:c r="AB59" s="84" t="str">
        <x:v>有效食神首先承担泄身输出功能：当“食神有效存在且日主有力量可泄”成立时，按本规则记录十神的有效功能；同时保留制化、承载和反向证据。</x:v>
      </x:c>
      <x:c r="AC59" s="82" t="str">
        <x:v>较高</x:v>
      </x:c>
      <x:c r="AD59" s="82" t="str">
        <x:v>现代综合</x:v>
      </x:c>
      <x:c r="AE59" s="68" t="str">
        <x:v>十神必须分开判断存在性、力量、清纯度、功能性与喜忌性；M10只形成结构层结论和候选，不越级替代M11—M18。</x:v>
      </x:c>
      <x:c r="AF59" s="68" t="str">
        <x:v>相关条件真实成立，且增强条件有效时，可按“有效食神首先承担泄身输出功能”记录对应功能。</x:v>
      </x:c>
      <x:c r="AG59" s="90" t="str">
        <x:v>仅见表面十神名称或数量，但“不得以十神名称、数量或单一旺弱证据直接完成定性”所述限制存在时，不得套用本规则。</x:v>
      </x:c>
      <x:c r="AH59" s="68" t="str">
        <x:v>https://zh.wikisource.org/wiki/%E6%B8%8A%E6%B5%B7%E5%AD%90%E5%B9%B3%E5%A4%A7%E5%85%A8 ; https://zh.wikisource.org/wiki/%E6%BB%B4%E5%A4%A9%E9%AB%93%E9%97%A1%E5%BE%AE</x:v>
      </x:c>
      <x:c r="AI59" s="82" t="str">
        <x:v>采用</x:v>
      </x:c>
      <x:c r="AJ59" s="82" t="str">
        <x:v>初审</x:v>
      </x:c>
      <x:c r="AK59" s="87" t="n">
        <x:v>46255</x:v>
      </x:c>
    </x:row>
    <x:row r="60">
      <x:c r="A60" s="72" t="str">
        <x:f>IF(OR(C60="",D60=""),"",B60&amp;"-"&amp;UPPER(C60)&amp;"-"&amp;TEXT(D60,"0000")&amp;"-"&amp;E60)</x:f>
        <x:v>M10-SHISHANG-0054-V1.0</x:v>
      </x:c>
      <x:c r="B60" s="74" t="str">
        <x:v>M10</x:v>
      </x:c>
      <x:c r="C60" s="74" t="str">
        <x:v>SHISHANG</x:v>
      </x:c>
      <x:c r="D60" s="215" t="n">
        <x:v>54</x:v>
      </x:c>
      <x:c r="E60" s="74" t="str">
        <x:v>V1.0</x:v>
      </x:c>
      <x:c r="F60" s="68" t="str">
        <x:v>有效伤官同样承担泄身且具有克官接口</x:v>
      </x:c>
      <x:c r="G60" s="82" t="str">
        <x:v>结构层</x:v>
      </x:c>
      <x:c r="H60" s="82" t="str">
        <x:v>伤官</x:v>
      </x:c>
      <x:c r="I60" s="82" t="str">
        <x:v>待定</x:v>
      </x:c>
      <x:c r="J60" s="82" t="str">
        <x:v>待定</x:v>
      </x:c>
      <x:c r="K60" s="82" t="str">
        <x:v>待定</x:v>
      </x:c>
      <x:c r="L60" s="82" t="str">
        <x:v>待定</x:v>
      </x:c>
      <x:c r="M60" s="68" t="str">
        <x:v>按M08核查</x:v>
      </x:c>
      <x:c r="N60" s="68" t="str">
        <x:v>按M06/M08核查</x:v>
      </x:c>
      <x:c r="O60" s="82" t="str">
        <x:v>正常发挥</x:v>
      </x:c>
      <x:c r="P60" s="68" t="str">
        <x:v>转M11/M14判断</x:v>
      </x:c>
      <x:c r="Q60" s="68" t="str">
        <x:v>泄身，并可能对正官形成克制</x:v>
      </x:c>
      <x:c r="R60" s="82" t="str">
        <x:v>待定</x:v>
      </x:c>
      <x:c r="S60" s="68" t="str">
        <x:v>伤官有效存在</x:v>
      </x:c>
      <x:c r="T60" s="68" t="str">
        <x:v>M02十神映射、M08五行有效旺衰、M09日主旺衰已完成</x:v>
      </x:c>
      <x:c r="U60" s="68" t="str">
        <x:v>相关十神已由M02正确映射，并以M08有效力量为准</x:v>
      </x:c>
      <x:c r="V60" s="68" t="str">
        <x:v>得令、有根、透干、同党或生源形成独立有效证据</x:v>
      </x:c>
      <x:c r="W60" s="68" t="str">
        <x:v>失令、无根、被合绊、被制、改性或作用路径受阻</x:v>
      </x:c>
      <x:c r="X60" s="90" t="str">
        <x:v>不得以十神名称、数量或单一旺弱证据直接完成定性</x:v>
      </x:c>
      <x:c r="Y60" s="68" t="str">
        <x:v>特殊格局、从化候选及明确组合转M11/M14另审</x:v>
      </x:c>
      <x:c r="Z60" s="68" t="str">
        <x:v>不得直接推出吉凶、具体事件、亲属结果或最终喜忌</x:v>
      </x:c>
      <x:c r="AA60" s="84" t="str">
        <x:v>伤官双向功能</x:v>
      </x:c>
      <x:c r="AB60" s="84" t="str">
        <x:v>有效伤官同样承担泄身且具有克官接口：当“伤官有效存在”成立时，按本规则记录十神的有效功能；同时保留制化、承载和反向证据。</x:v>
      </x:c>
      <x:c r="AC60" s="82" t="str">
        <x:v>较高</x:v>
      </x:c>
      <x:c r="AD60" s="82" t="str">
        <x:v>现代综合</x:v>
      </x:c>
      <x:c r="AE60" s="68" t="str">
        <x:v>十神必须分开判断存在性、力量、清纯度、功能性与喜忌性；M10只形成结构层结论和候选，不越级替代M11—M18。</x:v>
      </x:c>
      <x:c r="AF60" s="68" t="str">
        <x:v>相关条件真实成立，且增强条件有效时，可按“有效伤官同样承担泄身且具有克官接口”记录对应功能。</x:v>
      </x:c>
      <x:c r="AG60" s="90" t="str">
        <x:v>仅见表面十神名称或数量，但“不得以十神名称、数量或单一旺弱证据直接完成定性”所述限制存在时，不得套用本规则。</x:v>
      </x:c>
      <x:c r="AH60" s="68" t="str">
        <x:v>https://zh.wikisource.org/wiki/%E6%B8%8A%E6%B5%B7%E5%AD%90%E5%B9%B3%E5%A4%A7%E5%85%A8 ; https://zh.wikisource.org/wiki/%E6%BB%B4%E5%A4%A9%E9%AB%93%E9%97%A1%E5%BE%AE</x:v>
      </x:c>
      <x:c r="AI60" s="82" t="str">
        <x:v>采用</x:v>
      </x:c>
      <x:c r="AJ60" s="82" t="str">
        <x:v>初审</x:v>
      </x:c>
      <x:c r="AK60" s="87" t="n">
        <x:v>46255</x:v>
      </x:c>
    </x:row>
    <x:row r="61">
      <x:c r="A61" s="72" t="str">
        <x:f>IF(OR(C61="",D61=""),"",B61&amp;"-"&amp;UPPER(C61)&amp;"-"&amp;TEXT(D61,"0000")&amp;"-"&amp;E61)</x:f>
        <x:v>M10-SHISHANG-0055-V1.0</x:v>
      </x:c>
      <x:c r="B61" s="74" t="str">
        <x:v>M10</x:v>
      </x:c>
      <x:c r="C61" s="74" t="str">
        <x:v>SHISHANG</x:v>
      </x:c>
      <x:c r="D61" s="215" t="n">
        <x:v>55</x:v>
      </x:c>
      <x:c r="E61" s="74" t="str">
        <x:v>V1.0</x:v>
      </x:c>
      <x:c r="F61" s="68" t="str">
        <x:v>食神可生财形成连续输出链</x:v>
      </x:c>
      <x:c r="G61" s="82" t="str">
        <x:v>结构层</x:v>
      </x:c>
      <x:c r="H61" s="82" t="str">
        <x:v>食神</x:v>
      </x:c>
      <x:c r="I61" s="82" t="str">
        <x:v>待定</x:v>
      </x:c>
      <x:c r="J61" s="82" t="str">
        <x:v>待定</x:v>
      </x:c>
      <x:c r="K61" s="82" t="str">
        <x:v>待定</x:v>
      </x:c>
      <x:c r="L61" s="82" t="str">
        <x:v>待定</x:v>
      </x:c>
      <x:c r="M61" s="68" t="str">
        <x:v>日主为食神源头，财星为其输出终点</x:v>
      </x:c>
      <x:c r="N61" s="68" t="str">
        <x:v>按M06/M08核查</x:v>
      </x:c>
      <x:c r="O61" s="82" t="str">
        <x:v>待定</x:v>
      </x:c>
      <x:c r="P61" s="68" t="str">
        <x:v>食神生财候选转M11</x:v>
      </x:c>
      <x:c r="Q61" s="68" t="str">
        <x:v>需结合M09日主承载判断</x:v>
      </x:c>
      <x:c r="R61" s="82" t="str">
        <x:v>待定</x:v>
      </x:c>
      <x:c r="S61" s="68" t="str">
        <x:v>食神有效且财星能够承接其生扶</x:v>
      </x:c>
      <x:c r="T61" s="68" t="str">
        <x:v>M02十神映射、M08五行有效旺衰、M09日主旺衰已完成</x:v>
      </x:c>
      <x:c r="U61" s="68" t="str">
        <x:v>相关十神已由M02正确映射，并以M08有效力量为准</x:v>
      </x:c>
      <x:c r="V61" s="68" t="str">
        <x:v>得令、有根、透干、同党或生源形成独立有效证据</x:v>
      </x:c>
      <x:c r="W61" s="68" t="str">
        <x:v>失令、无根、被合绊、被制、改性或作用路径受阻</x:v>
      </x:c>
      <x:c r="X61" s="90" t="str">
        <x:v>不得以十神名称、数量或单一旺弱证据直接完成定性</x:v>
      </x:c>
      <x:c r="Y61" s="68" t="str">
        <x:v>特殊格局、从化候选及明确组合转M11/M14另审</x:v>
      </x:c>
      <x:c r="Z61" s="68" t="str">
        <x:v>不得直接推出吉凶、具体事件、亲属结果或最终喜忌</x:v>
      </x:c>
      <x:c r="AA61" s="84" t="str">
        <x:v>食神生财接口</x:v>
      </x:c>
      <x:c r="AB61" s="84" t="str">
        <x:v>食神可生财形成连续输出链：当“食神有效且财星能够承接其生扶”成立时，按本规则记录十神的有效功能；同时保留制化、承载和反向证据。</x:v>
      </x:c>
      <x:c r="AC61" s="82" t="str">
        <x:v>较高</x:v>
      </x:c>
      <x:c r="AD61" s="82" t="str">
        <x:v>现代综合</x:v>
      </x:c>
      <x:c r="AE61" s="68" t="str">
        <x:v>十神必须分开判断存在性、力量、清纯度、功能性与喜忌性；M10只形成结构层结论和候选，不越级替代M11—M18。</x:v>
      </x:c>
      <x:c r="AF61" s="68" t="str">
        <x:v>相关条件真实成立，且增强条件有效时，可按“食神可生财形成连续输出链”记录对应功能。</x:v>
      </x:c>
      <x:c r="AG61" s="90" t="str">
        <x:v>仅见表面十神名称或数量，但“不得以十神名称、数量或单一旺弱证据直接完成定性”所述限制存在时，不得套用本规则。</x:v>
      </x:c>
      <x:c r="AH61" s="68" t="str">
        <x:v>https://zh.wikisource.org/wiki/%E6%B8%8A%E6%B5%B7%E5%AD%90%E5%B9%B3%E5%A4%A7%E5%85%A8 ; https://zh.wikisource.org/wiki/%E6%BB%B4%E5%A4%A9%E9%AB%93%E9%97%A1%E5%BE%AE</x:v>
      </x:c>
      <x:c r="AI61" s="82" t="str">
        <x:v>采用</x:v>
      </x:c>
      <x:c r="AJ61" s="82" t="str">
        <x:v>初审</x:v>
      </x:c>
      <x:c r="AK61" s="87" t="n">
        <x:v>46255</x:v>
      </x:c>
    </x:row>
    <x:row r="62">
      <x:c r="A62" s="72" t="str">
        <x:f>IF(OR(C62="",D62=""),"",B62&amp;"-"&amp;UPPER(C62)&amp;"-"&amp;TEXT(D62,"0000")&amp;"-"&amp;E62)</x:f>
        <x:v>M10-SHISHANG-0056-V1.0</x:v>
      </x:c>
      <x:c r="B62" s="74" t="str">
        <x:v>M10</x:v>
      </x:c>
      <x:c r="C62" s="74" t="str">
        <x:v>SHISHANG</x:v>
      </x:c>
      <x:c r="D62" s="215" t="n">
        <x:v>56</x:v>
      </x:c>
      <x:c r="E62" s="74" t="str">
        <x:v>V1.0</x:v>
      </x:c>
      <x:c r="F62" s="68" t="str">
        <x:v>伤官生财须财星有效承接才成立</x:v>
      </x:c>
      <x:c r="G62" s="82" t="str">
        <x:v>结构层</x:v>
      </x:c>
      <x:c r="H62" s="82" t="str">
        <x:v>伤官</x:v>
      </x:c>
      <x:c r="I62" s="82" t="str">
        <x:v>待定</x:v>
      </x:c>
      <x:c r="J62" s="82" t="str">
        <x:v>待定</x:v>
      </x:c>
      <x:c r="K62" s="82" t="str">
        <x:v>待定</x:v>
      </x:c>
      <x:c r="L62" s="82" t="str">
        <x:v>待定</x:v>
      </x:c>
      <x:c r="M62" s="68" t="str">
        <x:v>按M08核查</x:v>
      </x:c>
      <x:c r="N62" s="68" t="str">
        <x:v>按M06/M08核查</x:v>
      </x:c>
      <x:c r="O62" s="82" t="str">
        <x:v>待定</x:v>
      </x:c>
      <x:c r="P62" s="68" t="str">
        <x:v>伤官生财候选转M11</x:v>
      </x:c>
      <x:c r="Q62" s="68" t="str">
        <x:v>需结合M09日主承载判断</x:v>
      </x:c>
      <x:c r="R62" s="82" t="str">
        <x:v>待定</x:v>
      </x:c>
      <x:c r="S62" s="68" t="str">
        <x:v>伤官有效，财星存在且生扶通路连续</x:v>
      </x:c>
      <x:c r="T62" s="68" t="str">
        <x:v>M02十神映射、M08五行有效旺衰、M09日主旺衰已完成</x:v>
      </x:c>
      <x:c r="U62" s="68" t="str">
        <x:v>相关十神已由M02正确映射，并以M08有效力量为准</x:v>
      </x:c>
      <x:c r="V62" s="68" t="str">
        <x:v>得令、有根、透干、同党或生源形成独立有效证据</x:v>
      </x:c>
      <x:c r="W62" s="68" t="str">
        <x:v>失令、无根、被合绊、被制、改性或作用路径受阻</x:v>
      </x:c>
      <x:c r="X62" s="90" t="str">
        <x:v>不得以十神名称、数量或单一旺弱证据直接完成定性</x:v>
      </x:c>
      <x:c r="Y62" s="68" t="str">
        <x:v>特殊格局、从化候选及明确组合转M11/M14另审</x:v>
      </x:c>
      <x:c r="Z62" s="68" t="str">
        <x:v>不得直接推出吉凶、具体事件、亲属结果或最终喜忌</x:v>
      </x:c>
      <x:c r="AA62" s="84" t="str">
        <x:v>伤官生财接口</x:v>
      </x:c>
      <x:c r="AB62" s="84" t="str">
        <x:v>伤官生财须财星有效承接才成立：当“伤官有效，财星存在且生扶通路连续”成立时，按本规则记录十神的有效功能；同时保留制化、承载和反向证据。</x:v>
      </x:c>
      <x:c r="AC62" s="82" t="str">
        <x:v>较高</x:v>
      </x:c>
      <x:c r="AD62" s="82" t="str">
        <x:v>现代综合</x:v>
      </x:c>
      <x:c r="AE62" s="68" t="str">
        <x:v>十神必须分开判断存在性、力量、清纯度、功能性与喜忌性；M10只形成结构层结论和候选，不越级替代M11—M18。</x:v>
      </x:c>
      <x:c r="AF62" s="68" t="str">
        <x:v>相关条件真实成立，且增强条件有效时，可按“伤官生财须财星有效承接才成立”记录对应功能。</x:v>
      </x:c>
      <x:c r="AG62" s="90" t="str">
        <x:v>仅见表面十神名称或数量，但“不得以十神名称、数量或单一旺弱证据直接完成定性”所述限制存在时，不得套用本规则。</x:v>
      </x:c>
      <x:c r="AH62" s="68" t="str">
        <x:v>https://zh.wikisource.org/wiki/%E6%B8%8A%E6%B5%B7%E5%AD%90%E5%B9%B3%E5%A4%A7%E5%85%A8 ; https://zh.wikisource.org/wiki/%E6%BB%B4%E5%A4%A9%E9%AB%93%E9%97%A1%E5%BE%AE</x:v>
      </x:c>
      <x:c r="AI62" s="82" t="str">
        <x:v>采用</x:v>
      </x:c>
      <x:c r="AJ62" s="82" t="str">
        <x:v>初审</x:v>
      </x:c>
      <x:c r="AK62" s="87" t="n">
        <x:v>46255</x:v>
      </x:c>
    </x:row>
    <x:row r="63">
      <x:c r="A63" s="72" t="str">
        <x:f>IF(OR(C63="",D63=""),"",B63&amp;"-"&amp;UPPER(C63)&amp;"-"&amp;TEXT(D63,"0000")&amp;"-"&amp;E63)</x:f>
        <x:v>M10-SHISHANG-0057-V1.0</x:v>
      </x:c>
      <x:c r="B63" s="74" t="str">
        <x:v>M10</x:v>
      </x:c>
      <x:c r="C63" s="74" t="str">
        <x:v>SHISHANG</x:v>
      </x:c>
      <x:c r="D63" s="215" t="n">
        <x:v>57</x:v>
      </x:c>
      <x:c r="E63" s="74" t="str">
        <x:v>V1.0</x:v>
      </x:c>
      <x:c r="F63" s="68" t="str">
        <x:v>食神制杀须双方均有效且形成直接制约</x:v>
      </x:c>
      <x:c r="G63" s="82" t="str">
        <x:v>结构层</x:v>
      </x:c>
      <x:c r="H63" s="82" t="str">
        <x:v>食神</x:v>
      </x:c>
      <x:c r="I63" s="82" t="str">
        <x:v>待定</x:v>
      </x:c>
      <x:c r="J63" s="82" t="str">
        <x:v>待定</x:v>
      </x:c>
      <x:c r="K63" s="82" t="str">
        <x:v>待定</x:v>
      </x:c>
      <x:c r="L63" s="82" t="str">
        <x:v>待定</x:v>
      </x:c>
      <x:c r="M63" s="68" t="str">
        <x:v>按M08核查</x:v>
      </x:c>
      <x:c r="N63" s="68" t="str">
        <x:v>对七杀形成有效克制</x:v>
      </x:c>
      <x:c r="O63" s="82" t="str">
        <x:v>待定</x:v>
      </x:c>
      <x:c r="P63" s="68" t="str">
        <x:v>食神制杀候选转M11</x:v>
      </x:c>
      <x:c r="Q63" s="68" t="str">
        <x:v>需结合M09日主承载判断</x:v>
      </x:c>
      <x:c r="R63" s="82" t="str">
        <x:v>待定</x:v>
      </x:c>
      <x:c r="S63" s="68" t="str">
        <x:v>食神与七杀均有效，克制路径真实成立</x:v>
      </x:c>
      <x:c r="T63" s="68" t="str">
        <x:v>M02十神映射、M08五行有效旺衰、M09日主旺衰已完成</x:v>
      </x:c>
      <x:c r="U63" s="68" t="str">
        <x:v>相关十神已由M02正确映射，并以M08有效力量为准</x:v>
      </x:c>
      <x:c r="V63" s="68" t="str">
        <x:v>得令、有根、透干、同党或生源形成独立有效证据</x:v>
      </x:c>
      <x:c r="W63" s="68" t="str">
        <x:v>失令、无根、被合绊、被制、改性或作用路径受阻</x:v>
      </x:c>
      <x:c r="X63" s="90" t="str">
        <x:v>不得以十神名称、数量或单一旺弱证据直接完成定性</x:v>
      </x:c>
      <x:c r="Y63" s="68" t="str">
        <x:v>特殊格局、从化候选及明确组合转M11/M14另审</x:v>
      </x:c>
      <x:c r="Z63" s="68" t="str">
        <x:v>不得直接推出吉凶、具体事件、亲属结果或最终喜忌</x:v>
      </x:c>
      <x:c r="AA63" s="84" t="str">
        <x:v>食神制杀接口</x:v>
      </x:c>
      <x:c r="AB63" s="84" t="str">
        <x:v>食神制杀须双方均有效且形成直接制约：当“食神与七杀均有效，克制路径真实成立”成立时，按本规则记录十神的有效功能；同时保留制化、承载和反向证据。</x:v>
      </x:c>
      <x:c r="AC63" s="82" t="str">
        <x:v>较高</x:v>
      </x:c>
      <x:c r="AD63" s="82" t="str">
        <x:v>现代综合</x:v>
      </x:c>
      <x:c r="AE63" s="68" t="str">
        <x:v>十神必须分开判断存在性、力量、清纯度、功能性与喜忌性；M10只形成结构层结论和候选，不越级替代M11—M18。</x:v>
      </x:c>
      <x:c r="AF63" s="68" t="str">
        <x:v>相关条件真实成立，且增强条件有效时，可按“食神制杀须双方均有效且形成直接制约”记录对应功能。</x:v>
      </x:c>
      <x:c r="AG63" s="90" t="str">
        <x:v>仅见表面十神名称或数量，但“不得以十神名称、数量或单一旺弱证据直接完成定性”所述限制存在时，不得套用本规则。</x:v>
      </x:c>
      <x:c r="AH63" s="68" t="str">
        <x:v>https://zh.wikisource.org/wiki/%E6%B8%8A%E6%B5%B7%E5%AD%90%E5%B9%B3%E5%A4%A7%E5%85%A8 ; https://zh.wikisource.org/wiki/%E6%BB%B4%E5%A4%A9%E9%AB%93%E9%97%A1%E5%BE%AE</x:v>
      </x:c>
      <x:c r="AI63" s="82" t="str">
        <x:v>采用</x:v>
      </x:c>
      <x:c r="AJ63" s="82" t="str">
        <x:v>初审</x:v>
      </x:c>
      <x:c r="AK63" s="87" t="n">
        <x:v>46255</x:v>
      </x:c>
    </x:row>
    <x:row r="64">
      <x:c r="A64" s="72" t="str">
        <x:f>IF(OR(C64="",D64=""),"",B64&amp;"-"&amp;UPPER(C64)&amp;"-"&amp;TEXT(D64,"0000")&amp;"-"&amp;E64)</x:f>
        <x:v>M10-SHISHANG-0058-V1.0</x:v>
      </x:c>
      <x:c r="B64" s="74" t="str">
        <x:v>M10</x:v>
      </x:c>
      <x:c r="C64" s="74" t="str">
        <x:v>SHISHANG</x:v>
      </x:c>
      <x:c r="D64" s="215" t="n">
        <x:v>58</x:v>
      </x:c>
      <x:c r="E64" s="74" t="str">
        <x:v>V1.0</x:v>
      </x:c>
      <x:c r="F64" s="68" t="str">
        <x:v>伤官见官只是冲突候选不是自动凶论</x:v>
      </x:c>
      <x:c r="G64" s="82" t="str">
        <x:v>结构层</x:v>
      </x:c>
      <x:c r="H64" s="82" t="str">
        <x:v>伤官</x:v>
      </x:c>
      <x:c r="I64" s="82" t="str">
        <x:v>待定</x:v>
      </x:c>
      <x:c r="J64" s="82" t="str">
        <x:v>待定</x:v>
      </x:c>
      <x:c r="K64" s="82" t="str">
        <x:v>待定</x:v>
      </x:c>
      <x:c r="L64" s="82" t="str">
        <x:v>待定</x:v>
      </x:c>
      <x:c r="M64" s="68" t="str">
        <x:v>按M08核查</x:v>
      </x:c>
      <x:c r="N64" s="68" t="str">
        <x:v>对正官形成有效克制</x:v>
      </x:c>
      <x:c r="O64" s="82" t="str">
        <x:v>待定</x:v>
      </x:c>
      <x:c r="P64" s="68" t="str">
        <x:v>伤官见官候选转M11</x:v>
      </x:c>
      <x:c r="Q64" s="68" t="str">
        <x:v>需结合M09日主承载判断</x:v>
      </x:c>
      <x:c r="R64" s="82" t="str">
        <x:v>待定</x:v>
      </x:c>
      <x:c r="S64" s="68" t="str">
        <x:v>伤官与正官均有效且形成实质克制</x:v>
      </x:c>
      <x:c r="T64" s="68" t="str">
        <x:v>M02十神映射、M08五行有效旺衰、M09日主旺衰已完成</x:v>
      </x:c>
      <x:c r="U64" s="68" t="str">
        <x:v>相关十神已由M02正确映射，并以M08有效力量为准</x:v>
      </x:c>
      <x:c r="V64" s="68" t="str">
        <x:v>得令、有根、透干、同党或生源形成独立有效证据</x:v>
      </x:c>
      <x:c r="W64" s="68" t="str">
        <x:v>失令、无根、被合绊、被制、改性或作用路径受阻</x:v>
      </x:c>
      <x:c r="X64" s="90" t="str">
        <x:v>不得以十神名称、数量或单一旺弱证据直接完成定性</x:v>
      </x:c>
      <x:c r="Y64" s="68" t="str">
        <x:v>特殊格局、从化候选及明确组合转M11/M14另审</x:v>
      </x:c>
      <x:c r="Z64" s="68" t="str">
        <x:v>不得由伤官见官四字直接推出灾祸、婚姻或职业事件</x:v>
      </x:c>
      <x:c r="AA64" s="84" t="str">
        <x:v>伤官克官接口</x:v>
      </x:c>
      <x:c r="AB64" s="84" t="str">
        <x:v>伤官见官只是冲突候选不是自动凶论：当“伤官与正官均有效且形成实质克制”成立时，按本规则记录十神的有效功能；同时保留制化、承载和反向证据。</x:v>
      </x:c>
      <x:c r="AC64" s="82" t="str">
        <x:v>较高</x:v>
      </x:c>
      <x:c r="AD64" s="82" t="str">
        <x:v>现代综合</x:v>
      </x:c>
      <x:c r="AE64" s="68" t="str">
        <x:v>十神必须分开判断存在性、力量、清纯度、功能性与喜忌性；M10只形成结构层结论和候选，不越级替代M11—M18。</x:v>
      </x:c>
      <x:c r="AF64" s="68" t="str">
        <x:v>相关条件真实成立，且增强条件有效时，可按“伤官见官只是冲突候选不是自动凶论”记录对应功能。</x:v>
      </x:c>
      <x:c r="AG64" s="90" t="str">
        <x:v>仅见表面十神名称或数量，但“不得以十神名称、数量或单一旺弱证据直接完成定性”所述限制存在时，不得套用本规则。</x:v>
      </x:c>
      <x:c r="AH64" s="68" t="str">
        <x:v>https://zh.wikisource.org/wiki/%E6%B8%8A%E6%B5%B7%E5%AD%90%E5%B9%B3%E5%A4%A7%E5%85%A8 ; https://zh.wikisource.org/wiki/%E6%BB%B4%E5%A4%A9%E9%AB%93%E9%97%A1%E5%BE%AE</x:v>
      </x:c>
      <x:c r="AI64" s="82" t="str">
        <x:v>采用</x:v>
      </x:c>
      <x:c r="AJ64" s="82" t="str">
        <x:v>初审</x:v>
      </x:c>
      <x:c r="AK64" s="87" t="n">
        <x:v>46255</x:v>
      </x:c>
    </x:row>
    <x:row r="65">
      <x:c r="A65" s="72" t="str">
        <x:f>IF(OR(C65="",D65=""),"",B65&amp;"-"&amp;UPPER(C65)&amp;"-"&amp;TEXT(D65,"0000")&amp;"-"&amp;E65)</x:f>
        <x:v>M10-SHISHANG-0059-V1.0</x:v>
      </x:c>
      <x:c r="B65" s="74" t="str">
        <x:v>M10</x:v>
      </x:c>
      <x:c r="C65" s="74" t="str">
        <x:v>SHISHANG</x:v>
      </x:c>
      <x:c r="D65" s="215" t="n">
        <x:v>59</x:v>
      </x:c>
      <x:c r="E65" s="74" t="str">
        <x:v>V1.0</x:v>
      </x:c>
      <x:c r="F65" s="68" t="str">
        <x:v>身旺有食伤泄出可形成泄秀候选</x:v>
      </x:c>
      <x:c r="G65" s="82" t="str">
        <x:v>结构层</x:v>
      </x:c>
      <x:c r="H65" s="82" t="str">
        <x:v>食神</x:v>
      </x:c>
      <x:c r="I65" s="82" t="str">
        <x:v>待定</x:v>
      </x:c>
      <x:c r="J65" s="82" t="str">
        <x:v>待定</x:v>
      </x:c>
      <x:c r="K65" s="82" t="str">
        <x:v>待定</x:v>
      </x:c>
      <x:c r="L65" s="82" t="str">
        <x:v>待定</x:v>
      </x:c>
      <x:c r="M65" s="68" t="str">
        <x:v>按M08核查</x:v>
      </x:c>
      <x:c r="N65" s="68" t="str">
        <x:v>按M06/M08核查</x:v>
      </x:c>
      <x:c r="O65" s="82" t="str">
        <x:v>待定</x:v>
      </x:c>
      <x:c r="P65" s="68" t="str">
        <x:v>转M11/M14判断</x:v>
      </x:c>
      <x:c r="Q65" s="68" t="str">
        <x:v>帮助释放过强身势</x:v>
      </x:c>
      <x:c r="R65" s="82" t="str">
        <x:v>条件性喜神</x:v>
      </x:c>
      <x:c r="S65" s="68" t="str">
        <x:v>M09日主旺或中和偏旺，食神有效且输出顺畅</x:v>
      </x:c>
      <x:c r="T65" s="68" t="str">
        <x:v>M02十神映射、M08五行有效旺衰、M09日主旺衰已完成</x:v>
      </x:c>
      <x:c r="U65" s="68" t="str">
        <x:v>相关十神已由M02正确映射，并以M08有效力量为准</x:v>
      </x:c>
      <x:c r="V65" s="68" t="str">
        <x:v>得令、有根、透干、同党或生源形成独立有效证据</x:v>
      </x:c>
      <x:c r="W65" s="68" t="str">
        <x:v>失令、无根、被合绊、被制、改性或作用路径受阻</x:v>
      </x:c>
      <x:c r="X65" s="90" t="str">
        <x:v>不得以十神名称、数量或单一旺弱证据直接完成定性</x:v>
      </x:c>
      <x:c r="Y65" s="68" t="str">
        <x:v>特殊格局、从化候选及明确组合转M11/M14另审</x:v>
      </x:c>
      <x:c r="Z65" s="68" t="str">
        <x:v>不得直接推出吉凶、具体事件、亲属结果或最终喜忌</x:v>
      </x:c>
      <x:c r="AA65" s="84" t="str">
        <x:v>身旺食神泄秀</x:v>
      </x:c>
      <x:c r="AB65" s="84" t="str">
        <x:v>身旺有食伤泄出可形成泄秀候选：当“M09日主旺或中和偏旺，食神有效且输出顺畅”成立时，按本规则记录十神的有效功能；同时保留制化、承载和反向证据。</x:v>
      </x:c>
      <x:c r="AC65" s="82" t="str">
        <x:v>较高</x:v>
      </x:c>
      <x:c r="AD65" s="82" t="str">
        <x:v>现代综合</x:v>
      </x:c>
      <x:c r="AE65" s="68" t="str">
        <x:v>十神必须分开判断存在性、力量、清纯度、功能性与喜忌性；M10只形成结构层结论和候选，不越级替代M11—M18。</x:v>
      </x:c>
      <x:c r="AF65" s="68" t="str">
        <x:v>相关条件真实成立，且增强条件有效时，可按“身旺有食伤泄出可形成泄秀候选”记录对应功能。</x:v>
      </x:c>
      <x:c r="AG65" s="90" t="str">
        <x:v>仅见表面十神名称或数量，但“不得以十神名称、数量或单一旺弱证据直接完成定性”所述限制存在时，不得套用本规则。</x:v>
      </x:c>
      <x:c r="AH65" s="68" t="str">
        <x:v>https://zh.wikisource.org/wiki/%E6%B8%8A%E6%B5%B7%E5%AD%90%E5%B9%B3%E5%A4%A7%E5%85%A8 ; https://zh.wikisource.org/wiki/%E6%BB%B4%E5%A4%A9%E9%AB%93%E9%97%A1%E5%BE%AE</x:v>
      </x:c>
      <x:c r="AI65" s="82" t="str">
        <x:v>采用</x:v>
      </x:c>
      <x:c r="AJ65" s="82" t="str">
        <x:v>初审</x:v>
      </x:c>
      <x:c r="AK65" s="87" t="n">
        <x:v>46255</x:v>
      </x:c>
    </x:row>
    <x:row r="66">
      <x:c r="A66" s="72" t="str">
        <x:f>IF(OR(C66="",D66=""),"",B66&amp;"-"&amp;UPPER(C66)&amp;"-"&amp;TEXT(D66,"0000")&amp;"-"&amp;E66)</x:f>
        <x:v>M10-SHISHANG-0060-V1.0</x:v>
      </x:c>
      <x:c r="B66" s="74" t="str">
        <x:v>M10</x:v>
      </x:c>
      <x:c r="C66" s="74" t="str">
        <x:v>SHISHANG</x:v>
      </x:c>
      <x:c r="D66" s="215" t="n">
        <x:v>60</x:v>
      </x:c>
      <x:c r="E66" s="74" t="str">
        <x:v>V1.0</x:v>
      </x:c>
      <x:c r="F66" s="68" t="str">
        <x:v>身弱食伤过旺会扩大泄身负荷</x:v>
      </x:c>
      <x:c r="G66" s="82" t="str">
        <x:v>结构层</x:v>
      </x:c>
      <x:c r="H66" s="82" t="str">
        <x:v>伤官</x:v>
      </x:c>
      <x:c r="I66" s="82" t="str">
        <x:v>待定</x:v>
      </x:c>
      <x:c r="J66" s="82" t="str">
        <x:v>待定</x:v>
      </x:c>
      <x:c r="K66" s="82" t="str">
        <x:v>待定</x:v>
      </x:c>
      <x:c r="L66" s="82" t="str">
        <x:v>待定</x:v>
      </x:c>
      <x:c r="M66" s="68" t="str">
        <x:v>按M08核查</x:v>
      </x:c>
      <x:c r="N66" s="68" t="str">
        <x:v>按M06/M08核查</x:v>
      </x:c>
      <x:c r="O66" s="82" t="str">
        <x:v>过度</x:v>
      </x:c>
      <x:c r="P66" s="68" t="str">
        <x:v>转M11/M14判断</x:v>
      </x:c>
      <x:c r="Q66" s="68" t="str">
        <x:v>持续泄身导致承载下降</x:v>
      </x:c>
      <x:c r="R66" s="82" t="str">
        <x:v>条件性忌神</x:v>
      </x:c>
      <x:c r="S66" s="68" t="str">
        <x:v>M09日主弱或中和偏弱，伤官旺且印比不足</x:v>
      </x:c>
      <x:c r="T66" s="68" t="str">
        <x:v>M02十神映射、M08五行有效旺衰、M09日主旺衰已完成</x:v>
      </x:c>
      <x:c r="U66" s="68" t="str">
        <x:v>相关十神已由M02正确映射，并以M08有效力量为准</x:v>
      </x:c>
      <x:c r="V66" s="68" t="str">
        <x:v>得令、有根、透干、同党或生源形成独立有效证据</x:v>
      </x:c>
      <x:c r="W66" s="68" t="str">
        <x:v>失令、无根、被合绊、被制、改性或作用路径受阻</x:v>
      </x:c>
      <x:c r="X66" s="90" t="str">
        <x:v>不得以十神名称、数量或单一旺弱证据直接完成定性</x:v>
      </x:c>
      <x:c r="Y66" s="68" t="str">
        <x:v>特殊格局、从化候选及明确组合转M11/M14另审</x:v>
      </x:c>
      <x:c r="Z66" s="68" t="str">
        <x:v>不得直接推出吉凶、具体事件、亲属结果或最终喜忌</x:v>
      </x:c>
      <x:c r="AA66" s="84" t="str">
        <x:v>身弱伤官过泄</x:v>
      </x:c>
      <x:c r="AB66" s="84" t="str">
        <x:v>身弱食伤过旺会扩大泄身负荷：当“M09日主弱或中和偏弱，伤官旺且印比不足”成立时，按本规则记录十神的有效功能；同时保留制化、承载和反向证据。</x:v>
      </x:c>
      <x:c r="AC66" s="82" t="str">
        <x:v>较高</x:v>
      </x:c>
      <x:c r="AD66" s="82" t="str">
        <x:v>现代综合</x:v>
      </x:c>
      <x:c r="AE66" s="68" t="str">
        <x:v>十神必须分开判断存在性、力量、清纯度、功能性与喜忌性；M10只形成结构层结论和候选，不越级替代M11—M18。</x:v>
      </x:c>
      <x:c r="AF66" s="68" t="str">
        <x:v>相关条件真实成立，且增强条件有效时，可按“身弱食伤过旺会扩大泄身负荷”记录对应功能。</x:v>
      </x:c>
      <x:c r="AG66" s="90" t="str">
        <x:v>仅见表面十神名称或数量，但“不得以十神名称、数量或单一旺弱证据直接完成定性”所述限制存在时，不得套用本规则。</x:v>
      </x:c>
      <x:c r="AH66" s="68" t="str">
        <x:v>https://zh.wikisource.org/wiki/%E6%B8%8A%E6%B5%B7%E5%AD%90%E5%B9%B3%E5%A4%A7%E5%85%A8 ; https://zh.wikisource.org/wiki/%E6%BB%B4%E5%A4%A9%E9%AB%93%E9%97%A1%E5%BE%AE</x:v>
      </x:c>
      <x:c r="AI66" s="82" t="str">
        <x:v>采用</x:v>
      </x:c>
      <x:c r="AJ66" s="82" t="str">
        <x:v>初审</x:v>
      </x:c>
      <x:c r="AK66" s="87" t="n">
        <x:v>46255</x:v>
      </x:c>
    </x:row>
    <x:row r="67">
      <x:c r="A67" s="72" t="str">
        <x:f>IF(OR(C67="",D67=""),"",B67&amp;"-"&amp;UPPER(C67)&amp;"-"&amp;TEXT(D67,"0000")&amp;"-"&amp;E67)</x:f>
        <x:v>M10-SHISHANG-0061-V1.0</x:v>
      </x:c>
      <x:c r="B67" s="74" t="str">
        <x:v>M10</x:v>
      </x:c>
      <x:c r="C67" s="74" t="str">
        <x:v>SHISHANG</x:v>
      </x:c>
      <x:c r="D67" s="215" t="n">
        <x:v>61</x:v>
      </x:c>
      <x:c r="E67" s="74" t="str">
        <x:v>V1.0</x:v>
      </x:c>
      <x:c r="F67" s="68" t="str">
        <x:v>食神被偏印强制时输出和制杀功能均受限</x:v>
      </x:c>
      <x:c r="G67" s="82" t="str">
        <x:v>结构层</x:v>
      </x:c>
      <x:c r="H67" s="82" t="str">
        <x:v>食神</x:v>
      </x:c>
      <x:c r="I67" s="82" t="str">
        <x:v>待定</x:v>
      </x:c>
      <x:c r="J67" s="82" t="str">
        <x:v>待定</x:v>
      </x:c>
      <x:c r="K67" s="82" t="str">
        <x:v>待定</x:v>
      </x:c>
      <x:c r="L67" s="82" t="str">
        <x:v>待定</x:v>
      </x:c>
      <x:c r="M67" s="68" t="str">
        <x:v>按M08核查</x:v>
      </x:c>
      <x:c r="N67" s="68" t="str">
        <x:v>受偏印有效克制</x:v>
      </x:c>
      <x:c r="O67" s="82" t="str">
        <x:v>受限</x:v>
      </x:c>
      <x:c r="P67" s="68" t="str">
        <x:v>转M11/M14判断</x:v>
      </x:c>
      <x:c r="Q67" s="68" t="str">
        <x:v>需结合M09日主承载判断</x:v>
      </x:c>
      <x:c r="R67" s="82" t="str">
        <x:v>待定</x:v>
      </x:c>
      <x:c r="S67" s="68" t="str">
        <x:v>偏印对食神形成实质有效克制</x:v>
      </x:c>
      <x:c r="T67" s="68" t="str">
        <x:v>M02十神映射、M08五行有效旺衰、M09日主旺衰已完成</x:v>
      </x:c>
      <x:c r="U67" s="68" t="str">
        <x:v>相关十神已由M02正确映射，并以M08有效力量为准</x:v>
      </x:c>
      <x:c r="V67" s="68" t="str">
        <x:v>得令、有根、透干、同党或生源形成独立有效证据</x:v>
      </x:c>
      <x:c r="W67" s="68" t="str">
        <x:v>失令、无根、被合绊、被制、改性或作用路径受阻</x:v>
      </x:c>
      <x:c r="X67" s="90" t="str">
        <x:v>不得以十神名称、数量或单一旺弱证据直接完成定性</x:v>
      </x:c>
      <x:c r="Y67" s="68" t="str">
        <x:v>特殊格局、从化候选及明确组合转M11/M14另审</x:v>
      </x:c>
      <x:c r="Z67" s="68" t="str">
        <x:v>不得直接推出吉凶、具体事件、亲属结果或最终喜忌</x:v>
      </x:c>
      <x:c r="AA67" s="84" t="str">
        <x:v>食神受枭制</x:v>
      </x:c>
      <x:c r="AB67" s="84" t="str">
        <x:v>食神被偏印强制时输出和制杀功能均受限：当“偏印对食神形成实质有效克制”成立时，按本规则记录十神的有效功能；同时保留制化、承载和反向证据。</x:v>
      </x:c>
      <x:c r="AC67" s="82" t="str">
        <x:v>较高</x:v>
      </x:c>
      <x:c r="AD67" s="82" t="str">
        <x:v>现代综合</x:v>
      </x:c>
      <x:c r="AE67" s="68" t="str">
        <x:v>十神必须分开判断存在性、力量、清纯度、功能性与喜忌性；M10只形成结构层结论和候选，不越级替代M11—M18。</x:v>
      </x:c>
      <x:c r="AF67" s="68" t="str">
        <x:v>相关条件真实成立，且增强条件有效时，可按“食神被偏印强制时输出和制杀功能均受限”记录对应功能。</x:v>
      </x:c>
      <x:c r="AG67" s="90" t="str">
        <x:v>仅见表面十神名称或数量，但“不得以十神名称、数量或单一旺弱证据直接完成定性”所述限制存在时，不得套用本规则。</x:v>
      </x:c>
      <x:c r="AH67" s="68" t="str">
        <x:v>https://zh.wikisource.org/wiki/%E6%B8%8A%E6%B5%B7%E5%AD%90%E5%B9%B3%E5%A4%A7%E5%85%A8 ; https://zh.wikisource.org/wiki/%E6%BB%B4%E5%A4%A9%E9%AB%93%E9%97%A1%E5%BE%AE</x:v>
      </x:c>
      <x:c r="AI67" s="82" t="str">
        <x:v>采用</x:v>
      </x:c>
      <x:c r="AJ67" s="82" t="str">
        <x:v>初审</x:v>
      </x:c>
      <x:c r="AK67" s="87" t="n">
        <x:v>46255</x:v>
      </x:c>
    </x:row>
    <x:row r="68">
      <x:c r="A68" s="72" t="str">
        <x:f>IF(OR(C68="",D68=""),"",B68&amp;"-"&amp;UPPER(C68)&amp;"-"&amp;TEXT(D68,"0000")&amp;"-"&amp;E68)</x:f>
        <x:v>M10-SHISHANG-0062-V1.0</x:v>
      </x:c>
      <x:c r="B68" s="74" t="str">
        <x:v>M10</x:v>
      </x:c>
      <x:c r="C68" s="74" t="str">
        <x:v>SHISHANG</x:v>
      </x:c>
      <x:c r="D68" s="215" t="n">
        <x:v>62</x:v>
      </x:c>
      <x:c r="E68" s="74" t="str">
        <x:v>V1.0</x:v>
      </x:c>
      <x:c r="F68" s="68" t="str">
        <x:v>伤官被印星有效制约时可形成制化候选</x:v>
      </x:c>
      <x:c r="G68" s="82" t="str">
        <x:v>结构层</x:v>
      </x:c>
      <x:c r="H68" s="82" t="str">
        <x:v>伤官</x:v>
      </x:c>
      <x:c r="I68" s="82" t="str">
        <x:v>待定</x:v>
      </x:c>
      <x:c r="J68" s="82" t="str">
        <x:v>待定</x:v>
      </x:c>
      <x:c r="K68" s="82" t="str">
        <x:v>待定</x:v>
      </x:c>
      <x:c r="L68" s="82" t="str">
        <x:v>待定</x:v>
      </x:c>
      <x:c r="M68" s="68" t="str">
        <x:v>按M08核查</x:v>
      </x:c>
      <x:c r="N68" s="68" t="str">
        <x:v>按M06/M08核查</x:v>
      </x:c>
      <x:c r="O68" s="82" t="str">
        <x:v>受限</x:v>
      </x:c>
      <x:c r="P68" s="68" t="str">
        <x:v>伤官配印候选转M11</x:v>
      </x:c>
      <x:c r="Q68" s="68" t="str">
        <x:v>需结合M09日主承载判断</x:v>
      </x:c>
      <x:c r="R68" s="82" t="str">
        <x:v>待定</x:v>
      </x:c>
      <x:c r="S68" s="68" t="str">
        <x:v>印星有力并能直接制伤官</x:v>
      </x:c>
      <x:c r="T68" s="68" t="str">
        <x:v>M02十神映射、M08五行有效旺衰、M09日主旺衰已完成</x:v>
      </x:c>
      <x:c r="U68" s="68" t="str">
        <x:v>相关十神已由M02正确映射，并以M08有效力量为准</x:v>
      </x:c>
      <x:c r="V68" s="68" t="str">
        <x:v>得令、有根、透干、同党或生源形成独立有效证据</x:v>
      </x:c>
      <x:c r="W68" s="68" t="str">
        <x:v>失令、无根、被合绊、被制、改性或作用路径受阻</x:v>
      </x:c>
      <x:c r="X68" s="90" t="str">
        <x:v>不得以十神名称、数量或单一旺弱证据直接完成定性</x:v>
      </x:c>
      <x:c r="Y68" s="68" t="str">
        <x:v>特殊格局、从化候选及明确组合转M11/M14另审</x:v>
      </x:c>
      <x:c r="Z68" s="68" t="str">
        <x:v>不得直接推出吉凶、具体事件、亲属结果或最终喜忌</x:v>
      </x:c>
      <x:c r="AA68" s="84" t="str">
        <x:v>伤官受印制</x:v>
      </x:c>
      <x:c r="AB68" s="84" t="str">
        <x:v>伤官被印星有效制约时可形成制化候选：当“印星有力并能直接制伤官”成立时，按本规则记录十神的有效功能；同时保留制化、承载和反向证据。</x:v>
      </x:c>
      <x:c r="AC68" s="82" t="str">
        <x:v>较高</x:v>
      </x:c>
      <x:c r="AD68" s="82" t="str">
        <x:v>现代综合</x:v>
      </x:c>
      <x:c r="AE68" s="68" t="str">
        <x:v>十神必须分开判断存在性、力量、清纯度、功能性与喜忌性；M10只形成结构层结论和候选，不越级替代M11—M18。</x:v>
      </x:c>
      <x:c r="AF68" s="68" t="str">
        <x:v>相关条件真实成立，且增强条件有效时，可按“伤官被印星有效制约时可形成制化候选”记录对应功能。</x:v>
      </x:c>
      <x:c r="AG68" s="90" t="str">
        <x:v>仅见表面十神名称或数量，但“不得以十神名称、数量或单一旺弱证据直接完成定性”所述限制存在时，不得套用本规则。</x:v>
      </x:c>
      <x:c r="AH68" s="68" t="str">
        <x:v>https://zh.wikisource.org/wiki/%E6%B8%8A%E6%B5%B7%E5%AD%90%E5%B9%B3%E5%A4%A7%E5%85%A8 ; https://zh.wikisource.org/wiki/%E6%BB%B4%E5%A4%A9%E9%AB%93%E9%97%A1%E5%BE%AE</x:v>
      </x:c>
      <x:c r="AI68" s="82" t="str">
        <x:v>采用</x:v>
      </x:c>
      <x:c r="AJ68" s="82" t="str">
        <x:v>初审</x:v>
      </x:c>
      <x:c r="AK68" s="87" t="n">
        <x:v>46255</x:v>
      </x:c>
    </x:row>
    <x:row r="69">
      <x:c r="A69" s="72" t="str">
        <x:f>IF(OR(C69="",D69=""),"",B69&amp;"-"&amp;UPPER(C69)&amp;"-"&amp;TEXT(D69,"0000")&amp;"-"&amp;E69)</x:f>
        <x:v>M10-SHISHANG-0063-V1.0</x:v>
      </x:c>
      <x:c r="B69" s="74" t="str">
        <x:v>M10</x:v>
      </x:c>
      <x:c r="C69" s="74" t="str">
        <x:v>SHISHANG</x:v>
      </x:c>
      <x:c r="D69" s="215" t="n">
        <x:v>63</x:v>
      </x:c>
      <x:c r="E69" s="74" t="str">
        <x:v>V1.0</x:v>
      </x:c>
      <x:c r="F69" s="68" t="str">
        <x:v>食伤集团成势时必须检查日主是否有足够源头</x:v>
      </x:c>
      <x:c r="G69" s="82" t="str">
        <x:v>结构层</x:v>
      </x:c>
      <x:c r="H69" s="82" t="str">
        <x:v>食神</x:v>
      </x:c>
      <x:c r="I69" s="82" t="str">
        <x:v>多处出现</x:v>
      </x:c>
      <x:c r="J69" s="82" t="str">
        <x:v>待定</x:v>
      </x:c>
      <x:c r="K69" s="82" t="str">
        <x:v>旺</x:v>
      </x:c>
      <x:c r="L69" s="82" t="str">
        <x:v>待定</x:v>
      </x:c>
      <x:c r="M69" s="68" t="str">
        <x:v>按M08核查</x:v>
      </x:c>
      <x:c r="N69" s="68" t="str">
        <x:v>按M06/M08核查</x:v>
      </x:c>
      <x:c r="O69" s="82" t="str">
        <x:v>待定</x:v>
      </x:c>
      <x:c r="P69" s="68" t="str">
        <x:v>转M11/M14判断</x:v>
      </x:c>
      <x:c r="Q69" s="68" t="str">
        <x:v>形成强泄身路径</x:v>
      </x:c>
      <x:c r="R69" s="82" t="str">
        <x:v>待定</x:v>
      </x:c>
      <x:c r="S69" s="68" t="str">
        <x:v>食神伤官多节点旺强并形成输出集团</x:v>
      </x:c>
      <x:c r="T69" s="68" t="str">
        <x:v>M02十神映射、M08五行有效旺衰、M09日主旺衰已完成</x:v>
      </x:c>
      <x:c r="U69" s="68" t="str">
        <x:v>除食伤自身有力外，还必须判断日主能否持续供给</x:v>
      </x:c>
      <x:c r="V69" s="68" t="str">
        <x:v>得令、有根、透干、同党或生源形成独立有效证据</x:v>
      </x:c>
      <x:c r="W69" s="68" t="str">
        <x:v>失令、无根、被合绊、被制、改性或作用路径受阻</x:v>
      </x:c>
      <x:c r="X69" s="90" t="str">
        <x:v>不得以十神名称、数量或单一旺弱证据直接完成定性</x:v>
      </x:c>
      <x:c r="Y69" s="68" t="str">
        <x:v>特殊格局、从化候选及明确组合转M11/M14另审</x:v>
      </x:c>
      <x:c r="Z69" s="68" t="str">
        <x:v>不得直接推出吉凶、具体事件、亲属结果或最终喜忌</x:v>
      </x:c>
      <x:c r="AA69" s="84" t="str">
        <x:v>食伤集团成势</x:v>
      </x:c>
      <x:c r="AB69" s="84" t="str">
        <x:v>食伤集团成势时必须检查日主是否有足够源头：当“食神伤官多节点旺强并形成输出集团”成立时，按本规则记录十神的有效功能；同时保留制化、承载和反向证据。</x:v>
      </x:c>
      <x:c r="AC69" s="82" t="str">
        <x:v>较高</x:v>
      </x:c>
      <x:c r="AD69" s="82" t="str">
        <x:v>现代综合</x:v>
      </x:c>
      <x:c r="AE69" s="68" t="str">
        <x:v>十神必须分开判断存在性、力量、清纯度、功能性与喜忌性；M10只形成结构层结论和候选，不越级替代M11—M18。</x:v>
      </x:c>
      <x:c r="AF69" s="68" t="str">
        <x:v>相关条件真实成立，且增强条件有效时，可按“食伤集团成势时必须检查日主是否有足够源头”记录对应功能。</x:v>
      </x:c>
      <x:c r="AG69" s="90" t="str">
        <x:v>仅见表面十神名称或数量，但“不得以十神名称、数量或单一旺弱证据直接完成定性”所述限制存在时，不得套用本规则。</x:v>
      </x:c>
      <x:c r="AH69" s="68" t="str">
        <x:v>https://zh.wikisource.org/wiki/%E6%B8%8A%E6%B5%B7%E5%AD%90%E5%B9%B3%E5%A4%A7%E5%85%A8 ; https://zh.wikisource.org/wiki/%E6%BB%B4%E5%A4%A9%E9%AB%93%E9%97%A1%E5%BE%AE</x:v>
      </x:c>
      <x:c r="AI69" s="82" t="str">
        <x:v>采用</x:v>
      </x:c>
      <x:c r="AJ69" s="82" t="str">
        <x:v>初审</x:v>
      </x:c>
      <x:c r="AK69" s="87" t="n">
        <x:v>46255</x:v>
      </x:c>
    </x:row>
    <x:row r="70">
      <x:c r="A70" s="72" t="str">
        <x:f>IF(OR(C70="",D70=""),"",B70&amp;"-"&amp;UPPER(C70)&amp;"-"&amp;TEXT(D70,"0000")&amp;"-"&amp;E70)</x:f>
        <x:v>M10-SHISHANG-0064-V1.0</x:v>
      </x:c>
      <x:c r="B70" s="74" t="str">
        <x:v>M10</x:v>
      </x:c>
      <x:c r="C70" s="74" t="str">
        <x:v>SHISHANG</x:v>
      </x:c>
      <x:c r="D70" s="215" t="n">
        <x:v>64</x:v>
      </x:c>
      <x:c r="E70" s="74" t="str">
        <x:v>V1.0</x:v>
      </x:c>
      <x:c r="F70" s="68" t="str">
        <x:v>食伤旺不等于食伤为喜</x:v>
      </x:c>
      <x:c r="G70" s="82" t="str">
        <x:v>结构层</x:v>
      </x:c>
      <x:c r="H70" s="82" t="str">
        <x:v>伤官</x:v>
      </x:c>
      <x:c r="I70" s="82" t="str">
        <x:v>待定</x:v>
      </x:c>
      <x:c r="J70" s="82" t="str">
        <x:v>待定</x:v>
      </x:c>
      <x:c r="K70" s="82" t="str">
        <x:v>待定</x:v>
      </x:c>
      <x:c r="L70" s="82" t="str">
        <x:v>待定</x:v>
      </x:c>
      <x:c r="M70" s="68" t="str">
        <x:v>按M08核查</x:v>
      </x:c>
      <x:c r="N70" s="68" t="str">
        <x:v>按M06/M08核查</x:v>
      </x:c>
      <x:c r="O70" s="82" t="str">
        <x:v>待定</x:v>
      </x:c>
      <x:c r="P70" s="68" t="str">
        <x:v>转M11/M14判断</x:v>
      </x:c>
      <x:c r="Q70" s="68" t="str">
        <x:v>需结合M09日主承载判断</x:v>
      </x:c>
      <x:c r="R70" s="82" t="str">
        <x:v>待定</x:v>
      </x:c>
      <x:c r="S70" s="68" t="str">
        <x:v>食伤有效旺衰已经确定</x:v>
      </x:c>
      <x:c r="T70" s="68" t="str">
        <x:v>M02十神映射、M08五行有效旺衰、M09日主旺衰已完成</x:v>
      </x:c>
      <x:c r="U70" s="68" t="str">
        <x:v>相关十神已由M02正确映射，并以M08有效力量为准</x:v>
      </x:c>
      <x:c r="V70" s="68" t="str">
        <x:v>得令、有根、透干、同党或生源形成独立有效证据</x:v>
      </x:c>
      <x:c r="W70" s="68" t="str">
        <x:v>失令、无根、被合绊、被制、改性或作用路径受阻</x:v>
      </x:c>
      <x:c r="X70" s="90" t="str">
        <x:v>不得以十神名称、数量或单一旺弱证据直接完成定性</x:v>
      </x:c>
      <x:c r="Y70" s="68" t="str">
        <x:v>特殊格局、从化候选及明确组合转M11/M14另审</x:v>
      </x:c>
      <x:c r="Z70" s="68" t="str">
        <x:v>不得由食伤旺直接判喜，也不得由食伤弱直接判无用</x:v>
      </x:c>
      <x:c r="AA70" s="84" t="str">
        <x:v>食伤旺弱喜忌分离</x:v>
      </x:c>
      <x:c r="AB70" s="84" t="str">
        <x:v>食伤旺不等于食伤为喜：当“食伤有效旺衰已经确定”成立时，按本规则记录十神的有效功能；同时保留制化、承载和反向证据。</x:v>
      </x:c>
      <x:c r="AC70" s="82" t="str">
        <x:v>较高</x:v>
      </x:c>
      <x:c r="AD70" s="82" t="str">
        <x:v>现代综合</x:v>
      </x:c>
      <x:c r="AE70" s="68" t="str">
        <x:v>十神必须分开判断存在性、力量、清纯度、功能性与喜忌性；M10只形成结构层结论和候选，不越级替代M11—M18。</x:v>
      </x:c>
      <x:c r="AF70" s="68" t="str">
        <x:v>相关条件真实成立，且增强条件有效时，可按“食伤旺不等于食伤为喜”记录对应功能。</x:v>
      </x:c>
      <x:c r="AG70" s="90" t="str">
        <x:v>仅见表面十神名称或数量，但“不得以十神名称、数量或单一旺弱证据直接完成定性”所述限制存在时，不得套用本规则。</x:v>
      </x:c>
      <x:c r="AH70" s="68" t="str">
        <x:v>https://zh.wikisource.org/wiki/%E6%B8%8A%E6%B5%B7%E5%AD%90%E5%B9%B3%E5%A4%A7%E5%85%A8 ; https://zh.wikisource.org/wiki/%E6%BB%B4%E5%A4%A9%E9%AB%93%E9%97%A1%E5%BE%AE</x:v>
      </x:c>
      <x:c r="AI70" s="82" t="str">
        <x:v>采用</x:v>
      </x:c>
      <x:c r="AJ70" s="82" t="str">
        <x:v>初审</x:v>
      </x:c>
      <x:c r="AK70" s="87" t="n">
        <x:v>46255</x:v>
      </x:c>
    </x:row>
    <x:row r="71">
      <x:c r="A71" s="72" t="str">
        <x:f>IF(OR(C71="",D71=""),"",B71&amp;"-"&amp;UPPER(C71)&amp;"-"&amp;TEXT(D71,"0000")&amp;"-"&amp;E71)</x:f>
        <x:v>M10-CAI-0065-V1.0</x:v>
      </x:c>
      <x:c r="B71" s="74" t="str">
        <x:v>M10</x:v>
      </x:c>
      <x:c r="C71" s="74" t="str">
        <x:v>CAI</x:v>
      </x:c>
      <x:c r="D71" s="215" t="n">
        <x:v>65</x:v>
      </x:c>
      <x:c r="E71" s="74" t="str">
        <x:v>V1.0</x:v>
      </x:c>
      <x:c r="F71" s="68" t="str">
        <x:v>有效财星首先承担耗身和承接食伤功能</x:v>
      </x:c>
      <x:c r="G71" s="82" t="str">
        <x:v>结构层</x:v>
      </x:c>
      <x:c r="H71" s="82" t="str">
        <x:v>正财</x:v>
      </x:c>
      <x:c r="I71" s="82" t="str">
        <x:v>待定</x:v>
      </x:c>
      <x:c r="J71" s="82" t="str">
        <x:v>待定</x:v>
      </x:c>
      <x:c r="K71" s="82" t="str">
        <x:v>待定</x:v>
      </x:c>
      <x:c r="L71" s="82" t="str">
        <x:v>待定</x:v>
      </x:c>
      <x:c r="M71" s="68" t="str">
        <x:v>按M08核查</x:v>
      </x:c>
      <x:c r="N71" s="68" t="str">
        <x:v>按M06/M08核查</x:v>
      </x:c>
      <x:c r="O71" s="82" t="str">
        <x:v>正常发挥</x:v>
      </x:c>
      <x:c r="P71" s="68" t="str">
        <x:v>转M11/M14判断</x:v>
      </x:c>
      <x:c r="Q71" s="68" t="str">
        <x:v>日主克财形成耗力，同时财可承接食伤输出</x:v>
      </x:c>
      <x:c r="R71" s="82" t="str">
        <x:v>待定</x:v>
      </x:c>
      <x:c r="S71" s="68" t="str">
        <x:v>正财有效存在</x:v>
      </x:c>
      <x:c r="T71" s="68" t="str">
        <x:v>M02十神映射、M08五行有效旺衰、M09日主旺衰已完成</x:v>
      </x:c>
      <x:c r="U71" s="68" t="str">
        <x:v>相关十神已由M02正确映射，并以M08有效力量为准</x:v>
      </x:c>
      <x:c r="V71" s="68" t="str">
        <x:v>得令、有根、透干、同党或生源形成独立有效证据</x:v>
      </x:c>
      <x:c r="W71" s="68" t="str">
        <x:v>失令、无根、被合绊、被制、改性或作用路径受阻</x:v>
      </x:c>
      <x:c r="X71" s="90" t="str">
        <x:v>不得以十神名称、数量或单一旺弱证据直接完成定性</x:v>
      </x:c>
      <x:c r="Y71" s="68" t="str">
        <x:v>特殊格局、从化候选及明确组合转M11/M14另审</x:v>
      </x:c>
      <x:c r="Z71" s="68" t="str">
        <x:v>不得直接推出吉凶、具体事件、亲属结果或最终喜忌</x:v>
      </x:c>
      <x:c r="AA71" s="84" t="str">
        <x:v>正财基本功能</x:v>
      </x:c>
      <x:c r="AB71" s="84" t="str">
        <x:v>有效财星首先承担耗身和承接食伤功能：当“正财有效存在”成立时，按本规则记录十神的有效功能；同时保留制化、承载和反向证据。</x:v>
      </x:c>
      <x:c r="AC71" s="82" t="str">
        <x:v>较高</x:v>
      </x:c>
      <x:c r="AD71" s="82" t="str">
        <x:v>现代综合</x:v>
      </x:c>
      <x:c r="AE71" s="68" t="str">
        <x:v>十神必须分开判断存在性、力量、清纯度、功能性与喜忌性；M10只形成结构层结论和候选，不越级替代M11—M18。</x:v>
      </x:c>
      <x:c r="AF71" s="68" t="str">
        <x:v>相关条件真实成立，且增强条件有效时，可按“有效财星首先承担耗身和承接食伤功能”记录对应功能。</x:v>
      </x:c>
      <x:c r="AG71" s="90" t="str">
        <x:v>仅见表面十神名称或数量，但“不得以十神名称、数量或单一旺弱证据直接完成定性”所述限制存在时，不得套用本规则。</x:v>
      </x:c>
      <x:c r="AH71" s="68" t="str">
        <x:v>https://zh.wikisource.org/wiki/%E6%B8%8A%E6%B5%B7%E5%AD%90%E5%B9%B3%E5%A4%A7%E5%85%A8 ; https://zh.wikisource.org/wiki/%E6%BB%B4%E5%A4%A9%E9%AB%93%E9%97%A1%E5%BE%AE</x:v>
      </x:c>
      <x:c r="AI71" s="82" t="str">
        <x:v>采用</x:v>
      </x:c>
      <x:c r="AJ71" s="82" t="str">
        <x:v>初审</x:v>
      </x:c>
      <x:c r="AK71" s="87" t="n">
        <x:v>46255</x:v>
      </x:c>
    </x:row>
    <x:row r="72">
      <x:c r="A72" s="72" t="str">
        <x:f>IF(OR(C72="",D72=""),"",B72&amp;"-"&amp;UPPER(C72)&amp;"-"&amp;TEXT(D72,"0000")&amp;"-"&amp;E72)</x:f>
        <x:v>M10-CAI-0066-V1.0</x:v>
      </x:c>
      <x:c r="B72" s="74" t="str">
        <x:v>M10</x:v>
      </x:c>
      <x:c r="C72" s="74" t="str">
        <x:v>CAI</x:v>
      </x:c>
      <x:c r="D72" s="215" t="n">
        <x:v>66</x:v>
      </x:c>
      <x:c r="E72" s="74" t="str">
        <x:v>V1.0</x:v>
      </x:c>
      <x:c r="F72" s="68" t="str">
        <x:v>偏财同样耗身并具有生官杀接口</x:v>
      </x:c>
      <x:c r="G72" s="82" t="str">
        <x:v>结构层</x:v>
      </x:c>
      <x:c r="H72" s="82" t="str">
        <x:v>偏财</x:v>
      </x:c>
      <x:c r="I72" s="82" t="str">
        <x:v>待定</x:v>
      </x:c>
      <x:c r="J72" s="82" t="str">
        <x:v>待定</x:v>
      </x:c>
      <x:c r="K72" s="82" t="str">
        <x:v>待定</x:v>
      </x:c>
      <x:c r="L72" s="82" t="str">
        <x:v>待定</x:v>
      </x:c>
      <x:c r="M72" s="68" t="str">
        <x:v>按M08核查</x:v>
      </x:c>
      <x:c r="N72" s="68" t="str">
        <x:v>按M06/M08核查</x:v>
      </x:c>
      <x:c r="O72" s="82" t="str">
        <x:v>正常发挥</x:v>
      </x:c>
      <x:c r="P72" s="68" t="str">
        <x:v>转M11/M14判断</x:v>
      </x:c>
      <x:c r="Q72" s="68" t="str">
        <x:v>耗身，同时可向官杀提供生源</x:v>
      </x:c>
      <x:c r="R72" s="82" t="str">
        <x:v>待定</x:v>
      </x:c>
      <x:c r="S72" s="68" t="str">
        <x:v>偏财有效存在</x:v>
      </x:c>
      <x:c r="T72" s="68" t="str">
        <x:v>M02十神映射、M08五行有效旺衰、M09日主旺衰已完成</x:v>
      </x:c>
      <x:c r="U72" s="68" t="str">
        <x:v>相关十神已由M02正确映射，并以M08有效力量为准</x:v>
      </x:c>
      <x:c r="V72" s="68" t="str">
        <x:v>得令、有根、透干、同党或生源形成独立有效证据</x:v>
      </x:c>
      <x:c r="W72" s="68" t="str">
        <x:v>失令、无根、被合绊、被制、改性或作用路径受阻</x:v>
      </x:c>
      <x:c r="X72" s="90" t="str">
        <x:v>不得以十神名称、数量或单一旺弱证据直接完成定性</x:v>
      </x:c>
      <x:c r="Y72" s="68" t="str">
        <x:v>特殊格局、从化候选及明确组合转M11/M14另审</x:v>
      </x:c>
      <x:c r="Z72" s="68" t="str">
        <x:v>不得直接推出吉凶、具体事件、亲属结果或最终喜忌</x:v>
      </x:c>
      <x:c r="AA72" s="84" t="str">
        <x:v>偏财基本功能</x:v>
      </x:c>
      <x:c r="AB72" s="84" t="str">
        <x:v>偏财同样耗身并具有生官杀接口：当“偏财有效存在”成立时，按本规则记录十神的有效功能；同时保留制化、承载和反向证据。</x:v>
      </x:c>
      <x:c r="AC72" s="82" t="str">
        <x:v>较高</x:v>
      </x:c>
      <x:c r="AD72" s="82" t="str">
        <x:v>现代综合</x:v>
      </x:c>
      <x:c r="AE72" s="68" t="str">
        <x:v>十神必须分开判断存在性、力量、清纯度、功能性与喜忌性；M10只形成结构层结论和候选，不越级替代M11—M18。</x:v>
      </x:c>
      <x:c r="AF72" s="68" t="str">
        <x:v>相关条件真实成立，且增强条件有效时，可按“偏财同样耗身并具有生官杀接口”记录对应功能。</x:v>
      </x:c>
      <x:c r="AG72" s="90" t="str">
        <x:v>仅见表面十神名称或数量，但“不得以十神名称、数量或单一旺弱证据直接完成定性”所述限制存在时，不得套用本规则。</x:v>
      </x:c>
      <x:c r="AH72" s="68" t="str">
        <x:v>https://zh.wikisource.org/wiki/%E6%B8%8A%E6%B5%B7%E5%AD%90%E5%B9%B3%E5%A4%A7%E5%85%A8 ; https://zh.wikisource.org/wiki/%E6%BB%B4%E5%A4%A9%E9%AB%93%E9%97%A1%E5%BE%AE</x:v>
      </x:c>
      <x:c r="AI72" s="82" t="str">
        <x:v>采用</x:v>
      </x:c>
      <x:c r="AJ72" s="82" t="str">
        <x:v>初审</x:v>
      </x:c>
      <x:c r="AK72" s="87" t="n">
        <x:v>46255</x:v>
      </x:c>
    </x:row>
    <x:row r="73">
      <x:c r="A73" s="72" t="str">
        <x:f>IF(OR(C73="",D73=""),"",B73&amp;"-"&amp;UPPER(C73)&amp;"-"&amp;TEXT(D73,"0000")&amp;"-"&amp;E73)</x:f>
        <x:v>M10-CAI-0067-V1.0</x:v>
      </x:c>
      <x:c r="B73" s="74" t="str">
        <x:v>M10</x:v>
      </x:c>
      <x:c r="C73" s="74" t="str">
        <x:v>CAI</x:v>
      </x:c>
      <x:c r="D73" s="215" t="n">
        <x:v>67</x:v>
      </x:c>
      <x:c r="E73" s="74" t="str">
        <x:v>V1.0</x:v>
      </x:c>
      <x:c r="F73" s="68" t="str">
        <x:v>身旺且财星有效时可形成任财候选</x:v>
      </x:c>
      <x:c r="G73" s="82" t="str">
        <x:v>结构层</x:v>
      </x:c>
      <x:c r="H73" s="82" t="str">
        <x:v>正财</x:v>
      </x:c>
      <x:c r="I73" s="82" t="str">
        <x:v>待定</x:v>
      </x:c>
      <x:c r="J73" s="82" t="str">
        <x:v>待定</x:v>
      </x:c>
      <x:c r="K73" s="82" t="str">
        <x:v>待定</x:v>
      </x:c>
      <x:c r="L73" s="82" t="str">
        <x:v>待定</x:v>
      </x:c>
      <x:c r="M73" s="68" t="str">
        <x:v>按M08核查</x:v>
      </x:c>
      <x:c r="N73" s="68" t="str">
        <x:v>按M06/M08核查</x:v>
      </x:c>
      <x:c r="O73" s="82" t="str">
        <x:v>待定</x:v>
      </x:c>
      <x:c r="P73" s="68" t="str">
        <x:v>转M11/M14判断</x:v>
      </x:c>
      <x:c r="Q73" s="68" t="str">
        <x:v>为强身提供合理耗用出口</x:v>
      </x:c>
      <x:c r="R73" s="82" t="str">
        <x:v>条件性喜神</x:v>
      </x:c>
      <x:c r="S73" s="68" t="str">
        <x:v>M09日主旺或中和偏旺，正财有效且不过度</x:v>
      </x:c>
      <x:c r="T73" s="68" t="str">
        <x:v>M02十神映射、M08五行有效旺衰、M09日主旺衰已完成</x:v>
      </x:c>
      <x:c r="U73" s="68" t="str">
        <x:v>相关十神已由M02正确映射，并以M08有效力量为准</x:v>
      </x:c>
      <x:c r="V73" s="68" t="str">
        <x:v>得令、有根、透干、同党或生源形成独立有效证据</x:v>
      </x:c>
      <x:c r="W73" s="68" t="str">
        <x:v>失令、无根、被合绊、被制、改性或作用路径受阻</x:v>
      </x:c>
      <x:c r="X73" s="90" t="str">
        <x:v>不得以十神名称、数量或单一旺弱证据直接完成定性</x:v>
      </x:c>
      <x:c r="Y73" s="68" t="str">
        <x:v>特殊格局、从化候选及明确组合转M11/M14另审</x:v>
      </x:c>
      <x:c r="Z73" s="68" t="str">
        <x:v>不得直接推出吉凶、具体事件、亲属结果或最终喜忌</x:v>
      </x:c>
      <x:c r="AA73" s="84" t="str">
        <x:v>身旺任财候选</x:v>
      </x:c>
      <x:c r="AB73" s="84" t="str">
        <x:v>身旺且财星有效时可形成任财候选：当“M09日主旺或中和偏旺，正财有效且不过度”成立时，按本规则记录十神的有效功能；同时保留制化、承载和反向证据。</x:v>
      </x:c>
      <x:c r="AC73" s="82" t="str">
        <x:v>较高</x:v>
      </x:c>
      <x:c r="AD73" s="82" t="str">
        <x:v>现代综合</x:v>
      </x:c>
      <x:c r="AE73" s="68" t="str">
        <x:v>十神必须分开判断存在性、力量、清纯度、功能性与喜忌性；M10只形成结构层结论和候选，不越级替代M11—M18。</x:v>
      </x:c>
      <x:c r="AF73" s="68" t="str">
        <x:v>相关条件真实成立，且增强条件有效时，可按“身旺且财星有效时可形成任财候选”记录对应功能。</x:v>
      </x:c>
      <x:c r="AG73" s="90" t="str">
        <x:v>仅见表面十神名称或数量，但“不得以十神名称、数量或单一旺弱证据直接完成定性”所述限制存在时，不得套用本规则。</x:v>
      </x:c>
      <x:c r="AH73" s="68" t="str">
        <x:v>https://zh.wikisource.org/wiki/%E6%B8%8A%E6%B5%B7%E5%AD%90%E5%B9%B3%E5%A4%A7%E5%85%A8 ; https://zh.wikisource.org/wiki/%E6%BB%B4%E5%A4%A9%E9%AB%93%E9%97%A1%E5%BE%AE</x:v>
      </x:c>
      <x:c r="AI73" s="82" t="str">
        <x:v>采用</x:v>
      </x:c>
      <x:c r="AJ73" s="82" t="str">
        <x:v>初审</x:v>
      </x:c>
      <x:c r="AK73" s="87" t="n">
        <x:v>46255</x:v>
      </x:c>
    </x:row>
    <x:row r="74">
      <x:c r="A74" s="72" t="str">
        <x:f>IF(OR(C74="",D74=""),"",B74&amp;"-"&amp;UPPER(C74)&amp;"-"&amp;TEXT(D74,"0000")&amp;"-"&amp;E74)</x:f>
        <x:v>M10-CAI-0068-V1.0</x:v>
      </x:c>
      <x:c r="B74" s="74" t="str">
        <x:v>M10</x:v>
      </x:c>
      <x:c r="C74" s="74" t="str">
        <x:v>CAI</x:v>
      </x:c>
      <x:c r="D74" s="215" t="n">
        <x:v>68</x:v>
      </x:c>
      <x:c r="E74" s="74" t="str">
        <x:v>V1.0</x:v>
      </x:c>
      <x:c r="F74" s="68" t="str">
        <x:v>身弱财旺时财星可能成为主要耗身负荷</x:v>
      </x:c>
      <x:c r="G74" s="82" t="str">
        <x:v>结构层</x:v>
      </x:c>
      <x:c r="H74" s="82" t="str">
        <x:v>偏财</x:v>
      </x:c>
      <x:c r="I74" s="82" t="str">
        <x:v>待定</x:v>
      </x:c>
      <x:c r="J74" s="82" t="str">
        <x:v>待定</x:v>
      </x:c>
      <x:c r="K74" s="82" t="str">
        <x:v>待定</x:v>
      </x:c>
      <x:c r="L74" s="82" t="str">
        <x:v>待定</x:v>
      </x:c>
      <x:c r="M74" s="68" t="str">
        <x:v>按M08核查</x:v>
      </x:c>
      <x:c r="N74" s="68" t="str">
        <x:v>按M06/M08核查</x:v>
      </x:c>
      <x:c r="O74" s="82" t="str">
        <x:v>过度</x:v>
      </x:c>
      <x:c r="P74" s="68" t="str">
        <x:v>转M11/M14判断</x:v>
      </x:c>
      <x:c r="Q74" s="68" t="str">
        <x:v>持续耗身并可能生官杀加压</x:v>
      </x:c>
      <x:c r="R74" s="82" t="str">
        <x:v>条件性忌神</x:v>
      </x:c>
      <x:c r="S74" s="68" t="str">
        <x:v>M09日主弱或中和偏弱，偏财旺且印比不足</x:v>
      </x:c>
      <x:c r="T74" s="68" t="str">
        <x:v>M02十神映射、M08五行有效旺衰、M09日主旺衰已完成</x:v>
      </x:c>
      <x:c r="U74" s="68" t="str">
        <x:v>相关十神已由M02正确映射，并以M08有效力量为准</x:v>
      </x:c>
      <x:c r="V74" s="68" t="str">
        <x:v>得令、有根、透干、同党或生源形成独立有效证据</x:v>
      </x:c>
      <x:c r="W74" s="68" t="str">
        <x:v>失令、无根、被合绊、被制、改性或作用路径受阻</x:v>
      </x:c>
      <x:c r="X74" s="90" t="str">
        <x:v>不得以十神名称、数量或单一旺弱证据直接完成定性</x:v>
      </x:c>
      <x:c r="Y74" s="68" t="str">
        <x:v>特殊格局、从化候选及明确组合转M11/M14另审</x:v>
      </x:c>
      <x:c r="Z74" s="68" t="str">
        <x:v>不得直接推出吉凶、具体事件、亲属结果或最终喜忌</x:v>
      </x:c>
      <x:c r="AA74" s="84" t="str">
        <x:v>财多身弱候选</x:v>
      </x:c>
      <x:c r="AB74" s="84" t="str">
        <x:v>身弱财旺时财星可能成为主要耗身负荷：当“M09日主弱或中和偏弱，偏财旺且印比不足”成立时，按本规则记录十神的有效功能；同时保留制化、承载和反向证据。</x:v>
      </x:c>
      <x:c r="AC74" s="82" t="str">
        <x:v>较高</x:v>
      </x:c>
      <x:c r="AD74" s="82" t="str">
        <x:v>现代综合</x:v>
      </x:c>
      <x:c r="AE74" s="68" t="str">
        <x:v>十神必须分开判断存在性、力量、清纯度、功能性与喜忌性；M10只形成结构层结论和候选，不越级替代M11—M18。</x:v>
      </x:c>
      <x:c r="AF74" s="68" t="str">
        <x:v>相关条件真实成立，且增强条件有效时，可按“身弱财旺时财星可能成为主要耗身负荷”记录对应功能。</x:v>
      </x:c>
      <x:c r="AG74" s="90" t="str">
        <x:v>仅见表面十神名称或数量，但“不得以十神名称、数量或单一旺弱证据直接完成定性”所述限制存在时，不得套用本规则。</x:v>
      </x:c>
      <x:c r="AH74" s="68" t="str">
        <x:v>https://zh.wikisource.org/wiki/%E6%B8%8A%E6%B5%B7%E5%AD%90%E5%B9%B3%E5%A4%A7%E5%85%A8 ; https://zh.wikisource.org/wiki/%E6%BB%B4%E5%A4%A9%E9%AB%93%E9%97%A1%E5%BE%AE</x:v>
      </x:c>
      <x:c r="AI74" s="82" t="str">
        <x:v>采用</x:v>
      </x:c>
      <x:c r="AJ74" s="82" t="str">
        <x:v>初审</x:v>
      </x:c>
      <x:c r="AK74" s="87" t="n">
        <x:v>46255</x:v>
      </x:c>
    </x:row>
    <x:row r="75">
      <x:c r="A75" s="72" t="str">
        <x:f>IF(OR(C75="",D75=""),"",B75&amp;"-"&amp;UPPER(C75)&amp;"-"&amp;TEXT(D75,"0000")&amp;"-"&amp;E75)</x:f>
        <x:v>M10-CAI-0069-V1.0</x:v>
      </x:c>
      <x:c r="B75" s="74" t="str">
        <x:v>M10</x:v>
      </x:c>
      <x:c r="C75" s="74" t="str">
        <x:v>CAI</x:v>
      </x:c>
      <x:c r="D75" s="215" t="n">
        <x:v>69</x:v>
      </x:c>
      <x:c r="E75" s="74" t="str">
        <x:v>V1.0</x:v>
      </x:c>
      <x:c r="F75" s="68" t="str">
        <x:v>财星受比劫强制时有效性下降</x:v>
      </x:c>
      <x:c r="G75" s="82" t="str">
        <x:v>结构层</x:v>
      </x:c>
      <x:c r="H75" s="82" t="str">
        <x:v>正财</x:v>
      </x:c>
      <x:c r="I75" s="82" t="str">
        <x:v>待定</x:v>
      </x:c>
      <x:c r="J75" s="82" t="str">
        <x:v>待定</x:v>
      </x:c>
      <x:c r="K75" s="82" t="str">
        <x:v>待定</x:v>
      </x:c>
      <x:c r="L75" s="82" t="str">
        <x:v>待定</x:v>
      </x:c>
      <x:c r="M75" s="68" t="str">
        <x:v>按M08核查</x:v>
      </x:c>
      <x:c r="N75" s="68" t="str">
        <x:v>受比劫有效克制</x:v>
      </x:c>
      <x:c r="O75" s="82" t="str">
        <x:v>受限</x:v>
      </x:c>
      <x:c r="P75" s="68" t="str">
        <x:v>转M11/M14判断</x:v>
      </x:c>
      <x:c r="Q75" s="68" t="str">
        <x:v>需结合M09日主承载判断</x:v>
      </x:c>
      <x:c r="R75" s="82" t="str">
        <x:v>待定</x:v>
      </x:c>
      <x:c r="S75" s="68" t="str">
        <x:v>比劫对正财形成实质有效克制</x:v>
      </x:c>
      <x:c r="T75" s="68" t="str">
        <x:v>M02十神映射、M08五行有效旺衰、M09日主旺衰已完成</x:v>
      </x:c>
      <x:c r="U75" s="68" t="str">
        <x:v>相关十神已由M02正确映射，并以M08有效力量为准</x:v>
      </x:c>
      <x:c r="V75" s="68" t="str">
        <x:v>得令、有根、透干、同党或生源形成独立有效证据</x:v>
      </x:c>
      <x:c r="W75" s="68" t="str">
        <x:v>失令、无根、被合绊、被制、改性或作用路径受阻</x:v>
      </x:c>
      <x:c r="X75" s="90" t="str">
        <x:v>不得以十神名称、数量或单一旺弱证据直接完成定性</x:v>
      </x:c>
      <x:c r="Y75" s="68" t="str">
        <x:v>特殊格局、从化候选及明确组合转M11/M14另审</x:v>
      </x:c>
      <x:c r="Z75" s="68" t="str">
        <x:v>不得直接推出吉凶、具体事件、亲属结果或最终喜忌</x:v>
      </x:c>
      <x:c r="AA75" s="84" t="str">
        <x:v>财受比劫制</x:v>
      </x:c>
      <x:c r="AB75" s="84" t="str">
        <x:v>财星受比劫强制时有效性下降：当“比劫对正财形成实质有效克制”成立时，按本规则记录十神的有效功能；同时保留制化、承载和反向证据。</x:v>
      </x:c>
      <x:c r="AC75" s="82" t="str">
        <x:v>较高</x:v>
      </x:c>
      <x:c r="AD75" s="82" t="str">
        <x:v>现代综合</x:v>
      </x:c>
      <x:c r="AE75" s="68" t="str">
        <x:v>十神必须分开判断存在性、力量、清纯度、功能性与喜忌性；M10只形成结构层结论和候选，不越级替代M11—M18。</x:v>
      </x:c>
      <x:c r="AF75" s="68" t="str">
        <x:v>相关条件真实成立，且增强条件有效时，可按“财星受比劫强制时有效性下降”记录对应功能。</x:v>
      </x:c>
      <x:c r="AG75" s="90" t="str">
        <x:v>仅见表面十神名称或数量，但“不得以十神名称、数量或单一旺弱证据直接完成定性”所述限制存在时，不得套用本规则。</x:v>
      </x:c>
      <x:c r="AH75" s="68" t="str">
        <x:v>https://zh.wikisource.org/wiki/%E6%B8%8A%E6%B5%B7%E5%AD%90%E5%B9%B3%E5%A4%A7%E5%85%A8 ; https://zh.wikisource.org/wiki/%E6%BB%B4%E5%A4%A9%E9%AB%93%E9%97%A1%E5%BE%AE</x:v>
      </x:c>
      <x:c r="AI75" s="82" t="str">
        <x:v>采用</x:v>
      </x:c>
      <x:c r="AJ75" s="82" t="str">
        <x:v>初审</x:v>
      </x:c>
      <x:c r="AK75" s="87" t="n">
        <x:v>46255</x:v>
      </x:c>
    </x:row>
    <x:row r="76">
      <x:c r="A76" s="72" t="str">
        <x:f>IF(OR(C76="",D76=""),"",B76&amp;"-"&amp;UPPER(C76)&amp;"-"&amp;TEXT(D76,"0000")&amp;"-"&amp;E76)</x:f>
        <x:v>M10-CAI-0070-V1.0</x:v>
      </x:c>
      <x:c r="B76" s="74" t="str">
        <x:v>M10</x:v>
      </x:c>
      <x:c r="C76" s="74" t="str">
        <x:v>CAI</x:v>
      </x:c>
      <x:c r="D76" s="215" t="n">
        <x:v>70</x:v>
      </x:c>
      <x:c r="E76" s="74" t="str">
        <x:v>V1.0</x:v>
      </x:c>
      <x:c r="F76" s="68" t="str">
        <x:v>财星制印须财印力量和路径均成立</x:v>
      </x:c>
      <x:c r="G76" s="82" t="str">
        <x:v>结构层</x:v>
      </x:c>
      <x:c r="H76" s="82" t="str">
        <x:v>偏财</x:v>
      </x:c>
      <x:c r="I76" s="82" t="str">
        <x:v>待定</x:v>
      </x:c>
      <x:c r="J76" s="82" t="str">
        <x:v>待定</x:v>
      </x:c>
      <x:c r="K76" s="82" t="str">
        <x:v>待定</x:v>
      </x:c>
      <x:c r="L76" s="82" t="str">
        <x:v>待定</x:v>
      </x:c>
      <x:c r="M76" s="68" t="str">
        <x:v>按M08核查</x:v>
      </x:c>
      <x:c r="N76" s="68" t="str">
        <x:v>对印星形成有效克制</x:v>
      </x:c>
      <x:c r="O76" s="82" t="str">
        <x:v>待定</x:v>
      </x:c>
      <x:c r="P76" s="68" t="str">
        <x:v>财坏印候选转M11</x:v>
      </x:c>
      <x:c r="Q76" s="68" t="str">
        <x:v>需结合M09日主承载判断</x:v>
      </x:c>
      <x:c r="R76" s="82" t="str">
        <x:v>待定</x:v>
      </x:c>
      <x:c r="S76" s="68" t="str">
        <x:v>偏财与印星形成有效克制</x:v>
      </x:c>
      <x:c r="T76" s="68" t="str">
        <x:v>M02十神映射、M08五行有效旺衰、M09日主旺衰已完成</x:v>
      </x:c>
      <x:c r="U76" s="68" t="str">
        <x:v>相关十神已由M02正确映射，并以M08有效力量为准</x:v>
      </x:c>
      <x:c r="V76" s="68" t="str">
        <x:v>得令、有根、透干、同党或生源形成独立有效证据</x:v>
      </x:c>
      <x:c r="W76" s="68" t="str">
        <x:v>失令、无根、被合绊、被制、改性或作用路径受阻</x:v>
      </x:c>
      <x:c r="X76" s="90" t="str">
        <x:v>不得以十神名称、数量或单一旺弱证据直接完成定性</x:v>
      </x:c>
      <x:c r="Y76" s="68" t="str">
        <x:v>特殊格局、从化候选及明确组合转M11/M14另审</x:v>
      </x:c>
      <x:c r="Z76" s="68" t="str">
        <x:v>不得直接推出吉凶、具体事件、亲属结果或最终喜忌</x:v>
      </x:c>
      <x:c r="AA76" s="84" t="str">
        <x:v>财制印接口</x:v>
      </x:c>
      <x:c r="AB76" s="84" t="str">
        <x:v>财星制印须财印力量和路径均成立：当“偏财与印星形成有效克制”成立时，按本规则记录十神的有效功能；同时保留制化、承载和反向证据。</x:v>
      </x:c>
      <x:c r="AC76" s="82" t="str">
        <x:v>较高</x:v>
      </x:c>
      <x:c r="AD76" s="82" t="str">
        <x:v>现代综合</x:v>
      </x:c>
      <x:c r="AE76" s="68" t="str">
        <x:v>十神必须分开判断存在性、力量、清纯度、功能性与喜忌性；M10只形成结构层结论和候选，不越级替代M11—M18。</x:v>
      </x:c>
      <x:c r="AF76" s="68" t="str">
        <x:v>相关条件真实成立，且增强条件有效时，可按“财星制印须财印力量和路径均成立”记录对应功能。</x:v>
      </x:c>
      <x:c r="AG76" s="90" t="str">
        <x:v>仅见表面十神名称或数量，但“不得以十神名称、数量或单一旺弱证据直接完成定性”所述限制存在时，不得套用本规则。</x:v>
      </x:c>
      <x:c r="AH76" s="68" t="str">
        <x:v>https://zh.wikisource.org/wiki/%E6%B8%8A%E6%B5%B7%E5%AD%90%E5%B9%B3%E5%A4%A7%E5%85%A8 ; https://zh.wikisource.org/wiki/%E6%BB%B4%E5%A4%A9%E9%AB%93%E9%97%A1%E5%BE%AE</x:v>
      </x:c>
      <x:c r="AI76" s="82" t="str">
        <x:v>采用</x:v>
      </x:c>
      <x:c r="AJ76" s="82" t="str">
        <x:v>初审</x:v>
      </x:c>
      <x:c r="AK76" s="87" t="n">
        <x:v>46255</x:v>
      </x:c>
    </x:row>
    <x:row r="77">
      <x:c r="A77" s="72" t="str">
        <x:f>IF(OR(C77="",D77=""),"",B77&amp;"-"&amp;UPPER(C77)&amp;"-"&amp;TEXT(D77,"0000")&amp;"-"&amp;E77)</x:f>
        <x:v>M10-CAI-0071-V1.0</x:v>
      </x:c>
      <x:c r="B77" s="74" t="str">
        <x:v>M10</x:v>
      </x:c>
      <x:c r="C77" s="74" t="str">
        <x:v>CAI</x:v>
      </x:c>
      <x:c r="D77" s="215" t="n">
        <x:v>71</x:v>
      </x:c>
      <x:c r="E77" s="74" t="str">
        <x:v>V1.0</x:v>
      </x:c>
      <x:c r="F77" s="68" t="str">
        <x:v>财生官必须官星能够承接</x:v>
      </x:c>
      <x:c r="G77" s="82" t="str">
        <x:v>结构层</x:v>
      </x:c>
      <x:c r="H77" s="82" t="str">
        <x:v>正财</x:v>
      </x:c>
      <x:c r="I77" s="82" t="str">
        <x:v>待定</x:v>
      </x:c>
      <x:c r="J77" s="82" t="str">
        <x:v>待定</x:v>
      </x:c>
      <x:c r="K77" s="82" t="str">
        <x:v>待定</x:v>
      </x:c>
      <x:c r="L77" s="82" t="str">
        <x:v>待定</x:v>
      </x:c>
      <x:c r="M77" s="68" t="str">
        <x:v>财为官星生源</x:v>
      </x:c>
      <x:c r="N77" s="68" t="str">
        <x:v>按M06/M08核查</x:v>
      </x:c>
      <x:c r="O77" s="82" t="str">
        <x:v>待定</x:v>
      </x:c>
      <x:c r="P77" s="68" t="str">
        <x:v>财官相生候选转M11</x:v>
      </x:c>
      <x:c r="Q77" s="68" t="str">
        <x:v>需结合M09日主承载判断</x:v>
      </x:c>
      <x:c r="R77" s="82" t="str">
        <x:v>待定</x:v>
      </x:c>
      <x:c r="S77" s="68" t="str">
        <x:v>正财有效且正官存在，生扶路径连续</x:v>
      </x:c>
      <x:c r="T77" s="68" t="str">
        <x:v>M02十神映射、M08五行有效旺衰、M09日主旺衰已完成</x:v>
      </x:c>
      <x:c r="U77" s="68" t="str">
        <x:v>相关十神已由M02正确映射，并以M08有效力量为准</x:v>
      </x:c>
      <x:c r="V77" s="68" t="str">
        <x:v>得令、有根、透干、同党或生源形成独立有效证据</x:v>
      </x:c>
      <x:c r="W77" s="68" t="str">
        <x:v>失令、无根、被合绊、被制、改性或作用路径受阻</x:v>
      </x:c>
      <x:c r="X77" s="90" t="str">
        <x:v>不得以十神名称、数量或单一旺弱证据直接完成定性</x:v>
      </x:c>
      <x:c r="Y77" s="68" t="str">
        <x:v>特殊格局、从化候选及明确组合转M11/M14另审</x:v>
      </x:c>
      <x:c r="Z77" s="68" t="str">
        <x:v>不得直接推出吉凶、具体事件、亲属结果或最终喜忌</x:v>
      </x:c>
      <x:c r="AA77" s="84" t="str">
        <x:v>财生官接口</x:v>
      </x:c>
      <x:c r="AB77" s="84" t="str">
        <x:v>财生官必须官星能够承接：当“正财有效且正官存在，生扶路径连续”成立时，按本规则记录十神的有效功能；同时保留制化、承载和反向证据。</x:v>
      </x:c>
      <x:c r="AC77" s="82" t="str">
        <x:v>较高</x:v>
      </x:c>
      <x:c r="AD77" s="82" t="str">
        <x:v>现代综合</x:v>
      </x:c>
      <x:c r="AE77" s="68" t="str">
        <x:v>十神必须分开判断存在性、力量、清纯度、功能性与喜忌性；M10只形成结构层结论和候选，不越级替代M11—M18。</x:v>
      </x:c>
      <x:c r="AF77" s="68" t="str">
        <x:v>相关条件真实成立，且增强条件有效时，可按“财生官必须官星能够承接”记录对应功能。</x:v>
      </x:c>
      <x:c r="AG77" s="90" t="str">
        <x:v>仅见表面十神名称或数量，但“不得以十神名称、数量或单一旺弱证据直接完成定性”所述限制存在时，不得套用本规则。</x:v>
      </x:c>
      <x:c r="AH77" s="68" t="str">
        <x:v>https://zh.wikisource.org/wiki/%E6%B8%8A%E6%B5%B7%E5%AD%90%E5%B9%B3%E5%A4%A7%E5%85%A8 ; https://zh.wikisource.org/wiki/%E6%BB%B4%E5%A4%A9%E9%AB%93%E9%97%A1%E5%BE%AE</x:v>
      </x:c>
      <x:c r="AI77" s="82" t="str">
        <x:v>采用</x:v>
      </x:c>
      <x:c r="AJ77" s="82" t="str">
        <x:v>初审</x:v>
      </x:c>
      <x:c r="AK77" s="87" t="n">
        <x:v>46255</x:v>
      </x:c>
    </x:row>
    <x:row r="78">
      <x:c r="A78" s="72" t="str">
        <x:f>IF(OR(C78="",D78=""),"",B78&amp;"-"&amp;UPPER(C78)&amp;"-"&amp;TEXT(D78,"0000")&amp;"-"&amp;E78)</x:f>
        <x:v>M10-CAI-0072-V1.0</x:v>
      </x:c>
      <x:c r="B78" s="74" t="str">
        <x:v>M10</x:v>
      </x:c>
      <x:c r="C78" s="74" t="str">
        <x:v>CAI</x:v>
      </x:c>
      <x:c r="D78" s="215" t="n">
        <x:v>72</x:v>
      </x:c>
      <x:c r="E78" s="74" t="str">
        <x:v>V1.0</x:v>
      </x:c>
      <x:c r="F78" s="68" t="str">
        <x:v>财生杀会同时增加日主官杀负荷</x:v>
      </x:c>
      <x:c r="G78" s="82" t="str">
        <x:v>结构层</x:v>
      </x:c>
      <x:c r="H78" s="82" t="str">
        <x:v>偏财</x:v>
      </x:c>
      <x:c r="I78" s="82" t="str">
        <x:v>待定</x:v>
      </x:c>
      <x:c r="J78" s="82" t="str">
        <x:v>待定</x:v>
      </x:c>
      <x:c r="K78" s="82" t="str">
        <x:v>待定</x:v>
      </x:c>
      <x:c r="L78" s="82" t="str">
        <x:v>待定</x:v>
      </x:c>
      <x:c r="M78" s="68" t="str">
        <x:v>偏财生杀</x:v>
      </x:c>
      <x:c r="N78" s="68" t="str">
        <x:v>按M06/M08核查</x:v>
      </x:c>
      <x:c r="O78" s="82" t="str">
        <x:v>待定</x:v>
      </x:c>
      <x:c r="P78" s="68" t="str">
        <x:v>转M11/M14判断</x:v>
      </x:c>
      <x:c r="Q78" s="68" t="str">
        <x:v>间接提高七杀制身压力</x:v>
      </x:c>
      <x:c r="R78" s="82" t="str">
        <x:v>待定</x:v>
      </x:c>
      <x:c r="S78" s="68" t="str">
        <x:v>偏财有效生七杀，且七杀能够承接</x:v>
      </x:c>
      <x:c r="T78" s="68" t="str">
        <x:v>M02十神映射、M08五行有效旺衰、M09日主旺衰已完成</x:v>
      </x:c>
      <x:c r="U78" s="68" t="str">
        <x:v>相关十神已由M02正确映射，并以M08有效力量为准</x:v>
      </x:c>
      <x:c r="V78" s="68" t="str">
        <x:v>得令、有根、透干、同党或生源形成独立有效证据</x:v>
      </x:c>
      <x:c r="W78" s="68" t="str">
        <x:v>失令、无根、被合绊、被制、改性或作用路径受阻</x:v>
      </x:c>
      <x:c r="X78" s="90" t="str">
        <x:v>不得以十神名称、数量或单一旺弱证据直接完成定性</x:v>
      </x:c>
      <x:c r="Y78" s="68" t="str">
        <x:v>特殊格局、从化候选及明确组合转M11/M14另审</x:v>
      </x:c>
      <x:c r="Z78" s="68" t="str">
        <x:v>不得直接推出吉凶、具体事件、亲属结果或最终喜忌</x:v>
      </x:c>
      <x:c r="AA78" s="84" t="str">
        <x:v>财生杀加压</x:v>
      </x:c>
      <x:c r="AB78" s="84" t="str">
        <x:v>财生杀会同时增加日主官杀负荷：当“偏财有效生七杀，且七杀能够承接”成立时，按本规则记录十神的有效功能；同时保留制化、承载和反向证据。</x:v>
      </x:c>
      <x:c r="AC78" s="82" t="str">
        <x:v>较高</x:v>
      </x:c>
      <x:c r="AD78" s="82" t="str">
        <x:v>现代综合</x:v>
      </x:c>
      <x:c r="AE78" s="68" t="str">
        <x:v>十神必须分开判断存在性、力量、清纯度、功能性与喜忌性；M10只形成结构层结论和候选，不越级替代M11—M18。</x:v>
      </x:c>
      <x:c r="AF78" s="68" t="str">
        <x:v>相关条件真实成立，且增强条件有效时，可按“财生杀会同时增加日主官杀负荷”记录对应功能。</x:v>
      </x:c>
      <x:c r="AG78" s="90" t="str">
        <x:v>仅见表面十神名称或数量，但“不得以十神名称、数量或单一旺弱证据直接完成定性”所述限制存在时，不得套用本规则。</x:v>
      </x:c>
      <x:c r="AH78" s="68" t="str">
        <x:v>https://zh.wikisource.org/wiki/%E6%B8%8A%E6%B5%B7%E5%AD%90%E5%B9%B3%E5%A4%A7%E5%85%A8 ; https://zh.wikisource.org/wiki/%E6%BB%B4%E5%A4%A9%E9%AB%93%E9%97%A1%E5%BE%AE</x:v>
      </x:c>
      <x:c r="AI78" s="82" t="str">
        <x:v>采用</x:v>
      </x:c>
      <x:c r="AJ78" s="82" t="str">
        <x:v>初审</x:v>
      </x:c>
      <x:c r="AK78" s="87" t="n">
        <x:v>46255</x:v>
      </x:c>
    </x:row>
    <x:row r="79">
      <x:c r="A79" s="72" t="str">
        <x:f>IF(OR(C79="",D79=""),"",B79&amp;"-"&amp;UPPER(C79)&amp;"-"&amp;TEXT(D79,"0000")&amp;"-"&amp;E79)</x:f>
        <x:v>M10-CAI-0073-V1.0</x:v>
      </x:c>
      <x:c r="B79" s="74" t="str">
        <x:v>M10</x:v>
      </x:c>
      <x:c r="C79" s="74" t="str">
        <x:v>CAI</x:v>
      </x:c>
      <x:c r="D79" s="215" t="n">
        <x:v>73</x:v>
      </x:c>
      <x:c r="E79" s="74" t="str">
        <x:v>V1.0</x:v>
      </x:c>
      <x:c r="F79" s="68" t="str">
        <x:v>食伤生财链成立时财星来源更稳定</x:v>
      </x:c>
      <x:c r="G79" s="82" t="str">
        <x:v>结构层</x:v>
      </x:c>
      <x:c r="H79" s="82" t="str">
        <x:v>正财</x:v>
      </x:c>
      <x:c r="I79" s="82" t="str">
        <x:v>待定</x:v>
      </x:c>
      <x:c r="J79" s="82" t="str">
        <x:v>待定</x:v>
      </x:c>
      <x:c r="K79" s="82" t="str">
        <x:v>待定</x:v>
      </x:c>
      <x:c r="L79" s="82" t="str">
        <x:v>待定</x:v>
      </x:c>
      <x:c r="M79" s="68" t="str">
        <x:v>食伤为财星有效生源</x:v>
      </x:c>
      <x:c r="N79" s="68" t="str">
        <x:v>按M06/M08核查</x:v>
      </x:c>
      <x:c r="O79" s="82" t="str">
        <x:v>待定</x:v>
      </x:c>
      <x:c r="P79" s="68" t="str">
        <x:v>转M11/M14判断</x:v>
      </x:c>
      <x:c r="Q79" s="68" t="str">
        <x:v>需结合M09日主承载判断</x:v>
      </x:c>
      <x:c r="R79" s="82" t="str">
        <x:v>待定</x:v>
      </x:c>
      <x:c r="S79" s="68" t="str">
        <x:v>食伤有效生正财且中间无阻断</x:v>
      </x:c>
      <x:c r="T79" s="68" t="str">
        <x:v>M02十神映射、M08五行有效旺衰、M09日主旺衰已完成</x:v>
      </x:c>
      <x:c r="U79" s="68" t="str">
        <x:v>相关十神已由M02正确映射，并以M08有效力量为准</x:v>
      </x:c>
      <x:c r="V79" s="68" t="str">
        <x:v>得令、有根、透干、同党或生源形成独立有效证据</x:v>
      </x:c>
      <x:c r="W79" s="68" t="str">
        <x:v>失令、无根、被合绊、被制、改性或作用路径受阻</x:v>
      </x:c>
      <x:c r="X79" s="90" t="str">
        <x:v>不得以十神名称、数量或单一旺弱证据直接完成定性</x:v>
      </x:c>
      <x:c r="Y79" s="68" t="str">
        <x:v>特殊格局、从化候选及明确组合转M11/M14另审</x:v>
      </x:c>
      <x:c r="Z79" s="68" t="str">
        <x:v>不得直接推出吉凶、具体事件、亲属结果或最终喜忌</x:v>
      </x:c>
      <x:c r="AA79" s="84" t="str">
        <x:v>食伤生财来源</x:v>
      </x:c>
      <x:c r="AB79" s="84" t="str">
        <x:v>食伤生财链成立时财星来源更稳定：当“食伤有效生正财且中间无阻断”成立时，按本规则记录十神的有效功能；同时保留制化、承载和反向证据。</x:v>
      </x:c>
      <x:c r="AC79" s="82" t="str">
        <x:v>较高</x:v>
      </x:c>
      <x:c r="AD79" s="82" t="str">
        <x:v>现代综合</x:v>
      </x:c>
      <x:c r="AE79" s="68" t="str">
        <x:v>十神必须分开判断存在性、力量、清纯度、功能性与喜忌性；M10只形成结构层结论和候选，不越级替代M11—M18。</x:v>
      </x:c>
      <x:c r="AF79" s="68" t="str">
        <x:v>相关条件真实成立，且增强条件有效时，可按“食伤生财链成立时财星来源更稳定”记录对应功能。</x:v>
      </x:c>
      <x:c r="AG79" s="90" t="str">
        <x:v>仅见表面十神名称或数量，但“不得以十神名称、数量或单一旺弱证据直接完成定性”所述限制存在时，不得套用本规则。</x:v>
      </x:c>
      <x:c r="AH79" s="68" t="str">
        <x:v>https://zh.wikisource.org/wiki/%E6%B8%8A%E6%B5%B7%E5%AD%90%E5%B9%B3%E5%A4%A7%E5%85%A8 ; https://zh.wikisource.org/wiki/%E6%BB%B4%E5%A4%A9%E9%AB%93%E9%97%A1%E5%BE%AE</x:v>
      </x:c>
      <x:c r="AI79" s="82" t="str">
        <x:v>采用</x:v>
      </x:c>
      <x:c r="AJ79" s="82" t="str">
        <x:v>初审</x:v>
      </x:c>
      <x:c r="AK79" s="87" t="n">
        <x:v>46255</x:v>
      </x:c>
    </x:row>
    <x:row r="80">
      <x:c r="A80" s="72" t="str">
        <x:f>IF(OR(C80="",D80=""),"",B80&amp;"-"&amp;UPPER(C80)&amp;"-"&amp;TEXT(D80,"0000")&amp;"-"&amp;E80)</x:f>
        <x:v>M10-CAI-0074-V1.0</x:v>
      </x:c>
      <x:c r="B80" s="74" t="str">
        <x:v>M10</x:v>
      </x:c>
      <x:c r="C80" s="74" t="str">
        <x:v>CAI</x:v>
      </x:c>
      <x:c r="D80" s="215" t="n">
        <x:v>74</x:v>
      </x:c>
      <x:c r="E80" s="74" t="str">
        <x:v>V1.0</x:v>
      </x:c>
      <x:c r="F80" s="68" t="str">
        <x:v>财星多现但受制严重时不按财旺处理</x:v>
      </x:c>
      <x:c r="G80" s="82" t="str">
        <x:v>结构层</x:v>
      </x:c>
      <x:c r="H80" s="82" t="str">
        <x:v>偏财</x:v>
      </x:c>
      <x:c r="I80" s="82" t="str">
        <x:v>多处出现</x:v>
      </x:c>
      <x:c r="J80" s="82" t="str">
        <x:v>待定</x:v>
      </x:c>
      <x:c r="K80" s="82" t="str">
        <x:v>中和偏弱</x:v>
      </x:c>
      <x:c r="L80" s="82" t="str">
        <x:v>待定</x:v>
      </x:c>
      <x:c r="M80" s="68" t="str">
        <x:v>按M08核查</x:v>
      </x:c>
      <x:c r="N80" s="68" t="str">
        <x:v>按M06/M08核查</x:v>
      </x:c>
      <x:c r="O80" s="82" t="str">
        <x:v>受限</x:v>
      </x:c>
      <x:c r="P80" s="68" t="str">
        <x:v>转M11/M14判断</x:v>
      </x:c>
      <x:c r="Q80" s="68" t="str">
        <x:v>需结合M09日主承载判断</x:v>
      </x:c>
      <x:c r="R80" s="82" t="str">
        <x:v>待定</x:v>
      </x:c>
      <x:c r="S80" s="68" t="str">
        <x:v>偏财多处出现，但主要节点被比劫制、合绊或改性</x:v>
      </x:c>
      <x:c r="T80" s="68" t="str">
        <x:v>M02十神映射、M08五行有效旺衰、M09日主旺衰已完成</x:v>
      </x:c>
      <x:c r="U80" s="68" t="str">
        <x:v>相关十神已由M02正确映射，并以M08有效力量为准</x:v>
      </x:c>
      <x:c r="V80" s="68" t="str">
        <x:v>得令、有根、透干、同党或生源形成独立有效证据</x:v>
      </x:c>
      <x:c r="W80" s="68" t="str">
        <x:v>失令、无根、被合绊、被制、改性或作用路径受阻</x:v>
      </x:c>
      <x:c r="X80" s="90" t="str">
        <x:v>不得以十神名称、数量或单一旺弱证据直接完成定性</x:v>
      </x:c>
      <x:c r="Y80" s="68" t="str">
        <x:v>特殊格局、从化候选及明确组合转M11/M14另审</x:v>
      </x:c>
      <x:c r="Z80" s="68" t="str">
        <x:v>不得直接推出吉凶、具体事件、亲属结果或最终喜忌</x:v>
      </x:c>
      <x:c r="AA80" s="84" t="str">
        <x:v>财多而效弱</x:v>
      </x:c>
      <x:c r="AB80" s="84" t="str">
        <x:v>财星多现但受制严重时不按财旺处理：当“偏财多处出现，但主要节点被比劫制、合绊或改性”成立时，按本规则记录十神的有效功能；同时保留制化、承载和反向证据。</x:v>
      </x:c>
      <x:c r="AC80" s="82" t="str">
        <x:v>较高</x:v>
      </x:c>
      <x:c r="AD80" s="82" t="str">
        <x:v>现代综合</x:v>
      </x:c>
      <x:c r="AE80" s="68" t="str">
        <x:v>十神必须分开判断存在性、力量、清纯度、功能性与喜忌性；M10只形成结构层结论和候选，不越级替代M11—M18。</x:v>
      </x:c>
      <x:c r="AF80" s="68" t="str">
        <x:v>相关条件真实成立，且增强条件有效时，可按“财星多现但受制严重时不按财旺处理”记录对应功能。</x:v>
      </x:c>
      <x:c r="AG80" s="90" t="str">
        <x:v>仅见表面十神名称或数量，但“不得以十神名称、数量或单一旺弱证据直接完成定性”所述限制存在时，不得套用本规则。</x:v>
      </x:c>
      <x:c r="AH80" s="68" t="str">
        <x:v>https://zh.wikisource.org/wiki/%E6%B8%8A%E6%B5%B7%E5%AD%90%E5%B9%B3%E5%A4%A7%E5%85%A8 ; https://zh.wikisource.org/wiki/%E6%BB%B4%E5%A4%A9%E9%AB%93%E9%97%A1%E5%BE%AE</x:v>
      </x:c>
      <x:c r="AI80" s="82" t="str">
        <x:v>采用</x:v>
      </x:c>
      <x:c r="AJ80" s="82" t="str">
        <x:v>初审</x:v>
      </x:c>
      <x:c r="AK80" s="87" t="n">
        <x:v>46255</x:v>
      </x:c>
    </x:row>
    <x:row r="81">
      <x:c r="A81" s="72" t="str">
        <x:f>IF(OR(C81="",D81=""),"",B81&amp;"-"&amp;UPPER(C81)&amp;"-"&amp;TEXT(D81,"0000")&amp;"-"&amp;E81)</x:f>
        <x:v>M10-CAI-0075-V1.0</x:v>
      </x:c>
      <x:c r="B81" s="74" t="str">
        <x:v>M10</x:v>
      </x:c>
      <x:c r="C81" s="74" t="str">
        <x:v>CAI</x:v>
      </x:c>
      <x:c r="D81" s="215" t="n">
        <x:v>75</x:v>
      </x:c>
      <x:c r="E81" s="74" t="str">
        <x:v>V1.0</x:v>
      </x:c>
      <x:c r="F81" s="68" t="str">
        <x:v>财星旺弱与财富结果必须分离</x:v>
      </x:c>
      <x:c r="G81" s="82" t="str">
        <x:v>结构层</x:v>
      </x:c>
      <x:c r="H81" s="82" t="str">
        <x:v>正财</x:v>
      </x:c>
      <x:c r="I81" s="82" t="str">
        <x:v>待定</x:v>
      </x:c>
      <x:c r="J81" s="82" t="str">
        <x:v>待定</x:v>
      </x:c>
      <x:c r="K81" s="82" t="str">
        <x:v>待定</x:v>
      </x:c>
      <x:c r="L81" s="82" t="str">
        <x:v>待定</x:v>
      </x:c>
      <x:c r="M81" s="68" t="str">
        <x:v>按M08核查</x:v>
      </x:c>
      <x:c r="N81" s="68" t="str">
        <x:v>按M06/M08核查</x:v>
      </x:c>
      <x:c r="O81" s="82" t="str">
        <x:v>待定</x:v>
      </x:c>
      <x:c r="P81" s="68" t="str">
        <x:v>转M11/M14判断</x:v>
      </x:c>
      <x:c r="Q81" s="68" t="str">
        <x:v>需结合M09日主承载判断</x:v>
      </x:c>
      <x:c r="R81" s="82" t="str">
        <x:v>待定</x:v>
      </x:c>
      <x:c r="S81" s="68" t="str">
        <x:v>财星有效旺衰已经确定</x:v>
      </x:c>
      <x:c r="T81" s="68" t="str">
        <x:v>M02十神映射、M08五行有效旺衰、M09日主旺衰已完成</x:v>
      </x:c>
      <x:c r="U81" s="68" t="str">
        <x:v>相关十神已由M02正确映射，并以M08有效力量为准</x:v>
      </x:c>
      <x:c r="V81" s="68" t="str">
        <x:v>得令、有根、透干、同党或生源形成独立有效证据</x:v>
      </x:c>
      <x:c r="W81" s="68" t="str">
        <x:v>失令、无根、被合绊、被制、改性或作用路径受阻</x:v>
      </x:c>
      <x:c r="X81" s="90" t="str">
        <x:v>不得以十神名称、数量或单一旺弱证据直接完成定性</x:v>
      </x:c>
      <x:c r="Y81" s="68" t="str">
        <x:v>特殊格局、从化候选及明确组合转M11/M14另审</x:v>
      </x:c>
      <x:c r="Z81" s="68" t="str">
        <x:v>不得由财旺直接推出富、财弱直接推出贫或具体收入水平</x:v>
      </x:c>
      <x:c r="AA81" s="84" t="str">
        <x:v>财星力量价值分离</x:v>
      </x:c>
      <x:c r="AB81" s="84" t="str">
        <x:v>财星旺弱与财富结果必须分离：当“财星有效旺衰已经确定”成立时，按本规则记录十神的有效功能；同时保留制化、承载和反向证据。</x:v>
      </x:c>
      <x:c r="AC81" s="82" t="str">
        <x:v>较高</x:v>
      </x:c>
      <x:c r="AD81" s="82" t="str">
        <x:v>现代综合</x:v>
      </x:c>
      <x:c r="AE81" s="68" t="str">
        <x:v>十神必须分开判断存在性、力量、清纯度、功能性与喜忌性；M10只形成结构层结论和候选，不越级替代M11—M18。</x:v>
      </x:c>
      <x:c r="AF81" s="68" t="str">
        <x:v>相关条件真实成立，且增强条件有效时，可按“财星旺弱与财富结果必须分离”记录对应功能。</x:v>
      </x:c>
      <x:c r="AG81" s="90" t="str">
        <x:v>仅见表面十神名称或数量，但“不得以十神名称、数量或单一旺弱证据直接完成定性”所述限制存在时，不得套用本规则。</x:v>
      </x:c>
      <x:c r="AH81" s="68" t="str">
        <x:v>https://zh.wikisource.org/wiki/%E6%B8%8A%E6%B5%B7%E5%AD%90%E5%B9%B3%E5%A4%A7%E5%85%A8 ; https://zh.wikisource.org/wiki/%E6%BB%B4%E5%A4%A9%E9%AB%93%E9%97%A1%E5%BE%AE</x:v>
      </x:c>
      <x:c r="AI81" s="82" t="str">
        <x:v>采用</x:v>
      </x:c>
      <x:c r="AJ81" s="82" t="str">
        <x:v>初审</x:v>
      </x:c>
      <x:c r="AK81" s="87" t="n">
        <x:v>46255</x:v>
      </x:c>
    </x:row>
    <x:row r="82">
      <x:c r="A82" s="72" t="str">
        <x:f>IF(OR(C82="",D82=""),"",B82&amp;"-"&amp;UPPER(C82)&amp;"-"&amp;TEXT(D82,"0000")&amp;"-"&amp;E82)</x:f>
        <x:v>M10-CAI-0076-V1.0</x:v>
      </x:c>
      <x:c r="B82" s="74" t="str">
        <x:v>M10</x:v>
      </x:c>
      <x:c r="C82" s="74" t="str">
        <x:v>CAI</x:v>
      </x:c>
      <x:c r="D82" s="215" t="n">
        <x:v>76</x:v>
      </x:c>
      <x:c r="E82" s="74" t="str">
        <x:v>V1.0</x:v>
      </x:c>
      <x:c r="F82" s="68" t="str">
        <x:v>财星喜忌须同时读取日主承载与格局功能</x:v>
      </x:c>
      <x:c r="G82" s="82" t="str">
        <x:v>结构层</x:v>
      </x:c>
      <x:c r="H82" s="82" t="str">
        <x:v>偏财</x:v>
      </x:c>
      <x:c r="I82" s="82" t="str">
        <x:v>待定</x:v>
      </x:c>
      <x:c r="J82" s="82" t="str">
        <x:v>待定</x:v>
      </x:c>
      <x:c r="K82" s="82" t="str">
        <x:v>待定</x:v>
      </x:c>
      <x:c r="L82" s="82" t="str">
        <x:v>待定</x:v>
      </x:c>
      <x:c r="M82" s="68" t="str">
        <x:v>按M08核查</x:v>
      </x:c>
      <x:c r="N82" s="68" t="str">
        <x:v>按M06/M08核查</x:v>
      </x:c>
      <x:c r="O82" s="82" t="str">
        <x:v>待定</x:v>
      </x:c>
      <x:c r="P82" s="68" t="str">
        <x:v>转M11/M14判断</x:v>
      </x:c>
      <x:c r="Q82" s="68" t="str">
        <x:v>需结合M09日主承载判断</x:v>
      </x:c>
      <x:c r="R82" s="82" t="str">
        <x:v>待定</x:v>
      </x:c>
      <x:c r="S82" s="68" t="str">
        <x:v>判断偏财价值时，同时核查M09承载和M11/M14结构角色</x:v>
      </x:c>
      <x:c r="T82" s="68" t="str">
        <x:v>M02十神映射、M08五行有效旺衰、M09日主旺衰已完成</x:v>
      </x:c>
      <x:c r="U82" s="68" t="str">
        <x:v>相关十神已由M02正确映射，并以M08有效力量为准</x:v>
      </x:c>
      <x:c r="V82" s="68" t="str">
        <x:v>得令、有根、透干、同党或生源形成独立有效证据</x:v>
      </x:c>
      <x:c r="W82" s="68" t="str">
        <x:v>失令、无根、被合绊、被制、改性或作用路径受阻</x:v>
      </x:c>
      <x:c r="X82" s="90" t="str">
        <x:v>不得以十神名称、数量或单一旺弱证据直接完成定性</x:v>
      </x:c>
      <x:c r="Y82" s="68" t="str">
        <x:v>特殊格局、从化候选及明确组合转M11/M14另审</x:v>
      </x:c>
      <x:c r="Z82" s="68" t="str">
        <x:v>不得直接推出吉凶、具体事件、亲属结果或最终喜忌</x:v>
      </x:c>
      <x:c r="AA82" s="84" t="str">
        <x:v>财星喜忌联判</x:v>
      </x:c>
      <x:c r="AB82" s="84" t="str">
        <x:v>财星喜忌须同时读取日主承载与格局功能：当“判断偏财价值时，同时核查M09承载和M11/M14结构角色”成立时，按本规则记录十神的有效功能；同时保留制化、承载和反向证据。</x:v>
      </x:c>
      <x:c r="AC82" s="82" t="str">
        <x:v>较高</x:v>
      </x:c>
      <x:c r="AD82" s="82" t="str">
        <x:v>现代综合</x:v>
      </x:c>
      <x:c r="AE82" s="68" t="str">
        <x:v>十神必须分开判断存在性、力量、清纯度、功能性与喜忌性；M10只形成结构层结论和候选，不越级替代M11—M18。</x:v>
      </x:c>
      <x:c r="AF82" s="68" t="str">
        <x:v>相关条件真实成立，且增强条件有效时，可按“财星喜忌须同时读取日主承载与格局功能”记录对应功能。</x:v>
      </x:c>
      <x:c r="AG82" s="90" t="str">
        <x:v>仅见表面十神名称或数量，但“不得以十神名称、数量或单一旺弱证据直接完成定性”所述限制存在时，不得套用本规则。</x:v>
      </x:c>
      <x:c r="AH82" s="68" t="str">
        <x:v>https://zh.wikisource.org/wiki/%E6%B8%8A%E6%B5%B7%E5%AD%90%E5%B9%B3%E5%A4%A7%E5%85%A8 ; https://zh.wikisource.org/wiki/%E6%BB%B4%E5%A4%A9%E9%AB%93%E9%97%A1%E5%BE%AE</x:v>
      </x:c>
      <x:c r="AI82" s="82" t="str">
        <x:v>采用</x:v>
      </x:c>
      <x:c r="AJ82" s="82" t="str">
        <x:v>初审</x:v>
      </x:c>
      <x:c r="AK82" s="87" t="n">
        <x:v>46255</x:v>
      </x:c>
    </x:row>
    <x:row r="83">
      <x:c r="A83" s="72" t="str">
        <x:f>IF(OR(C83="",D83=""),"",B83&amp;"-"&amp;UPPER(C83)&amp;"-"&amp;TEXT(D83,"0000")&amp;"-"&amp;E83)</x:f>
        <x:v>M10-GUANSHA-0077-V1.0</x:v>
      </x:c>
      <x:c r="B83" s="74" t="str">
        <x:v>M10</x:v>
      </x:c>
      <x:c r="C83" s="74" t="str">
        <x:v>GUANSHA</x:v>
      </x:c>
      <x:c r="D83" s="215" t="n">
        <x:v>77</x:v>
      </x:c>
      <x:c r="E83" s="74" t="str">
        <x:v>V1.0</x:v>
      </x:c>
      <x:c r="F83" s="68" t="str">
        <x:v>有效正官首先承担制身和生印接口</x:v>
      </x:c>
      <x:c r="G83" s="82" t="str">
        <x:v>结构层</x:v>
      </x:c>
      <x:c r="H83" s="82" t="str">
        <x:v>正官</x:v>
      </x:c>
      <x:c r="I83" s="82" t="str">
        <x:v>待定</x:v>
      </x:c>
      <x:c r="J83" s="82" t="str">
        <x:v>待定</x:v>
      </x:c>
      <x:c r="K83" s="82" t="str">
        <x:v>待定</x:v>
      </x:c>
      <x:c r="L83" s="82" t="str">
        <x:v>待定</x:v>
      </x:c>
      <x:c r="M83" s="68" t="str">
        <x:v>按M08核查</x:v>
      </x:c>
      <x:c r="N83" s="68" t="str">
        <x:v>按M06/M08核查</x:v>
      </x:c>
      <x:c r="O83" s="82" t="str">
        <x:v>正常发挥</x:v>
      </x:c>
      <x:c r="P83" s="68" t="str">
        <x:v>转M11/M14判断</x:v>
      </x:c>
      <x:c r="Q83" s="68" t="str">
        <x:v>对日主形成规范性克制，并可生印</x:v>
      </x:c>
      <x:c r="R83" s="82" t="str">
        <x:v>待定</x:v>
      </x:c>
      <x:c r="S83" s="68" t="str">
        <x:v>正官有效存在</x:v>
      </x:c>
      <x:c r="T83" s="68" t="str">
        <x:v>M02十神映射、M08五行有效旺衰、M09日主旺衰已完成</x:v>
      </x:c>
      <x:c r="U83" s="68" t="str">
        <x:v>相关十神已由M02正确映射，并以M08有效力量为准</x:v>
      </x:c>
      <x:c r="V83" s="68" t="str">
        <x:v>得令、有根、透干、同党或生源形成独立有效证据</x:v>
      </x:c>
      <x:c r="W83" s="68" t="str">
        <x:v>失令、无根、被合绊、被制、改性或作用路径受阻</x:v>
      </x:c>
      <x:c r="X83" s="90" t="str">
        <x:v>不得以十神名称、数量或单一旺弱证据直接完成定性</x:v>
      </x:c>
      <x:c r="Y83" s="68" t="str">
        <x:v>特殊格局、从化候选及明确组合转M11/M14另审</x:v>
      </x:c>
      <x:c r="Z83" s="68" t="str">
        <x:v>不得直接推出吉凶、具体事件、亲属结果或最终喜忌</x:v>
      </x:c>
      <x:c r="AA83" s="84" t="str">
        <x:v>正官基本功能</x:v>
      </x:c>
      <x:c r="AB83" s="84" t="str">
        <x:v>有效正官首先承担制身和生印接口：当“正官有效存在”成立时，按本规则记录十神的有效功能；同时保留制化、承载和反向证据。</x:v>
      </x:c>
      <x:c r="AC83" s="82" t="str">
        <x:v>较高</x:v>
      </x:c>
      <x:c r="AD83" s="82" t="str">
        <x:v>现代综合</x:v>
      </x:c>
      <x:c r="AE83" s="68" t="str">
        <x:v>十神必须分开判断存在性、力量、清纯度、功能性与喜忌性；M10只形成结构层结论和候选，不越级替代M11—M18。</x:v>
      </x:c>
      <x:c r="AF83" s="68" t="str">
        <x:v>相关条件真实成立，且增强条件有效时，可按“有效正官首先承担制身和生印接口”记录对应功能。</x:v>
      </x:c>
      <x:c r="AG83" s="90" t="str">
        <x:v>仅见表面十神名称或数量，但“不得以十神名称、数量或单一旺弱证据直接完成定性”所述限制存在时，不得套用本规则。</x:v>
      </x:c>
      <x:c r="AH83" s="68" t="str">
        <x:v>https://zh.wikisource.org/wiki/%E6%B8%8A%E6%B5%B7%E5%AD%90%E5%B9%B3%E5%A4%A7%E5%85%A8 ; https://zh.wikisource.org/wiki/%E6%BB%B4%E5%A4%A9%E9%AB%93%E9%97%A1%E5%BE%AE</x:v>
      </x:c>
      <x:c r="AI83" s="82" t="str">
        <x:v>采用</x:v>
      </x:c>
      <x:c r="AJ83" s="82" t="str">
        <x:v>初审</x:v>
      </x:c>
      <x:c r="AK83" s="87" t="n">
        <x:v>46255</x:v>
      </x:c>
    </x:row>
    <x:row r="84">
      <x:c r="A84" s="72" t="str">
        <x:f>IF(OR(C84="",D84=""),"",B84&amp;"-"&amp;UPPER(C84)&amp;"-"&amp;TEXT(D84,"0000")&amp;"-"&amp;E84)</x:f>
        <x:v>M10-GUANSHA-0078-V1.0</x:v>
      </x:c>
      <x:c r="B84" s="74" t="str">
        <x:v>M10</x:v>
      </x:c>
      <x:c r="C84" s="74" t="str">
        <x:v>GUANSHA</x:v>
      </x:c>
      <x:c r="D84" s="215" t="n">
        <x:v>78</x:v>
      </x:c>
      <x:c r="E84" s="74" t="str">
        <x:v>V1.0</x:v>
      </x:c>
      <x:c r="F84" s="68" t="str">
        <x:v>有效七杀形成更直接的制身压力候选</x:v>
      </x:c>
      <x:c r="G84" s="82" t="str">
        <x:v>结构层</x:v>
      </x:c>
      <x:c r="H84" s="82" t="str">
        <x:v>七杀</x:v>
      </x:c>
      <x:c r="I84" s="82" t="str">
        <x:v>待定</x:v>
      </x:c>
      <x:c r="J84" s="82" t="str">
        <x:v>待定</x:v>
      </x:c>
      <x:c r="K84" s="82" t="str">
        <x:v>待定</x:v>
      </x:c>
      <x:c r="L84" s="82" t="str">
        <x:v>待定</x:v>
      </x:c>
      <x:c r="M84" s="68" t="str">
        <x:v>按M08核查</x:v>
      </x:c>
      <x:c r="N84" s="68" t="str">
        <x:v>按M06/M08核查</x:v>
      </x:c>
      <x:c r="O84" s="82" t="str">
        <x:v>正常发挥</x:v>
      </x:c>
      <x:c r="P84" s="68" t="str">
        <x:v>转M11/M14判断</x:v>
      </x:c>
      <x:c r="Q84" s="68" t="str">
        <x:v>对日主形成制身压力，强弱取决于七杀有效力和日主承载</x:v>
      </x:c>
      <x:c r="R84" s="82" t="str">
        <x:v>待定</x:v>
      </x:c>
      <x:c r="S84" s="68" t="str">
        <x:v>七杀有效存在</x:v>
      </x:c>
      <x:c r="T84" s="68" t="str">
        <x:v>M02十神映射、M08五行有效旺衰、M09日主旺衰已完成</x:v>
      </x:c>
      <x:c r="U84" s="68" t="str">
        <x:v>相关十神已由M02正确映射，并以M08有效力量为准</x:v>
      </x:c>
      <x:c r="V84" s="68" t="str">
        <x:v>得令、有根、透干、同党或生源形成独立有效证据</x:v>
      </x:c>
      <x:c r="W84" s="68" t="str">
        <x:v>失令、无根、被合绊、被制、改性或作用路径受阻</x:v>
      </x:c>
      <x:c r="X84" s="90" t="str">
        <x:v>不得以十神名称、数量或单一旺弱证据直接完成定性</x:v>
      </x:c>
      <x:c r="Y84" s="68" t="str">
        <x:v>特殊格局、从化候选及明确组合转M11/M14另审</x:v>
      </x:c>
      <x:c r="Z84" s="68" t="str">
        <x:v>不得直接推出吉凶、具体事件、亲属结果或最终喜忌</x:v>
      </x:c>
      <x:c r="AA84" s="84" t="str">
        <x:v>七杀制身</x:v>
      </x:c>
      <x:c r="AB84" s="84" t="str">
        <x:v>有效七杀形成更直接的制身压力候选：当“七杀有效存在”成立时，按本规则记录十神的有效功能；同时保留制化、承载和反向证据。</x:v>
      </x:c>
      <x:c r="AC84" s="82" t="str">
        <x:v>较高</x:v>
      </x:c>
      <x:c r="AD84" s="82" t="str">
        <x:v>现代综合</x:v>
      </x:c>
      <x:c r="AE84" s="68" t="str">
        <x:v>十神必须分开判断存在性、力量、清纯度、功能性与喜忌性；M10只形成结构层结论和候选，不越级替代M11—M18。</x:v>
      </x:c>
      <x:c r="AF84" s="68" t="str">
        <x:v>相关条件真实成立，且增强条件有效时，可按“有效七杀形成更直接的制身压力候选”记录对应功能。</x:v>
      </x:c>
      <x:c r="AG84" s="90" t="str">
        <x:v>仅见表面十神名称或数量，但“不得以十神名称、数量或单一旺弱证据直接完成定性”所述限制存在时，不得套用本规则。</x:v>
      </x:c>
      <x:c r="AH84" s="68" t="str">
        <x:v>https://zh.wikisource.org/wiki/%E6%B8%8A%E6%B5%B7%E5%AD%90%E5%B9%B3%E5%A4%A7%E5%85%A8 ; https://zh.wikisource.org/wiki/%E6%BB%B4%E5%A4%A9%E9%AB%93%E9%97%A1%E5%BE%AE</x:v>
      </x:c>
      <x:c r="AI84" s="82" t="str">
        <x:v>采用</x:v>
      </x:c>
      <x:c r="AJ84" s="82" t="str">
        <x:v>初审</x:v>
      </x:c>
      <x:c r="AK84" s="87" t="n">
        <x:v>46255</x:v>
      </x:c>
    </x:row>
    <x:row r="85">
      <x:c r="A85" s="72" t="str">
        <x:f>IF(OR(C85="",D85=""),"",B85&amp;"-"&amp;UPPER(C85)&amp;"-"&amp;TEXT(D85,"0000")&amp;"-"&amp;E85)</x:f>
        <x:v>M10-GUANSHA-0079-V1.0</x:v>
      </x:c>
      <x:c r="B85" s="74" t="str">
        <x:v>M10</x:v>
      </x:c>
      <x:c r="C85" s="74" t="str">
        <x:v>GUANSHA</x:v>
      </x:c>
      <x:c r="D85" s="215" t="n">
        <x:v>79</x:v>
      </x:c>
      <x:c r="E85" s="74" t="str">
        <x:v>V1.0</x:v>
      </x:c>
      <x:c r="F85" s="68" t="str">
        <x:v>身旺官星适度可形成制衡候选</x:v>
      </x:c>
      <x:c r="G85" s="82" t="str">
        <x:v>结构层</x:v>
      </x:c>
      <x:c r="H85" s="82" t="str">
        <x:v>正官</x:v>
      </x:c>
      <x:c r="I85" s="82" t="str">
        <x:v>待定</x:v>
      </x:c>
      <x:c r="J85" s="82" t="str">
        <x:v>待定</x:v>
      </x:c>
      <x:c r="K85" s="82" t="str">
        <x:v>待定</x:v>
      </x:c>
      <x:c r="L85" s="82" t="str">
        <x:v>待定</x:v>
      </x:c>
      <x:c r="M85" s="68" t="str">
        <x:v>按M08核查</x:v>
      </x:c>
      <x:c r="N85" s="68" t="str">
        <x:v>按M06/M08核查</x:v>
      </x:c>
      <x:c r="O85" s="82" t="str">
        <x:v>待定</x:v>
      </x:c>
      <x:c r="P85" s="68" t="str">
        <x:v>转M11/M14判断</x:v>
      </x:c>
      <x:c r="Q85" s="68" t="str">
        <x:v>对过强日主形成约束</x:v>
      </x:c>
      <x:c r="R85" s="82" t="str">
        <x:v>条件性喜神</x:v>
      </x:c>
      <x:c r="S85" s="68" t="str">
        <x:v>M09日主旺或中和偏旺，正官有效且不过度</x:v>
      </x:c>
      <x:c r="T85" s="68" t="str">
        <x:v>M02十神映射、M08五行有效旺衰、M09日主旺衰已完成</x:v>
      </x:c>
      <x:c r="U85" s="68" t="str">
        <x:v>相关十神已由M02正确映射，并以M08有效力量为准</x:v>
      </x:c>
      <x:c r="V85" s="68" t="str">
        <x:v>得令、有根、透干、同党或生源形成独立有效证据</x:v>
      </x:c>
      <x:c r="W85" s="68" t="str">
        <x:v>失令、无根、被合绊、被制、改性或作用路径受阻</x:v>
      </x:c>
      <x:c r="X85" s="90" t="str">
        <x:v>不得以十神名称、数量或单一旺弱证据直接完成定性</x:v>
      </x:c>
      <x:c r="Y85" s="68" t="str">
        <x:v>特殊格局、从化候选及明确组合转M11/M14另审</x:v>
      </x:c>
      <x:c r="Z85" s="68" t="str">
        <x:v>不得直接推出吉凶、具体事件、亲属结果或最终喜忌</x:v>
      </x:c>
      <x:c r="AA85" s="84" t="str">
        <x:v>身旺官星制衡</x:v>
      </x:c>
      <x:c r="AB85" s="84" t="str">
        <x:v>身旺官星适度可形成制衡候选：当“M09日主旺或中和偏旺，正官有效且不过度”成立时，按本规则记录十神的有效功能；同时保留制化、承载和反向证据。</x:v>
      </x:c>
      <x:c r="AC85" s="82" t="str">
        <x:v>较高</x:v>
      </x:c>
      <x:c r="AD85" s="82" t="str">
        <x:v>现代综合</x:v>
      </x:c>
      <x:c r="AE85" s="68" t="str">
        <x:v>十神必须分开判断存在性、力量、清纯度、功能性与喜忌性；M10只形成结构层结论和候选，不越级替代M11—M18。</x:v>
      </x:c>
      <x:c r="AF85" s="68" t="str">
        <x:v>相关条件真实成立，且增强条件有效时，可按“身旺官星适度可形成制衡候选”记录对应功能。</x:v>
      </x:c>
      <x:c r="AG85" s="90" t="str">
        <x:v>仅见表面十神名称或数量，但“不得以十神名称、数量或单一旺弱证据直接完成定性”所述限制存在时，不得套用本规则。</x:v>
      </x:c>
      <x:c r="AH85" s="68" t="str">
        <x:v>https://zh.wikisource.org/wiki/%E6%B8%8A%E6%B5%B7%E5%AD%90%E5%B9%B3%E5%A4%A7%E5%85%A8 ; https://zh.wikisource.org/wiki/%E6%BB%B4%E5%A4%A9%E9%AB%93%E9%97%A1%E5%BE%AE</x:v>
      </x:c>
      <x:c r="AI85" s="82" t="str">
        <x:v>采用</x:v>
      </x:c>
      <x:c r="AJ85" s="82" t="str">
        <x:v>初审</x:v>
      </x:c>
      <x:c r="AK85" s="87" t="n">
        <x:v>46255</x:v>
      </x:c>
    </x:row>
    <x:row r="86">
      <x:c r="A86" s="72" t="str">
        <x:f>IF(OR(C86="",D86=""),"",B86&amp;"-"&amp;UPPER(C86)&amp;"-"&amp;TEXT(D86,"0000")&amp;"-"&amp;E86)</x:f>
        <x:v>M10-GUANSHA-0080-V1.0</x:v>
      </x:c>
      <x:c r="B86" s="74" t="str">
        <x:v>M10</x:v>
      </x:c>
      <x:c r="C86" s="74" t="str">
        <x:v>GUANSHA</x:v>
      </x:c>
      <x:c r="D86" s="215" t="n">
        <x:v>80</x:v>
      </x:c>
      <x:c r="E86" s="74" t="str">
        <x:v>V1.0</x:v>
      </x:c>
      <x:c r="F86" s="68" t="str">
        <x:v>身弱杀旺无制化时属于高压力候选</x:v>
      </x:c>
      <x:c r="G86" s="82" t="str">
        <x:v>结构层</x:v>
      </x:c>
      <x:c r="H86" s="82" t="str">
        <x:v>七杀</x:v>
      </x:c>
      <x:c r="I86" s="82" t="str">
        <x:v>待定</x:v>
      </x:c>
      <x:c r="J86" s="82" t="str">
        <x:v>待定</x:v>
      </x:c>
      <x:c r="K86" s="82" t="str">
        <x:v>待定</x:v>
      </x:c>
      <x:c r="L86" s="82" t="str">
        <x:v>待定</x:v>
      </x:c>
      <x:c r="M86" s="68" t="str">
        <x:v>按M08核查</x:v>
      </x:c>
      <x:c r="N86" s="68" t="str">
        <x:v>按M06/M08核查</x:v>
      </x:c>
      <x:c r="O86" s="82" t="str">
        <x:v>过度</x:v>
      </x:c>
      <x:c r="P86" s="68" t="str">
        <x:v>转M11/M14判断</x:v>
      </x:c>
      <x:c r="Q86" s="68" t="str">
        <x:v>制身压力超过承载</x:v>
      </x:c>
      <x:c r="R86" s="82" t="str">
        <x:v>条件性忌神</x:v>
      </x:c>
      <x:c r="S86" s="68" t="str">
        <x:v>M09日主弱或中和偏弱，七杀旺且缺少印化食制</x:v>
      </x:c>
      <x:c r="T86" s="68" t="str">
        <x:v>M02十神映射、M08五行有效旺衰、M09日主旺衰已完成</x:v>
      </x:c>
      <x:c r="U86" s="68" t="str">
        <x:v>相关十神已由M02正确映射，并以M08有效力量为准</x:v>
      </x:c>
      <x:c r="V86" s="68" t="str">
        <x:v>得令、有根、透干、同党或生源形成独立有效证据</x:v>
      </x:c>
      <x:c r="W86" s="68" t="str">
        <x:v>失令、无根、被合绊、被制、改性或作用路径受阻</x:v>
      </x:c>
      <x:c r="X86" s="90" t="str">
        <x:v>不得以十神名称、数量或单一旺弱证据直接完成定性</x:v>
      </x:c>
      <x:c r="Y86" s="68" t="str">
        <x:v>特殊格局、从化候选及明确组合转M11/M14另审</x:v>
      </x:c>
      <x:c r="Z86" s="68" t="str">
        <x:v>不得直接推出吉凶、具体事件、亲属结果或最终喜忌</x:v>
      </x:c>
      <x:c r="AA86" s="84" t="str">
        <x:v>杀旺攻身候选</x:v>
      </x:c>
      <x:c r="AB86" s="84" t="str">
        <x:v>身弱杀旺无制化时属于高压力候选：当“M09日主弱或中和偏弱，七杀旺且缺少印化食制”成立时，按本规则记录十神的有效功能；同时保留制化、承载和反向证据。</x:v>
      </x:c>
      <x:c r="AC86" s="82" t="str">
        <x:v>较高</x:v>
      </x:c>
      <x:c r="AD86" s="82" t="str">
        <x:v>现代综合</x:v>
      </x:c>
      <x:c r="AE86" s="68" t="str">
        <x:v>十神必须分开判断存在性、力量、清纯度、功能性与喜忌性；M10只形成结构层结论和候选，不越级替代M11—M18。</x:v>
      </x:c>
      <x:c r="AF86" s="68" t="str">
        <x:v>相关条件真实成立，且增强条件有效时，可按“身弱杀旺无制化时属于高压力候选”记录对应功能。</x:v>
      </x:c>
      <x:c r="AG86" s="90" t="str">
        <x:v>仅见表面十神名称或数量，但“不得以十神名称、数量或单一旺弱证据直接完成定性”所述限制存在时，不得套用本规则。</x:v>
      </x:c>
      <x:c r="AH86" s="68" t="str">
        <x:v>https://zh.wikisource.org/wiki/%E6%B8%8A%E6%B5%B7%E5%AD%90%E5%B9%B3%E5%A4%A7%E5%85%A8 ; https://zh.wikisource.org/wiki/%E6%BB%B4%E5%A4%A9%E9%AB%93%E9%97%A1%E5%BE%AE</x:v>
      </x:c>
      <x:c r="AI86" s="82" t="str">
        <x:v>采用</x:v>
      </x:c>
      <x:c r="AJ86" s="82" t="str">
        <x:v>初审</x:v>
      </x:c>
      <x:c r="AK86" s="87" t="n">
        <x:v>46255</x:v>
      </x:c>
    </x:row>
    <x:row r="87">
      <x:c r="A87" s="72" t="str">
        <x:f>IF(OR(C87="",D87=""),"",B87&amp;"-"&amp;UPPER(C87)&amp;"-"&amp;TEXT(D87,"0000")&amp;"-"&amp;E87)</x:f>
        <x:v>M10-GUANSHA-0081-V1.0</x:v>
      </x:c>
      <x:c r="B87" s="74" t="str">
        <x:v>M10</x:v>
      </x:c>
      <x:c r="C87" s="74" t="str">
        <x:v>GUANSHA</x:v>
      </x:c>
      <x:c r="D87" s="215" t="n">
        <x:v>81</x:v>
      </x:c>
      <x:c r="E87" s="74" t="str">
        <x:v>V1.0</x:v>
      </x:c>
      <x:c r="F87" s="68" t="str">
        <x:v>正官受伤官有效克制时功能受限</x:v>
      </x:c>
      <x:c r="G87" s="82" t="str">
        <x:v>结构层</x:v>
      </x:c>
      <x:c r="H87" s="82" t="str">
        <x:v>正官</x:v>
      </x:c>
      <x:c r="I87" s="82" t="str">
        <x:v>待定</x:v>
      </x:c>
      <x:c r="J87" s="82" t="str">
        <x:v>待定</x:v>
      </x:c>
      <x:c r="K87" s="82" t="str">
        <x:v>待定</x:v>
      </x:c>
      <x:c r="L87" s="82" t="str">
        <x:v>待定</x:v>
      </x:c>
      <x:c r="M87" s="68" t="str">
        <x:v>按M08核查</x:v>
      </x:c>
      <x:c r="N87" s="68" t="str">
        <x:v>受伤官有效克制</x:v>
      </x:c>
      <x:c r="O87" s="82" t="str">
        <x:v>受限</x:v>
      </x:c>
      <x:c r="P87" s="68" t="str">
        <x:v>转M11/M14判断</x:v>
      </x:c>
      <x:c r="Q87" s="68" t="str">
        <x:v>需结合M09日主承载判断</x:v>
      </x:c>
      <x:c r="R87" s="82" t="str">
        <x:v>待定</x:v>
      </x:c>
      <x:c r="S87" s="68" t="str">
        <x:v>伤官对正官形成实质克制</x:v>
      </x:c>
      <x:c r="T87" s="68" t="str">
        <x:v>M02十神映射、M08五行有效旺衰、M09日主旺衰已完成</x:v>
      </x:c>
      <x:c r="U87" s="68" t="str">
        <x:v>相关十神已由M02正确映射，并以M08有效力量为准</x:v>
      </x:c>
      <x:c r="V87" s="68" t="str">
        <x:v>得令、有根、透干、同党或生源形成独立有效证据</x:v>
      </x:c>
      <x:c r="W87" s="68" t="str">
        <x:v>失令、无根、被合绊、被制、改性或作用路径受阻</x:v>
      </x:c>
      <x:c r="X87" s="90" t="str">
        <x:v>不得以十神名称、数量或单一旺弱证据直接完成定性</x:v>
      </x:c>
      <x:c r="Y87" s="68" t="str">
        <x:v>特殊格局、从化候选及明确组合转M11/M14另审</x:v>
      </x:c>
      <x:c r="Z87" s="68" t="str">
        <x:v>不得直接推出吉凶、具体事件、亲属结果或最终喜忌</x:v>
      </x:c>
      <x:c r="AA87" s="84" t="str">
        <x:v>官受伤官制</x:v>
      </x:c>
      <x:c r="AB87" s="84" t="str">
        <x:v>正官受伤官有效克制时功能受限：当“伤官对正官形成实质克制”成立时，按本规则记录十神的有效功能；同时保留制化、承载和反向证据。</x:v>
      </x:c>
      <x:c r="AC87" s="82" t="str">
        <x:v>较高</x:v>
      </x:c>
      <x:c r="AD87" s="82" t="str">
        <x:v>现代综合</x:v>
      </x:c>
      <x:c r="AE87" s="68" t="str">
        <x:v>十神必须分开判断存在性、力量、清纯度、功能性与喜忌性；M10只形成结构层结论和候选，不越级替代M11—M18。</x:v>
      </x:c>
      <x:c r="AF87" s="68" t="str">
        <x:v>相关条件真实成立，且增强条件有效时，可按“正官受伤官有效克制时功能受限”记录对应功能。</x:v>
      </x:c>
      <x:c r="AG87" s="90" t="str">
        <x:v>仅见表面十神名称或数量，但“不得以十神名称、数量或单一旺弱证据直接完成定性”所述限制存在时，不得套用本规则。</x:v>
      </x:c>
      <x:c r="AH87" s="68" t="str">
        <x:v>https://zh.wikisource.org/wiki/%E6%B8%8A%E6%B5%B7%E5%AD%90%E5%B9%B3%E5%A4%A7%E5%85%A8 ; https://zh.wikisource.org/wiki/%E6%BB%B4%E5%A4%A9%E9%AB%93%E9%97%A1%E5%BE%AE</x:v>
      </x:c>
      <x:c r="AI87" s="82" t="str">
        <x:v>采用</x:v>
      </x:c>
      <x:c r="AJ87" s="82" t="str">
        <x:v>初审</x:v>
      </x:c>
      <x:c r="AK87" s="87" t="n">
        <x:v>46255</x:v>
      </x:c>
    </x:row>
    <x:row r="88">
      <x:c r="A88" s="72" t="str">
        <x:f>IF(OR(C88="",D88=""),"",B88&amp;"-"&amp;UPPER(C88)&amp;"-"&amp;TEXT(D88,"0000")&amp;"-"&amp;E88)</x:f>
        <x:v>M10-GUANSHA-0082-V1.0</x:v>
      </x:c>
      <x:c r="B88" s="74" t="str">
        <x:v>M10</x:v>
      </x:c>
      <x:c r="C88" s="74" t="str">
        <x:v>GUANSHA</x:v>
      </x:c>
      <x:c r="D88" s="215" t="n">
        <x:v>82</x:v>
      </x:c>
      <x:c r="E88" s="74" t="str">
        <x:v>V1.0</x:v>
      </x:c>
      <x:c r="F88" s="68" t="str">
        <x:v>七杀受食神有效制约时制身压力下降</x:v>
      </x:c>
      <x:c r="G88" s="82" t="str">
        <x:v>结构层</x:v>
      </x:c>
      <x:c r="H88" s="82" t="str">
        <x:v>七杀</x:v>
      </x:c>
      <x:c r="I88" s="82" t="str">
        <x:v>待定</x:v>
      </x:c>
      <x:c r="J88" s="82" t="str">
        <x:v>待定</x:v>
      </x:c>
      <x:c r="K88" s="82" t="str">
        <x:v>待定</x:v>
      </x:c>
      <x:c r="L88" s="82" t="str">
        <x:v>待定</x:v>
      </x:c>
      <x:c r="M88" s="68" t="str">
        <x:v>按M08核查</x:v>
      </x:c>
      <x:c r="N88" s="68" t="str">
        <x:v>受食神有效制约</x:v>
      </x:c>
      <x:c r="O88" s="82" t="str">
        <x:v>受限</x:v>
      </x:c>
      <x:c r="P88" s="68" t="str">
        <x:v>食神制杀候选转M11</x:v>
      </x:c>
      <x:c r="Q88" s="68" t="str">
        <x:v>需结合M09日主承载判断</x:v>
      </x:c>
      <x:c r="R88" s="82" t="str">
        <x:v>待定</x:v>
      </x:c>
      <x:c r="S88" s="68" t="str">
        <x:v>食神对七杀形成有效克制且力量匹配</x:v>
      </x:c>
      <x:c r="T88" s="68" t="str">
        <x:v>M02十神映射、M08五行有效旺衰、M09日主旺衰已完成</x:v>
      </x:c>
      <x:c r="U88" s="68" t="str">
        <x:v>相关十神已由M02正确映射，并以M08有效力量为准</x:v>
      </x:c>
      <x:c r="V88" s="68" t="str">
        <x:v>得令、有根、透干、同党或生源形成独立有效证据</x:v>
      </x:c>
      <x:c r="W88" s="68" t="str">
        <x:v>失令、无根、被合绊、被制、改性或作用路径受阻</x:v>
      </x:c>
      <x:c r="X88" s="90" t="str">
        <x:v>不得以十神名称、数量或单一旺弱证据直接完成定性</x:v>
      </x:c>
      <x:c r="Y88" s="68" t="str">
        <x:v>特殊格局、从化候选及明确组合转M11/M14另审</x:v>
      </x:c>
      <x:c r="Z88" s="68" t="str">
        <x:v>不得直接推出吉凶、具体事件、亲属结果或最终喜忌</x:v>
      </x:c>
      <x:c r="AA88" s="84" t="str">
        <x:v>杀受食制</x:v>
      </x:c>
      <x:c r="AB88" s="84" t="str">
        <x:v>七杀受食神有效制约时制身压力下降：当“食神对七杀形成有效克制且力量匹配”成立时，按本规则记录十神的有效功能；同时保留制化、承载和反向证据。</x:v>
      </x:c>
      <x:c r="AC88" s="82" t="str">
        <x:v>较高</x:v>
      </x:c>
      <x:c r="AD88" s="82" t="str">
        <x:v>现代综合</x:v>
      </x:c>
      <x:c r="AE88" s="68" t="str">
        <x:v>十神必须分开判断存在性、力量、清纯度、功能性与喜忌性；M10只形成结构层结论和候选，不越级替代M11—M18。</x:v>
      </x:c>
      <x:c r="AF88" s="68" t="str">
        <x:v>相关条件真实成立，且增强条件有效时，可按“七杀受食神有效制约时制身压力下降”记录对应功能。</x:v>
      </x:c>
      <x:c r="AG88" s="90" t="str">
        <x:v>仅见表面十神名称或数量，但“不得以十神名称、数量或单一旺弱证据直接完成定性”所述限制存在时，不得套用本规则。</x:v>
      </x:c>
      <x:c r="AH88" s="68" t="str">
        <x:v>https://zh.wikisource.org/wiki/%E6%B8%8A%E6%B5%B7%E5%AD%90%E5%B9%B3%E5%A4%A7%E5%85%A8 ; https://zh.wikisource.org/wiki/%E6%BB%B4%E5%A4%A9%E9%AB%93%E9%97%A1%E5%BE%AE</x:v>
      </x:c>
      <x:c r="AI88" s="82" t="str">
        <x:v>采用</x:v>
      </x:c>
      <x:c r="AJ88" s="82" t="str">
        <x:v>初审</x:v>
      </x:c>
      <x:c r="AK88" s="87" t="n">
        <x:v>46255</x:v>
      </x:c>
    </x:row>
    <x:row r="89">
      <x:c r="A89" s="72" t="str">
        <x:f>IF(OR(C89="",D89=""),"",B89&amp;"-"&amp;UPPER(C89)&amp;"-"&amp;TEXT(D89,"0000")&amp;"-"&amp;E89)</x:f>
        <x:v>M10-GUANSHA-0083-V1.0</x:v>
      </x:c>
      <x:c r="B89" s="74" t="str">
        <x:v>M10</x:v>
      </x:c>
      <x:c r="C89" s="74" t="str">
        <x:v>GUANSHA</x:v>
      </x:c>
      <x:c r="D89" s="215" t="n">
        <x:v>83</x:v>
      </x:c>
      <x:c r="E89" s="74" t="str">
        <x:v>V1.0</x:v>
      </x:c>
      <x:c r="F89" s="68" t="str">
        <x:v>七杀生印且印再生身时可由直接压力转为生扶链</x:v>
      </x:c>
      <x:c r="G89" s="82" t="str">
        <x:v>结构层</x:v>
      </x:c>
      <x:c r="H89" s="82" t="str">
        <x:v>七杀</x:v>
      </x:c>
      <x:c r="I89" s="82" t="str">
        <x:v>待定</x:v>
      </x:c>
      <x:c r="J89" s="82" t="str">
        <x:v>待定</x:v>
      </x:c>
      <x:c r="K89" s="82" t="str">
        <x:v>待定</x:v>
      </x:c>
      <x:c r="L89" s="82" t="str">
        <x:v>待定</x:v>
      </x:c>
      <x:c r="M89" s="68" t="str">
        <x:v>按M08核查</x:v>
      </x:c>
      <x:c r="N89" s="68" t="str">
        <x:v>按M06/M08核查</x:v>
      </x:c>
      <x:c r="O89" s="82" t="str">
        <x:v>转化</x:v>
      </x:c>
      <x:c r="P89" s="68" t="str">
        <x:v>杀印相生候选转M11</x:v>
      </x:c>
      <x:c r="Q89" s="68" t="str">
        <x:v>部分制身压力转化为印星生身资源</x:v>
      </x:c>
      <x:c r="R89" s="82" t="str">
        <x:v>待定</x:v>
      </x:c>
      <x:c r="S89" s="68" t="str">
        <x:v>七杀→印→日主链路连续有效</x:v>
      </x:c>
      <x:c r="T89" s="68" t="str">
        <x:v>M02十神映射、M08五行有效旺衰、M09日主旺衰已完成</x:v>
      </x:c>
      <x:c r="U89" s="68" t="str">
        <x:v>相关十神已由M02正确映射，并以M08有效力量为准</x:v>
      </x:c>
      <x:c r="V89" s="68" t="str">
        <x:v>得令、有根、透干、同党或生源形成独立有效证据</x:v>
      </x:c>
      <x:c r="W89" s="68" t="str">
        <x:v>失令、无根、被合绊、被制、改性或作用路径受阻</x:v>
      </x:c>
      <x:c r="X89" s="90" t="str">
        <x:v>不得以十神名称、数量或单一旺弱证据直接完成定性</x:v>
      </x:c>
      <x:c r="Y89" s="68" t="str">
        <x:v>特殊格局、从化候选及明确组合转M11/M14另审</x:v>
      </x:c>
      <x:c r="Z89" s="68" t="str">
        <x:v>不得直接推出吉凶、具体事件、亲属结果或最终喜忌</x:v>
      </x:c>
      <x:c r="AA89" s="84" t="str">
        <x:v>杀印转化</x:v>
      </x:c>
      <x:c r="AB89" s="84" t="str">
        <x:v>七杀生印且印再生身时可由直接压力转为生扶链：当“七杀→印→日主链路连续有效”成立时，按本规则记录十神的有效功能；同时保留制化、承载和反向证据。</x:v>
      </x:c>
      <x:c r="AC89" s="82" t="str">
        <x:v>较高</x:v>
      </x:c>
      <x:c r="AD89" s="82" t="str">
        <x:v>现代综合</x:v>
      </x:c>
      <x:c r="AE89" s="68" t="str">
        <x:v>十神必须分开判断存在性、力量、清纯度、功能性与喜忌性；M10只形成结构层结论和候选，不越级替代M11—M18。</x:v>
      </x:c>
      <x:c r="AF89" s="68" t="str">
        <x:v>相关条件真实成立，且增强条件有效时，可按“七杀生印且印再生身时可由直接压力转为生扶链”记录对应功能。</x:v>
      </x:c>
      <x:c r="AG89" s="90" t="str">
        <x:v>仅见表面十神名称或数量，但“不得以十神名称、数量或单一旺弱证据直接完成定性”所述限制存在时，不得套用本规则。</x:v>
      </x:c>
      <x:c r="AH89" s="68" t="str">
        <x:v>https://zh.wikisource.org/wiki/%E6%B8%8A%E6%B5%B7%E5%AD%90%E5%B9%B3%E5%A4%A7%E5%85%A8 ; https://zh.wikisource.org/wiki/%E6%BB%B4%E5%A4%A9%E9%AB%93%E9%97%A1%E5%BE%AE</x:v>
      </x:c>
      <x:c r="AI89" s="82" t="str">
        <x:v>采用</x:v>
      </x:c>
      <x:c r="AJ89" s="82" t="str">
        <x:v>初审</x:v>
      </x:c>
      <x:c r="AK89" s="87" t="n">
        <x:v>46255</x:v>
      </x:c>
    </x:row>
    <x:row r="90">
      <x:c r="A90" s="72" t="str">
        <x:f>IF(OR(C90="",D90=""),"",B90&amp;"-"&amp;UPPER(C90)&amp;"-"&amp;TEXT(D90,"0000")&amp;"-"&amp;E90)</x:f>
        <x:v>M10-GUANSHA-0084-V1.0</x:v>
      </x:c>
      <x:c r="B90" s="74" t="str">
        <x:v>M10</x:v>
      </x:c>
      <x:c r="C90" s="74" t="str">
        <x:v>GUANSHA</x:v>
      </x:c>
      <x:c r="D90" s="215" t="n">
        <x:v>84</x:v>
      </x:c>
      <x:c r="E90" s="74" t="str">
        <x:v>V1.0</x:v>
      </x:c>
      <x:c r="F90" s="68" t="str">
        <x:v>正官生印形成官印连续链候选</x:v>
      </x:c>
      <x:c r="G90" s="82" t="str">
        <x:v>结构层</x:v>
      </x:c>
      <x:c r="H90" s="82" t="str">
        <x:v>正官</x:v>
      </x:c>
      <x:c r="I90" s="82" t="str">
        <x:v>待定</x:v>
      </x:c>
      <x:c r="J90" s="82" t="str">
        <x:v>待定</x:v>
      </x:c>
      <x:c r="K90" s="82" t="str">
        <x:v>待定</x:v>
      </x:c>
      <x:c r="L90" s="82" t="str">
        <x:v>待定</x:v>
      </x:c>
      <x:c r="M90" s="68" t="str">
        <x:v>按M08核查</x:v>
      </x:c>
      <x:c r="N90" s="68" t="str">
        <x:v>按M06/M08核查</x:v>
      </x:c>
      <x:c r="O90" s="82" t="str">
        <x:v>待定</x:v>
      </x:c>
      <x:c r="P90" s="68" t="str">
        <x:v>官印相生候选转M11</x:v>
      </x:c>
      <x:c r="Q90" s="68" t="str">
        <x:v>需结合M09日主承载判断</x:v>
      </x:c>
      <x:c r="R90" s="82" t="str">
        <x:v>待定</x:v>
      </x:c>
      <x:c r="S90" s="68" t="str">
        <x:v>正官→印→日主链路连续有效</x:v>
      </x:c>
      <x:c r="T90" s="68" t="str">
        <x:v>M02十神映射、M08五行有效旺衰、M09日主旺衰已完成</x:v>
      </x:c>
      <x:c r="U90" s="68" t="str">
        <x:v>相关十神已由M02正确映射，并以M08有效力量为准</x:v>
      </x:c>
      <x:c r="V90" s="68" t="str">
        <x:v>得令、有根、透干、同党或生源形成独立有效证据</x:v>
      </x:c>
      <x:c r="W90" s="68" t="str">
        <x:v>失令、无根、被合绊、被制、改性或作用路径受阻</x:v>
      </x:c>
      <x:c r="X90" s="90" t="str">
        <x:v>不得以十神名称、数量或单一旺弱证据直接完成定性</x:v>
      </x:c>
      <x:c r="Y90" s="68" t="str">
        <x:v>特殊格局、从化候选及明确组合转M11/M14另审</x:v>
      </x:c>
      <x:c r="Z90" s="68" t="str">
        <x:v>不得直接推出吉凶、具体事件、亲属结果或最终喜忌</x:v>
      </x:c>
      <x:c r="AA90" s="84" t="str">
        <x:v>官印相生接口</x:v>
      </x:c>
      <x:c r="AB90" s="84" t="str">
        <x:v>正官生印形成官印连续链候选：当“正官→印→日主链路连续有效”成立时，按本规则记录十神的有效功能；同时保留制化、承载和反向证据。</x:v>
      </x:c>
      <x:c r="AC90" s="82" t="str">
        <x:v>较高</x:v>
      </x:c>
      <x:c r="AD90" s="82" t="str">
        <x:v>现代综合</x:v>
      </x:c>
      <x:c r="AE90" s="68" t="str">
        <x:v>十神必须分开判断存在性、力量、清纯度、功能性与喜忌性；M10只形成结构层结论和候选，不越级替代M11—M18。</x:v>
      </x:c>
      <x:c r="AF90" s="68" t="str">
        <x:v>相关条件真实成立，且增强条件有效时，可按“正官生印形成官印连续链候选”记录对应功能。</x:v>
      </x:c>
      <x:c r="AG90" s="90" t="str">
        <x:v>仅见表面十神名称或数量，但“不得以十神名称、数量或单一旺弱证据直接完成定性”所述限制存在时，不得套用本规则。</x:v>
      </x:c>
      <x:c r="AH90" s="68" t="str">
        <x:v>https://zh.wikisource.org/wiki/%E6%B8%8A%E6%B5%B7%E5%AD%90%E5%B9%B3%E5%A4%A7%E5%85%A8 ; https://zh.wikisource.org/wiki/%E6%BB%B4%E5%A4%A9%E9%AB%93%E9%97%A1%E5%BE%AE</x:v>
      </x:c>
      <x:c r="AI90" s="82" t="str">
        <x:v>采用</x:v>
      </x:c>
      <x:c r="AJ90" s="82" t="str">
        <x:v>初审</x:v>
      </x:c>
      <x:c r="AK90" s="87" t="n">
        <x:v>46255</x:v>
      </x:c>
    </x:row>
    <x:row r="91">
      <x:c r="A91" s="72" t="str">
        <x:f>IF(OR(C91="",D91=""),"",B91&amp;"-"&amp;UPPER(C91)&amp;"-"&amp;TEXT(D91,"0000")&amp;"-"&amp;E91)</x:f>
        <x:v>M10-GUANSHA-0085-V1.0</x:v>
      </x:c>
      <x:c r="B91" s="74" t="str">
        <x:v>M10</x:v>
      </x:c>
      <x:c r="C91" s="74" t="str">
        <x:v>GUANSHA</x:v>
      </x:c>
      <x:c r="D91" s="215" t="n">
        <x:v>85</x:v>
      </x:c>
      <x:c r="E91" s="74" t="str">
        <x:v>V1.0</x:v>
      </x:c>
      <x:c r="F91" s="68" t="str">
        <x:v>财星强生七杀会提高杀的有效压力</x:v>
      </x:c>
      <x:c r="G91" s="82" t="str">
        <x:v>结构层</x:v>
      </x:c>
      <x:c r="H91" s="82" t="str">
        <x:v>七杀</x:v>
      </x:c>
      <x:c r="I91" s="82" t="str">
        <x:v>待定</x:v>
      </x:c>
      <x:c r="J91" s="82" t="str">
        <x:v>待定</x:v>
      </x:c>
      <x:c r="K91" s="82" t="str">
        <x:v>中和偏旺</x:v>
      </x:c>
      <x:c r="L91" s="82" t="str">
        <x:v>待定</x:v>
      </x:c>
      <x:c r="M91" s="68" t="str">
        <x:v>财星生杀</x:v>
      </x:c>
      <x:c r="N91" s="68" t="str">
        <x:v>按M06/M08核查</x:v>
      </x:c>
      <x:c r="O91" s="82" t="str">
        <x:v>待定</x:v>
      </x:c>
      <x:c r="P91" s="68" t="str">
        <x:v>转M11/M14判断</x:v>
      </x:c>
      <x:c r="Q91" s="68" t="str">
        <x:v>需结合M09日主承载判断</x:v>
      </x:c>
      <x:c r="R91" s="82" t="str">
        <x:v>待定</x:v>
      </x:c>
      <x:c r="S91" s="68" t="str">
        <x:v>财星有效生七杀且无通关截断</x:v>
      </x:c>
      <x:c r="T91" s="68" t="str">
        <x:v>M02十神映射、M08五行有效旺衰、M09日主旺衰已完成</x:v>
      </x:c>
      <x:c r="U91" s="68" t="str">
        <x:v>相关十神已由M02正确映射，并以M08有效力量为准</x:v>
      </x:c>
      <x:c r="V91" s="68" t="str">
        <x:v>得令、有根、透干、同党或生源形成独立有效证据</x:v>
      </x:c>
      <x:c r="W91" s="68" t="str">
        <x:v>失令、无根、被合绊、被制、改性或作用路径受阻</x:v>
      </x:c>
      <x:c r="X91" s="90" t="str">
        <x:v>不得以十神名称、数量或单一旺弱证据直接完成定性</x:v>
      </x:c>
      <x:c r="Y91" s="68" t="str">
        <x:v>特殊格局、从化候选及明确组合转M11/M14另审</x:v>
      </x:c>
      <x:c r="Z91" s="68" t="str">
        <x:v>不得直接推出吉凶、具体事件、亲属结果或最终喜忌</x:v>
      </x:c>
      <x:c r="AA91" s="84" t="str">
        <x:v>财生杀增强</x:v>
      </x:c>
      <x:c r="AB91" s="84" t="str">
        <x:v>财星强生七杀会提高杀的有效压力：当“财星有效生七杀且无通关截断”成立时，按本规则记录十神的有效功能；同时保留制化、承载和反向证据。</x:v>
      </x:c>
      <x:c r="AC91" s="82" t="str">
        <x:v>较高</x:v>
      </x:c>
      <x:c r="AD91" s="82" t="str">
        <x:v>现代综合</x:v>
      </x:c>
      <x:c r="AE91" s="68" t="str">
        <x:v>十神必须分开判断存在性、力量、清纯度、功能性与喜忌性；M10只形成结构层结论和候选，不越级替代M11—M18。</x:v>
      </x:c>
      <x:c r="AF91" s="68" t="str">
        <x:v>相关条件真实成立，且增强条件有效时，可按“财星强生七杀会提高杀的有效压力”记录对应功能。</x:v>
      </x:c>
      <x:c r="AG91" s="90" t="str">
        <x:v>仅见表面十神名称或数量，但“不得以十神名称、数量或单一旺弱证据直接完成定性”所述限制存在时，不得套用本规则。</x:v>
      </x:c>
      <x:c r="AH91" s="68" t="str">
        <x:v>https://zh.wikisource.org/wiki/%E6%B8%8A%E6%B5%B7%E5%AD%90%E5%B9%B3%E5%A4%A7%E5%85%A8 ; https://zh.wikisource.org/wiki/%E6%BB%B4%E5%A4%A9%E9%AB%93%E9%97%A1%E5%BE%AE</x:v>
      </x:c>
      <x:c r="AI91" s="82" t="str">
        <x:v>采用</x:v>
      </x:c>
      <x:c r="AJ91" s="82" t="str">
        <x:v>初审</x:v>
      </x:c>
      <x:c r="AK91" s="87" t="n">
        <x:v>46255</x:v>
      </x:c>
    </x:row>
    <x:row r="92">
      <x:c r="A92" s="72" t="str">
        <x:f>IF(OR(C92="",D92=""),"",B92&amp;"-"&amp;UPPER(C92)&amp;"-"&amp;TEXT(D92,"0000")&amp;"-"&amp;E92)</x:f>
        <x:v>M10-GUANSHA-0086-V1.0</x:v>
      </x:c>
      <x:c r="B92" s="74" t="str">
        <x:v>M10</x:v>
      </x:c>
      <x:c r="C92" s="74" t="str">
        <x:v>GUANSHA</x:v>
      </x:c>
      <x:c r="D92" s="215" t="n">
        <x:v>86</x:v>
      </x:c>
      <x:c r="E92" s="74" t="str">
        <x:v>V1.0</x:v>
      </x:c>
      <x:c r="F92" s="68" t="str">
        <x:v>官杀并见先判混杂程度而非直接定凶</x:v>
      </x:c>
      <x:c r="G92" s="82" t="str">
        <x:v>结构层</x:v>
      </x:c>
      <x:c r="H92" s="82" t="str">
        <x:v>正官</x:v>
      </x:c>
      <x:c r="I92" s="82" t="str">
        <x:v>待定</x:v>
      </x:c>
      <x:c r="J92" s="82" t="str">
        <x:v>待定</x:v>
      </x:c>
      <x:c r="K92" s="82" t="str">
        <x:v>待定</x:v>
      </x:c>
      <x:c r="L92" s="82" t="str">
        <x:v>有杂</x:v>
      </x:c>
      <x:c r="M92" s="68" t="str">
        <x:v>按M08核查</x:v>
      </x:c>
      <x:c r="N92" s="68" t="str">
        <x:v>按M06/M08核查</x:v>
      </x:c>
      <x:c r="O92" s="82" t="str">
        <x:v>待定</x:v>
      </x:c>
      <x:c r="P92" s="68" t="str">
        <x:v>转M11/M14判断</x:v>
      </x:c>
      <x:c r="Q92" s="68" t="str">
        <x:v>需结合M09日主承载判断</x:v>
      </x:c>
      <x:c r="R92" s="82" t="str">
        <x:v>待定</x:v>
      </x:c>
      <x:c r="S92" s="68" t="str">
        <x:v>正官七杀同时有效存在</x:v>
      </x:c>
      <x:c r="T92" s="68" t="str">
        <x:v>M02十神映射、M08五行有效旺衰、M09日主旺衰已完成</x:v>
      </x:c>
      <x:c r="U92" s="68" t="str">
        <x:v>相关十神已由M02正确映射，并以M08有效力量为准</x:v>
      </x:c>
      <x:c r="V92" s="68" t="str">
        <x:v>得令、有根、透干、同党或生源形成独立有效证据</x:v>
      </x:c>
      <x:c r="W92" s="68" t="str">
        <x:v>失令、无根、被合绊、被制、改性或作用路径受阻</x:v>
      </x:c>
      <x:c r="X92" s="90" t="str">
        <x:v>不得以十神名称、数量或单一旺弱证据直接完成定性</x:v>
      </x:c>
      <x:c r="Y92" s="68" t="str">
        <x:v>特殊格局、从化候选及明确组合转M11/M14另审</x:v>
      </x:c>
      <x:c r="Z92" s="68" t="str">
        <x:v>不得由官杀并见直接推出婚姻、事业或灾祸结论</x:v>
      </x:c>
      <x:c r="AA92" s="84" t="str">
        <x:v>官杀混杂候选</x:v>
      </x:c>
      <x:c r="AB92" s="84" t="str">
        <x:v>官杀并见先判混杂程度而非直接定凶：当“正官七杀同时有效存在”成立时，按本规则记录十神的有效功能；同时保留制化、承载和反向证据。</x:v>
      </x:c>
      <x:c r="AC92" s="82" t="str">
        <x:v>较高</x:v>
      </x:c>
      <x:c r="AD92" s="82" t="str">
        <x:v>现代综合</x:v>
      </x:c>
      <x:c r="AE92" s="68" t="str">
        <x:v>十神必须分开判断存在性、力量、清纯度、功能性与喜忌性；M10只形成结构层结论和候选，不越级替代M11—M18。</x:v>
      </x:c>
      <x:c r="AF92" s="68" t="str">
        <x:v>相关条件真实成立，且增强条件有效时，可按“官杀并见先判混杂程度而非直接定凶”记录对应功能。</x:v>
      </x:c>
      <x:c r="AG92" s="90" t="str">
        <x:v>仅见表面十神名称或数量，但“不得以十神名称、数量或单一旺弱证据直接完成定性”所述限制存在时，不得套用本规则。</x:v>
      </x:c>
      <x:c r="AH92" s="68" t="str">
        <x:v>https://zh.wikisource.org/wiki/%E6%B8%8A%E6%B5%B7%E5%AD%90%E5%B9%B3%E5%A4%A7%E5%85%A8 ; https://zh.wikisource.org/wiki/%E6%BB%B4%E5%A4%A9%E9%AB%93%E9%97%A1%E5%BE%AE</x:v>
      </x:c>
      <x:c r="AI92" s="82" t="str">
        <x:v>采用</x:v>
      </x:c>
      <x:c r="AJ92" s="82" t="str">
        <x:v>初审</x:v>
      </x:c>
      <x:c r="AK92" s="87" t="n">
        <x:v>46255</x:v>
      </x:c>
    </x:row>
    <x:row r="93">
      <x:c r="A93" s="72" t="str">
        <x:f>IF(OR(C93="",D93=""),"",B93&amp;"-"&amp;UPPER(C93)&amp;"-"&amp;TEXT(D93,"0000")&amp;"-"&amp;E93)</x:f>
        <x:v>M10-GUANSHA-0087-V1.0</x:v>
      </x:c>
      <x:c r="B93" s="74" t="str">
        <x:v>M10</x:v>
      </x:c>
      <x:c r="C93" s="74" t="str">
        <x:v>GUANSHA</x:v>
      </x:c>
      <x:c r="D93" s="215" t="n">
        <x:v>87</x:v>
      </x:c>
      <x:c r="E93" s="74" t="str">
        <x:v>V1.0</x:v>
      </x:c>
      <x:c r="F93" s="68" t="str">
        <x:v>官杀均旺且均直接制身时混杂与压力同步上升</x:v>
      </x:c>
      <x:c r="G93" s="82" t="str">
        <x:v>结构层</x:v>
      </x:c>
      <x:c r="H93" s="82" t="str">
        <x:v>七杀</x:v>
      </x:c>
      <x:c r="I93" s="82" t="str">
        <x:v>待定</x:v>
      </x:c>
      <x:c r="J93" s="82" t="str">
        <x:v>待定</x:v>
      </x:c>
      <x:c r="K93" s="82" t="str">
        <x:v>待定</x:v>
      </x:c>
      <x:c r="L93" s="82" t="str">
        <x:v>混杂</x:v>
      </x:c>
      <x:c r="M93" s="68" t="str">
        <x:v>按M08核查</x:v>
      </x:c>
      <x:c r="N93" s="68" t="str">
        <x:v>按M06/M08核查</x:v>
      </x:c>
      <x:c r="O93" s="82" t="str">
        <x:v>制化失衡</x:v>
      </x:c>
      <x:c r="P93" s="68" t="str">
        <x:v>转M11/M14判断</x:v>
      </x:c>
      <x:c r="Q93" s="68" t="str">
        <x:v>形成多路制身压力</x:v>
      </x:c>
      <x:c r="R93" s="82" t="str">
        <x:v>待定</x:v>
      </x:c>
      <x:c r="S93" s="68" t="str">
        <x:v>正官七杀均达到中和偏旺以上且制身路径均有效</x:v>
      </x:c>
      <x:c r="T93" s="68" t="str">
        <x:v>M02十神映射、M08五行有效旺衰、M09日主旺衰已完成</x:v>
      </x:c>
      <x:c r="U93" s="68" t="str">
        <x:v>相关十神已由M02正确映射，并以M08有效力量为准</x:v>
      </x:c>
      <x:c r="V93" s="68" t="str">
        <x:v>得令、有根、透干、同党或生源形成独立有效证据</x:v>
      </x:c>
      <x:c r="W93" s="68" t="str">
        <x:v>失令、无根、被合绊、被制、改性或作用路径受阻</x:v>
      </x:c>
      <x:c r="X93" s="90" t="str">
        <x:v>不得以十神名称、数量或单一旺弱证据直接完成定性</x:v>
      </x:c>
      <x:c r="Y93" s="68" t="str">
        <x:v>特殊格局、从化候选及明确组合转M11/M14另审</x:v>
      </x:c>
      <x:c r="Z93" s="68" t="str">
        <x:v>不得直接推出吉凶、具体事件、亲属结果或最终喜忌</x:v>
      </x:c>
      <x:c r="AA93" s="84" t="str">
        <x:v>官杀双强</x:v>
      </x:c>
      <x:c r="AB93" s="84" t="str">
        <x:v>官杀均旺且均直接制身时混杂与压力同步上升：当“正官七杀均达到中和偏旺以上且制身路径均有效”成立时，按本规则记录十神的有效功能；同时保留制化、承载和反向证据。</x:v>
      </x:c>
      <x:c r="AC93" s="82" t="str">
        <x:v>较高</x:v>
      </x:c>
      <x:c r="AD93" s="82" t="str">
        <x:v>现代综合</x:v>
      </x:c>
      <x:c r="AE93" s="68" t="str">
        <x:v>十神必须分开判断存在性、力量、清纯度、功能性与喜忌性；M10只形成结构层结论和候选，不越级替代M11—M18。</x:v>
      </x:c>
      <x:c r="AF93" s="68" t="str">
        <x:v>相关条件真实成立，且增强条件有效时，可按“官杀均旺且均直接制身时混杂与压力同步上升”记录对应功能。</x:v>
      </x:c>
      <x:c r="AG93" s="90" t="str">
        <x:v>仅见表面十神名称或数量，但“不得以十神名称、数量或单一旺弱证据直接完成定性”所述限制存在时，不得套用本规则。</x:v>
      </x:c>
      <x:c r="AH93" s="68" t="str">
        <x:v>https://zh.wikisource.org/wiki/%E6%B8%8A%E6%B5%B7%E5%AD%90%E5%B9%B3%E5%A4%A7%E5%85%A8 ; https://zh.wikisource.org/wiki/%E6%BB%B4%E5%A4%A9%E9%AB%93%E9%97%A1%E5%BE%AE</x:v>
      </x:c>
      <x:c r="AI93" s="82" t="str">
        <x:v>采用</x:v>
      </x:c>
      <x:c r="AJ93" s="82" t="str">
        <x:v>初审</x:v>
      </x:c>
      <x:c r="AK93" s="87" t="n">
        <x:v>46255</x:v>
      </x:c>
    </x:row>
    <x:row r="94">
      <x:c r="A94" s="72" t="str">
        <x:f>IF(OR(C94="",D94=""),"",B94&amp;"-"&amp;UPPER(C94)&amp;"-"&amp;TEXT(D94,"0000")&amp;"-"&amp;E94)</x:f>
        <x:v>M10-GUANSHA-0088-V1.0</x:v>
      </x:c>
      <x:c r="B94" s="74" t="str">
        <x:v>M10</x:v>
      </x:c>
      <x:c r="C94" s="74" t="str">
        <x:v>GUANSHA</x:v>
      </x:c>
      <x:c r="D94" s="215" t="n">
        <x:v>88</x:v>
      </x:c>
      <x:c r="E94" s="74" t="str">
        <x:v>V1.0</x:v>
      </x:c>
      <x:c r="F94" s="68" t="str">
        <x:v>官杀一方被合制失效时可形成清化候选</x:v>
      </x:c>
      <x:c r="G94" s="82" t="str">
        <x:v>结构层</x:v>
      </x:c>
      <x:c r="H94" s="82" t="str">
        <x:v>正官</x:v>
      </x:c>
      <x:c r="I94" s="82" t="str">
        <x:v>待定</x:v>
      </x:c>
      <x:c r="J94" s="82" t="str">
        <x:v>待定</x:v>
      </x:c>
      <x:c r="K94" s="82" t="str">
        <x:v>待定</x:v>
      </x:c>
      <x:c r="L94" s="82" t="str">
        <x:v>较清</x:v>
      </x:c>
      <x:c r="M94" s="68" t="str">
        <x:v>按M08核查</x:v>
      </x:c>
      <x:c r="N94" s="68" t="str">
        <x:v>按M06/M08核查</x:v>
      </x:c>
      <x:c r="O94" s="82" t="str">
        <x:v>制化平衡</x:v>
      </x:c>
      <x:c r="P94" s="68" t="str">
        <x:v>转M11/M14判断</x:v>
      </x:c>
      <x:c r="Q94" s="68" t="str">
        <x:v>需结合M09日主承载判断</x:v>
      </x:c>
      <x:c r="R94" s="82" t="str">
        <x:v>待定</x:v>
      </x:c>
      <x:c r="S94" s="68" t="str">
        <x:v>官杀并见，但其中一方被有效合住、制去或改性而功能显著下降</x:v>
      </x:c>
      <x:c r="T94" s="68" t="str">
        <x:v>M02十神映射、M08五行有效旺衰、M09日主旺衰已完成</x:v>
      </x:c>
      <x:c r="U94" s="68" t="str">
        <x:v>相关十神已由M02正确映射，并以M08有效力量为准</x:v>
      </x:c>
      <x:c r="V94" s="68" t="str">
        <x:v>得令、有根、透干、同党或生源形成独立有效证据</x:v>
      </x:c>
      <x:c r="W94" s="68" t="str">
        <x:v>失令、无根、被合绊、被制、改性或作用路径受阻</x:v>
      </x:c>
      <x:c r="X94" s="90" t="str">
        <x:v>不得以十神名称、数量或单一旺弱证据直接完成定性</x:v>
      </x:c>
      <x:c r="Y94" s="68" t="str">
        <x:v>特殊格局、从化候选及明确组合转M11/M14另审</x:v>
      </x:c>
      <x:c r="Z94" s="68" t="str">
        <x:v>不得直接推出吉凶、具体事件、亲属结果或最终喜忌</x:v>
      </x:c>
      <x:c r="AA94" s="84" t="str">
        <x:v>官杀清化候选</x:v>
      </x:c>
      <x:c r="AB94" s="84" t="str">
        <x:v>官杀一方被合制失效时可形成清化候选：当“官杀并见，但其中一方被有效合住、制去或改性而功能显著下降”成立时，按本规则记录十神的有效功能；同时保留制化、承载和反向证据。</x:v>
      </x:c>
      <x:c r="AC94" s="82" t="str">
        <x:v>较高</x:v>
      </x:c>
      <x:c r="AD94" s="82" t="str">
        <x:v>现代综合</x:v>
      </x:c>
      <x:c r="AE94" s="68" t="str">
        <x:v>十神必须分开判断存在性、力量、清纯度、功能性与喜忌性；M10只形成结构层结论和候选，不越级替代M11—M18。</x:v>
      </x:c>
      <x:c r="AF94" s="68" t="str">
        <x:v>相关条件真实成立，且增强条件有效时，可按“官杀一方被合制失效时可形成清化候选”记录对应功能。</x:v>
      </x:c>
      <x:c r="AG94" s="90" t="str">
        <x:v>仅见表面十神名称或数量，但“不得以十神名称、数量或单一旺弱证据直接完成定性”所述限制存在时，不得套用本规则。</x:v>
      </x:c>
      <x:c r="AH94" s="68" t="str">
        <x:v>https://zh.wikisource.org/wiki/%E6%B8%8A%E6%B5%B7%E5%AD%90%E5%B9%B3%E5%A4%A7%E5%85%A8 ; https://zh.wikisource.org/wiki/%E6%BB%B4%E5%A4%A9%E9%AB%93%E9%97%A1%E5%BE%AE</x:v>
      </x:c>
      <x:c r="AI94" s="82" t="str">
        <x:v>采用</x:v>
      </x:c>
      <x:c r="AJ94" s="82" t="str">
        <x:v>初审</x:v>
      </x:c>
      <x:c r="AK94" s="87" t="n">
        <x:v>46255</x:v>
      </x:c>
    </x:row>
    <x:row r="95">
      <x:c r="A95" s="72" t="str">
        <x:f>IF(OR(C95="",D95=""),"",B95&amp;"-"&amp;UPPER(C95)&amp;"-"&amp;TEXT(D95,"0000")&amp;"-"&amp;E95)</x:f>
        <x:v>M10-GUANSHA-0089-V1.0</x:v>
      </x:c>
      <x:c r="B95" s="74" t="str">
        <x:v>M10</x:v>
      </x:c>
      <x:c r="C95" s="74" t="str">
        <x:v>GUANSHA</x:v>
      </x:c>
      <x:c r="D95" s="215" t="n">
        <x:v>89</x:v>
      </x:c>
      <x:c r="E95" s="74" t="str">
        <x:v>V1.0</x:v>
      </x:c>
      <x:c r="F95" s="68" t="str">
        <x:v>官杀虽旺但有强制化不应直接按为害处理</x:v>
      </x:c>
      <x:c r="G95" s="82" t="str">
        <x:v>结构层</x:v>
      </x:c>
      <x:c r="H95" s="82" t="str">
        <x:v>七杀</x:v>
      </x:c>
      <x:c r="I95" s="82" t="str">
        <x:v>待定</x:v>
      </x:c>
      <x:c r="J95" s="82" t="str">
        <x:v>待定</x:v>
      </x:c>
      <x:c r="K95" s="82" t="str">
        <x:v>旺</x:v>
      </x:c>
      <x:c r="L95" s="82" t="str">
        <x:v>待定</x:v>
      </x:c>
      <x:c r="M95" s="68" t="str">
        <x:v>按M08核查</x:v>
      </x:c>
      <x:c r="N95" s="68" t="str">
        <x:v>按M06/M08核查</x:v>
      </x:c>
      <x:c r="O95" s="82" t="str">
        <x:v>制化平衡</x:v>
      </x:c>
      <x:c r="P95" s="68" t="str">
        <x:v>转M11/M14判断</x:v>
      </x:c>
      <x:c r="Q95" s="68" t="str">
        <x:v>需结合M09日主承载判断</x:v>
      </x:c>
      <x:c r="R95" s="82" t="str">
        <x:v>待定</x:v>
      </x:c>
      <x:c r="S95" s="68" t="str">
        <x:v>七杀旺，但食神制杀或印化杀功能稳定有效</x:v>
      </x:c>
      <x:c r="T95" s="68" t="str">
        <x:v>M02十神映射、M08五行有效旺衰、M09日主旺衰已完成</x:v>
      </x:c>
      <x:c r="U95" s="68" t="str">
        <x:v>相关十神已由M02正确映射，并以M08有效力量为准</x:v>
      </x:c>
      <x:c r="V95" s="68" t="str">
        <x:v>得令、有根、透干、同党或生源形成独立有效证据</x:v>
      </x:c>
      <x:c r="W95" s="68" t="str">
        <x:v>失令、无根、被合绊、被制、改性或作用路径受阻</x:v>
      </x:c>
      <x:c r="X95" s="90" t="str">
        <x:v>不得以十神名称、数量或单一旺弱证据直接完成定性</x:v>
      </x:c>
      <x:c r="Y95" s="68" t="str">
        <x:v>特殊格局、从化候选及明确组合转M11/M14另审</x:v>
      </x:c>
      <x:c r="Z95" s="68" t="str">
        <x:v>不得仅凭七杀旺直接定为忌神或为害</x:v>
      </x:c>
      <x:c r="AA95" s="84" t="str">
        <x:v>杀旺有制化</x:v>
      </x:c>
      <x:c r="AB95" s="84" t="str">
        <x:v>官杀虽旺但有强制化不应直接按为害处理：当“七杀旺，但食神制杀或印化杀功能稳定有效”成立时，按本规则记录十神的有效功能；同时保留制化、承载和反向证据。</x:v>
      </x:c>
      <x:c r="AC95" s="82" t="str">
        <x:v>较高</x:v>
      </x:c>
      <x:c r="AD95" s="82" t="str">
        <x:v>现代综合</x:v>
      </x:c>
      <x:c r="AE95" s="68" t="str">
        <x:v>十神必须分开判断存在性、力量、清纯度、功能性与喜忌性；M10只形成结构层结论和候选，不越级替代M11—M18。</x:v>
      </x:c>
      <x:c r="AF95" s="68" t="str">
        <x:v>相关条件真实成立，且增强条件有效时，可按“官杀虽旺但有强制化不应直接按为害处理”记录对应功能。</x:v>
      </x:c>
      <x:c r="AG95" s="90" t="str">
        <x:v>仅见表面十神名称或数量，但“不得以十神名称、数量或单一旺弱证据直接完成定性”所述限制存在时，不得套用本规则。</x:v>
      </x:c>
      <x:c r="AH95" s="68" t="str">
        <x:v>https://zh.wikisource.org/wiki/%E6%B8%8A%E6%B5%B7%E5%AD%90%E5%B9%B3%E5%A4%A7%E5%85%A8 ; https://zh.wikisource.org/wiki/%E6%BB%B4%E5%A4%A9%E9%AB%93%E9%97%A1%E5%BE%AE</x:v>
      </x:c>
      <x:c r="AI95" s="82" t="str">
        <x:v>采用</x:v>
      </x:c>
      <x:c r="AJ95" s="82" t="str">
        <x:v>初审</x:v>
      </x:c>
      <x:c r="AK95" s="87" t="n">
        <x:v>46255</x:v>
      </x:c>
    </x:row>
    <x:row r="96">
      <x:c r="A96" s="72" t="str">
        <x:f>IF(OR(C96="",D96=""),"",B96&amp;"-"&amp;UPPER(C96)&amp;"-"&amp;TEXT(D96,"0000")&amp;"-"&amp;E96)</x:f>
        <x:v>M10-GUANSHA-0090-V1.0</x:v>
      </x:c>
      <x:c r="B96" s="74" t="str">
        <x:v>M10</x:v>
      </x:c>
      <x:c r="C96" s="74" t="str">
        <x:v>GUANSHA</x:v>
      </x:c>
      <x:c r="D96" s="215" t="n">
        <x:v>90</x:v>
      </x:c>
      <x:c r="E96" s="74" t="str">
        <x:v>V1.0</x:v>
      </x:c>
      <x:c r="F96" s="68" t="str">
        <x:v>官杀旺弱与职位权力事件必须分离</x:v>
      </x:c>
      <x:c r="G96" s="82" t="str">
        <x:v>结构层</x:v>
      </x:c>
      <x:c r="H96" s="82" t="str">
        <x:v>正官</x:v>
      </x:c>
      <x:c r="I96" s="82" t="str">
        <x:v>待定</x:v>
      </x:c>
      <x:c r="J96" s="82" t="str">
        <x:v>待定</x:v>
      </x:c>
      <x:c r="K96" s="82" t="str">
        <x:v>待定</x:v>
      </x:c>
      <x:c r="L96" s="82" t="str">
        <x:v>待定</x:v>
      </x:c>
      <x:c r="M96" s="68" t="str">
        <x:v>按M08核查</x:v>
      </x:c>
      <x:c r="N96" s="68" t="str">
        <x:v>按M06/M08核查</x:v>
      </x:c>
      <x:c r="O96" s="82" t="str">
        <x:v>待定</x:v>
      </x:c>
      <x:c r="P96" s="68" t="str">
        <x:v>转M11/M14判断</x:v>
      </x:c>
      <x:c r="Q96" s="68" t="str">
        <x:v>需结合M09日主承载判断</x:v>
      </x:c>
      <x:c r="R96" s="82" t="str">
        <x:v>待定</x:v>
      </x:c>
      <x:c r="S96" s="68" t="str">
        <x:v>官杀有效旺衰已经确定</x:v>
      </x:c>
      <x:c r="T96" s="68" t="str">
        <x:v>M02十神映射、M08五行有效旺衰、M09日主旺衰已完成</x:v>
      </x:c>
      <x:c r="U96" s="68" t="str">
        <x:v>相关十神已由M02正确映射，并以M08有效力量为准</x:v>
      </x:c>
      <x:c r="V96" s="68" t="str">
        <x:v>得令、有根、透干、同党或生源形成独立有效证据</x:v>
      </x:c>
      <x:c r="W96" s="68" t="str">
        <x:v>失令、无根、被合绊、被制、改性或作用路径受阻</x:v>
      </x:c>
      <x:c r="X96" s="90" t="str">
        <x:v>不得以十神名称、数量或单一旺弱证据直接完成定性</x:v>
      </x:c>
      <x:c r="Y96" s="68" t="str">
        <x:v>特殊格局、从化候选及明确组合转M11/M14另审</x:v>
      </x:c>
      <x:c r="Z96" s="68" t="str">
        <x:v>不得由官旺直接推出升职、杀旺直接推出灾害或司法事件</x:v>
      </x:c>
      <x:c r="AA96" s="84" t="str">
        <x:v>官杀力量事件分离</x:v>
      </x:c>
      <x:c r="AB96" s="84" t="str">
        <x:v>官杀旺弱与职位权力事件必须分离：当“官杀有效旺衰已经确定”成立时，按本规则记录十神的有效功能；同时保留制化、承载和反向证据。</x:v>
      </x:c>
      <x:c r="AC96" s="82" t="str">
        <x:v>较高</x:v>
      </x:c>
      <x:c r="AD96" s="82" t="str">
        <x:v>现代综合</x:v>
      </x:c>
      <x:c r="AE96" s="68" t="str">
        <x:v>十神必须分开判断存在性、力量、清纯度、功能性与喜忌性；M10只形成结构层结论和候选，不越级替代M11—M18。</x:v>
      </x:c>
      <x:c r="AF96" s="68" t="str">
        <x:v>相关条件真实成立，且增强条件有效时，可按“官杀旺弱与职位权力事件必须分离”记录对应功能。</x:v>
      </x:c>
      <x:c r="AG96" s="90" t="str">
        <x:v>仅见表面十神名称或数量，但“不得以十神名称、数量或单一旺弱证据直接完成定性”所述限制存在时，不得套用本规则。</x:v>
      </x:c>
      <x:c r="AH96" s="68" t="str">
        <x:v>https://zh.wikisource.org/wiki/%E6%B8%8A%E6%B5%B7%E5%AD%90%E5%B9%B3%E5%A4%A7%E5%85%A8 ; https://zh.wikisource.org/wiki/%E6%BB%B4%E5%A4%A9%E9%AB%93%E9%97%A1%E5%BE%AE</x:v>
      </x:c>
      <x:c r="AI96" s="82" t="str">
        <x:v>采用</x:v>
      </x:c>
      <x:c r="AJ96" s="82" t="str">
        <x:v>初审</x:v>
      </x:c>
      <x:c r="AK96" s="87" t="n">
        <x:v>46255</x:v>
      </x:c>
    </x:row>
    <x:row r="97">
      <x:c r="A97" s="72" t="str">
        <x:f>IF(OR(C97="",D97=""),"",B97&amp;"-"&amp;UPPER(C97)&amp;"-"&amp;TEXT(D97,"0000")&amp;"-"&amp;E97)</x:f>
        <x:v>M10-BAL-0091-V1.0</x:v>
      </x:c>
      <x:c r="B97" s="74" t="str">
        <x:v>M10</x:v>
      </x:c>
      <x:c r="C97" s="74" t="str">
        <x:v>BAL</x:v>
      </x:c>
      <x:c r="D97" s="215" t="n">
        <x:v>91</x:v>
      </x:c>
      <x:c r="E97" s="74" t="str">
        <x:v>V1.0</x:v>
      </x:c>
      <x:c r="F97" s="68" t="str">
        <x:v>十神功能正常需自身有效且作用对象可承接</x:v>
      </x:c>
      <x:c r="G97" s="82" t="str">
        <x:v>结构层</x:v>
      </x:c>
      <x:c r="H97" s="82" t="str">
        <x:v>七杀</x:v>
      </x:c>
      <x:c r="I97" s="82" t="str">
        <x:v>待定</x:v>
      </x:c>
      <x:c r="J97" s="82" t="str">
        <x:v>待定</x:v>
      </x:c>
      <x:c r="K97" s="82" t="str">
        <x:v>待定</x:v>
      </x:c>
      <x:c r="L97" s="82" t="str">
        <x:v>待定</x:v>
      </x:c>
      <x:c r="M97" s="68" t="str">
        <x:v>按M08核查</x:v>
      </x:c>
      <x:c r="N97" s="68" t="str">
        <x:v>按M06/M08核查</x:v>
      </x:c>
      <x:c r="O97" s="82" t="str">
        <x:v>正常发挥</x:v>
      </x:c>
      <x:c r="P97" s="68" t="str">
        <x:v>转M11/M14判断</x:v>
      </x:c>
      <x:c r="Q97" s="68" t="str">
        <x:v>需结合M09日主承载判断</x:v>
      </x:c>
      <x:c r="R97" s="82" t="str">
        <x:v>待定</x:v>
      </x:c>
      <x:c r="S97" s="68" t="str">
        <x:v>七杀有力，同时日主或印食等对象真实存在并能形成作用路径</x:v>
      </x:c>
      <x:c r="T97" s="68" t="str">
        <x:v>M02十神映射、M08五行有效旺衰、M09日主旺衰已完成</x:v>
      </x:c>
      <x:c r="U97" s="68" t="str">
        <x:v>相关十神已由M02正确映射，并以M08有效力量为准</x:v>
      </x:c>
      <x:c r="V97" s="68" t="str">
        <x:v>得令、有根、透干、同党或生源形成独立有效证据</x:v>
      </x:c>
      <x:c r="W97" s="68" t="str">
        <x:v>失令、无根、被合绊、被制、改性或作用路径受阻</x:v>
      </x:c>
      <x:c r="X97" s="90" t="str">
        <x:v>不得以十神名称、数量或单一旺弱证据直接完成定性</x:v>
      </x:c>
      <x:c r="Y97" s="68" t="str">
        <x:v>特殊格局、从化候选及明确组合转M11/M14另审</x:v>
      </x:c>
      <x:c r="Z97" s="68" t="str">
        <x:v>不得直接推出吉凶、具体事件、亲属结果或最终喜忌</x:v>
      </x:c>
      <x:c r="AA97" s="84" t="str">
        <x:v>功能成立基础</x:v>
      </x:c>
      <x:c r="AB97" s="84" t="str">
        <x:v>十神功能正常需自身有效且作用对象可承接：当“七杀有力，同时日主或印食等对象真实存在并能形成作用路径”成立时，按本规则记录十神的有效功能；同时保留制化、承载和反向证据。</x:v>
      </x:c>
      <x:c r="AC97" s="82" t="str">
        <x:v>较高</x:v>
      </x:c>
      <x:c r="AD97" s="82" t="str">
        <x:v>现代综合</x:v>
      </x:c>
      <x:c r="AE97" s="68" t="str">
        <x:v>十神必须分开判断存在性、力量、清纯度、功能性与喜忌性；M10只形成结构层结论和候选，不越级替代M11—M18。</x:v>
      </x:c>
      <x:c r="AF97" s="68" t="str">
        <x:v>相关条件真实成立，且增强条件有效时，可按“十神功能正常需自身有效且作用对象可承接”记录对应功能。</x:v>
      </x:c>
      <x:c r="AG97" s="90" t="str">
        <x:v>仅见表面十神名称或数量，但“不得以十神名称、数量或单一旺弱证据直接完成定性”所述限制存在时，不得套用本规则。</x:v>
      </x:c>
      <x:c r="AH97" s="68" t="str">
        <x:v>https://zh.wikisource.org/wiki/%E6%B8%8A%E6%B5%B7%E5%AD%90%E5%B9%B3%E5%A4%A7%E5%85%A8 ; https://zh.wikisource.org/wiki/%E6%BB%B4%E5%A4%A9%E9%AB%93%E9%97%A1%E5%BE%AE</x:v>
      </x:c>
      <x:c r="AI97" s="82" t="str">
        <x:v>采用</x:v>
      </x:c>
      <x:c r="AJ97" s="82" t="str">
        <x:v>初审</x:v>
      </x:c>
      <x:c r="AK97" s="87" t="n">
        <x:v>46255</x:v>
      </x:c>
    </x:row>
    <x:row r="98">
      <x:c r="A98" s="72" t="str">
        <x:f>IF(OR(C98="",D98=""),"",B98&amp;"-"&amp;UPPER(C98)&amp;"-"&amp;TEXT(D98,"0000")&amp;"-"&amp;E98)</x:f>
        <x:v>M10-BAL-0092-V1.0</x:v>
      </x:c>
      <x:c r="B98" s="74" t="str">
        <x:v>M10</x:v>
      </x:c>
      <x:c r="C98" s="74" t="str">
        <x:v>BAL</x:v>
      </x:c>
      <x:c r="D98" s="215" t="n">
        <x:v>92</x:v>
      </x:c>
      <x:c r="E98" s="74" t="str">
        <x:v>V1.0</x:v>
      </x:c>
      <x:c r="F98" s="68" t="str">
        <x:v>受制不等于完全失效，应按制约程度分级</x:v>
      </x:c>
      <x:c r="G98" s="82" t="str">
        <x:v>结构层</x:v>
      </x:c>
      <x:c r="H98" s="82" t="str">
        <x:v>食神</x:v>
      </x:c>
      <x:c r="I98" s="82" t="str">
        <x:v>待定</x:v>
      </x:c>
      <x:c r="J98" s="82" t="str">
        <x:v>待定</x:v>
      </x:c>
      <x:c r="K98" s="82" t="str">
        <x:v>待定</x:v>
      </x:c>
      <x:c r="L98" s="82" t="str">
        <x:v>待定</x:v>
      </x:c>
      <x:c r="M98" s="68" t="str">
        <x:v>按M08核查</x:v>
      </x:c>
      <x:c r="N98" s="68" t="str">
        <x:v>按M06/M08核查</x:v>
      </x:c>
      <x:c r="O98" s="82" t="str">
        <x:v>受限</x:v>
      </x:c>
      <x:c r="P98" s="68" t="str">
        <x:v>转M11/M14判断</x:v>
      </x:c>
      <x:c r="Q98" s="68" t="str">
        <x:v>需结合M09日主承载判断</x:v>
      </x:c>
      <x:c r="R98" s="82" t="str">
        <x:v>待定</x:v>
      </x:c>
      <x:c r="S98" s="68" t="str">
        <x:v>食神受到偏印或合绊制约，但仍保有根源和其他有效节点</x:v>
      </x:c>
      <x:c r="T98" s="68" t="str">
        <x:v>M02十神映射、M08五行有效旺衰、M09日主旺衰已完成</x:v>
      </x:c>
      <x:c r="U98" s="68" t="str">
        <x:v>相关十神已由M02正确映射，并以M08有效力量为准</x:v>
      </x:c>
      <x:c r="V98" s="68" t="str">
        <x:v>得令、有根、透干、同党或生源形成独立有效证据</x:v>
      </x:c>
      <x:c r="W98" s="68" t="str">
        <x:v>失令、无根、被合绊、被制、改性或作用路径受阻</x:v>
      </x:c>
      <x:c r="X98" s="90" t="str">
        <x:v>不得以十神名称、数量或单一旺弱证据直接完成定性</x:v>
      </x:c>
      <x:c r="Y98" s="68" t="str">
        <x:v>特殊格局、从化候选及明确组合转M11/M14另审</x:v>
      </x:c>
      <x:c r="Z98" s="68" t="str">
        <x:v>不得直接推出吉凶、具体事件、亲属结果或最终喜忌</x:v>
      </x:c>
      <x:c r="AA98" s="84" t="str">
        <x:v>功能受限分级</x:v>
      </x:c>
      <x:c r="AB98" s="84" t="str">
        <x:v>受制不等于完全失效，应按制约程度分级：当“食神受到偏印或合绊制约，但仍保有根源和其他有效节点”成立时，按本规则记录十神的有效功能；同时保留制化、承载和反向证据。</x:v>
      </x:c>
      <x:c r="AC98" s="82" t="str">
        <x:v>较高</x:v>
      </x:c>
      <x:c r="AD98" s="82" t="str">
        <x:v>现代综合</x:v>
      </x:c>
      <x:c r="AE98" s="68" t="str">
        <x:v>十神必须分开判断存在性、力量、清纯度、功能性与喜忌性；M10只形成结构层结论和候选，不越级替代M11—M18。</x:v>
      </x:c>
      <x:c r="AF98" s="68" t="str">
        <x:v>相关条件真实成立，且增强条件有效时，可按“受制不等于完全失效，应按制约程度分级”记录对应功能。</x:v>
      </x:c>
      <x:c r="AG98" s="90" t="str">
        <x:v>仅见表面十神名称或数量，但“不得以十神名称、数量或单一旺弱证据直接完成定性”所述限制存在时，不得套用本规则。</x:v>
      </x:c>
      <x:c r="AH98" s="68" t="str">
        <x:v>https://zh.wikisource.org/wiki/%E6%B8%8A%E6%B5%B7%E5%AD%90%E5%B9%B3%E5%A4%A7%E5%85%A8 ; https://zh.wikisource.org/wiki/%E6%BB%B4%E5%A4%A9%E9%AB%93%E9%97%A1%E5%BE%AE</x:v>
      </x:c>
      <x:c r="AI98" s="82" t="str">
        <x:v>采用</x:v>
      </x:c>
      <x:c r="AJ98" s="82" t="str">
        <x:v>初审</x:v>
      </x:c>
      <x:c r="AK98" s="87" t="n">
        <x:v>46255</x:v>
      </x:c>
    </x:row>
    <x:row r="99">
      <x:c r="A99" s="72" t="str">
        <x:f>IF(OR(C99="",D99=""),"",B99&amp;"-"&amp;UPPER(C99)&amp;"-"&amp;TEXT(D99,"0000")&amp;"-"&amp;E99)</x:f>
        <x:v>M10-BAL-0093-V1.0</x:v>
      </x:c>
      <x:c r="B99" s="74" t="str">
        <x:v>M10</x:v>
      </x:c>
      <x:c r="C99" s="74" t="str">
        <x:v>BAL</x:v>
      </x:c>
      <x:c r="D99" s="215" t="n">
        <x:v>93</x:v>
      </x:c>
      <x:c r="E99" s="74" t="str">
        <x:v>V1.0</x:v>
      </x:c>
      <x:c r="F99" s="68" t="str">
        <x:v>实质改性后原十神功能应标记转化</x:v>
      </x:c>
      <x:c r="G99" s="82" t="str">
        <x:v>结构层</x:v>
      </x:c>
      <x:c r="H99" s="82" t="str">
        <x:v>正官</x:v>
      </x:c>
      <x:c r="I99" s="82" t="str">
        <x:v>待定</x:v>
      </x:c>
      <x:c r="J99" s="82" t="str">
        <x:v>待定</x:v>
      </x:c>
      <x:c r="K99" s="82" t="str">
        <x:v>待定</x:v>
      </x:c>
      <x:c r="L99" s="82" t="str">
        <x:v>待定</x:v>
      </x:c>
      <x:c r="M99" s="68" t="str">
        <x:v>按M08核查</x:v>
      </x:c>
      <x:c r="N99" s="68" t="str">
        <x:v>按M06/M08核查</x:v>
      </x:c>
      <x:c r="O99" s="82" t="str">
        <x:v>转化</x:v>
      </x:c>
      <x:c r="P99" s="68" t="str">
        <x:v>转M11/M14判断</x:v>
      </x:c>
      <x:c r="Q99" s="68" t="str">
        <x:v>需结合M09日主承载判断</x:v>
      </x:c>
      <x:c r="R99" s="82" t="str">
        <x:v>待定</x:v>
      </x:c>
      <x:c r="S99" s="68" t="str">
        <x:v>正官节点经合化等确认五行性质改变</x:v>
      </x:c>
      <x:c r="T99" s="68" t="str">
        <x:v>M02十神映射、M08五行有效旺衰、M09日主旺衰已完成</x:v>
      </x:c>
      <x:c r="U99" s="68" t="str">
        <x:v>相关十神已由M02正确映射，并以M08有效力量为准</x:v>
      </x:c>
      <x:c r="V99" s="68" t="str">
        <x:v>得令、有根、透干、同党或生源形成独立有效证据</x:v>
      </x:c>
      <x:c r="W99" s="68" t="str">
        <x:v>失令、无根、被合绊、被制、改性或作用路径受阻</x:v>
      </x:c>
      <x:c r="X99" s="90" t="str">
        <x:v>不得以十神名称、数量或单一旺弱证据直接完成定性</x:v>
      </x:c>
      <x:c r="Y99" s="68" t="str">
        <x:v>特殊格局、从化候选及明确组合转M11/M14另审</x:v>
      </x:c>
      <x:c r="Z99" s="68" t="str">
        <x:v>不得直接推出吉凶、具体事件、亲属结果或最终喜忌</x:v>
      </x:c>
      <x:c r="AA99" s="84" t="str">
        <x:v>十神功能转化</x:v>
      </x:c>
      <x:c r="AB99" s="84" t="str">
        <x:v>实质改性后原十神功能应标记转化：当“正官节点经合化等确认五行性质改变”成立时，按本规则记录十神的有效功能；同时保留制化、承载和反向证据。</x:v>
      </x:c>
      <x:c r="AC99" s="82" t="str">
        <x:v>较高</x:v>
      </x:c>
      <x:c r="AD99" s="82" t="str">
        <x:v>现代综合</x:v>
      </x:c>
      <x:c r="AE99" s="68" t="str">
        <x:v>十神必须分开判断存在性、力量、清纯度、功能性与喜忌性；M10只形成结构层结论和候选，不越级替代M11—M18。</x:v>
      </x:c>
      <x:c r="AF99" s="68" t="str">
        <x:v>相关条件真实成立，且增强条件有效时，可按“实质改性后原十神功能应标记转化”记录对应功能。</x:v>
      </x:c>
      <x:c r="AG99" s="90" t="str">
        <x:v>仅见表面十神名称或数量，但“不得以十神名称、数量或单一旺弱证据直接完成定性”所述限制存在时，不得套用本规则。</x:v>
      </x:c>
      <x:c r="AH99" s="68" t="str">
        <x:v>https://zh.wikisource.org/wiki/%E6%B8%8A%E6%B5%B7%E5%AD%90%E5%B9%B3%E5%A4%A7%E5%85%A8 ; https://zh.wikisource.org/wiki/%E6%BB%B4%E5%A4%A9%E9%AB%93%E9%97%A1%E5%BE%AE</x:v>
      </x:c>
      <x:c r="AI99" s="82" t="str">
        <x:v>采用</x:v>
      </x:c>
      <x:c r="AJ99" s="82" t="str">
        <x:v>初审</x:v>
      </x:c>
      <x:c r="AK99" s="87" t="n">
        <x:v>46255</x:v>
      </x:c>
    </x:row>
    <x:row r="100">
      <x:c r="A100" s="72" t="str">
        <x:f>IF(OR(C100="",D100=""),"",B100&amp;"-"&amp;UPPER(C100)&amp;"-"&amp;TEXT(D100,"0000")&amp;"-"&amp;E100)</x:f>
        <x:v>M10-BAL-0094-V1.0</x:v>
      </x:c>
      <x:c r="B100" s="74" t="str">
        <x:v>M10</x:v>
      </x:c>
      <x:c r="C100" s="74" t="str">
        <x:v>BAL</x:v>
      </x:c>
      <x:c r="D100" s="215" t="n">
        <x:v>94</x:v>
      </x:c>
      <x:c r="E100" s="74" t="str">
        <x:v>V1.0</x:v>
      </x:c>
      <x:c r="F100" s="68" t="str">
        <x:v>所有有效节点均失去作用路径时才判失效</x:v>
      </x:c>
      <x:c r="G100" s="82" t="str">
        <x:v>结构层</x:v>
      </x:c>
      <x:c r="H100" s="82" t="str">
        <x:v>正财</x:v>
      </x:c>
      <x:c r="I100" s="82" t="str">
        <x:v>待定</x:v>
      </x:c>
      <x:c r="J100" s="82" t="str">
        <x:v>待定</x:v>
      </x:c>
      <x:c r="K100" s="82" t="str">
        <x:v>待定</x:v>
      </x:c>
      <x:c r="L100" s="82" t="str">
        <x:v>待定</x:v>
      </x:c>
      <x:c r="M100" s="68" t="str">
        <x:v>按M08核查</x:v>
      </x:c>
      <x:c r="N100" s="68" t="str">
        <x:v>按M06/M08核查</x:v>
      </x:c>
      <x:c r="O100" s="82" t="str">
        <x:v>失效</x:v>
      </x:c>
      <x:c r="P100" s="68" t="str">
        <x:v>转M11/M14判断</x:v>
      </x:c>
      <x:c r="Q100" s="68" t="str">
        <x:v>需结合M09日主承载判断</x:v>
      </x:c>
      <x:c r="R100" s="82" t="str">
        <x:v>待定</x:v>
      </x:c>
      <x:c r="S100" s="68" t="str">
        <x:v>正财名义存在，但全部节点被制、改性或无法透达</x:v>
      </x:c>
      <x:c r="T100" s="68" t="str">
        <x:v>M02十神映射、M08五行有效旺衰、M09日主旺衰已完成</x:v>
      </x:c>
      <x:c r="U100" s="68" t="str">
        <x:v>相关十神已由M02正确映射，并以M08有效力量为准</x:v>
      </x:c>
      <x:c r="V100" s="68" t="str">
        <x:v>得令、有根、透干、同党或生源形成独立有效证据</x:v>
      </x:c>
      <x:c r="W100" s="68" t="str">
        <x:v>失令、无根、被合绊、被制、改性或作用路径受阻</x:v>
      </x:c>
      <x:c r="X100" s="90" t="str">
        <x:v>不得以十神名称、数量或单一旺弱证据直接完成定性</x:v>
      </x:c>
      <x:c r="Y100" s="68" t="str">
        <x:v>特殊格局、从化候选及明确组合转M11/M14另审</x:v>
      </x:c>
      <x:c r="Z100" s="68" t="str">
        <x:v>不得直接推出吉凶、具体事件、亲属结果或最终喜忌</x:v>
      </x:c>
      <x:c r="AA100" s="84" t="str">
        <x:v>十神功能失效</x:v>
      </x:c>
      <x:c r="AB100" s="84" t="str">
        <x:v>所有有效节点均失去作用路径时才判失效：当“正财名义存在，但全部节点被制、改性或无法透达”成立时，按本规则记录十神的有效功能；同时保留制化、承载和反向证据。</x:v>
      </x:c>
      <x:c r="AC100" s="82" t="str">
        <x:v>较高</x:v>
      </x:c>
      <x:c r="AD100" s="82" t="str">
        <x:v>现代综合</x:v>
      </x:c>
      <x:c r="AE100" s="68" t="str">
        <x:v>十神必须分开判断存在性、力量、清纯度、功能性与喜忌性；M10只形成结构层结论和候选，不越级替代M11—M18。</x:v>
      </x:c>
      <x:c r="AF100" s="68" t="str">
        <x:v>相关条件真实成立，且增强条件有效时，可按“所有有效节点均失去作用路径时才判失效”记录对应功能。</x:v>
      </x:c>
      <x:c r="AG100" s="90" t="str">
        <x:v>仅见表面十神名称或数量，但“不得以十神名称、数量或单一旺弱证据直接完成定性”所述限制存在时，不得套用本规则。</x:v>
      </x:c>
      <x:c r="AH100" s="68" t="str">
        <x:v>https://zh.wikisource.org/wiki/%E6%B8%8A%E6%B5%B7%E5%AD%90%E5%B9%B3%E5%A4%A7%E5%85%A8 ; https://zh.wikisource.org/wiki/%E6%BB%B4%E5%A4%A9%E9%AB%93%E9%97%A1%E5%BE%AE</x:v>
      </x:c>
      <x:c r="AI100" s="82" t="str">
        <x:v>采用</x:v>
      </x:c>
      <x:c r="AJ100" s="82" t="str">
        <x:v>初审</x:v>
      </x:c>
      <x:c r="AK100" s="87" t="n">
        <x:v>46255</x:v>
      </x:c>
    </x:row>
    <x:row r="101">
      <x:c r="A101" s="72" t="str">
        <x:f>IF(OR(C101="",D101=""),"",B101&amp;"-"&amp;UPPER(C101)&amp;"-"&amp;TEXT(D101,"0000")&amp;"-"&amp;E101)</x:f>
        <x:v>M10-BAL-0095-V1.0</x:v>
      </x:c>
      <x:c r="B101" s="74" t="str">
        <x:v>M10</x:v>
      </x:c>
      <x:c r="C101" s="74" t="str">
        <x:v>BAL</x:v>
      </x:c>
      <x:c r="D101" s="215" t="n">
        <x:v>95</x:v>
      </x:c>
      <x:c r="E101" s="74" t="str">
        <x:v>V1.0</x:v>
      </x:c>
      <x:c r="F101" s="68" t="str">
        <x:v>十神作用超过全局承载并制造新阻塞时可判过度</x:v>
      </x:c>
      <x:c r="G101" s="82" t="str">
        <x:v>结构层</x:v>
      </x:c>
      <x:c r="H101" s="82" t="str">
        <x:v>偏印</x:v>
      </x:c>
      <x:c r="I101" s="82" t="str">
        <x:v>待定</x:v>
      </x:c>
      <x:c r="J101" s="82" t="str">
        <x:v>待定</x:v>
      </x:c>
      <x:c r="K101" s="82" t="str">
        <x:v>待定</x:v>
      </x:c>
      <x:c r="L101" s="82" t="str">
        <x:v>待定</x:v>
      </x:c>
      <x:c r="M101" s="68" t="str">
        <x:v>按M08核查</x:v>
      </x:c>
      <x:c r="N101" s="68" t="str">
        <x:v>按M06/M08核查</x:v>
      </x:c>
      <x:c r="O101" s="82" t="str">
        <x:v>过度</x:v>
      </x:c>
      <x:c r="P101" s="68" t="str">
        <x:v>转M11/M14判断</x:v>
      </x:c>
      <x:c r="Q101" s="68" t="str">
        <x:v>需结合M09日主承载判断</x:v>
      </x:c>
      <x:c r="R101" s="82" t="str">
        <x:v>待定</x:v>
      </x:c>
      <x:c r="S101" s="68" t="str">
        <x:v>偏印极旺且持续压制食伤、加重身势或阻断流通</x:v>
      </x:c>
      <x:c r="T101" s="68" t="str">
        <x:v>M02十神映射、M08五行有效旺衰、M09日主旺衰已完成</x:v>
      </x:c>
      <x:c r="U101" s="68" t="str">
        <x:v>相关十神已由M02正确映射，并以M08有效力量为准</x:v>
      </x:c>
      <x:c r="V101" s="68" t="str">
        <x:v>得令、有根、透干、同党或生源形成独立有效证据</x:v>
      </x:c>
      <x:c r="W101" s="68" t="str">
        <x:v>失令、无根、被合绊、被制、改性或作用路径受阻</x:v>
      </x:c>
      <x:c r="X101" s="90" t="str">
        <x:v>不得以十神名称、数量或单一旺弱证据直接完成定性</x:v>
      </x:c>
      <x:c r="Y101" s="68" t="str">
        <x:v>特殊格局、从化候选及明确组合转M11/M14另审</x:v>
      </x:c>
      <x:c r="Z101" s="68" t="str">
        <x:v>不得直接推出吉凶、具体事件、亲属结果或最终喜忌</x:v>
      </x:c>
      <x:c r="AA101" s="84" t="str">
        <x:v>十神功能过度</x:v>
      </x:c>
      <x:c r="AB101" s="84" t="str">
        <x:v>十神作用超过全局承载并制造新阻塞时可判过度：当“偏印极旺且持续压制食伤、加重身势或阻断流通”成立时，按本规则记录十神的有效功能；同时保留制化、承载和反向证据。</x:v>
      </x:c>
      <x:c r="AC101" s="82" t="str">
        <x:v>较高</x:v>
      </x:c>
      <x:c r="AD101" s="82" t="str">
        <x:v>现代综合</x:v>
      </x:c>
      <x:c r="AE101" s="68" t="str">
        <x:v>十神必须分开判断存在性、力量、清纯度、功能性与喜忌性；M10只形成结构层结论和候选，不越级替代M11—M18。</x:v>
      </x:c>
      <x:c r="AF101" s="68" t="str">
        <x:v>相关条件真实成立，且增强条件有效时，可按“十神作用超过全局承载并制造新阻塞时可判过度”记录对应功能。</x:v>
      </x:c>
      <x:c r="AG101" s="90" t="str">
        <x:v>仅见表面十神名称或数量，但“不得以十神名称、数量或单一旺弱证据直接完成定性”所述限制存在时，不得套用本规则。</x:v>
      </x:c>
      <x:c r="AH101" s="68" t="str">
        <x:v>https://zh.wikisource.org/wiki/%E6%B8%8A%E6%B5%B7%E5%AD%90%E5%B9%B3%E5%A4%A7%E5%85%A8 ; https://zh.wikisource.org/wiki/%E6%BB%B4%E5%A4%A9%E9%AB%93%E9%97%A1%E5%BE%AE</x:v>
      </x:c>
      <x:c r="AI101" s="82" t="str">
        <x:v>采用</x:v>
      </x:c>
      <x:c r="AJ101" s="82" t="str">
        <x:v>初审</x:v>
      </x:c>
      <x:c r="AK101" s="87" t="n">
        <x:v>46255</x:v>
      </x:c>
    </x:row>
    <x:row r="102">
      <x:c r="A102" s="72" t="str">
        <x:f>IF(OR(C102="",D102=""),"",B102&amp;"-"&amp;UPPER(C102)&amp;"-"&amp;TEXT(D102,"0000")&amp;"-"&amp;E102)</x:f>
        <x:v>M10-BAL-0096-V1.0</x:v>
      </x:c>
      <x:c r="B102" s="74" t="str">
        <x:v>M10</x:v>
      </x:c>
      <x:c r="C102" s="74" t="str">
        <x:v>BAL</x:v>
      </x:c>
      <x:c r="D102" s="215" t="n">
        <x:v>96</x:v>
      </x:c>
      <x:c r="E102" s="74" t="str">
        <x:v>V1.0</x:v>
      </x:c>
      <x:c r="F102" s="68" t="str">
        <x:v>制杀双方力量匹配且无关键破坏时标记制化平衡</x:v>
      </x:c>
      <x:c r="G102" s="82" t="str">
        <x:v>结构层</x:v>
      </x:c>
      <x:c r="H102" s="82" t="str">
        <x:v>食神</x:v>
      </x:c>
      <x:c r="I102" s="82" t="str">
        <x:v>待定</x:v>
      </x:c>
      <x:c r="J102" s="82" t="str">
        <x:v>待定</x:v>
      </x:c>
      <x:c r="K102" s="82" t="str">
        <x:v>待定</x:v>
      </x:c>
      <x:c r="L102" s="82" t="str">
        <x:v>待定</x:v>
      </x:c>
      <x:c r="M102" s="68" t="str">
        <x:v>按M08核查</x:v>
      </x:c>
      <x:c r="N102" s="68" t="str">
        <x:v>按M06/M08核查</x:v>
      </x:c>
      <x:c r="O102" s="82" t="str">
        <x:v>制化平衡</x:v>
      </x:c>
      <x:c r="P102" s="68" t="str">
        <x:v>食神制杀候选转M11</x:v>
      </x:c>
      <x:c r="Q102" s="68" t="str">
        <x:v>需结合M09日主承载判断</x:v>
      </x:c>
      <x:c r="R102" s="82" t="str">
        <x:v>待定</x:v>
      </x:c>
      <x:c r="S102" s="68" t="str">
        <x:v>食神与七杀有效力量匹配，制约路径稳定</x:v>
      </x:c>
      <x:c r="T102" s="68" t="str">
        <x:v>M02十神映射、M08五行有效旺衰、M09日主旺衰已完成</x:v>
      </x:c>
      <x:c r="U102" s="68" t="str">
        <x:v>相关十神已由M02正确映射，并以M08有效力量为准</x:v>
      </x:c>
      <x:c r="V102" s="68" t="str">
        <x:v>得令、有根、透干、同党或生源形成独立有效证据</x:v>
      </x:c>
      <x:c r="W102" s="68" t="str">
        <x:v>失令、无根、被合绊、被制、改性或作用路径受阻</x:v>
      </x:c>
      <x:c r="X102" s="90" t="str">
        <x:v>不得以十神名称、数量或单一旺弱证据直接完成定性</x:v>
      </x:c>
      <x:c r="Y102" s="68" t="str">
        <x:v>特殊格局、从化候选及明确组合转M11/M14另审</x:v>
      </x:c>
      <x:c r="Z102" s="68" t="str">
        <x:v>不得直接推出吉凶、具体事件、亲属结果或最终喜忌</x:v>
      </x:c>
      <x:c r="AA102" s="84" t="str">
        <x:v>制化平衡候选</x:v>
      </x:c>
      <x:c r="AB102" s="84" t="str">
        <x:v>制杀双方力量匹配且无关键破坏时标记制化平衡：当“食神与七杀有效力量匹配，制约路径稳定”成立时，按本规则记录十神的有效功能；同时保留制化、承载和反向证据。</x:v>
      </x:c>
      <x:c r="AC102" s="82" t="str">
        <x:v>较高</x:v>
      </x:c>
      <x:c r="AD102" s="82" t="str">
        <x:v>现代综合</x:v>
      </x:c>
      <x:c r="AE102" s="68" t="str">
        <x:v>十神必须分开判断存在性、力量、清纯度、功能性与喜忌性；M10只形成结构层结论和候选，不越级替代M11—M18。</x:v>
      </x:c>
      <x:c r="AF102" s="68" t="str">
        <x:v>相关条件真实成立，且增强条件有效时，可按“制杀双方力量匹配且无关键破坏时标记制化平衡”记录对应功能。</x:v>
      </x:c>
      <x:c r="AG102" s="90" t="str">
        <x:v>仅见表面十神名称或数量，但“不得以十神名称、数量或单一旺弱证据直接完成定性”所述限制存在时，不得套用本规则。</x:v>
      </x:c>
      <x:c r="AH102" s="68" t="str">
        <x:v>https://zh.wikisource.org/wiki/%E6%B8%8A%E6%B5%B7%E5%AD%90%E5%B9%B3%E5%A4%A7%E5%85%A8 ; https://zh.wikisource.org/wiki/%E6%BB%B4%E5%A4%A9%E9%AB%93%E9%97%A1%E5%BE%AE</x:v>
      </x:c>
      <x:c r="AI102" s="82" t="str">
        <x:v>采用</x:v>
      </x:c>
      <x:c r="AJ102" s="82" t="str">
        <x:v>初审</x:v>
      </x:c>
      <x:c r="AK102" s="87" t="n">
        <x:v>46255</x:v>
      </x:c>
    </x:row>
    <x:row r="103">
      <x:c r="A103" s="72" t="str">
        <x:f>IF(OR(C103="",D103=""),"",B103&amp;"-"&amp;UPPER(C103)&amp;"-"&amp;TEXT(D103,"0000")&amp;"-"&amp;E103)</x:f>
        <x:v>M10-BAL-0097-V1.0</x:v>
      </x:c>
      <x:c r="B103" s="74" t="str">
        <x:v>M10</x:v>
      </x:c>
      <x:c r="C103" s="74" t="str">
        <x:v>BAL</x:v>
      </x:c>
      <x:c r="D103" s="215" t="n">
        <x:v>97</x:v>
      </x:c>
      <x:c r="E103" s="74" t="str">
        <x:v>V1.0</x:v>
      </x:c>
      <x:c r="F103" s="68" t="str">
        <x:v>制化两端同时过强并彼此破坏时标记制化失衡</x:v>
      </x:c>
      <x:c r="G103" s="82" t="str">
        <x:v>结构层</x:v>
      </x:c>
      <x:c r="H103" s="82" t="str">
        <x:v>伤官</x:v>
      </x:c>
      <x:c r="I103" s="82" t="str">
        <x:v>待定</x:v>
      </x:c>
      <x:c r="J103" s="82" t="str">
        <x:v>待定</x:v>
      </x:c>
      <x:c r="K103" s="82" t="str">
        <x:v>待定</x:v>
      </x:c>
      <x:c r="L103" s="82" t="str">
        <x:v>待定</x:v>
      </x:c>
      <x:c r="M103" s="68" t="str">
        <x:v>按M08核查</x:v>
      </x:c>
      <x:c r="N103" s="68" t="str">
        <x:v>按M06/M08核查</x:v>
      </x:c>
      <x:c r="O103" s="82" t="str">
        <x:v>制化失衡</x:v>
      </x:c>
      <x:c r="P103" s="68" t="str">
        <x:v>转M11/M14判断</x:v>
      </x:c>
      <x:c r="Q103" s="68" t="str">
        <x:v>需结合M09日主承载判断</x:v>
      </x:c>
      <x:c r="R103" s="82" t="str">
        <x:v>待定</x:v>
      </x:c>
      <x:c r="S103" s="68" t="str">
        <x:v>伤官、印或官星形成多方强力冲突且无稳定主导</x:v>
      </x:c>
      <x:c r="T103" s="68" t="str">
        <x:v>M02十神映射、M08五行有效旺衰、M09日主旺衰已完成</x:v>
      </x:c>
      <x:c r="U103" s="68" t="str">
        <x:v>相关十神已由M02正确映射，并以M08有效力量为准</x:v>
      </x:c>
      <x:c r="V103" s="68" t="str">
        <x:v>得令、有根、透干、同党或生源形成独立有效证据</x:v>
      </x:c>
      <x:c r="W103" s="68" t="str">
        <x:v>失令、无根、被合绊、被制、改性或作用路径受阻</x:v>
      </x:c>
      <x:c r="X103" s="90" t="str">
        <x:v>不得以十神名称、数量或单一旺弱证据直接完成定性</x:v>
      </x:c>
      <x:c r="Y103" s="68" t="str">
        <x:v>特殊格局、从化候选及明确组合转M11/M14另审</x:v>
      </x:c>
      <x:c r="Z103" s="68" t="str">
        <x:v>不得直接推出吉凶、具体事件、亲属结果或最终喜忌</x:v>
      </x:c>
      <x:c r="AA103" s="84" t="str">
        <x:v>制化失衡候选</x:v>
      </x:c>
      <x:c r="AB103" s="84" t="str">
        <x:v>制化两端同时过强并彼此破坏时标记制化失衡：当“伤官、印或官星形成多方强力冲突且无稳定主导”成立时，按本规则记录十神的有效功能；同时保留制化、承载和反向证据。</x:v>
      </x:c>
      <x:c r="AC103" s="82" t="str">
        <x:v>较高</x:v>
      </x:c>
      <x:c r="AD103" s="82" t="str">
        <x:v>现代综合</x:v>
      </x:c>
      <x:c r="AE103" s="68" t="str">
        <x:v>十神必须分开判断存在性、力量、清纯度、功能性与喜忌性；M10只形成结构层结论和候选，不越级替代M11—M18。</x:v>
      </x:c>
      <x:c r="AF103" s="68" t="str">
        <x:v>相关条件真实成立，且增强条件有效时，可按“制化两端同时过强并彼此破坏时标记制化失衡”记录对应功能。</x:v>
      </x:c>
      <x:c r="AG103" s="90" t="str">
        <x:v>仅见表面十神名称或数量，但“不得以十神名称、数量或单一旺弱证据直接完成定性”所述限制存在时，不得套用本规则。</x:v>
      </x:c>
      <x:c r="AH103" s="68" t="str">
        <x:v>https://zh.wikisource.org/wiki/%E6%B8%8A%E6%B5%B7%E5%AD%90%E5%B9%B3%E5%A4%A7%E5%85%A8 ; https://zh.wikisource.org/wiki/%E6%BB%B4%E5%A4%A9%E9%AB%93%E9%97%A1%E5%BE%AE</x:v>
      </x:c>
      <x:c r="AI103" s="82" t="str">
        <x:v>采用</x:v>
      </x:c>
      <x:c r="AJ103" s="82" t="str">
        <x:v>初审</x:v>
      </x:c>
      <x:c r="AK103" s="87" t="n">
        <x:v>46255</x:v>
      </x:c>
    </x:row>
    <x:row r="104">
      <x:c r="A104" s="72" t="str">
        <x:f>IF(OR(C104="",D104=""),"",B104&amp;"-"&amp;UPPER(C104)&amp;"-"&amp;TEXT(D104,"0000")&amp;"-"&amp;E104)</x:f>
        <x:v>M10-BAL-0098-V1.0</x:v>
      </x:c>
      <x:c r="B104" s="74" t="str">
        <x:v>M10</x:v>
      </x:c>
      <x:c r="C104" s="74" t="str">
        <x:v>BAL</x:v>
      </x:c>
      <x:c r="D104" s="215" t="n">
        <x:v>98</x:v>
      </x:c>
      <x:c r="E104" s="74" t="str">
        <x:v>V1.0</x:v>
      </x:c>
      <x:c r="F104" s="68" t="str">
        <x:v>同一十神可同时承担多个功能但不得重复计力</x:v>
      </x:c>
      <x:c r="G104" s="82" t="str">
        <x:v>结构层</x:v>
      </x:c>
      <x:c r="H104" s="82" t="str">
        <x:v>正印</x:v>
      </x:c>
      <x:c r="I104" s="82" t="str">
        <x:v>待定</x:v>
      </x:c>
      <x:c r="J104" s="82" t="str">
        <x:v>待定</x:v>
      </x:c>
      <x:c r="K104" s="82" t="str">
        <x:v>待定</x:v>
      </x:c>
      <x:c r="L104" s="82" t="str">
        <x:v>待定</x:v>
      </x:c>
      <x:c r="M104" s="68" t="str">
        <x:v>按M08核查</x:v>
      </x:c>
      <x:c r="N104" s="68" t="str">
        <x:v>按M06/M08核查</x:v>
      </x:c>
      <x:c r="O104" s="82" t="str">
        <x:v>正常发挥</x:v>
      </x:c>
      <x:c r="P104" s="68" t="str">
        <x:v>转M11/M14判断</x:v>
      </x:c>
      <x:c r="Q104" s="68" t="str">
        <x:v>需结合M09日主承载判断</x:v>
      </x:c>
      <x:c r="R104" s="82" t="str">
        <x:v>待定</x:v>
      </x:c>
      <x:c r="S104" s="68" t="str">
        <x:v>正印同时生身、承接官星并制食伤</x:v>
      </x:c>
      <x:c r="T104" s="68" t="str">
        <x:v>M02十神映射、M08五行有效旺衰、M09日主旺衰已完成</x:v>
      </x:c>
      <x:c r="U104" s="68" t="str">
        <x:v>相关十神已由M02正确映射，并以M08有效力量为准</x:v>
      </x:c>
      <x:c r="V104" s="68" t="str">
        <x:v>得令、有根、透干、同党或生源形成独立有效证据</x:v>
      </x:c>
      <x:c r="W104" s="68" t="str">
        <x:v>失令、无根、被合绊、被制、改性或作用路径受阻</x:v>
      </x:c>
      <x:c r="X104" s="90" t="str">
        <x:v>不得以十神名称、数量或单一旺弱证据直接完成定性</x:v>
      </x:c>
      <x:c r="Y104" s="68" t="str">
        <x:v>特殊格局、从化候选及明确组合转M11/M14另审</x:v>
      </x:c>
      <x:c r="Z104" s="68" t="str">
        <x:v>不得因承担三个功能就把同一印星力量重复计算三次</x:v>
      </x:c>
      <x:c r="AA104" s="84" t="str">
        <x:v>一神多职不重复计力</x:v>
      </x:c>
      <x:c r="AB104" s="84" t="str">
        <x:v>同一十神可同时承担多个功能但不得重复计力：当“正印同时生身、承接官星并制食伤”成立时，按本规则记录十神的有效功能；同时保留制化、承载和反向证据。</x:v>
      </x:c>
      <x:c r="AC104" s="82" t="str">
        <x:v>较高</x:v>
      </x:c>
      <x:c r="AD104" s="82" t="str">
        <x:v>现代综合</x:v>
      </x:c>
      <x:c r="AE104" s="68" t="str">
        <x:v>十神必须分开判断存在性、力量、清纯度、功能性与喜忌性；M10只形成结构层结论和候选，不越级替代M11—M18。</x:v>
      </x:c>
      <x:c r="AF104" s="68" t="str">
        <x:v>相关条件真实成立，且增强条件有效时，可按“同一十神可同时承担多个功能但不得重复计力”记录对应功能。</x:v>
      </x:c>
      <x:c r="AG104" s="90" t="str">
        <x:v>仅见表面十神名称或数量，但“不得以十神名称、数量或单一旺弱证据直接完成定性”所述限制存在时，不得套用本规则。</x:v>
      </x:c>
      <x:c r="AH104" s="68" t="str">
        <x:v>https://zh.wikisource.org/wiki/%E6%B8%8A%E6%B5%B7%E5%AD%90%E5%B9%B3%E5%A4%A7%E5%85%A8 ; https://zh.wikisource.org/wiki/%E6%BB%B4%E5%A4%A9%E9%AB%93%E9%97%A1%E5%BE%AE</x:v>
      </x:c>
      <x:c r="AI104" s="82" t="str">
        <x:v>采用</x:v>
      </x:c>
      <x:c r="AJ104" s="82" t="str">
        <x:v>初审</x:v>
      </x:c>
      <x:c r="AK104" s="87" t="n">
        <x:v>46255</x:v>
      </x:c>
    </x:row>
    <x:row r="105">
      <x:c r="A105" s="72" t="str">
        <x:f>IF(OR(C105="",D105=""),"",B105&amp;"-"&amp;UPPER(C105)&amp;"-"&amp;TEXT(D105,"0000")&amp;"-"&amp;E105)</x:f>
        <x:v>M10-BAL-0099-V1.0</x:v>
      </x:c>
      <x:c r="B105" s="74" t="str">
        <x:v>M10</x:v>
      </x:c>
      <x:c r="C105" s="74" t="str">
        <x:v>BAL</x:v>
      </x:c>
      <x:c r="D105" s="215" t="n">
        <x:v>99</x:v>
      </x:c>
      <x:c r="E105" s="74" t="str">
        <x:v>V1.0</x:v>
      </x:c>
      <x:c r="F105" s="68" t="str">
        <x:v>功能价值取决于是否解决主要矛盾</x:v>
      </x:c>
      <x:c r="G105" s="82" t="str">
        <x:v>结构层</x:v>
      </x:c>
      <x:c r="H105" s="82" t="str">
        <x:v>劫财</x:v>
      </x:c>
      <x:c r="I105" s="82" t="str">
        <x:v>待定</x:v>
      </x:c>
      <x:c r="J105" s="82" t="str">
        <x:v>待定</x:v>
      </x:c>
      <x:c r="K105" s="82" t="str">
        <x:v>待定</x:v>
      </x:c>
      <x:c r="L105" s="82" t="str">
        <x:v>待定</x:v>
      </x:c>
      <x:c r="M105" s="68" t="str">
        <x:v>按M08核查</x:v>
      </x:c>
      <x:c r="N105" s="68" t="str">
        <x:v>按M06/M08核查</x:v>
      </x:c>
      <x:c r="O105" s="82" t="str">
        <x:v>待定</x:v>
      </x:c>
      <x:c r="P105" s="68" t="str">
        <x:v>转M11/M14判断</x:v>
      </x:c>
      <x:c r="Q105" s="68" t="str">
        <x:v>需结合M09日主承载判断</x:v>
      </x:c>
      <x:c r="R105" s="82" t="str">
        <x:v>待定</x:v>
      </x:c>
      <x:c r="S105" s="68" t="str">
        <x:v>劫财既能扶身又可能制财，须判断当前原局主要矛盾</x:v>
      </x:c>
      <x:c r="T105" s="68" t="str">
        <x:v>M02十神映射、M08五行有效旺衰、M09日主旺衰已完成</x:v>
      </x:c>
      <x:c r="U105" s="68" t="str">
        <x:v>相关十神已由M02正确映射，并以M08有效力量为准</x:v>
      </x:c>
      <x:c r="V105" s="68" t="str">
        <x:v>得令、有根、透干、同党或生源形成独立有效证据</x:v>
      </x:c>
      <x:c r="W105" s="68" t="str">
        <x:v>失令、无根、被合绊、被制、改性或作用路径受阻</x:v>
      </x:c>
      <x:c r="X105" s="90" t="str">
        <x:v>不得以十神名称、数量或单一旺弱证据直接完成定性</x:v>
      </x:c>
      <x:c r="Y105" s="68" t="str">
        <x:v>特殊格局、从化候选及明确组合转M11/M14另审</x:v>
      </x:c>
      <x:c r="Z105" s="68" t="str">
        <x:v>不得直接推出吉凶、具体事件、亲属结果或最终喜忌</x:v>
      </x:c>
      <x:c r="AA105" s="84" t="str">
        <x:v>功能目标导向</x:v>
      </x:c>
      <x:c r="AB105" s="84" t="str">
        <x:v>功能价值取决于是否解决主要矛盾：当“劫财既能扶身又可能制财，须判断当前原局主要矛盾”成立时，按本规则记录十神的有效功能；同时保留制化、承载和反向证据。</x:v>
      </x:c>
      <x:c r="AC105" s="82" t="str">
        <x:v>较高</x:v>
      </x:c>
      <x:c r="AD105" s="82" t="str">
        <x:v>现代综合</x:v>
      </x:c>
      <x:c r="AE105" s="68" t="str">
        <x:v>十神必须分开判断存在性、力量、清纯度、功能性与喜忌性；M10只形成结构层结论和候选，不越级替代M11—M18。</x:v>
      </x:c>
      <x:c r="AF105" s="68" t="str">
        <x:v>相关条件真实成立，且增强条件有效时，可按“功能价值取决于是否解决主要矛盾”记录对应功能。</x:v>
      </x:c>
      <x:c r="AG105" s="90" t="str">
        <x:v>仅见表面十神名称或数量，但“不得以十神名称、数量或单一旺弱证据直接完成定性”所述限制存在时，不得套用本规则。</x:v>
      </x:c>
      <x:c r="AH105" s="68" t="str">
        <x:v>https://zh.wikisource.org/wiki/%E6%B8%8A%E6%B5%B7%E5%AD%90%E5%B9%B3%E5%A4%A7%E5%85%A8 ; https://zh.wikisource.org/wiki/%E6%BB%B4%E5%A4%A9%E9%AB%93%E9%97%A1%E5%BE%AE</x:v>
      </x:c>
      <x:c r="AI105" s="82" t="str">
        <x:v>采用</x:v>
      </x:c>
      <x:c r="AJ105" s="82" t="str">
        <x:v>初审</x:v>
      </x:c>
      <x:c r="AK105" s="87" t="n">
        <x:v>46255</x:v>
      </x:c>
    </x:row>
    <x:row r="106">
      <x:c r="A106" s="214" t="str">
        <x:f>IF(OR(C106="",D106=""),"",B106&amp;"-"&amp;UPPER(C106)&amp;"-"&amp;TEXT(D106,"0000")&amp;"-"&amp;E106)</x:f>
        <x:v>M10-BAL-0100-V1.0</x:v>
      </x:c>
      <x:c r="B106" s="214" t="str">
        <x:v>M10</x:v>
      </x:c>
      <x:c r="C106" s="214" t="str">
        <x:v>BAL</x:v>
      </x:c>
      <x:c r="D106" s="216" t="n">
        <x:v>100</x:v>
      </x:c>
      <x:c r="E106" s="214" t="str">
        <x:v>V1.0</x:v>
      </x:c>
      <x:c r="F106" s="214" t="str">
        <x:v>功能副作用必须与主要收益同时记录</x:v>
      </x:c>
      <x:c r="G106" s="214" t="str">
        <x:v>结构层</x:v>
      </x:c>
      <x:c r="H106" s="214" t="str">
        <x:v>偏财</x:v>
      </x:c>
      <x:c r="I106" s="214" t="str">
        <x:v>待定</x:v>
      </x:c>
      <x:c r="J106" s="214" t="str">
        <x:v>待定</x:v>
      </x:c>
      <x:c r="K106" s="214" t="str">
        <x:v>待定</x:v>
      </x:c>
      <x:c r="L106" s="214" t="str">
        <x:v>待定</x:v>
      </x:c>
      <x:c r="M106" s="214" t="str">
        <x:v>按M08核查</x:v>
      </x:c>
      <x:c r="N106" s="214" t="str">
        <x:v>按M06/M08核查</x:v>
      </x:c>
      <x:c r="O106" s="214" t="str">
        <x:v>待定</x:v>
      </x:c>
      <x:c r="P106" s="214" t="str">
        <x:v>转M11/M14判断</x:v>
      </x:c>
      <x:c r="Q106" s="214" t="str">
        <x:v>需结合M09日主承载判断</x:v>
      </x:c>
      <x:c r="R106" s="214" t="str">
        <x:v>待定</x:v>
      </x:c>
      <x:c r="S106" s="214" t="str">
        <x:v>偏财能耗身或生官杀，但同时可能制印</x:v>
      </x:c>
      <x:c r="T106" s="214" t="str">
        <x:v>M02十神映射、M08五行有效旺衰、M09日主旺衰已完成</x:v>
      </x:c>
      <x:c r="U106" s="214" t="str">
        <x:v>相关十神已由M02正确映射，并以M08有效力量为准</x:v>
      </x:c>
      <x:c r="V106" s="214" t="str">
        <x:v>得令、有根、透干、同党或生源形成独立有效证据</x:v>
      </x:c>
      <x:c r="W106" s="214" t="str">
        <x:v>失令、无根、被合绊、被制、改性或作用路径受阻</x:v>
      </x:c>
      <x:c r="X106" s="214" t="str">
        <x:v>不得以十神名称、数量或单一旺弱证据直接完成定性</x:v>
      </x:c>
      <x:c r="Y106" s="214" t="str">
        <x:v>特殊格局、从化候选及明确组合转M11/M14另审</x:v>
      </x:c>
      <x:c r="Z106" s="214" t="str">
        <x:v>不得直接推出吉凶、具体事件、亲属结果或最终喜忌</x:v>
      </x:c>
      <x:c r="AA106" s="214" t="str">
        <x:v>功能收益副作用并列</x:v>
      </x:c>
      <x:c r="AB106" s="214" t="str">
        <x:v>十神功能评价应同时记录主要收益、次级作用和副作用，留给M16—M18统一裁决。</x:v>
      </x:c>
      <x:c r="AC106" s="214" t="str">
        <x:v>较高</x:v>
      </x:c>
      <x:c r="AD106" s="214" t="str">
        <x:v>现代综合</x:v>
      </x:c>
      <x:c r="AE106" s="214" t="str">
        <x:v>十神必须分开判断存在性、力量、清纯度、功能性与喜忌性；M10只形成结构层结论和候选，不越级替代M11—M18。</x:v>
      </x:c>
      <x:c r="AF106" s="214" t="str">
        <x:v>相关条件真实成立，且增强条件有效时，可按“功能副作用必须与主要收益同时记录”记录对应功能。</x:v>
      </x:c>
      <x:c r="AG106" s="214" t="str">
        <x:v>仅见表面十神名称或数量，但“不得以十神名称、数量或单一旺弱证据直接完成定性”所述限制存在时，不得套用本规则。</x:v>
      </x:c>
      <x:c r="AH106" s="214" t="str">
        <x:v>https://zh.wikisource.org/wiki/%E6%B8%8A%E6%B5%B7%E5%AD%90%E5%B9%B3%E5%A4%A7%E5%85%A8 ; https://zh.wikisource.org/wiki/%E6%BB%B4%E5%A4%A9%E9%AB%93%E9%97%A1%E5%BE%AE</x:v>
      </x:c>
      <x:c r="AI106" s="214" t="str">
        <x:v>采用</x:v>
      </x:c>
      <x:c r="AJ106" s="214" t="str">
        <x:v>初审</x:v>
      </x:c>
      <x:c r="AK106" s="217" t="n">
        <x:v>46255</x:v>
      </x:c>
    </x:row>
    <x:row r="107">
      <x:c r="A107" s="214" t="str">
        <x:f>IF(OR(C107="",D107=""),"",B107&amp;"-"&amp;UPPER(C107)&amp;"-"&amp;TEXT(D107,"0000")&amp;"-"&amp;E107)</x:f>
        <x:v>M10-ROLE-0101-V1.0</x:v>
      </x:c>
      <x:c r="B107" s="214" t="str">
        <x:v>M10</x:v>
      </x:c>
      <x:c r="C107" s="214" t="str">
        <x:v>ROLE</x:v>
      </x:c>
      <x:c r="D107" s="216" t="n">
        <x:v>101</x:v>
      </x:c>
      <x:c r="E107" s="214" t="str">
        <x:v>V1.0</x:v>
      </x:c>
      <x:c r="F107" s="214" t="str">
        <x:v>十神有力只能生成组合候选不能直接成立格局</x:v>
      </x:c>
      <x:c r="G107" s="214" t="str">
        <x:v>结构层</x:v>
      </x:c>
      <x:c r="H107" s="214" t="str">
        <x:v>食神</x:v>
      </x:c>
      <x:c r="I107" s="214" t="str">
        <x:v>待定</x:v>
      </x:c>
      <x:c r="J107" s="214" t="str">
        <x:v>待定</x:v>
      </x:c>
      <x:c r="K107" s="214" t="str">
        <x:v>待定</x:v>
      </x:c>
      <x:c r="L107" s="214" t="str">
        <x:v>待定</x:v>
      </x:c>
      <x:c r="M107" s="214" t="str">
        <x:v>按M08核查</x:v>
      </x:c>
      <x:c r="N107" s="214" t="str">
        <x:v>按M06/M08核查</x:v>
      </x:c>
      <x:c r="O107" s="214" t="str">
        <x:v>待定</x:v>
      </x:c>
      <x:c r="P107" s="214" t="str">
        <x:v>生成食神制杀或食神生财候选，转M11</x:v>
      </x:c>
      <x:c r="Q107" s="214" t="str">
        <x:v>需结合M09日主承载判断</x:v>
      </x:c>
      <x:c r="R107" s="214" t="str">
        <x:v>待定</x:v>
      </x:c>
      <x:c r="S107" s="214" t="str">
        <x:v>食神有效且七杀或财星等对象存在</x:v>
      </x:c>
      <x:c r="T107" s="214" t="str">
        <x:v>M02十神映射、M08五行有效旺衰、M09日主旺衰已完成</x:v>
      </x:c>
      <x:c r="U107" s="214" t="str">
        <x:v>相关十神已由M02正确映射，并以M08有效力量为准</x:v>
      </x:c>
      <x:c r="V107" s="214" t="str">
        <x:v>得令、有根、透干、同党或生源形成独立有效证据</x:v>
      </x:c>
      <x:c r="W107" s="214" t="str">
        <x:v>失令、无根、被合绊、被制、改性或作用路径受阻</x:v>
      </x:c>
      <x:c r="X107" s="214" t="str">
        <x:v>不得以十神名称、数量或单一旺弱证据直接完成定性</x:v>
      </x:c>
      <x:c r="Y107" s="214" t="str">
        <x:v>特殊格局、从化候选及明确组合转M11/M14另审</x:v>
      </x:c>
      <x:c r="Z107" s="214" t="str">
        <x:v>不得由食神有力直接宣布食神制杀、食神格或格局成立</x:v>
      </x:c>
      <x:c r="AA107" s="214" t="str">
        <x:v>组合候选接口</x:v>
      </x:c>
      <x:c r="AB107" s="214" t="str">
        <x:v>十神有力只能生成组合候选不能直接成立格局：当“食神有效且七杀或财星等对象存在”成立时，按本规则记录十神的有效功能；同时保留制化、承载和反向证据。</x:v>
      </x:c>
      <x:c r="AC107" s="214" t="str">
        <x:v>较高</x:v>
      </x:c>
      <x:c r="AD107" s="214" t="str">
        <x:v>现代综合</x:v>
      </x:c>
      <x:c r="AE107" s="214" t="str">
        <x:v>十神必须分开判断存在性、力量、清纯度、功能性与喜忌性；M10只形成结构层结论和候选，不越级替代M11—M18。</x:v>
      </x:c>
      <x:c r="AF107" s="214" t="str">
        <x:v>相关条件真实成立，且增强条件有效时，可按“十神有力只能生成组合候选不能直接成立格局”记录对应功能。</x:v>
      </x:c>
      <x:c r="AG107" s="214" t="str">
        <x:v>仅见表面十神名称或数量，但“不得以十神名称、数量或单一旺弱证据直接完成定性”所述限制存在时，不得套用本规则。</x:v>
      </x:c>
      <x:c r="AH107" s="214" t="str">
        <x:v>https://zh.wikisource.org/wiki/%E6%B8%8A%E6%B5%B7%E5%AD%90%E5%B9%B3%E5%A4%A7%E5%85%A8 ; https://zh.wikisource.org/wiki/%E6%BB%B4%E5%A4%A9%E9%AB%93%E9%97%A1%E5%BE%AE</x:v>
      </x:c>
      <x:c r="AI107" s="214" t="str">
        <x:v>采用</x:v>
      </x:c>
      <x:c r="AJ107" s="214" t="str">
        <x:v>初审</x:v>
      </x:c>
      <x:c r="AK107" s="217" t="n">
        <x:v>46255</x:v>
      </x:c>
    </x:row>
    <x:row r="108">
      <x:c r="A108" s="214" t="str">
        <x:f>IF(OR(C108="",D108=""),"",B108&amp;"-"&amp;UPPER(C108)&amp;"-"&amp;TEXT(D108,"0000")&amp;"-"&amp;E108)</x:f>
        <x:v>M10-ROLE-0102-V1.0</x:v>
      </x:c>
      <x:c r="B108" s="214" t="str">
        <x:v>M10</x:v>
      </x:c>
      <x:c r="C108" s="214" t="str">
        <x:v>ROLE</x:v>
      </x:c>
      <x:c r="D108" s="216" t="n">
        <x:v>102</x:v>
      </x:c>
      <x:c r="E108" s="214" t="str">
        <x:v>V1.0</x:v>
      </x:c>
      <x:c r="F108" s="214" t="str">
        <x:v>伤官有力且印星存在时只生成伤官配印候选</x:v>
      </x:c>
      <x:c r="G108" s="214" t="str">
        <x:v>结构层</x:v>
      </x:c>
      <x:c r="H108" s="214" t="str">
        <x:v>伤官</x:v>
      </x:c>
      <x:c r="I108" s="214" t="str">
        <x:v>待定</x:v>
      </x:c>
      <x:c r="J108" s="214" t="str">
        <x:v>待定</x:v>
      </x:c>
      <x:c r="K108" s="214" t="str">
        <x:v>待定</x:v>
      </x:c>
      <x:c r="L108" s="214" t="str">
        <x:v>待定</x:v>
      </x:c>
      <x:c r="M108" s="214" t="str">
        <x:v>按M08核查</x:v>
      </x:c>
      <x:c r="N108" s="214" t="str">
        <x:v>按M06/M08核查</x:v>
      </x:c>
      <x:c r="O108" s="214" t="str">
        <x:v>待定</x:v>
      </x:c>
      <x:c r="P108" s="214" t="str">
        <x:v>伤官配印候选转M11</x:v>
      </x:c>
      <x:c r="Q108" s="214" t="str">
        <x:v>需结合M09日主承载判断</x:v>
      </x:c>
      <x:c r="R108" s="214" t="str">
        <x:v>待定</x:v>
      </x:c>
      <x:c r="S108" s="214" t="str">
        <x:v>伤官与印星均有效存在</x:v>
      </x:c>
      <x:c r="T108" s="214" t="str">
        <x:v>M02十神映射、M08五行有效旺衰、M09日主旺衰已完成</x:v>
      </x:c>
      <x:c r="U108" s="214" t="str">
        <x:v>相关十神已由M02正确映射，并以M08有效力量为准</x:v>
      </x:c>
      <x:c r="V108" s="214" t="str">
        <x:v>得令、有根、透干、同党或生源形成独立有效证据</x:v>
      </x:c>
      <x:c r="W108" s="214" t="str">
        <x:v>失令、无根、被合绊、被制、改性或作用路径受阻</x:v>
      </x:c>
      <x:c r="X108" s="214" t="str">
        <x:v>不得以十神名称、数量或单一旺弱证据直接完成定性</x:v>
      </x:c>
      <x:c r="Y108" s="214" t="str">
        <x:v>特殊格局、从化候选及明确组合转M11/M14另审</x:v>
      </x:c>
      <x:c r="Z108" s="214" t="str">
        <x:v>不得直接推出吉凶、具体事件、亲属结果或最终喜忌</x:v>
      </x:c>
      <x:c r="AA108" s="214" t="str">
        <x:v>伤官配印接口</x:v>
      </x:c>
      <x:c r="AB108" s="214" t="str">
        <x:v>伤官有力且印星存在时只生成伤官配印候选：当“伤官与印星均有效存在”成立时，按本规则记录十神的有效功能；同时保留制化、承载和反向证据。</x:v>
      </x:c>
      <x:c r="AC108" s="214" t="str">
        <x:v>较高</x:v>
      </x:c>
      <x:c r="AD108" s="214" t="str">
        <x:v>现代综合</x:v>
      </x:c>
      <x:c r="AE108" s="214" t="str">
        <x:v>十神必须分开判断存在性、力量、清纯度、功能性与喜忌性；M10只形成结构层结论和候选，不越级替代M11—M18。</x:v>
      </x:c>
      <x:c r="AF108" s="214" t="str">
        <x:v>相关条件真实成立，且增强条件有效时，可按“伤官有力且印星存在时只生成伤官配印候选”记录对应功能。</x:v>
      </x:c>
      <x:c r="AG108" s="214" t="str">
        <x:v>仅见表面十神名称或数量，但“不得以十神名称、数量或单一旺弱证据直接完成定性”所述限制存在时，不得套用本规则。</x:v>
      </x:c>
      <x:c r="AH108" s="214" t="str">
        <x:v>https://zh.wikisource.org/wiki/%E6%B8%8A%E6%B5%B7%E5%AD%90%E5%B9%B3%E5%A4%A7%E5%85%A8 ; https://zh.wikisource.org/wiki/%E6%BB%B4%E5%A4%A9%E9%AB%93%E9%97%A1%E5%BE%AE</x:v>
      </x:c>
      <x:c r="AI108" s="214" t="str">
        <x:v>采用</x:v>
      </x:c>
      <x:c r="AJ108" s="214" t="str">
        <x:v>初审</x:v>
      </x:c>
      <x:c r="AK108" s="217" t="n">
        <x:v>46255</x:v>
      </x:c>
    </x:row>
    <x:row r="109">
      <x:c r="A109" s="214" t="str">
        <x:f>IF(OR(C109="",D109=""),"",B109&amp;"-"&amp;UPPER(C109)&amp;"-"&amp;TEXT(D109,"0000")&amp;"-"&amp;E109)</x:f>
        <x:v>M10-ROLE-0103-V1.0</x:v>
      </x:c>
      <x:c r="B109" s="214" t="str">
        <x:v>M10</x:v>
      </x:c>
      <x:c r="C109" s="214" t="str">
        <x:v>ROLE</x:v>
      </x:c>
      <x:c r="D109" s="216" t="n">
        <x:v>103</x:v>
      </x:c>
      <x:c r="E109" s="214" t="str">
        <x:v>V1.0</x:v>
      </x:c>
      <x:c r="F109" s="214" t="str">
        <x:v>官印均有效时只生成官印相生候选</x:v>
      </x:c>
      <x:c r="G109" s="214" t="str">
        <x:v>结构层</x:v>
      </x:c>
      <x:c r="H109" s="214" t="str">
        <x:v>正官</x:v>
      </x:c>
      <x:c r="I109" s="214" t="str">
        <x:v>待定</x:v>
      </x:c>
      <x:c r="J109" s="214" t="str">
        <x:v>待定</x:v>
      </x:c>
      <x:c r="K109" s="214" t="str">
        <x:v>待定</x:v>
      </x:c>
      <x:c r="L109" s="214" t="str">
        <x:v>待定</x:v>
      </x:c>
      <x:c r="M109" s="214" t="str">
        <x:v>按M08核查</x:v>
      </x:c>
      <x:c r="N109" s="214" t="str">
        <x:v>按M06/M08核查</x:v>
      </x:c>
      <x:c r="O109" s="214" t="str">
        <x:v>待定</x:v>
      </x:c>
      <x:c r="P109" s="214" t="str">
        <x:v>官印相生候选转M11</x:v>
      </x:c>
      <x:c r="Q109" s="214" t="str">
        <x:v>需结合M09日主承载判断</x:v>
      </x:c>
      <x:c r="R109" s="214" t="str">
        <x:v>待定</x:v>
      </x:c>
      <x:c r="S109" s="214" t="str">
        <x:v>正官与印星有效且生化路径可能连续</x:v>
      </x:c>
      <x:c r="T109" s="214" t="str">
        <x:v>M02十神映射、M08五行有效旺衰、M09日主旺衰已完成</x:v>
      </x:c>
      <x:c r="U109" s="214" t="str">
        <x:v>相关十神已由M02正确映射，并以M08有效力量为准</x:v>
      </x:c>
      <x:c r="V109" s="214" t="str">
        <x:v>得令、有根、透干、同党或生源形成独立有效证据</x:v>
      </x:c>
      <x:c r="W109" s="214" t="str">
        <x:v>失令、无根、被合绊、被制、改性或作用路径受阻</x:v>
      </x:c>
      <x:c r="X109" s="214" t="str">
        <x:v>不得以十神名称、数量或单一旺弱证据直接完成定性</x:v>
      </x:c>
      <x:c r="Y109" s="214" t="str">
        <x:v>特殊格局、从化候选及明确组合转M11/M14另审</x:v>
      </x:c>
      <x:c r="Z109" s="214" t="str">
        <x:v>不得直接推出吉凶、具体事件、亲属结果或最终喜忌</x:v>
      </x:c>
      <x:c r="AA109" s="214" t="str">
        <x:v>官印组合接口</x:v>
      </x:c>
      <x:c r="AB109" s="214" t="str">
        <x:v>官印均有效时只生成官印相生候选：当“正官与印星有效且生化路径可能连续”成立时，按本规则记录十神的有效功能；同时保留制化、承载和反向证据。</x:v>
      </x:c>
      <x:c r="AC109" s="214" t="str">
        <x:v>较高</x:v>
      </x:c>
      <x:c r="AD109" s="214" t="str">
        <x:v>现代综合</x:v>
      </x:c>
      <x:c r="AE109" s="214" t="str">
        <x:v>十神必须分开判断存在性、力量、清纯度、功能性与喜忌性；M10只形成结构层结论和候选，不越级替代M11—M18。</x:v>
      </x:c>
      <x:c r="AF109" s="214" t="str">
        <x:v>相关条件真实成立，且增强条件有效时，可按“官印均有效时只生成官印相生候选”记录对应功能。</x:v>
      </x:c>
      <x:c r="AG109" s="214" t="str">
        <x:v>仅见表面十神名称或数量，但“不得以十神名称、数量或单一旺弱证据直接完成定性”所述限制存在时，不得套用本规则。</x:v>
      </x:c>
      <x:c r="AH109" s="214" t="str">
        <x:v>https://zh.wikisource.org/wiki/%E6%B8%8A%E6%B5%B7%E5%AD%90%E5%B9%B3%E5%A4%A7%E5%85%A8 ; https://zh.wikisource.org/wiki/%E6%BB%B4%E5%A4%A9%E9%AB%93%E9%97%A1%E5%BE%AE</x:v>
      </x:c>
      <x:c r="AI109" s="214" t="str">
        <x:v>采用</x:v>
      </x:c>
      <x:c r="AJ109" s="214" t="str">
        <x:v>初审</x:v>
      </x:c>
      <x:c r="AK109" s="217" t="n">
        <x:v>46255</x:v>
      </x:c>
    </x:row>
    <x:row r="110">
      <x:c r="A110" s="214" t="str">
        <x:f>IF(OR(C110="",D110=""),"",B110&amp;"-"&amp;UPPER(C110)&amp;"-"&amp;TEXT(D110,"0000")&amp;"-"&amp;E110)</x:f>
        <x:v>M10-ROLE-0104-V1.0</x:v>
      </x:c>
      <x:c r="B110" s="214" t="str">
        <x:v>M10</x:v>
      </x:c>
      <x:c r="C110" s="214" t="str">
        <x:v>ROLE</x:v>
      </x:c>
      <x:c r="D110" s="216" t="n">
        <x:v>104</x:v>
      </x:c>
      <x:c r="E110" s="214" t="str">
        <x:v>V1.0</x:v>
      </x:c>
      <x:c r="F110" s="214" t="str">
        <x:v>杀印均有效时只生成杀印相生候选</x:v>
      </x:c>
      <x:c r="G110" s="214" t="str">
        <x:v>结构层</x:v>
      </x:c>
      <x:c r="H110" s="214" t="str">
        <x:v>七杀</x:v>
      </x:c>
      <x:c r="I110" s="214" t="str">
        <x:v>待定</x:v>
      </x:c>
      <x:c r="J110" s="214" t="str">
        <x:v>待定</x:v>
      </x:c>
      <x:c r="K110" s="214" t="str">
        <x:v>待定</x:v>
      </x:c>
      <x:c r="L110" s="214" t="str">
        <x:v>待定</x:v>
      </x:c>
      <x:c r="M110" s="214" t="str">
        <x:v>按M08核查</x:v>
      </x:c>
      <x:c r="N110" s="214" t="str">
        <x:v>按M06/M08核查</x:v>
      </x:c>
      <x:c r="O110" s="214" t="str">
        <x:v>待定</x:v>
      </x:c>
      <x:c r="P110" s="214" t="str">
        <x:v>杀印相生候选转M11</x:v>
      </x:c>
      <x:c r="Q110" s="214" t="str">
        <x:v>需结合M09日主承载判断</x:v>
      </x:c>
      <x:c r="R110" s="214" t="str">
        <x:v>待定</x:v>
      </x:c>
      <x:c r="S110" s="214" t="str">
        <x:v>七杀与印星有效且七杀可生印</x:v>
      </x:c>
      <x:c r="T110" s="214" t="str">
        <x:v>M02十神映射、M08五行有效旺衰、M09日主旺衰已完成</x:v>
      </x:c>
      <x:c r="U110" s="214" t="str">
        <x:v>相关十神已由M02正确映射，并以M08有效力量为准</x:v>
      </x:c>
      <x:c r="V110" s="214" t="str">
        <x:v>得令、有根、透干、同党或生源形成独立有效证据</x:v>
      </x:c>
      <x:c r="W110" s="214" t="str">
        <x:v>失令、无根、被合绊、被制、改性或作用路径受阻</x:v>
      </x:c>
      <x:c r="X110" s="214" t="str">
        <x:v>不得以十神名称、数量或单一旺弱证据直接完成定性</x:v>
      </x:c>
      <x:c r="Y110" s="214" t="str">
        <x:v>特殊格局、从化候选及明确组合转M11/M14另审</x:v>
      </x:c>
      <x:c r="Z110" s="214" t="str">
        <x:v>不得直接推出吉凶、具体事件、亲属结果或最终喜忌</x:v>
      </x:c>
      <x:c r="AA110" s="214" t="str">
        <x:v>杀印组合接口</x:v>
      </x:c>
      <x:c r="AB110" s="214" t="str">
        <x:v>杀印均有效时只生成杀印相生候选：当“七杀与印星有效且七杀可生印”成立时，按本规则记录十神的有效功能；同时保留制化、承载和反向证据。</x:v>
      </x:c>
      <x:c r="AC110" s="214" t="str">
        <x:v>较高</x:v>
      </x:c>
      <x:c r="AD110" s="214" t="str">
        <x:v>现代综合</x:v>
      </x:c>
      <x:c r="AE110" s="214" t="str">
        <x:v>十神必须分开判断存在性、力量、清纯度、功能性与喜忌性；M10只形成结构层结论和候选，不越级替代M11—M18。</x:v>
      </x:c>
      <x:c r="AF110" s="214" t="str">
        <x:v>相关条件真实成立，且增强条件有效时，可按“杀印均有效时只生成杀印相生候选”记录对应功能。</x:v>
      </x:c>
      <x:c r="AG110" s="214" t="str">
        <x:v>仅见表面十神名称或数量，但“不得以十神名称、数量或单一旺弱证据直接完成定性”所述限制存在时，不得套用本规则。</x:v>
      </x:c>
      <x:c r="AH110" s="214" t="str">
        <x:v>https://zh.wikisource.org/wiki/%E6%B8%8A%E6%B5%B7%E5%AD%90%E5%B9%B3%E5%A4%A7%E5%85%A8 ; https://zh.wikisource.org/wiki/%E6%BB%B4%E5%A4%A9%E9%AB%93%E9%97%A1%E5%BE%AE</x:v>
      </x:c>
      <x:c r="AI110" s="214" t="str">
        <x:v>采用</x:v>
      </x:c>
      <x:c r="AJ110" s="214" t="str">
        <x:v>初审</x:v>
      </x:c>
      <x:c r="AK110" s="217" t="n">
        <x:v>46255</x:v>
      </x:c>
    </x:row>
    <x:row r="111">
      <x:c r="A111" s="214" t="str">
        <x:f>IF(OR(C111="",D111=""),"",B111&amp;"-"&amp;UPPER(C111)&amp;"-"&amp;TEXT(D111,"0000")&amp;"-"&amp;E111)</x:f>
        <x:v>M10-ROLE-0105-V1.0</x:v>
      </x:c>
      <x:c r="B111" s="214" t="str">
        <x:v>M10</x:v>
      </x:c>
      <x:c r="C111" s="214" t="str">
        <x:v>ROLE</x:v>
      </x:c>
      <x:c r="D111" s="216" t="n">
        <x:v>105</x:v>
      </x:c>
      <x:c r="E111" s="214" t="str">
        <x:v>V1.0</x:v>
      </x:c>
      <x:c r="F111" s="214" t="str">
        <x:v>食伤与财均有效时只生成食伤生财候选</x:v>
      </x:c>
      <x:c r="G111" s="214" t="str">
        <x:v>结构层</x:v>
      </x:c>
      <x:c r="H111" s="214" t="str">
        <x:v>正财</x:v>
      </x:c>
      <x:c r="I111" s="214" t="str">
        <x:v>待定</x:v>
      </x:c>
      <x:c r="J111" s="214" t="str">
        <x:v>待定</x:v>
      </x:c>
      <x:c r="K111" s="214" t="str">
        <x:v>待定</x:v>
      </x:c>
      <x:c r="L111" s="214" t="str">
        <x:v>待定</x:v>
      </x:c>
      <x:c r="M111" s="214" t="str">
        <x:v>按M08核查</x:v>
      </x:c>
      <x:c r="N111" s="214" t="str">
        <x:v>按M06/M08核查</x:v>
      </x:c>
      <x:c r="O111" s="214" t="str">
        <x:v>待定</x:v>
      </x:c>
      <x:c r="P111" s="214" t="str">
        <x:v>食伤生财候选转M11</x:v>
      </x:c>
      <x:c r="Q111" s="214" t="str">
        <x:v>需结合M09日主承载判断</x:v>
      </x:c>
      <x:c r="R111" s="214" t="str">
        <x:v>待定</x:v>
      </x:c>
      <x:c r="S111" s="214" t="str">
        <x:v>食伤与财星有连续生扶路径</x:v>
      </x:c>
      <x:c r="T111" s="214" t="str">
        <x:v>M02十神映射、M08五行有效旺衰、M09日主旺衰已完成</x:v>
      </x:c>
      <x:c r="U111" s="214" t="str">
        <x:v>相关十神已由M02正确映射，并以M08有效力量为准</x:v>
      </x:c>
      <x:c r="V111" s="214" t="str">
        <x:v>得令、有根、透干、同党或生源形成独立有效证据</x:v>
      </x:c>
      <x:c r="W111" s="214" t="str">
        <x:v>失令、无根、被合绊、被制、改性或作用路径受阻</x:v>
      </x:c>
      <x:c r="X111" s="214" t="str">
        <x:v>不得以十神名称、数量或单一旺弱证据直接完成定性</x:v>
      </x:c>
      <x:c r="Y111" s="214" t="str">
        <x:v>特殊格局、从化候选及明确组合转M11/M14另审</x:v>
      </x:c>
      <x:c r="Z111" s="214" t="str">
        <x:v>不得直接推出吉凶、具体事件、亲属结果或最终喜忌</x:v>
      </x:c>
      <x:c r="AA111" s="214" t="str">
        <x:v>财星组合接口</x:v>
      </x:c>
      <x:c r="AB111" s="214" t="str">
        <x:v>食伤与财均有效时只生成食伤生财候选：当“食伤与财星有连续生扶路径”成立时，按本规则记录十神的有效功能；同时保留制化、承载和反向证据。</x:v>
      </x:c>
      <x:c r="AC111" s="214" t="str">
        <x:v>较高</x:v>
      </x:c>
      <x:c r="AD111" s="214" t="str">
        <x:v>现代综合</x:v>
      </x:c>
      <x:c r="AE111" s="214" t="str">
        <x:v>十神必须分开判断存在性、力量、清纯度、功能性与喜忌性；M10只形成结构层结论和候选，不越级替代M11—M18。</x:v>
      </x:c>
      <x:c r="AF111" s="214" t="str">
        <x:v>相关条件真实成立，且增强条件有效时，可按“食伤与财均有效时只生成食伤生财候选”记录对应功能。</x:v>
      </x:c>
      <x:c r="AG111" s="214" t="str">
        <x:v>仅见表面十神名称或数量，但“不得以十神名称、数量或单一旺弱证据直接完成定性”所述限制存在时，不得套用本规则。</x:v>
      </x:c>
      <x:c r="AH111" s="214" t="str">
        <x:v>https://zh.wikisource.org/wiki/%E6%B8%8A%E6%B5%B7%E5%AD%90%E5%B9%B3%E5%A4%A7%E5%85%A8 ; https://zh.wikisource.org/wiki/%E6%BB%B4%E5%A4%A9%E9%AB%93%E9%97%A1%E5%BE%AE</x:v>
      </x:c>
      <x:c r="AI111" s="214" t="str">
        <x:v>采用</x:v>
      </x:c>
      <x:c r="AJ111" s="214" t="str">
        <x:v>初审</x:v>
      </x:c>
      <x:c r="AK111" s="217" t="n">
        <x:v>46255</x:v>
      </x:c>
    </x:row>
    <x:row r="112">
      <x:c r="A112" s="214" t="str">
        <x:f>IF(OR(C112="",D112=""),"",B112&amp;"-"&amp;UPPER(C112)&amp;"-"&amp;TEXT(D112,"0000")&amp;"-"&amp;E112)</x:f>
        <x:v>M10-ROLE-0106-V1.0</x:v>
      </x:c>
      <x:c r="B112" s="214" t="str">
        <x:v>M10</x:v>
      </x:c>
      <x:c r="C112" s="214" t="str">
        <x:v>ROLE</x:v>
      </x:c>
      <x:c r="D112" s="216" t="n">
        <x:v>106</x:v>
      </x:c>
      <x:c r="E112" s="214" t="str">
        <x:v>V1.0</x:v>
      </x:c>
      <x:c r="F112" s="214" t="str">
        <x:v>比劫与财星形成克制时只生成比劫制财类候选</x:v>
      </x:c>
      <x:c r="G112" s="214" t="str">
        <x:v>结构层</x:v>
      </x:c>
      <x:c r="H112" s="214" t="str">
        <x:v>劫财</x:v>
      </x:c>
      <x:c r="I112" s="214" t="str">
        <x:v>待定</x:v>
      </x:c>
      <x:c r="J112" s="214" t="str">
        <x:v>待定</x:v>
      </x:c>
      <x:c r="K112" s="214" t="str">
        <x:v>待定</x:v>
      </x:c>
      <x:c r="L112" s="214" t="str">
        <x:v>待定</x:v>
      </x:c>
      <x:c r="M112" s="214" t="str">
        <x:v>按M08核查</x:v>
      </x:c>
      <x:c r="N112" s="214" t="str">
        <x:v>按M06/M08核查</x:v>
      </x:c>
      <x:c r="O112" s="214" t="str">
        <x:v>待定</x:v>
      </x:c>
      <x:c r="P112" s="214" t="str">
        <x:v>比劫制财候选转M11</x:v>
      </x:c>
      <x:c r="Q112" s="214" t="str">
        <x:v>需结合M09日主承载判断</x:v>
      </x:c>
      <x:c r="R112" s="214" t="str">
        <x:v>待定</x:v>
      </x:c>
      <x:c r="S112" s="214" t="str">
        <x:v>比劫与财星均有效且克制路径成立</x:v>
      </x:c>
      <x:c r="T112" s="214" t="str">
        <x:v>M02十神映射、M08五行有效旺衰、M09日主旺衰已完成</x:v>
      </x:c>
      <x:c r="U112" s="214" t="str">
        <x:v>相关十神已由M02正确映射，并以M08有效力量为准</x:v>
      </x:c>
      <x:c r="V112" s="214" t="str">
        <x:v>得令、有根、透干、同党或生源形成独立有效证据</x:v>
      </x:c>
      <x:c r="W112" s="214" t="str">
        <x:v>失令、无根、被合绊、被制、改性或作用路径受阻</x:v>
      </x:c>
      <x:c r="X112" s="214" t="str">
        <x:v>不得以十神名称、数量或单一旺弱证据直接完成定性</x:v>
      </x:c>
      <x:c r="Y112" s="214" t="str">
        <x:v>特殊格局、从化候选及明确组合转M11/M14另审</x:v>
      </x:c>
      <x:c r="Z112" s="214" t="str">
        <x:v>不得直接推出吉凶、具体事件、亲属结果或最终喜忌</x:v>
      </x:c>
      <x:c r="AA112" s="214" t="str">
        <x:v>比劫组合接口</x:v>
      </x:c>
      <x:c r="AB112" s="214" t="str">
        <x:v>比劫与财星形成克制时只生成比劫制财类候选：当“比劫与财星均有效且克制路径成立”成立时，按本规则记录十神的有效功能；同时保留制化、承载和反向证据。</x:v>
      </x:c>
      <x:c r="AC112" s="214" t="str">
        <x:v>较高</x:v>
      </x:c>
      <x:c r="AD112" s="214" t="str">
        <x:v>现代综合</x:v>
      </x:c>
      <x:c r="AE112" s="214" t="str">
        <x:v>十神必须分开判断存在性、力量、清纯度、功能性与喜忌性；M10只形成结构层结论和候选，不越级替代M11—M18。</x:v>
      </x:c>
      <x:c r="AF112" s="214" t="str">
        <x:v>相关条件真实成立，且增强条件有效时，可按“比劫与财星形成克制时只生成比劫制财类候选”记录对应功能。</x:v>
      </x:c>
      <x:c r="AG112" s="214" t="str">
        <x:v>仅见表面十神名称或数量，但“不得以十神名称、数量或单一旺弱证据直接完成定性”所述限制存在时，不得套用本规则。</x:v>
      </x:c>
      <x:c r="AH112" s="214" t="str">
        <x:v>https://zh.wikisource.org/wiki/%E6%B8%8A%E6%B5%B7%E5%AD%90%E5%B9%B3%E5%A4%A7%E5%85%A8 ; https://zh.wikisource.org/wiki/%E6%BB%B4%E5%A4%A9%E9%AB%93%E9%97%A1%E5%BE%AE</x:v>
      </x:c>
      <x:c r="AI112" s="214" t="str">
        <x:v>采用</x:v>
      </x:c>
      <x:c r="AJ112" s="214" t="str">
        <x:v>初审</x:v>
      </x:c>
      <x:c r="AK112" s="217" t="n">
        <x:v>46255</x:v>
      </x:c>
    </x:row>
    <x:row r="113">
      <x:c r="A113" s="214" t="str">
        <x:f>IF(OR(C113="",D113=""),"",B113&amp;"-"&amp;UPPER(C113)&amp;"-"&amp;TEXT(D113,"0000")&amp;"-"&amp;E113)</x:f>
        <x:v>M10-ROLE-0107-V1.0</x:v>
      </x:c>
      <x:c r="B113" s="214" t="str">
        <x:v>M10</x:v>
      </x:c>
      <x:c r="C113" s="214" t="str">
        <x:v>ROLE</x:v>
      </x:c>
      <x:c r="D113" s="216" t="n">
        <x:v>107</x:v>
      </x:c>
      <x:c r="E113" s="214" t="str">
        <x:v>V1.0</x:v>
      </x:c>
      <x:c r="F113" s="214" t="str">
        <x:v>格局功能必须服从M14月令与格神条件</x:v>
      </x:c>
      <x:c r="G113" s="214" t="str">
        <x:v>结构层</x:v>
      </x:c>
      <x:c r="H113" s="214" t="str">
        <x:v>正印</x:v>
      </x:c>
      <x:c r="I113" s="214" t="str">
        <x:v>待定</x:v>
      </x:c>
      <x:c r="J113" s="214" t="str">
        <x:v>待定</x:v>
      </x:c>
      <x:c r="K113" s="214" t="str">
        <x:v>待定</x:v>
      </x:c>
      <x:c r="L113" s="214" t="str">
        <x:v>待定</x:v>
      </x:c>
      <x:c r="M113" s="214" t="str">
        <x:v>按M08核查</x:v>
      </x:c>
      <x:c r="N113" s="214" t="str">
        <x:v>按M06/M08核查</x:v>
      </x:c>
      <x:c r="O113" s="214" t="str">
        <x:v>待定</x:v>
      </x:c>
      <x:c r="P113" s="214" t="str">
        <x:v>仅记录格局功能候选，转M14</x:v>
      </x:c>
      <x:c r="Q113" s="214" t="str">
        <x:v>需结合M09日主承载判断</x:v>
      </x:c>
      <x:c r="R113" s="214" t="str">
        <x:v>待定</x:v>
      </x:c>
      <x:c r="S113" s="214" t="str">
        <x:v>十神在M10功能有效，但是否成为格神尚未核验</x:v>
      </x:c>
      <x:c r="T113" s="214" t="str">
        <x:v>M02十神映射、M08五行有效旺衰、M09日主旺衰已完成</x:v>
      </x:c>
      <x:c r="U113" s="214" t="str">
        <x:v>相关十神已由M02正确映射，并以M08有效力量为准</x:v>
      </x:c>
      <x:c r="V113" s="214" t="str">
        <x:v>得令、有根、透干、同党或生源形成独立有效证据</x:v>
      </x:c>
      <x:c r="W113" s="214" t="str">
        <x:v>失令、无根、被合绊、被制、改性或作用路径受阻</x:v>
      </x:c>
      <x:c r="X113" s="214" t="str">
        <x:v>不得以十神名称、数量或单一旺弱证据直接完成定性</x:v>
      </x:c>
      <x:c r="Y113" s="214" t="str">
        <x:v>特殊格局、从化候选及明确组合转M11/M14另审</x:v>
      </x:c>
      <x:c r="Z113" s="214" t="str">
        <x:v>不得直接推出吉凶、具体事件、亲属结果或最终喜忌</x:v>
      </x:c>
      <x:c r="AA113" s="214" t="str">
        <x:v>格局角色候选</x:v>
      </x:c>
      <x:c r="AB113" s="214" t="str">
        <x:v>格局功能必须服从M14月令与格神条件：当“十神在M10功能有效，但是否成为格神尚未核验”成立时，按本规则记录十神的有效功能；同时保留制化、承载和反向证据。</x:v>
      </x:c>
      <x:c r="AC113" s="214" t="str">
        <x:v>较高</x:v>
      </x:c>
      <x:c r="AD113" s="214" t="str">
        <x:v>现代综合</x:v>
      </x:c>
      <x:c r="AE113" s="214" t="str">
        <x:v>十神必须分开判断存在性、力量、清纯度、功能性与喜忌性；M10只形成结构层结论和候选，不越级替代M11—M18。</x:v>
      </x:c>
      <x:c r="AF113" s="214" t="str">
        <x:v>相关条件真实成立，且增强条件有效时，可按“格局功能必须服从M14月令与格神条件”记录对应功能。</x:v>
      </x:c>
      <x:c r="AG113" s="214" t="str">
        <x:v>仅见表面十神名称或数量，但“不得以十神名称、数量或单一旺弱证据直接完成定性”所述限制存在时，不得套用本规则。</x:v>
      </x:c>
      <x:c r="AH113" s="214" t="str">
        <x:v>https://zh.wikisource.org/wiki/%E6%B8%8A%E6%B5%B7%E5%AD%90%E5%B9%B3%E5%A4%A7%E5%85%A8 ; https://zh.wikisource.org/wiki/%E6%BB%B4%E5%A4%A9%E9%AB%93%E9%97%A1%E5%BE%AE</x:v>
      </x:c>
      <x:c r="AI113" s="214" t="str">
        <x:v>采用</x:v>
      </x:c>
      <x:c r="AJ113" s="214" t="str">
        <x:v>初审</x:v>
      </x:c>
      <x:c r="AK113" s="217" t="n">
        <x:v>46255</x:v>
      </x:c>
    </x:row>
    <x:row r="114">
      <x:c r="A114" s="214" t="str">
        <x:f>IF(OR(C114="",D114=""),"",B114&amp;"-"&amp;UPPER(C114)&amp;"-"&amp;TEXT(D114,"0000")&amp;"-"&amp;E114)</x:f>
        <x:v>M10-ROLE-0108-V1.0</x:v>
      </x:c>
      <x:c r="B114" s="214" t="str">
        <x:v>M10</x:v>
      </x:c>
      <x:c r="C114" s="214" t="str">
        <x:v>ROLE</x:v>
      </x:c>
      <x:c r="D114" s="216" t="n">
        <x:v>108</x:v>
      </x:c>
      <x:c r="E114" s="214" t="str">
        <x:v>V1.0</x:v>
      </x:c>
      <x:c r="F114" s="214" t="str">
        <x:v>十神组合成立与格局成立必须分层</x:v>
      </x:c>
      <x:c r="G114" s="214" t="str">
        <x:v>结构层</x:v>
      </x:c>
      <x:c r="H114" s="214" t="str">
        <x:v>七杀</x:v>
      </x:c>
      <x:c r="I114" s="214" t="str">
        <x:v>待定</x:v>
      </x:c>
      <x:c r="J114" s="214" t="str">
        <x:v>待定</x:v>
      </x:c>
      <x:c r="K114" s="214" t="str">
        <x:v>待定</x:v>
      </x:c>
      <x:c r="L114" s="214" t="str">
        <x:v>待定</x:v>
      </x:c>
      <x:c r="M114" s="214" t="str">
        <x:v>按M08核查</x:v>
      </x:c>
      <x:c r="N114" s="214" t="str">
        <x:v>按M06/M08核查</x:v>
      </x:c>
      <x:c r="O114" s="214" t="str">
        <x:v>待定</x:v>
      </x:c>
      <x:c r="P114" s="214" t="str">
        <x:v>组合成立后仍需M14/M15判断是否上升为格局及是否破格</x:v>
      </x:c>
      <x:c r="Q114" s="214" t="str">
        <x:v>需结合M09日主承载判断</x:v>
      </x:c>
      <x:c r="R114" s="214" t="str">
        <x:v>待定</x:v>
      </x:c>
      <x:c r="S114" s="214" t="str">
        <x:v>M11可能确认某局部组合成立</x:v>
      </x:c>
      <x:c r="T114" s="214" t="str">
        <x:v>M02十神映射、M08五行有效旺衰、M09日主旺衰已完成</x:v>
      </x:c>
      <x:c r="U114" s="214" t="str">
        <x:v>相关十神已由M02正确映射，并以M08有效力量为准</x:v>
      </x:c>
      <x:c r="V114" s="214" t="str">
        <x:v>得令、有根、透干、同党或生源形成独立有效证据</x:v>
      </x:c>
      <x:c r="W114" s="214" t="str">
        <x:v>失令、无根、被合绊、被制、改性或作用路径受阻</x:v>
      </x:c>
      <x:c r="X114" s="214" t="str">
        <x:v>不得以十神名称、数量或单一旺弱证据直接完成定性</x:v>
      </x:c>
      <x:c r="Y114" s="214" t="str">
        <x:v>特殊格局、从化候选及明确组合转M11/M14另审</x:v>
      </x:c>
      <x:c r="Z114" s="214" t="str">
        <x:v>不得直接推出吉凶、具体事件、亲属结果或最终喜忌</x:v>
      </x:c>
      <x:c r="AA114" s="214" t="str">
        <x:v>组合格局分离</x:v>
      </x:c>
      <x:c r="AB114" s="214" t="str">
        <x:v>十神组合成立与格局成立必须分层：当“M11可能确认某局部组合成立”成立时，按本规则记录十神的有效功能；同时保留制化、承载和反向证据。</x:v>
      </x:c>
      <x:c r="AC114" s="214" t="str">
        <x:v>较高</x:v>
      </x:c>
      <x:c r="AD114" s="214" t="str">
        <x:v>现代综合</x:v>
      </x:c>
      <x:c r="AE114" s="214" t="str">
        <x:v>十神必须分开判断存在性、力量、清纯度、功能性与喜忌性；M10只形成结构层结论和候选，不越级替代M11—M18。</x:v>
      </x:c>
      <x:c r="AF114" s="214" t="str">
        <x:v>相关条件真实成立，且增强条件有效时，可按“十神组合成立与格局成立必须分层”记录对应功能。</x:v>
      </x:c>
      <x:c r="AG114" s="214" t="str">
        <x:v>仅见表面十神名称或数量，但“不得以十神名称、数量或单一旺弱证据直接完成定性”所述限制存在时，不得套用本规则。</x:v>
      </x:c>
      <x:c r="AH114" s="214" t="str">
        <x:v>https://zh.wikisource.org/wiki/%E6%B8%8A%E6%B5%B7%E5%AD%90%E5%B9%B3%E5%A4%A7%E5%85%A8 ; https://zh.wikisource.org/wiki/%E6%BB%B4%E5%A4%A9%E9%AB%93%E9%97%A1%E5%BE%AE</x:v>
      </x:c>
      <x:c r="AI114" s="214" t="str">
        <x:v>采用</x:v>
      </x:c>
      <x:c r="AJ114" s="214" t="str">
        <x:v>初审</x:v>
      </x:c>
      <x:c r="AK114" s="217" t="n">
        <x:v>46255</x:v>
      </x:c>
    </x:row>
    <x:row r="115">
      <x:c r="A115" s="214" t="str">
        <x:f>IF(OR(C115="",D115=""),"",B115&amp;"-"&amp;UPPER(C115)&amp;"-"&amp;TEXT(D115,"0000")&amp;"-"&amp;E115)</x:f>
        <x:v>M10-XIJI-0109-V1.0</x:v>
      </x:c>
      <x:c r="B115" s="214" t="str">
        <x:v>M10</x:v>
      </x:c>
      <x:c r="C115" s="214" t="str">
        <x:v>XIJI</x:v>
      </x:c>
      <x:c r="D115" s="216" t="n">
        <x:v>109</x:v>
      </x:c>
      <x:c r="E115" s="214" t="str">
        <x:v>V1.0</x:v>
      </x:c>
      <x:c r="F115" s="214" t="str">
        <x:v>十神补足日主核心承载缺口时可列条件性喜神</x:v>
      </x:c>
      <x:c r="G115" s="214" t="str">
        <x:v>结构层</x:v>
      </x:c>
      <x:c r="H115" s="214" t="str">
        <x:v>比肩</x:v>
      </x:c>
      <x:c r="I115" s="214" t="str">
        <x:v>待定</x:v>
      </x:c>
      <x:c r="J115" s="214" t="str">
        <x:v>待定</x:v>
      </x:c>
      <x:c r="K115" s="214" t="str">
        <x:v>待定</x:v>
      </x:c>
      <x:c r="L115" s="214" t="str">
        <x:v>待定</x:v>
      </x:c>
      <x:c r="M115" s="214" t="str">
        <x:v>按M08核查</x:v>
      </x:c>
      <x:c r="N115" s="214" t="str">
        <x:v>按M06/M08核查</x:v>
      </x:c>
      <x:c r="O115" s="214" t="str">
        <x:v>待定</x:v>
      </x:c>
      <x:c r="P115" s="214" t="str">
        <x:v>转M11/M14判断</x:v>
      </x:c>
      <x:c r="Q115" s="214" t="str">
        <x:v>需结合M09日主承载判断</x:v>
      </x:c>
      <x:c r="R115" s="214" t="str">
        <x:v>条件性喜神</x:v>
      </x:c>
      <x:c r="S115" s="214" t="str">
        <x:v>M09偏弱，且比肩确能解决承载不足、无重大副作用</x:v>
      </x:c>
      <x:c r="T115" s="214" t="str">
        <x:v>M02十神映射、M08五行有效旺衰、M09日主旺衰已完成</x:v>
      </x:c>
      <x:c r="U115" s="214" t="str">
        <x:v>相关十神已由M02正确映射，并以M08有效力量为准</x:v>
      </x:c>
      <x:c r="V115" s="214" t="str">
        <x:v>得令、有根、透干、同党或生源形成独立有效证据</x:v>
      </x:c>
      <x:c r="W115" s="214" t="str">
        <x:v>失令、无根、被合绊、被制、改性或作用路径受阻</x:v>
      </x:c>
      <x:c r="X115" s="214" t="str">
        <x:v>不得以十神名称、数量或单一旺弱证据直接完成定性</x:v>
      </x:c>
      <x:c r="Y115" s="214" t="str">
        <x:v>特殊格局、从化候选及明确组合转M11/M14另审</x:v>
      </x:c>
      <x:c r="Z115" s="214" t="str">
        <x:v>不得直接推出吉凶、具体事件、亲属结果或最终喜忌</x:v>
      </x:c>
      <x:c r="AA115" s="214" t="str">
        <x:v>补身喜神候选</x:v>
      </x:c>
      <x:c r="AB115" s="214" t="str">
        <x:v>十神补足日主核心承载缺口时可列条件性喜神：当“M09偏弱，且比肩确能解决承载不足、无重大副作用”成立时，按本规则记录十神的有效功能；同时保留制化、承载和反向证据。</x:v>
      </x:c>
      <x:c r="AC115" s="214" t="str">
        <x:v>较高</x:v>
      </x:c>
      <x:c r="AD115" s="214" t="str">
        <x:v>现代综合</x:v>
      </x:c>
      <x:c r="AE115" s="214" t="str">
        <x:v>十神必须分开判断存在性、力量、清纯度、功能性与喜忌性；M10只形成结构层结论和候选，不越级替代M11—M18。</x:v>
      </x:c>
      <x:c r="AF115" s="214" t="str">
        <x:v>相关条件真实成立，且增强条件有效时，可按“十神补足日主核心承载缺口时可列条件性喜神”记录对应功能。</x:v>
      </x:c>
      <x:c r="AG115" s="214" t="str">
        <x:v>仅见表面十神名称或数量，但“不得以十神名称、数量或单一旺弱证据直接完成定性”所述限制存在时，不得套用本规则。</x:v>
      </x:c>
      <x:c r="AH115" s="214" t="str">
        <x:v>https://zh.wikisource.org/wiki/%E6%B8%8A%E6%B5%B7%E5%AD%90%E5%B9%B3%E5%A4%A7%E5%85%A8 ; https://zh.wikisource.org/wiki/%E6%BB%B4%E5%A4%A9%E9%AB%93%E9%97%A1%E5%BE%AE</x:v>
      </x:c>
      <x:c r="AI115" s="214" t="str">
        <x:v>采用</x:v>
      </x:c>
      <x:c r="AJ115" s="214" t="str">
        <x:v>初审</x:v>
      </x:c>
      <x:c r="AK115" s="217" t="n">
        <x:v>46255</x:v>
      </x:c>
    </x:row>
    <x:row r="116">
      <x:c r="A116" s="214" t="str">
        <x:f>IF(OR(C116="",D116=""),"",B116&amp;"-"&amp;UPPER(C116)&amp;"-"&amp;TEXT(D116,"0000")&amp;"-"&amp;E116)</x:f>
        <x:v>M10-XIJI-0110-V1.0</x:v>
      </x:c>
      <x:c r="B116" s="214" t="str">
        <x:v>M10</x:v>
      </x:c>
      <x:c r="C116" s="214" t="str">
        <x:v>XIJI</x:v>
      </x:c>
      <x:c r="D116" s="216" t="n">
        <x:v>110</x:v>
      </x:c>
      <x:c r="E116" s="214" t="str">
        <x:v>V1.0</x:v>
      </x:c>
      <x:c r="F116" s="214" t="str">
        <x:v>十神能泄过强日主且不破坏关键结构时可列条件性喜神</x:v>
      </x:c>
      <x:c r="G116" s="214" t="str">
        <x:v>结构层</x:v>
      </x:c>
      <x:c r="H116" s="214" t="str">
        <x:v>食神</x:v>
      </x:c>
      <x:c r="I116" s="214" t="str">
        <x:v>待定</x:v>
      </x:c>
      <x:c r="J116" s="214" t="str">
        <x:v>待定</x:v>
      </x:c>
      <x:c r="K116" s="214" t="str">
        <x:v>待定</x:v>
      </x:c>
      <x:c r="L116" s="214" t="str">
        <x:v>待定</x:v>
      </x:c>
      <x:c r="M116" s="214" t="str">
        <x:v>按M08核查</x:v>
      </x:c>
      <x:c r="N116" s="214" t="str">
        <x:v>按M06/M08核查</x:v>
      </x:c>
      <x:c r="O116" s="214" t="str">
        <x:v>待定</x:v>
      </x:c>
      <x:c r="P116" s="214" t="str">
        <x:v>转M11/M14判断</x:v>
      </x:c>
      <x:c r="Q116" s="214" t="str">
        <x:v>需结合M09日主承载判断</x:v>
      </x:c>
      <x:c r="R116" s="214" t="str">
        <x:v>条件性喜神</x:v>
      </x:c>
      <x:c r="S116" s="214" t="str">
        <x:v>M09偏旺或旺，食神泄身有效且不损害主要格局</x:v>
      </x:c>
      <x:c r="T116" s="214" t="str">
        <x:v>M02十神映射、M08五行有效旺衰、M09日主旺衰已完成</x:v>
      </x:c>
      <x:c r="U116" s="214" t="str">
        <x:v>相关十神已由M02正确映射，并以M08有效力量为准</x:v>
      </x:c>
      <x:c r="V116" s="214" t="str">
        <x:v>得令、有根、透干、同党或生源形成独立有效证据</x:v>
      </x:c>
      <x:c r="W116" s="214" t="str">
        <x:v>失令、无根、被合绊、被制、改性或作用路径受阻</x:v>
      </x:c>
      <x:c r="X116" s="214" t="str">
        <x:v>不得以十神名称、数量或单一旺弱证据直接完成定性</x:v>
      </x:c>
      <x:c r="Y116" s="214" t="str">
        <x:v>特殊格局、从化候选及明确组合转M11/M14另审</x:v>
      </x:c>
      <x:c r="Z116" s="214" t="str">
        <x:v>不得直接推出吉凶、具体事件、亲属结果或最终喜忌</x:v>
      </x:c>
      <x:c r="AA116" s="214" t="str">
        <x:v>泄身喜神候选</x:v>
      </x:c>
      <x:c r="AB116" s="214" t="str">
        <x:v>十神能泄过强日主且不破坏关键结构时可列条件性喜神：当“M09偏旺或旺，食神泄身有效且不损害主要格局”成立时，按本规则记录十神的有效功能；同时保留制化、承载和反向证据。</x:v>
      </x:c>
      <x:c r="AC116" s="214" t="str">
        <x:v>较高</x:v>
      </x:c>
      <x:c r="AD116" s="214" t="str">
        <x:v>现代综合</x:v>
      </x:c>
      <x:c r="AE116" s="214" t="str">
        <x:v>十神必须分开判断存在性、力量、清纯度、功能性与喜忌性；M10只形成结构层结论和候选，不越级替代M11—M18。</x:v>
      </x:c>
      <x:c r="AF116" s="214" t="str">
        <x:v>相关条件真实成立，且增强条件有效时，可按“十神能泄过强日主且不破坏关键结构时可列条件性喜神”记录对应功能。</x:v>
      </x:c>
      <x:c r="AG116" s="214" t="str">
        <x:v>仅见表面十神名称或数量，但“不得以十神名称、数量或单一旺弱证据直接完成定性”所述限制存在时，不得套用本规则。</x:v>
      </x:c>
      <x:c r="AH116" s="214" t="str">
        <x:v>https://zh.wikisource.org/wiki/%E6%B8%8A%E6%B5%B7%E5%AD%90%E5%B9%B3%E5%A4%A7%E5%85%A8 ; https://zh.wikisource.org/wiki/%E6%BB%B4%E5%A4%A9%E9%AB%93%E9%97%A1%E5%BE%AE</x:v>
      </x:c>
      <x:c r="AI116" s="214" t="str">
        <x:v>采用</x:v>
      </x:c>
      <x:c r="AJ116" s="214" t="str">
        <x:v>初审</x:v>
      </x:c>
      <x:c r="AK116" s="217" t="n">
        <x:v>46255</x:v>
      </x:c>
    </x:row>
    <x:row r="117">
      <x:c r="A117" s="214" t="str">
        <x:f>IF(OR(C117="",D117=""),"",B117&amp;"-"&amp;UPPER(C117)&amp;"-"&amp;TEXT(D117,"0000")&amp;"-"&amp;E117)</x:f>
        <x:v>M10-XIJI-0111-V1.0</x:v>
      </x:c>
      <x:c r="B117" s="214" t="str">
        <x:v>M10</x:v>
      </x:c>
      <x:c r="C117" s="214" t="str">
        <x:v>XIJI</x:v>
      </x:c>
      <x:c r="D117" s="216" t="n">
        <x:v>111</x:v>
      </x:c>
      <x:c r="E117" s="214" t="str">
        <x:v>V1.0</x:v>
      </x:c>
      <x:c r="F117" s="214" t="str">
        <x:v>官杀超出日主承载且无制化时可列条件性忌神</x:v>
      </x:c>
      <x:c r="G117" s="214" t="str">
        <x:v>结构层</x:v>
      </x:c>
      <x:c r="H117" s="214" t="str">
        <x:v>七杀</x:v>
      </x:c>
      <x:c r="I117" s="214" t="str">
        <x:v>待定</x:v>
      </x:c>
      <x:c r="J117" s="214" t="str">
        <x:v>待定</x:v>
      </x:c>
      <x:c r="K117" s="214" t="str">
        <x:v>待定</x:v>
      </x:c>
      <x:c r="L117" s="214" t="str">
        <x:v>待定</x:v>
      </x:c>
      <x:c r="M117" s="214" t="str">
        <x:v>按M08核查</x:v>
      </x:c>
      <x:c r="N117" s="214" t="str">
        <x:v>按M06/M08核查</x:v>
      </x:c>
      <x:c r="O117" s="214" t="str">
        <x:v>待定</x:v>
      </x:c>
      <x:c r="P117" s="214" t="str">
        <x:v>转M11/M14判断</x:v>
      </x:c>
      <x:c r="Q117" s="214" t="str">
        <x:v>需结合M09日主承载判断</x:v>
      </x:c>
      <x:c r="R117" s="214" t="str">
        <x:v>条件性忌神</x:v>
      </x:c>
      <x:c r="S117" s="214" t="str">
        <x:v>官杀有效过强，日主承载不足且无稳定制化</x:v>
      </x:c>
      <x:c r="T117" s="214" t="str">
        <x:v>M02十神映射、M08五行有效旺衰、M09日主旺衰已完成</x:v>
      </x:c>
      <x:c r="U117" s="214" t="str">
        <x:v>相关十神已由M02正确映射，并以M08有效力量为准</x:v>
      </x:c>
      <x:c r="V117" s="214" t="str">
        <x:v>得令、有根、透干、同党或生源形成独立有效证据</x:v>
      </x:c>
      <x:c r="W117" s="214" t="str">
        <x:v>失令、无根、被合绊、被制、改性或作用路径受阻</x:v>
      </x:c>
      <x:c r="X117" s="214" t="str">
        <x:v>不得以十神名称、数量或单一旺弱证据直接完成定性</x:v>
      </x:c>
      <x:c r="Y117" s="214" t="str">
        <x:v>特殊格局、从化候选及明确组合转M11/M14另审</x:v>
      </x:c>
      <x:c r="Z117" s="214" t="str">
        <x:v>不得直接推出吉凶、具体事件、亲属结果或最终喜忌</x:v>
      </x:c>
      <x:c r="AA117" s="214" t="str">
        <x:v>官杀忌神候选</x:v>
      </x:c>
      <x:c r="AB117" s="214" t="str">
        <x:v>官杀超出日主承载且无制化时可列条件性忌神：当“官杀有效过强，日主承载不足且无稳定制化”成立时，按本规则记录十神的有效功能；同时保留制化、承载和反向证据。</x:v>
      </x:c>
      <x:c r="AC117" s="214" t="str">
        <x:v>较高</x:v>
      </x:c>
      <x:c r="AD117" s="214" t="str">
        <x:v>现代综合</x:v>
      </x:c>
      <x:c r="AE117" s="214" t="str">
        <x:v>十神必须分开判断存在性、力量、清纯度、功能性与喜忌性；M10只形成结构层结论和候选，不越级替代M11—M18。</x:v>
      </x:c>
      <x:c r="AF117" s="214" t="str">
        <x:v>相关条件真实成立，且增强条件有效时，可按“官杀超出日主承载且无制化时可列条件性忌神”记录对应功能。</x:v>
      </x:c>
      <x:c r="AG117" s="214" t="str">
        <x:v>仅见表面十神名称或数量，但“不得以十神名称、数量或单一旺弱证据直接完成定性”所述限制存在时，不得套用本规则。</x:v>
      </x:c>
      <x:c r="AH117" s="214" t="str">
        <x:v>https://zh.wikisource.org/wiki/%E6%B8%8A%E6%B5%B7%E5%AD%90%E5%B9%B3%E5%A4%A7%E5%85%A8 ; https://zh.wikisource.org/wiki/%E6%BB%B4%E5%A4%A9%E9%AB%93%E9%97%A1%E5%BE%AE</x:v>
      </x:c>
      <x:c r="AI117" s="214" t="str">
        <x:v>采用</x:v>
      </x:c>
      <x:c r="AJ117" s="214" t="str">
        <x:v>初审</x:v>
      </x:c>
      <x:c r="AK117" s="217" t="n">
        <x:v>46255</x:v>
      </x:c>
    </x:row>
    <x:row r="118">
      <x:c r="A118" s="214" t="str">
        <x:f>IF(OR(C118="",D118=""),"",B118&amp;"-"&amp;UPPER(C118)&amp;"-"&amp;TEXT(D118,"0000")&amp;"-"&amp;E118)</x:f>
        <x:v>M10-XIJI-0112-V1.0</x:v>
      </x:c>
      <x:c r="B118" s="214" t="str">
        <x:v>M10</x:v>
      </x:c>
      <x:c r="C118" s="214" t="str">
        <x:v>XIJI</x:v>
      </x:c>
      <x:c r="D118" s="216" t="n">
        <x:v>112</x:v>
      </x:c>
      <x:c r="E118" s="214" t="str">
        <x:v>V1.0</x:v>
      </x:c>
      <x:c r="F118" s="214" t="str">
        <x:v>印星加重身势并破坏关键食伤功能时可列条件性忌神</x:v>
      </x:c>
      <x:c r="G118" s="214" t="str">
        <x:v>结构层</x:v>
      </x:c>
      <x:c r="H118" s="214" t="str">
        <x:v>偏印</x:v>
      </x:c>
      <x:c r="I118" s="214" t="str">
        <x:v>待定</x:v>
      </x:c>
      <x:c r="J118" s="214" t="str">
        <x:v>待定</x:v>
      </x:c>
      <x:c r="K118" s="214" t="str">
        <x:v>待定</x:v>
      </x:c>
      <x:c r="L118" s="214" t="str">
        <x:v>待定</x:v>
      </x:c>
      <x:c r="M118" s="214" t="str">
        <x:v>按M08核查</x:v>
      </x:c>
      <x:c r="N118" s="214" t="str">
        <x:v>按M06/M08核查</x:v>
      </x:c>
      <x:c r="O118" s="214" t="str">
        <x:v>待定</x:v>
      </x:c>
      <x:c r="P118" s="214" t="str">
        <x:v>转M11/M14判断</x:v>
      </x:c>
      <x:c r="Q118" s="214" t="str">
        <x:v>需结合M09日主承载判断</x:v>
      </x:c>
      <x:c r="R118" s="214" t="str">
        <x:v>条件性忌神</x:v>
      </x:c>
      <x:c r="S118" s="214" t="str">
        <x:v>日主已旺，偏印又强且实质制约关键食伤</x:v>
      </x:c>
      <x:c r="T118" s="214" t="str">
        <x:v>M02十神映射、M08五行有效旺衰、M09日主旺衰已完成</x:v>
      </x:c>
      <x:c r="U118" s="214" t="str">
        <x:v>相关十神已由M02正确映射，并以M08有效力量为准</x:v>
      </x:c>
      <x:c r="V118" s="214" t="str">
        <x:v>得令、有根、透干、同党或生源形成独立有效证据</x:v>
      </x:c>
      <x:c r="W118" s="214" t="str">
        <x:v>失令、无根、被合绊、被制、改性或作用路径受阻</x:v>
      </x:c>
      <x:c r="X118" s="214" t="str">
        <x:v>不得以十神名称、数量或单一旺弱证据直接完成定性</x:v>
      </x:c>
      <x:c r="Y118" s="214" t="str">
        <x:v>特殊格局、从化候选及明确组合转M11/M14另审</x:v>
      </x:c>
      <x:c r="Z118" s="214" t="str">
        <x:v>不得直接推出吉凶、具体事件、亲属结果或最终喜忌</x:v>
      </x:c>
      <x:c r="AA118" s="214" t="str">
        <x:v>印星忌神候选</x:v>
      </x:c>
      <x:c r="AB118" s="214" t="str">
        <x:v>印星加重身势并破坏关键食伤功能时可列条件性忌神：当“日主已旺，偏印又强且实质制约关键食伤”成立时，按本规则记录十神的有效功能；同时保留制化、承载和反向证据。</x:v>
      </x:c>
      <x:c r="AC118" s="214" t="str">
        <x:v>较高</x:v>
      </x:c>
      <x:c r="AD118" s="214" t="str">
        <x:v>现代综合</x:v>
      </x:c>
      <x:c r="AE118" s="214" t="str">
        <x:v>十神必须分开判断存在性、力量、清纯度、功能性与喜忌性；M10只形成结构层结论和候选，不越级替代M11—M18。</x:v>
      </x:c>
      <x:c r="AF118" s="214" t="str">
        <x:v>相关条件真实成立，且增强条件有效时，可按“印星加重身势并破坏关键食伤功能时可列条件性忌神”记录对应功能。</x:v>
      </x:c>
      <x:c r="AG118" s="214" t="str">
        <x:v>仅见表面十神名称或数量，但“不得以十神名称、数量或单一旺弱证据直接完成定性”所述限制存在时，不得套用本规则。</x:v>
      </x:c>
      <x:c r="AH118" s="214" t="str">
        <x:v>https://zh.wikisource.org/wiki/%E6%B8%8A%E6%B5%B7%E5%AD%90%E5%B9%B3%E5%A4%A7%E5%85%A8 ; https://zh.wikisource.org/wiki/%E6%BB%B4%E5%A4%A9%E9%AB%93%E9%97%A1%E5%BE%AE</x:v>
      </x:c>
      <x:c r="AI118" s="214" t="str">
        <x:v>采用</x:v>
      </x:c>
      <x:c r="AJ118" s="214" t="str">
        <x:v>初审</x:v>
      </x:c>
      <x:c r="AK118" s="217" t="n">
        <x:v>46255</x:v>
      </x:c>
    </x:row>
    <x:row r="119">
      <x:c r="A119" s="214" t="str">
        <x:f>IF(OR(C119="",D119=""),"",B119&amp;"-"&amp;UPPER(C119)&amp;"-"&amp;TEXT(D119,"0000")&amp;"-"&amp;E119)</x:f>
        <x:v>M10-XIJI-0113-V1.0</x:v>
      </x:c>
      <x:c r="B119" s="214" t="str">
        <x:v>M10</x:v>
      </x:c>
      <x:c r="C119" s="214" t="str">
        <x:v>XIJI</x:v>
      </x:c>
      <x:c r="D119" s="216" t="n">
        <x:v>113</x:v>
      </x:c>
      <x:c r="E119" s="214" t="str">
        <x:v>V1.0</x:v>
      </x:c>
      <x:c r="F119" s="214" t="str">
        <x:v>十神既有收益又有明显结构副作用时保持待定</x:v>
      </x:c>
      <x:c r="G119" s="214" t="str">
        <x:v>结构层</x:v>
      </x:c>
      <x:c r="H119" s="214" t="str">
        <x:v>正财</x:v>
      </x:c>
      <x:c r="I119" s="214" t="str">
        <x:v>待定</x:v>
      </x:c>
      <x:c r="J119" s="214" t="str">
        <x:v>待定</x:v>
      </x:c>
      <x:c r="K119" s="214" t="str">
        <x:v>待定</x:v>
      </x:c>
      <x:c r="L119" s="214" t="str">
        <x:v>待定</x:v>
      </x:c>
      <x:c r="M119" s="214" t="str">
        <x:v>按M08核查</x:v>
      </x:c>
      <x:c r="N119" s="214" t="str">
        <x:v>按M06/M08核查</x:v>
      </x:c>
      <x:c r="O119" s="214" t="str">
        <x:v>待定</x:v>
      </x:c>
      <x:c r="P119" s="214" t="str">
        <x:v>转M11/M14判断</x:v>
      </x:c>
      <x:c r="Q119" s="214" t="str">
        <x:v>需结合M09日主承载判断</x:v>
      </x:c>
      <x:c r="R119" s="214" t="str">
        <x:v>待定</x:v>
      </x:c>
      <x:c r="S119" s="214" t="str">
        <x:v>财星既可耗旺身，又会强生忌官或破关键印</x:v>
      </x:c>
      <x:c r="T119" s="214" t="str">
        <x:v>M02十神映射、M08五行有效旺衰、M09日主旺衰已完成</x:v>
      </x:c>
      <x:c r="U119" s="214" t="str">
        <x:v>相关十神已由M02正确映射，并以M08有效力量为准</x:v>
      </x:c>
      <x:c r="V119" s="214" t="str">
        <x:v>得令、有根、透干、同党或生源形成独立有效证据</x:v>
      </x:c>
      <x:c r="W119" s="214" t="str">
        <x:v>失令、无根、被合绊、被制、改性或作用路径受阻</x:v>
      </x:c>
      <x:c r="X119" s="214" t="str">
        <x:v>不得以十神名称、数量或单一旺弱证据直接完成定性</x:v>
      </x:c>
      <x:c r="Y119" s="214" t="str">
        <x:v>特殊格局、从化候选及明确组合转M11/M14另审</x:v>
      </x:c>
      <x:c r="Z119" s="214" t="str">
        <x:v>不得直接推出吉凶、具体事件、亲属结果或最终喜忌</x:v>
      </x:c>
      <x:c r="AA119" s="214" t="str">
        <x:v>喜忌冲突待裁决</x:v>
      </x:c>
      <x:c r="AB119" s="214" t="str">
        <x:v>十神既有收益又有明显结构副作用时保持待定：当“财星既可耗旺身，又会强生忌官或破关键印”成立时，按本规则记录十神的有效功能；同时保留制化、承载和反向证据。</x:v>
      </x:c>
      <x:c r="AC119" s="214" t="str">
        <x:v>较高</x:v>
      </x:c>
      <x:c r="AD119" s="214" t="str">
        <x:v>现代综合</x:v>
      </x:c>
      <x:c r="AE119" s="214" t="str">
        <x:v>十神必须分开判断存在性、力量、清纯度、功能性与喜忌性；M10只形成结构层结论和候选，不越级替代M11—M18。</x:v>
      </x:c>
      <x:c r="AF119" s="214" t="str">
        <x:v>相关条件真实成立，且增强条件有效时，可按“十神既有收益又有明显结构副作用时保持待定”记录对应功能。</x:v>
      </x:c>
      <x:c r="AG119" s="214" t="str">
        <x:v>仅见表面十神名称或数量，但“不得以十神名称、数量或单一旺弱证据直接完成定性”所述限制存在时，不得套用本规则。</x:v>
      </x:c>
      <x:c r="AH119" s="214" t="str">
        <x:v>https://zh.wikisource.org/wiki/%E6%B8%8A%E6%B5%B7%E5%AD%90%E5%B9%B3%E5%A4%A7%E5%85%A8 ; https://zh.wikisource.org/wiki/%E6%BB%B4%E5%A4%A9%E9%AB%93%E9%97%A1%E5%BE%AE</x:v>
      </x:c>
      <x:c r="AI119" s="214" t="str">
        <x:v>采用</x:v>
      </x:c>
      <x:c r="AJ119" s="214" t="str">
        <x:v>初审</x:v>
      </x:c>
      <x:c r="AK119" s="217" t="n">
        <x:v>46255</x:v>
      </x:c>
    </x:row>
    <x:row r="120">
      <x:c r="A120" s="214" t="str">
        <x:f>IF(OR(C120="",D120=""),"",B120&amp;"-"&amp;UPPER(C120)&amp;"-"&amp;TEXT(D120,"0000")&amp;"-"&amp;E120)</x:f>
        <x:v>M10-XIJI-0114-V1.0</x:v>
      </x:c>
      <x:c r="B120" s="214" t="str">
        <x:v>M10</x:v>
      </x:c>
      <x:c r="C120" s="214" t="str">
        <x:v>XIJI</x:v>
      </x:c>
      <x:c r="D120" s="216" t="n">
        <x:v>114</x:v>
      </x:c>
      <x:c r="E120" s="214" t="str">
        <x:v>V1.0</x:v>
      </x:c>
      <x:c r="F120" s="214" t="str">
        <x:v>M10喜忌字段只允许候选不得输出主用神终局</x:v>
      </x:c>
      <x:c r="G120" s="214" t="str">
        <x:v>结构层</x:v>
      </x:c>
      <x:c r="H120" s="214" t="str">
        <x:v>正官</x:v>
      </x:c>
      <x:c r="I120" s="214" t="str">
        <x:v>待定</x:v>
      </x:c>
      <x:c r="J120" s="214" t="str">
        <x:v>待定</x:v>
      </x:c>
      <x:c r="K120" s="214" t="str">
        <x:v>待定</x:v>
      </x:c>
      <x:c r="L120" s="214" t="str">
        <x:v>待定</x:v>
      </x:c>
      <x:c r="M120" s="214" t="str">
        <x:v>按M08核查</x:v>
      </x:c>
      <x:c r="N120" s="214" t="str">
        <x:v>按M06/M08核查</x:v>
      </x:c>
      <x:c r="O120" s="214" t="str">
        <x:v>待定</x:v>
      </x:c>
      <x:c r="P120" s="214" t="str">
        <x:v>转M11/M14判断</x:v>
      </x:c>
      <x:c r="Q120" s="214" t="str">
        <x:v>需结合M09日主承载判断</x:v>
      </x:c>
      <x:c r="R120" s="214" t="str">
        <x:v>待定</x:v>
      </x:c>
      <x:c r="S120" s="214" t="str">
        <x:v>十神功能和局部价值已判断</x:v>
      </x:c>
      <x:c r="T120" s="214" t="str">
        <x:v>M02十神映射、M08五行有效旺衰、M09日主旺衰已完成</x:v>
      </x:c>
      <x:c r="U120" s="214" t="str">
        <x:v>相关十神已由M02正确映射，并以M08有效力量为准</x:v>
      </x:c>
      <x:c r="V120" s="214" t="str">
        <x:v>得令、有根、透干、同党或生源形成独立有效证据</x:v>
      </x:c>
      <x:c r="W120" s="214" t="str">
        <x:v>失令、无根、被合绊、被制、改性或作用路径受阻</x:v>
      </x:c>
      <x:c r="X120" s="214" t="str">
        <x:v>不得以十神名称、数量或单一旺弱证据直接完成定性</x:v>
      </x:c>
      <x:c r="Y120" s="214" t="str">
        <x:v>特殊格局、从化候选及明确组合转M11/M14另审</x:v>
      </x:c>
      <x:c r="Z120" s="214" t="str">
        <x:v>不得在M10直接确定主用神、辅助用神、仇神或最终喜忌排序</x:v>
      </x:c>
      <x:c r="AA120" s="214" t="str">
        <x:v>喜忌候选边界</x:v>
      </x:c>
      <x:c r="AB120" s="214" t="str">
        <x:v>M10喜忌字段只允许候选不得输出主用神终局：当“十神功能和局部价值已判断”成立时，按本规则记录十神的有效功能；同时保留制化、承载和反向证据。</x:v>
      </x:c>
      <x:c r="AC120" s="214" t="str">
        <x:v>较高</x:v>
      </x:c>
      <x:c r="AD120" s="214" t="str">
        <x:v>现代综合</x:v>
      </x:c>
      <x:c r="AE120" s="214" t="str">
        <x:v>十神必须分开判断存在性、力量、清纯度、功能性与喜忌性；M10只形成结构层结论和候选，不越级替代M11—M18。</x:v>
      </x:c>
      <x:c r="AF120" s="214" t="str">
        <x:v>相关条件真实成立，且增强条件有效时，可按“M10喜忌字段只允许候选不得输出主用神终局”记录对应功能。</x:v>
      </x:c>
      <x:c r="AG120" s="214" t="str">
        <x:v>仅见表面十神名称或数量，但“不得以十神名称、数量或单一旺弱证据直接完成定性”所述限制存在时，不得套用本规则。</x:v>
      </x:c>
      <x:c r="AH120" s="214" t="str">
        <x:v>https://zh.wikisource.org/wiki/%E6%B8%8A%E6%B5%B7%E5%AD%90%E5%B9%B3%E5%A4%A7%E5%85%A8 ; https://zh.wikisource.org/wiki/%E6%BB%B4%E5%A4%A9%E9%AB%93%E9%97%A1%E5%BE%AE</x:v>
      </x:c>
      <x:c r="AI120" s="214" t="str">
        <x:v>采用</x:v>
      </x:c>
      <x:c r="AJ120" s="214" t="str">
        <x:v>初审</x:v>
      </x:c>
      <x:c r="AK120" s="217" t="n">
        <x:v>46255</x:v>
      </x:c>
    </x:row>
    <x:row r="121">
      <x:c r="A121" s="214" t="str">
        <x:f>IF(OR(C121="",D121=""),"",B121&amp;"-"&amp;UPPER(C121)&amp;"-"&amp;TEXT(D121,"0000")&amp;"-"&amp;E121)</x:f>
        <x:v>M10-BOUND-0115-V1.0</x:v>
      </x:c>
      <x:c r="B121" s="214" t="str">
        <x:v>M10</x:v>
      </x:c>
      <x:c r="C121" s="214" t="str">
        <x:v>BOUND</x:v>
      </x:c>
      <x:c r="D121" s="216" t="n">
        <x:v>115</x:v>
      </x:c>
      <x:c r="E121" s="214" t="str">
        <x:v>V1.0</x:v>
      </x:c>
      <x:c r="F121" s="214" t="str">
        <x:v>十神名称不得直接等同现实人物或事件</x:v>
      </x:c>
      <x:c r="G121" s="214" t="str">
        <x:v>结构层</x:v>
      </x:c>
      <x:c r="H121" s="214" t="str">
        <x:v>正财</x:v>
      </x:c>
      <x:c r="I121" s="214" t="str">
        <x:v>待定</x:v>
      </x:c>
      <x:c r="J121" s="214" t="str">
        <x:v>待定</x:v>
      </x:c>
      <x:c r="K121" s="214" t="str">
        <x:v>待定</x:v>
      </x:c>
      <x:c r="L121" s="214" t="str">
        <x:v>待定</x:v>
      </x:c>
      <x:c r="M121" s="214" t="str">
        <x:v>按M08核查</x:v>
      </x:c>
      <x:c r="N121" s="214" t="str">
        <x:v>按M06/M08核查</x:v>
      </x:c>
      <x:c r="O121" s="214" t="str">
        <x:v>待定</x:v>
      </x:c>
      <x:c r="P121" s="214" t="str">
        <x:v>转M11/M14判断</x:v>
      </x:c>
      <x:c r="Q121" s="214" t="str">
        <x:v>需结合M09日主承载判断</x:v>
      </x:c>
      <x:c r="R121" s="214" t="str">
        <x:v>待定</x:v>
      </x:c>
      <x:c r="S121" s="214" t="str">
        <x:v>任何十神完成存在与功能判断后</x:v>
      </x:c>
      <x:c r="T121" s="214" t="str">
        <x:v>M02十神映射、M08五行有效旺衰、M09日主旺衰已完成</x:v>
      </x:c>
      <x:c r="U121" s="214" t="str">
        <x:v>相关十神已由M02正确映射，并以M08有效力量为准</x:v>
      </x:c>
      <x:c r="V121" s="214" t="str">
        <x:v>得令、有根、透干、同党或生源形成独立有效证据</x:v>
      </x:c>
      <x:c r="W121" s="214" t="str">
        <x:v>失令、无根、被合绊、被制、改性或作用路径受阻</x:v>
      </x:c>
      <x:c r="X121" s="214" t="str">
        <x:v>不得以十神名称、数量或单一旺弱证据直接完成定性</x:v>
      </x:c>
      <x:c r="Y121" s="214" t="str">
        <x:v>特殊格局、从化候选及明确组合转M11/M14另审</x:v>
      </x:c>
      <x:c r="Z121" s="214" t="str">
        <x:v>不得把正财直接等同妻子、正官直接等同丈夫、印直接等同母亲并据此断具体事件</x:v>
      </x:c>
      <x:c r="AA121" s="214" t="str">
        <x:v>十神象义边界</x:v>
      </x:c>
      <x:c r="AB121" s="214" t="str">
        <x:v>十神名称不得直接等同现实人物或事件：当“任何十神完成存在与功能判断后”成立时，按本规则记录十神的有效功能；同时保留制化、承载和反向证据。</x:v>
      </x:c>
      <x:c r="AC121" s="214" t="str">
        <x:v>较高</x:v>
      </x:c>
      <x:c r="AD121" s="214" t="str">
        <x:v>现代综合</x:v>
      </x:c>
      <x:c r="AE121" s="214" t="str">
        <x:v>十神必须分开判断存在性、力量、清纯度、功能性与喜忌性；M10只形成结构层结论和候选，不越级替代M11—M18。</x:v>
      </x:c>
      <x:c r="AF121" s="214" t="str">
        <x:v>相关条件真实成立，且增强条件有效时，可按“十神名称不得直接等同现实人物或事件”记录对应功能。</x:v>
      </x:c>
      <x:c r="AG121" s="214" t="str">
        <x:v>仅见表面十神名称或数量，但“不得以十神名称、数量或单一旺弱证据直接完成定性”所述限制存在时，不得套用本规则。</x:v>
      </x:c>
      <x:c r="AH121" s="214" t="str">
        <x:v>https://zh.wikisource.org/wiki/%E6%B8%8A%E6%B5%B7%E5%AD%90%E5%B9%B3%E5%A4%A7%E5%85%A8 ; https://zh.wikisource.org/wiki/%E6%BB%B4%E5%A4%A9%E9%AB%93%E9%97%A1%E5%BE%AE</x:v>
      </x:c>
      <x:c r="AI121" s="214" t="str">
        <x:v>采用</x:v>
      </x:c>
      <x:c r="AJ121" s="214" t="str">
        <x:v>初审</x:v>
      </x:c>
      <x:c r="AK121" s="217" t="n">
        <x:v>46255</x:v>
      </x:c>
    </x:row>
    <x:row r="122">
      <x:c r="A122" s="214" t="str">
        <x:f>IF(OR(C122="",D122=""),"",B122&amp;"-"&amp;UPPER(C122)&amp;"-"&amp;TEXT(D122,"0000")&amp;"-"&amp;E122)</x:f>
        <x:v>M10-BOUND-0116-V1.0</x:v>
      </x:c>
      <x:c r="B122" s="214" t="str">
        <x:v>M10</x:v>
      </x:c>
      <x:c r="C122" s="214" t="str">
        <x:v>BOUND</x:v>
      </x:c>
      <x:c r="D122" s="216" t="n">
        <x:v>116</x:v>
      </x:c>
      <x:c r="E122" s="214" t="str">
        <x:v>V1.0</x:v>
      </x:c>
      <x:c r="F122" s="214" t="str">
        <x:v>十神旺弱不得直接等同吉凶</x:v>
      </x:c>
      <x:c r="G122" s="214" t="str">
        <x:v>结构层</x:v>
      </x:c>
      <x:c r="H122" s="214" t="str">
        <x:v>七杀</x:v>
      </x:c>
      <x:c r="I122" s="214" t="str">
        <x:v>待定</x:v>
      </x:c>
      <x:c r="J122" s="214" t="str">
        <x:v>待定</x:v>
      </x:c>
      <x:c r="K122" s="214" t="str">
        <x:v>待定</x:v>
      </x:c>
      <x:c r="L122" s="214" t="str">
        <x:v>待定</x:v>
      </x:c>
      <x:c r="M122" s="214" t="str">
        <x:v>按M08核查</x:v>
      </x:c>
      <x:c r="N122" s="214" t="str">
        <x:v>按M06/M08核查</x:v>
      </x:c>
      <x:c r="O122" s="214" t="str">
        <x:v>待定</x:v>
      </x:c>
      <x:c r="P122" s="214" t="str">
        <x:v>转M11/M14判断</x:v>
      </x:c>
      <x:c r="Q122" s="214" t="str">
        <x:v>需结合M09日主承载判断</x:v>
      </x:c>
      <x:c r="R122" s="214" t="str">
        <x:v>待定</x:v>
      </x:c>
      <x:c r="S122" s="214" t="str">
        <x:v>任何十神有效旺衰已经确定</x:v>
      </x:c>
      <x:c r="T122" s="214" t="str">
        <x:v>M02十神映射、M08五行有效旺衰、M09日主旺衰已完成</x:v>
      </x:c>
      <x:c r="U122" s="214" t="str">
        <x:v>相关十神已由M02正确映射，并以M08有效力量为准</x:v>
      </x:c>
      <x:c r="V122" s="214" t="str">
        <x:v>得令、有根、透干、同党或生源形成独立有效证据</x:v>
      </x:c>
      <x:c r="W122" s="214" t="str">
        <x:v>失令、无根、被合绊、被制、改性或作用路径受阻</x:v>
      </x:c>
      <x:c r="X122" s="214" t="str">
        <x:v>不得以十神名称、数量或单一旺弱证据直接完成定性</x:v>
      </x:c>
      <x:c r="Y122" s="214" t="str">
        <x:v>特殊格局、从化候选及明确组合转M11/M14另审</x:v>
      </x:c>
      <x:c r="Z122" s="214" t="str">
        <x:v>不得以旺为凶或以弱为吉；喜忌取决于全局需要、制化和承载</x:v>
      </x:c>
      <x:c r="AA122" s="214" t="str">
        <x:v>十神旺衰吉凶分离</x:v>
      </x:c>
      <x:c r="AB122" s="214" t="str">
        <x:v>十神旺弱不得直接等同吉凶：当“任何十神有效旺衰已经确定”成立时，按本规则记录十神的有效功能；同时保留制化、承载和反向证据。</x:v>
      </x:c>
      <x:c r="AC122" s="214" t="str">
        <x:v>较高</x:v>
      </x:c>
      <x:c r="AD122" s="214" t="str">
        <x:v>现代综合</x:v>
      </x:c>
      <x:c r="AE122" s="214" t="str">
        <x:v>十神必须分开判断存在性、力量、清纯度、功能性与喜忌性；M10只形成结构层结论和候选，不越级替代M11—M18。</x:v>
      </x:c>
      <x:c r="AF122" s="214" t="str">
        <x:v>相关条件真实成立，且增强条件有效时，可按“十神旺弱不得直接等同吉凶”记录对应功能。</x:v>
      </x:c>
      <x:c r="AG122" s="214" t="str">
        <x:v>仅见表面十神名称或数量，但“不得以十神名称、数量或单一旺弱证据直接完成定性”所述限制存在时，不得套用本规则。</x:v>
      </x:c>
      <x:c r="AH122" s="214" t="str">
        <x:v>https://zh.wikisource.org/wiki/%E6%B8%8A%E6%B5%B7%E5%AD%90%E5%B9%B3%E5%A4%A7%E5%85%A8 ; https://zh.wikisource.org/wiki/%E6%BB%B4%E5%A4%A9%E9%AB%93%E9%97%A1%E5%BE%AE</x:v>
      </x:c>
      <x:c r="AI122" s="214" t="str">
        <x:v>采用</x:v>
      </x:c>
      <x:c r="AJ122" s="214" t="str">
        <x:v>初审</x:v>
      </x:c>
      <x:c r="AK122" s="217" t="n">
        <x:v>46255</x:v>
      </x:c>
    </x:row>
    <x:row r="123">
      <x:c r="A123" s="214" t="str">
        <x:f>IF(OR(C123="",D123=""),"",B123&amp;"-"&amp;UPPER(C123)&amp;"-"&amp;TEXT(D123,"0000")&amp;"-"&amp;E123)</x:f>
        <x:v>M10-BOUND-0117-V1.0</x:v>
      </x:c>
      <x:c r="B123" s="214" t="str">
        <x:v>M10</x:v>
      </x:c>
      <x:c r="C123" s="214" t="str">
        <x:v>BOUND</x:v>
      </x:c>
      <x:c r="D123" s="216" t="n">
        <x:v>117</x:v>
      </x:c>
      <x:c r="E123" s="214" t="str">
        <x:v>V1.0</x:v>
      </x:c>
      <x:c r="F123" s="214" t="str">
        <x:v>单一十神不得越级推出性格定论</x:v>
      </x:c>
      <x:c r="G123" s="214" t="str">
        <x:v>结构层</x:v>
      </x:c>
      <x:c r="H123" s="214" t="str">
        <x:v>伤官</x:v>
      </x:c>
      <x:c r="I123" s="214" t="str">
        <x:v>待定</x:v>
      </x:c>
      <x:c r="J123" s="214" t="str">
        <x:v>待定</x:v>
      </x:c>
      <x:c r="K123" s="214" t="str">
        <x:v>待定</x:v>
      </x:c>
      <x:c r="L123" s="214" t="str">
        <x:v>待定</x:v>
      </x:c>
      <x:c r="M123" s="214" t="str">
        <x:v>按M08核查</x:v>
      </x:c>
      <x:c r="N123" s="214" t="str">
        <x:v>按M06/M08核查</x:v>
      </x:c>
      <x:c r="O123" s="214" t="str">
        <x:v>待定</x:v>
      </x:c>
      <x:c r="P123" s="214" t="str">
        <x:v>转M11/M14判断</x:v>
      </x:c>
      <x:c r="Q123" s="214" t="str">
        <x:v>需结合M09日主承载判断</x:v>
      </x:c>
      <x:c r="R123" s="214" t="str">
        <x:v>待定</x:v>
      </x:c>
      <x:c r="S123" s="214" t="str">
        <x:v>伤官等十神有效存在</x:v>
      </x:c>
      <x:c r="T123" s="214" t="str">
        <x:v>M02十神映射、M08五行有效旺衰、M09日主旺衰已完成</x:v>
      </x:c>
      <x:c r="U123" s="214" t="str">
        <x:v>相关十神已由M02正确映射，并以M08有效力量为准</x:v>
      </x:c>
      <x:c r="V123" s="214" t="str">
        <x:v>得令、有根、透干、同党或生源形成独立有效证据</x:v>
      </x:c>
      <x:c r="W123" s="214" t="str">
        <x:v>失令、无根、被合绊、被制、改性或作用路径受阻</x:v>
      </x:c>
      <x:c r="X123" s="214" t="str">
        <x:v>不得以十神名称、数量或单一旺弱证据直接完成定性</x:v>
      </x:c>
      <x:c r="Y123" s="214" t="str">
        <x:v>特殊格局、从化候选及明确组合转M11/M14另审</x:v>
      </x:c>
      <x:c r="Z123" s="214" t="str">
        <x:v>不得仅凭一个十神就固定描述人格、职业或关系模式</x:v>
      </x:c>
      <x:c r="AA123" s="214" t="str">
        <x:v>十神性格边界</x:v>
      </x:c>
      <x:c r="AB123" s="214" t="str">
        <x:v>单一十神不得越级推出性格定论：当“伤官等十神有效存在”成立时，按本规则记录十神的有效功能；同时保留制化、承载和反向证据。</x:v>
      </x:c>
      <x:c r="AC123" s="214" t="str">
        <x:v>较高</x:v>
      </x:c>
      <x:c r="AD123" s="214" t="str">
        <x:v>现代综合</x:v>
      </x:c>
      <x:c r="AE123" s="214" t="str">
        <x:v>十神必须分开判断存在性、力量、清纯度、功能性与喜忌性；M10只形成结构层结论和候选，不越级替代M11—M18。</x:v>
      </x:c>
      <x:c r="AF123" s="214" t="str">
        <x:v>相关条件真实成立，且增强条件有效时，可按“单一十神不得越级推出性格定论”记录对应功能。</x:v>
      </x:c>
      <x:c r="AG123" s="214" t="str">
        <x:v>仅见表面十神名称或数量，但“不得以十神名称、数量或单一旺弱证据直接完成定性”所述限制存在时，不得套用本规则。</x:v>
      </x:c>
      <x:c r="AH123" s="214" t="str">
        <x:v>https://zh.wikisource.org/wiki/%E6%B8%8A%E6%B5%B7%E5%AD%90%E5%B9%B3%E5%A4%A7%E5%85%A8 ; https://zh.wikisource.org/wiki/%E6%BB%B4%E5%A4%A9%E9%AB%93%E9%97%A1%E5%BE%AE</x:v>
      </x:c>
      <x:c r="AI123" s="214" t="str">
        <x:v>采用</x:v>
      </x:c>
      <x:c r="AJ123" s="214" t="str">
        <x:v>初审</x:v>
      </x:c>
      <x:c r="AK123" s="217" t="n">
        <x:v>46255</x:v>
      </x:c>
    </x:row>
    <x:row r="124">
      <x:c r="A124" s="214" t="str">
        <x:f>IF(OR(C124="",D124=""),"",B124&amp;"-"&amp;UPPER(C124)&amp;"-"&amp;TEXT(D124,"0000")&amp;"-"&amp;E124)</x:f>
        <x:v>M10-BOUND-0118-V1.0</x:v>
      </x:c>
      <x:c r="B124" s="214" t="str">
        <x:v>M10</x:v>
      </x:c>
      <x:c r="C124" s="214" t="str">
        <x:v>BOUND</x:v>
      </x:c>
      <x:c r="D124" s="216" t="n">
        <x:v>118</x:v>
      </x:c>
      <x:c r="E124" s="214" t="str">
        <x:v>V1.0</x:v>
      </x:c>
      <x:c r="F124" s="214" t="str">
        <x:v>原局静态十神不得越级替代岁运判断</x:v>
      </x:c>
      <x:c r="G124" s="214" t="str">
        <x:v>结构层</x:v>
      </x:c>
      <x:c r="H124" s="214" t="str">
        <x:v>正印</x:v>
      </x:c>
      <x:c r="I124" s="214" t="str">
        <x:v>待定</x:v>
      </x:c>
      <x:c r="J124" s="214" t="str">
        <x:v>待定</x:v>
      </x:c>
      <x:c r="K124" s="214" t="str">
        <x:v>待定</x:v>
      </x:c>
      <x:c r="L124" s="214" t="str">
        <x:v>待定</x:v>
      </x:c>
      <x:c r="M124" s="214" t="str">
        <x:v>按M08核查</x:v>
      </x:c>
      <x:c r="N124" s="214" t="str">
        <x:v>按M06/M08核查</x:v>
      </x:c>
      <x:c r="O124" s="214" t="str">
        <x:v>待定</x:v>
      </x:c>
      <x:c r="P124" s="214" t="str">
        <x:v>转M11/M14判断</x:v>
      </x:c>
      <x:c r="Q124" s="214" t="str">
        <x:v>需结合M09日主承载判断</x:v>
      </x:c>
      <x:c r="R124" s="214" t="str">
        <x:v>待定</x:v>
      </x:c>
      <x:c r="S124" s="214" t="str">
        <x:v>M10完成原局十神结构</x:v>
      </x:c>
      <x:c r="T124" s="214" t="str">
        <x:v>M02十神映射、M08五行有效旺衰、M09日主旺衰已完成</x:v>
      </x:c>
      <x:c r="U124" s="214" t="str">
        <x:v>相关十神已由M02正确映射，并以M08有效力量为准</x:v>
      </x:c>
      <x:c r="V124" s="214" t="str">
        <x:v>得令、有根、透干、同党或生源形成独立有效证据</x:v>
      </x:c>
      <x:c r="W124" s="214" t="str">
        <x:v>失令、无根、被合绊、被制、改性或作用路径受阻</x:v>
      </x:c>
      <x:c r="X124" s="214" t="str">
        <x:v>不得以十神名称、数量或单一旺弱证据直接完成定性</x:v>
      </x:c>
      <x:c r="Y124" s="214" t="str">
        <x:v>特殊格局、从化候选及明确组合转M11/M14另审</x:v>
      </x:c>
      <x:c r="Z124" s="214" t="str">
        <x:v>不得在M10直接给出某年某月事件或把岁运补入原局</x:v>
      </x:c>
      <x:c r="AA124" s="214" t="str">
        <x:v>十神静动态分离</x:v>
      </x:c>
      <x:c r="AB124" s="214" t="str">
        <x:v>原局静态十神不得越级替代岁运判断：当“M10完成原局十神结构”成立时，按本规则记录十神的有效功能；同时保留制化、承载和反向证据。</x:v>
      </x:c>
      <x:c r="AC124" s="214" t="str">
        <x:v>较高</x:v>
      </x:c>
      <x:c r="AD124" s="214" t="str">
        <x:v>现代综合</x:v>
      </x:c>
      <x:c r="AE124" s="214" t="str">
        <x:v>十神必须分开判断存在性、力量、清纯度、功能性与喜忌性；M10只形成结构层结论和候选，不越级替代M11—M18。</x:v>
      </x:c>
      <x:c r="AF124" s="214" t="str">
        <x:v>相关条件真实成立，且增强条件有效时，可按“原局静态十神不得越级替代岁运判断”记录对应功能。</x:v>
      </x:c>
      <x:c r="AG124" s="214" t="str">
        <x:v>仅见表面十神名称或数量，但“不得以十神名称、数量或单一旺弱证据直接完成定性”所述限制存在时，不得套用本规则。</x:v>
      </x:c>
      <x:c r="AH124" s="214" t="str">
        <x:v>https://zh.wikisource.org/wiki/%E6%B8%8A%E6%B5%B7%E5%AD%90%E5%B9%B3%E5%A4%A7%E5%85%A8 ; https://zh.wikisource.org/wiki/%E6%BB%B4%E5%A4%A9%E9%AB%93%E9%97%A1%E5%BE%AE</x:v>
      </x:c>
      <x:c r="AI124" s="214" t="str">
        <x:v>采用</x:v>
      </x:c>
      <x:c r="AJ124" s="214" t="str">
        <x:v>初审</x:v>
      </x:c>
      <x:c r="AK124" s="217" t="n">
        <x:v>46255</x:v>
      </x:c>
    </x:row>
    <x:row r="125">
      <x:c r="A125" s="214" t="str">
        <x:f>IF(OR(C125="",D125=""),"",B125&amp;"-"&amp;UPPER(C125)&amp;"-"&amp;TEXT(D125,"0000")&amp;"-"&amp;E125)</x:f>
        <x:v>M10-BOUND-0119-V1.0</x:v>
      </x:c>
      <x:c r="B125" s="214" t="str">
        <x:v>M10</x:v>
      </x:c>
      <x:c r="C125" s="214" t="str">
        <x:v>BOUND</x:v>
      </x:c>
      <x:c r="D125" s="216" t="n">
        <x:v>119</x:v>
      </x:c>
      <x:c r="E125" s="214" t="str">
        <x:v>V1.0</x:v>
      </x:c>
      <x:c r="F125" s="214" t="str">
        <x:v>不同流派对十神象义扩展应进入M21治理</x:v>
      </x:c>
      <x:c r="G125" s="214" t="str">
        <x:v>结构层</x:v>
      </x:c>
      <x:c r="H125" s="214" t="str">
        <x:v>偏财</x:v>
      </x:c>
      <x:c r="I125" s="214" t="str">
        <x:v>待定</x:v>
      </x:c>
      <x:c r="J125" s="214" t="str">
        <x:v>待定</x:v>
      </x:c>
      <x:c r="K125" s="214" t="str">
        <x:v>待定</x:v>
      </x:c>
      <x:c r="L125" s="214" t="str">
        <x:v>待定</x:v>
      </x:c>
      <x:c r="M125" s="214" t="str">
        <x:v>按M08核查</x:v>
      </x:c>
      <x:c r="N125" s="214" t="str">
        <x:v>按M06/M08核查</x:v>
      </x:c>
      <x:c r="O125" s="214" t="str">
        <x:v>待定</x:v>
      </x:c>
      <x:c r="P125" s="214" t="str">
        <x:v>转M11/M14判断</x:v>
      </x:c>
      <x:c r="Q125" s="214" t="str">
        <x:v>需结合M09日主承载判断</x:v>
      </x:c>
      <x:c r="R125" s="214" t="str">
        <x:v>待定</x:v>
      </x:c>
      <x:c r="S125" s="214" t="str">
        <x:v>某条十神象义或权重存在明显流派差异</x:v>
      </x:c>
      <x:c r="T125" s="214" t="str">
        <x:v>M02十神映射、M08五行有效旺衰、M09日主旺衰已完成</x:v>
      </x:c>
      <x:c r="U125" s="214" t="str">
        <x:v>相关十神已由M02正确映射，并以M08有效力量为准</x:v>
      </x:c>
      <x:c r="V125" s="214" t="str">
        <x:v>得令、有根、透干、同党或生源形成独立有效证据</x:v>
      </x:c>
      <x:c r="W125" s="214" t="str">
        <x:v>失令、无根、被合绊、被制、改性或作用路径受阻</x:v>
      </x:c>
      <x:c r="X125" s="214" t="str">
        <x:v>不得以十神名称、数量或单一旺弱证据直接完成定性</x:v>
      </x:c>
      <x:c r="Y125" s="214" t="str">
        <x:v>将争议观点、采用理由和反证登记M21后再决定是否采用</x:v>
      </x:c>
      <x:c r="Z125" s="214" t="str">
        <x:v>不得直接推出吉凶、具体事件、亲属结果或最终喜忌</x:v>
      </x:c>
      <x:c r="AA125" s="214" t="str">
        <x:v>十神争议治理</x:v>
      </x:c>
      <x:c r="AB125" s="214" t="str">
        <x:v>不同流派对十神象义扩展应进入M21治理：当“某条十神象义或权重存在明显流派差异”成立时，按本规则记录十神的有效功能；同时保留制化、承载和反向证据。</x:v>
      </x:c>
      <x:c r="AC125" s="214" t="str">
        <x:v>中等</x:v>
      </x:c>
      <x:c r="AD125" s="214" t="str">
        <x:v>现代综合</x:v>
      </x:c>
      <x:c r="AE125" s="214" t="str">
        <x:v>十神必须分开判断存在性、力量、清纯度、功能性与喜忌性；M10只形成结构层结论和候选，不越级替代M11—M18。</x:v>
      </x:c>
      <x:c r="AF125" s="214" t="str">
        <x:v>相关条件真实成立，且增强条件有效时，可按“不同流派对十神象义扩展应进入M21治理”记录对应功能。</x:v>
      </x:c>
      <x:c r="AG125" s="214" t="str">
        <x:v>仅见表面十神名称或数量，但“不得以十神名称、数量或单一旺弱证据直接完成定性”所述限制存在时，不得套用本规则。</x:v>
      </x:c>
      <x:c r="AH125" s="214" t="str">
        <x:v>https://zh.wikisource.org/wiki/%E6%B8%8A%E6%B5%B7%E5%AD%90%E5%B9%B3%E5%A4%A7%E5%85%A8 ; https://zh.wikisource.org/wiki/%E6%BB%B4%E5%A4%A9%E9%AB%93%E9%97%A1%E5%BE%AE</x:v>
      </x:c>
      <x:c r="AI125" s="214" t="str">
        <x:v>待验证</x:v>
      </x:c>
      <x:c r="AJ125" s="214" t="str">
        <x:v>初审</x:v>
      </x:c>
      <x:c r="AK125" s="217" t="n">
        <x:v>46255</x:v>
      </x:c>
    </x:row>
    <x:row r="126">
      <x:c r="A126" s="214" t="str">
        <x:f>IF(OR(C126="",D126=""),"",B126&amp;"-"&amp;UPPER(C126)&amp;"-"&amp;TEXT(D126,"0000")&amp;"-"&amp;E126)</x:f>
        <x:v>M10-BOUND-0120-V1.0</x:v>
      </x:c>
      <x:c r="B126" s="214" t="str">
        <x:v>M10</x:v>
      </x:c>
      <x:c r="C126" s="214" t="str">
        <x:v>BOUND</x:v>
      </x:c>
      <x:c r="D126" s="216" t="n">
        <x:v>120</x:v>
      </x:c>
      <x:c r="E126" s="214" t="str">
        <x:v>V1.0</x:v>
      </x:c>
      <x:c r="F126" s="214" t="str">
        <x:v>M10最终输出必须保留正反证据与置信度</x:v>
      </x:c>
      <x:c r="G126" s="214" t="str">
        <x:v>结构层</x:v>
      </x:c>
      <x:c r="H126" s="214" t="str">
        <x:v>正官</x:v>
      </x:c>
      <x:c r="I126" s="214" t="str">
        <x:v>待定</x:v>
      </x:c>
      <x:c r="J126" s="214" t="str">
        <x:v>待定</x:v>
      </x:c>
      <x:c r="K126" s="214" t="str">
        <x:v>待定</x:v>
      </x:c>
      <x:c r="L126" s="214" t="str">
        <x:v>待定</x:v>
      </x:c>
      <x:c r="M126" s="214" t="str">
        <x:v>按M08核查</x:v>
      </x:c>
      <x:c r="N126" s="214" t="str">
        <x:v>按M06/M08核查</x:v>
      </x:c>
      <x:c r="O126" s="214" t="str">
        <x:v>待定</x:v>
      </x:c>
      <x:c r="P126" s="214" t="str">
        <x:v>转M11/M14判断</x:v>
      </x:c>
      <x:c r="Q126" s="214" t="str">
        <x:v>需结合M09日主承载判断</x:v>
      </x:c>
      <x:c r="R126" s="214" t="str">
        <x:v>待定</x:v>
      </x:c>
      <x:c r="S126" s="214" t="str">
        <x:v>十神存在、力量、清纯度和功能均已评估</x:v>
      </x:c>
      <x:c r="T126" s="214" t="str">
        <x:v>M02十神映射、M08五行有效旺衰、M09日主旺衰已完成</x:v>
      </x:c>
      <x:c r="U126" s="214" t="str">
        <x:v>相关十神已由M02正确映射，并以M08有效力量为准</x:v>
      </x:c>
      <x:c r="V126" s="214" t="str">
        <x:v>得令、有根、透干、同党或生源形成独立有效证据</x:v>
      </x:c>
      <x:c r="W126" s="214" t="str">
        <x:v>失令、无根、被合绊、被制、改性或作用路径受阻</x:v>
      </x:c>
      <x:c r="X126" s="214" t="str">
        <x:v>不得以十神名称、数量或单一旺弱证据直接完成定性</x:v>
      </x:c>
      <x:c r="Y126" s="214" t="str">
        <x:v>特殊格局、从化候选及明确组合转M11/M14另审</x:v>
      </x:c>
      <x:c r="Z126" s="214" t="str">
        <x:v>不得只写“官旺、财弱、印多”等无证据链结论</x:v>
      </x:c>
      <x:c r="AA126" s="214" t="str">
        <x:v>十神标准输出</x:v>
      </x:c>
      <x:c r="AB126" s="214" t="str">
        <x:v>每个十神至少输出：存在方式、有效旺衰、清纯度、主要生源、主要制约、功能状态、对日主作用、组合/格局接口、喜忌候选、反向证据与置信度。</x:v>
      </x:c>
      <x:c r="AC126" s="214" t="str">
        <x:v>较高</x:v>
      </x:c>
      <x:c r="AD126" s="214" t="str">
        <x:v>现代综合</x:v>
      </x:c>
      <x:c r="AE126" s="214" t="str">
        <x:v>十神必须分开判断存在性、力量、清纯度、功能性与喜忌性；M10只形成结构层结论和候选，不越级替代M11—M18。</x:v>
      </x:c>
      <x:c r="AF126" s="214" t="str">
        <x:v>相关条件真实成立，且增强条件有效时，可按“M10最终输出必须保留正反证据与置信度”记录对应功能。</x:v>
      </x:c>
      <x:c r="AG126" s="214" t="str">
        <x:v>仅见表面十神名称或数量，但“不得以十神名称、数量或单一旺弱证据直接完成定性”所述限制存在时，不得套用本规则。</x:v>
      </x:c>
      <x:c r="AH126" s="214" t="str">
        <x:v>https://zh.wikisource.org/wiki/%E6%B8%8A%E6%B5%B7%E5%AD%90%E5%B9%B3%E5%A4%A7%E5%85%A8 ; https://zh.wikisource.org/wiki/%E6%BB%B4%E5%A4%A9%E9%AB%93%E9%97%A1%E5%BE%AE</x:v>
      </x:c>
      <x:c r="AI126" s="214" t="str">
        <x:v>采用</x:v>
      </x:c>
      <x:c r="AJ126" s="214" t="str">
        <x:v>初审</x:v>
      </x:c>
      <x:c r="AK126" s="217" t="n">
        <x:v>46255</x:v>
      </x:c>
    </x:row>
  </x:sheetData>
  <x:mergeCells>
    <x:mergeCell ref="A1:O1"/>
    <x:mergeCell ref="A2:O2"/>
    <x:mergeCell ref="A3:O3"/>
    <x:mergeCell ref="A4:O4"/>
  </x:mergeCells>
  <x:conditionalFormatting sqref="A6:A105">
    <x:cfRule type="expression" dxfId="8" priority="1">
      <x:formula>AND(A6&lt;&gt;"",COUNTIF($A$6:$A$105,A6)&gt;1)</x:formula>
    </x:cfRule>
  </x:conditionalFormatting>
  <x:dataValidations count="27">
    <x:dataValidation type="list" sqref="E6:E105">
      <x:formula1>'99_下拉选项'!$BG$4:$BG$12</x:formula1>
    </x:dataValidation>
    <x:dataValidation type="list" sqref="G6:G105">
      <x:formula1>'99_下拉选项'!$F$4:$F$7</x:formula1>
    </x:dataValidation>
    <x:dataValidation type="list" sqref="H6:H105">
      <x:formula1>'99_下拉选项'!$Y$4:$Y$13</x:formula1>
    </x:dataValidation>
    <x:dataValidation type="list" sqref="I6:I105">
      <x:formula1>'99_下拉选项'!$Z$4:$Z$10</x:formula1>
    </x:dataValidation>
    <x:dataValidation type="list" sqref="J6:J105">
      <x:formula1>'99_下拉选项'!$U$4:$U$11</x:formula1>
    </x:dataValidation>
    <x:dataValidation type="list" sqref="K6:K105">
      <x:formula1>'99_下拉选项'!$U$4:$U$11</x:formula1>
    </x:dataValidation>
    <x:dataValidation type="list" sqref="L6:L105">
      <x:formula1>'99_下拉选项'!$AE$4:$AE$9</x:formula1>
    </x:dataValidation>
    <x:dataValidation type="list" sqref="O6:O105">
      <x:formula1>'99_下拉选项'!$AA$4:$AA$11</x:formula1>
    </x:dataValidation>
    <x:dataValidation type="list" sqref="R6:R105">
      <x:formula1>'99_下拉选项'!$AB$4:$AB$12</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G7:G126">
      <x:formula1>'99_下拉选项'!$F$4:$F$7</x:formula1>
    </x:dataValidation>
    <x:dataValidation type="list" sqref="H7:H126">
      <x:formula1>'99_下拉选项'!$Y$4:$Y$13</x:formula1>
    </x:dataValidation>
    <x:dataValidation type="list" sqref="I7:I126">
      <x:formula1>'99_下拉选项'!$Z$4:$Z$10</x:formula1>
    </x:dataValidation>
    <x:dataValidation type="list" sqref="J7:J126">
      <x:formula1>'99_下拉选项'!$U$4:$U$11</x:formula1>
    </x:dataValidation>
    <x:dataValidation type="list" sqref="K7:K126">
      <x:formula1>'99_下拉选项'!$U$4:$U$11</x:formula1>
    </x:dataValidation>
    <x:dataValidation type="list" sqref="L7:L126">
      <x:formula1>'99_下拉选项'!$AE$4:$AE$9</x:formula1>
    </x:dataValidation>
    <x:dataValidation type="list" sqref="O7:O126">
      <x:formula1>'99_下拉选项'!$AA$4:$AA$11</x:formula1>
    </x:dataValidation>
    <x:dataValidation type="list" sqref="R7:R126">
      <x:formula1>'99_下拉选项'!$AB$4:$AB$12</x:formula1>
    </x:dataValidation>
    <x:dataValidation type="list" sqref="AC7:AC126">
      <x:formula1>'99_下拉选项'!$Q$4:$Q$8</x:formula1>
    </x:dataValidation>
    <x:dataValidation type="list" sqref="AD7:AD126">
      <x:formula1>'99_下拉选项'!$R$4:$R$11</x:formula1>
    </x:dataValidation>
    <x:dataValidation type="list" sqref="AI7:AI126">
      <x:formula1>'99_下拉选项'!$S$4:$S$9</x:formula1>
    </x:dataValidation>
    <x:dataValidation type="list" sqref="AJ7:AJ126">
      <x:formula1>'99_下拉选项'!$T$4:$T$8</x:formula1>
    </x:dataValidation>
    <x:dataValidation type="list" sqref="E7:E126">
      <x:formula1>'99_下拉选项'!$BG$4:$BG$16</x:formula1>
    </x:dataValidation>
  </x:dataValidations>
  <x:pageMargins left="0.7" right="0.7" top="0.75" bottom="0.75" header="0.3" footer="0.3"/>
  <x:tableParts count="1">
    <x:tablePart xmlns:r="http://schemas.openxmlformats.org/officeDocument/2006/relationships" r:id="R7d79ef2919f44292"/>
  </x:tableParts>
</x:worksheet>
</file>

<file path=xl/worksheets/sheet1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16"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M11｜十神组合成立条件规则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建立食神制杀、伤官配印、官印相生、杀印相生等组合的必要条件、破坏条件、救应条件与成立等级。</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前置依赖：M08/M09/M10　｜　主要输出：十神组合成立等级、功能、破坏与救应　｜　直接下游：M14/M15/M16/M17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组合类别</x:v>
      </x:c>
      <x:c r="I5" s="61" t="str">
        <x:v>组合名称</x:v>
      </x:c>
      <x:c r="J5" s="61" t="str">
        <x:v>核心十神</x:v>
      </x:c>
      <x:c r="K5" s="61" t="str">
        <x:v>主体条件</x:v>
      </x:c>
      <x:c r="L5" s="61" t="str">
        <x:v>客体条件</x:v>
      </x:c>
      <x:c r="M5" s="61" t="str">
        <x:v>位置条件</x:v>
      </x:c>
      <x:c r="N5" s="61" t="str">
        <x:v>旺衰条件</x:v>
      </x:c>
      <x:c r="O5" s="61" t="str">
        <x:v>日主条件</x:v>
      </x:c>
      <x:c r="P5" s="61" t="str">
        <x:v>最低成立标准</x:v>
      </x:c>
      <x:c r="Q5" s="61" t="str">
        <x:v>增强条件</x:v>
      </x:c>
      <x:c r="R5" s="61" t="str">
        <x:v>破坏条件</x:v>
      </x:c>
      <x:c r="S5" s="61" t="str">
        <x:v>救应条件</x:v>
      </x:c>
      <x:c r="T5" s="61" t="str">
        <x:v>否决条件</x:v>
      </x:c>
      <x:c r="U5" s="61" t="str">
        <x:v>例外条件</x:v>
      </x:c>
      <x:c r="V5" s="61" t="str">
        <x:v>成立等级</x:v>
      </x:c>
      <x:c r="W5" s="61" t="str">
        <x:v>实际功能</x:v>
      </x:c>
      <x:c r="X5" s="61" t="str">
        <x:v>是否上升为格局</x:v>
      </x:c>
      <x:c r="Y5" s="61" t="str">
        <x:v>格局候选</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M11-DEMO-9999-V0.1</x:v>
      </x:c>
      <x:c r="B6" s="76" t="str">
        <x:v>M11</x:v>
      </x:c>
      <x:c r="C6" s="76" t="str">
        <x:v>DEMO</x:v>
      </x:c>
      <x:c r="D6" s="78" t="n">
        <x:v>9999</x:v>
      </x:c>
      <x:c r="E6" s="76" t="str">
        <x:v>V0.1</x:v>
      </x:c>
      <x:c r="F6" s="76" t="str">
        <x:v>食神制杀组合的最低成立标准</x:v>
      </x:c>
      <x:c r="G6" s="76" t="str">
        <x:v>结构层</x:v>
      </x:c>
      <x:c r="H6" s="76" t="str">
        <x:v>制化型</x:v>
      </x:c>
      <x:c r="I6" s="76" t="str">
        <x:v>食神制杀</x:v>
      </x:c>
      <x:c r="J6" s="76" t="str">
        <x:v>食神、七杀</x:v>
      </x:c>
      <x:c r="K6" s="76" t="str">
        <x:v>七杀真实有力并对日主形成压力</x:v>
      </x:c>
      <x:c r="L6" s="76" t="str">
        <x:v>食神有根有源，功能未失效</x:v>
      </x:c>
      <x:c r="M6" s="76" t="str">
        <x:v>存在直接或可达的制杀路径</x:v>
      </x:c>
      <x:c r="N6" s="76" t="str">
        <x:v>食神与七杀力量不能严重失衡</x:v>
      </x:c>
      <x:c r="O6" s="76" t="str">
        <x:v>日主不因食神泄身而失去基本承载</x:v>
      </x:c>
      <x:c r="P6" s="76" t="str">
        <x:v>杀有力、食有力、食可直接制杀，且无强枭夺食</x:v>
      </x:c>
      <x:c r="Q6" s="76" t="str">
        <x:v>食神清纯、得根、有比劫生食</x:v>
      </x:c>
      <x:c r="R6" s="76" t="str">
        <x:v>枭神强夺食、食神被合、制杀太过或杀弱无须制</x:v>
      </x:c>
      <x:c r="S6" s="76" t="str">
        <x:v>财可制枭护食，或其他结构恢复食神功能</x:v>
      </x:c>
      <x:c r="T6" s="76" t="str">
        <x:v>食神失效或与七杀无有效作用路径</x:v>
      </x:c>
      <x:c r="U6" s="76" t="str">
        <x:v>局部成立但不主导全局时，只标记弱成立</x:v>
      </x:c>
      <x:c r="V6" s="76" t="str">
        <x:v>基本成立</x:v>
      </x:c>
      <x:c r="W6" s="76" t="str">
        <x:v>制杀、缓解官杀压力</x:v>
      </x:c>
      <x:c r="X6" s="76" t="str">
        <x:v>条件性</x:v>
      </x:c>
      <x:c r="Y6" s="76" t="str">
        <x:v>食神制杀格候选</x:v>
      </x:c>
      <x:c r="Z6" s="76" t="str">
        <x:v>制化组合</x:v>
      </x:c>
      <x:c r="AA6" s="76" t="str">
        <x:v>食神制杀具备基本条件，但是否成为全局主结构，仍需比较制化比例与其他格局候选。</x:v>
      </x:c>
      <x:c r="AB6" s="76" t="str">
        <x:v>较高</x:v>
      </x:c>
      <x:c r="AC6" s="76" t="str">
        <x:v>子平格局</x:v>
      </x:c>
      <x:c r="AD6" s="76" t="str">
        <x:v>十神同时出现不等于组合成立，必须验证主体、客体、路径和比例。</x:v>
      </x:c>
      <x:c r="AE6" s="76" t="str">
        <x:v>杀旺、食神有根透出且无强枭夺食。</x:v>
      </x:c>
      <x:c r="AF6" s="76" t="str">
        <x:v>食神弱而被枭制，仅因食杀同现就判食神制杀。</x:v>
      </x:c>
      <x:c r="AG6" s="76" t="str">
        <x:v>示例，仅演示字段用法</x:v>
      </x:c>
      <x:c r="AH6" s="76" t="str">
        <x:v>示例</x:v>
      </x:c>
      <x:c r="AI6" s="76" t="str">
        <x:v>未审核</x:v>
      </x:c>
      <x:c r="AJ6" s="86" t="n">
        <x:v>46254</x:v>
      </x:c>
    </x:row>
    <x:row r="7">
      <x:c r="A7" s="72" t="str">
        <x:f>IF(OR(C7="",D7=""),"",B7&amp;"-"&amp;UPPER(C7)&amp;"-"&amp;TEXT(D7,"0000")&amp;"-"&amp;E7)</x:f>
        <x:v>M11-GEN-0001-V1.0</x:v>
      </x:c>
      <x:c r="B7" s="74" t="str">
        <x:v>M11</x:v>
      </x:c>
      <x:c r="C7" s="74" t="str">
        <x:v>GEN</x:v>
      </x:c>
      <x:c r="D7" s="215" t="n">
        <x:v>1</x:v>
      </x:c>
      <x:c r="E7" s="74" t="str">
        <x:v>V1.0</x:v>
      </x:c>
      <x:c r="F7" s="68" t="str">
        <x:v>组合必须先满足十神真实有效</x:v>
      </x:c>
      <x:c r="G7" s="82" t="str">
        <x:v>结构层</x:v>
      </x:c>
      <x:c r="H7" s="82" t="str">
        <x:v>其他</x:v>
      </x:c>
      <x:c r="I7" s="68" t="str">
        <x:v>十神组合通用判定</x:v>
      </x:c>
      <x:c r="J7" s="68" t="str">
        <x:v>多个相关十神</x:v>
      </x:c>
      <x:c r="K7" s="68" t="str">
        <x:v>M10已确认各核心十神不是名义存在而是具备有效功能</x:v>
      </x:c>
      <x:c r="L7" s="68" t="str">
        <x:v>所有参与十神的有效力量和功能状态可被调用</x:v>
      </x:c>
      <x:c r="M7" s="68" t="str">
        <x:v>直接或可达的生克制化路径成立</x:v>
      </x:c>
      <x:c r="N7" s="68" t="str">
        <x:v>相关十神均以M10有效力量为准，且不存在决定性失衡</x:v>
      </x:c>
      <x:c r="O7" s="68" t="str">
        <x:v>结合M09日主承载判断</x:v>
      </x:c>
      <x:c r="P7" s="68" t="str">
        <x:v>核心十神真实有效</x:v>
      </x:c>
      <x:c r="Q7" s="68" t="str">
        <x:v>相关十神有根、有源、透达、清纯且关键通路稳定</x:v>
      </x:c>
      <x:c r="R7" s="90" t="str">
        <x:v>关键十神被合绊、被制、改性、失效或力量严重失衡</x:v>
      </x:c>
      <x:c r="S7" s="68" t="str">
        <x:v>存在第三十神恢复通路、清除破坏或重新形成平衡</x:v>
      </x:c>
      <x:c r="T7" s="90" t="str">
        <x:v>任一核心十神失效，或不存在真实作用路径</x:v>
      </x:c>
      <x:c r="U7" s="68" t="str">
        <x:v>特殊格局、从化或月令格局另转M14/M15复审</x:v>
      </x:c>
      <x:c r="V7" s="84" t="str">
        <x:v>弱成立</x:v>
      </x:c>
      <x:c r="W7" s="84" t="str">
        <x:v>形成局部生化、制化或承载结构</x:v>
      </x:c>
      <x:c r="X7" s="82" t="str">
        <x:v>否</x:v>
      </x:c>
      <x:c r="Y7" s="68" t="str">
        <x:v>待M14生成具体候选</x:v>
      </x:c>
      <x:c r="Z7" s="84" t="str">
        <x:v>组合成立前置</x:v>
      </x:c>
      <x:c r="AA7" s="84" t="str">
        <x:v>十神组合通用判定：当主体、客体、路径与力量匹配满足最低标准时，判“弱成立”；是否上升为格局转M14/M15。</x:v>
      </x:c>
      <x:c r="AB7" s="82" t="str">
        <x:v>较高</x:v>
      </x:c>
      <x:c r="AC7" s="82" t="str">
        <x:v>现代综合</x:v>
      </x:c>
      <x:c r="AD7" s="68" t="str">
        <x:v>十神同时出现不等于组合成立。M11须同时验证核心十神有效性、作用路径、力量匹配、日主承载、破坏因素与救应；组合成立也不等于格局成立。</x:v>
      </x:c>
      <x:c r="AE7" s="68" t="str">
        <x:v>M10已确认各核心十神不是名义存在而是具备有效功能；所有参与十神的有效力量和功能状态可被调用；作用路径稳定且无关键破坏，可按“十神组合通用判定”记录。</x:v>
      </x:c>
      <x:c r="AF7" s="90" t="str">
        <x:v>仅因“多个相关十神”同时出现，但核心十神无力、无作用路径或被关键因素破坏，不能判“十神组合通用判定”成立。</x:v>
      </x:c>
      <x:c r="AG7" s="68" t="str">
        <x:v>https://zh.wikisource.org/zh-hans/%E6%B7%B5%E6%B5%B7%E5%AD%90%E5%B9%B3 ; https://zh.wikisource.org/wiki/%E6%BB%B4%E5%A4%A9%E9%AB%93%E9%97%A1%E5%BE%AE</x:v>
      </x:c>
      <x:c r="AH7" s="82" t="str">
        <x:v>采用</x:v>
      </x:c>
      <x:c r="AI7" s="82" t="str">
        <x:v>初审</x:v>
      </x:c>
      <x:c r="AJ7" s="87" t="n">
        <x:v>46255</x:v>
      </x:c>
    </x:row>
    <x:row r="8">
      <x:c r="A8" s="72" t="str">
        <x:f>IF(OR(C8="",D8=""),"",B8&amp;"-"&amp;UPPER(C8)&amp;"-"&amp;TEXT(D8,"0000")&amp;"-"&amp;E8)</x:f>
        <x:v>M11-GEN-0002-V1.0</x:v>
      </x:c>
      <x:c r="B8" s="74" t="str">
        <x:v>M11</x:v>
      </x:c>
      <x:c r="C8" s="74" t="str">
        <x:v>GEN</x:v>
      </x:c>
      <x:c r="D8" s="215" t="n">
        <x:v>2</x:v>
      </x:c>
      <x:c r="E8" s="74" t="str">
        <x:v>V1.0</x:v>
      </x:c>
      <x:c r="F8" s="68" t="str">
        <x:v>同时出现只生成组合候选</x:v>
      </x:c>
      <x:c r="G8" s="82" t="str">
        <x:v>结构层</x:v>
      </x:c>
      <x:c r="H8" s="82" t="str">
        <x:v>其他</x:v>
      </x:c>
      <x:c r="I8" s="68" t="str">
        <x:v>十神组合通用判定</x:v>
      </x:c>
      <x:c r="J8" s="68" t="str">
        <x:v>多个相关十神</x:v>
      </x:c>
      <x:c r="K8" s="68" t="str">
        <x:v>两个或多个相关十神在原局同时出现</x:v>
      </x:c>
      <x:c r="L8" s="68" t="str">
        <x:v>尚未验证生克制化路径与力量比例</x:v>
      </x:c>
      <x:c r="M8" s="68" t="str">
        <x:v>直接或可达的生克制化路径成立</x:v>
      </x:c>
      <x:c r="N8" s="68" t="str">
        <x:v>相关十神均以M10有效力量为准，且不存在决定性失衡</x:v>
      </x:c>
      <x:c r="O8" s="68" t="str">
        <x:v>结合M09日主承载判断</x:v>
      </x:c>
      <x:c r="P8" s="68" t="str">
        <x:v>只满足存在条件时仅列候选</x:v>
      </x:c>
      <x:c r="Q8" s="68" t="str">
        <x:v>相关十神有根、有源、透达、清纯且关键通路稳定</x:v>
      </x:c>
      <x:c r="R8" s="90" t="str">
        <x:v>关键十神被合绊、被制、改性、失效或力量严重失衡</x:v>
      </x:c>
      <x:c r="S8" s="68" t="str">
        <x:v>存在第三十神恢复通路、清除破坏或重新形成平衡</x:v>
      </x:c>
      <x:c r="T8" s="90" t="str">
        <x:v>任一核心十神失效，或不存在真实作用路径</x:v>
      </x:c>
      <x:c r="U8" s="68" t="str">
        <x:v>特殊格局、从化或月令格局另转M14/M15复审</x:v>
      </x:c>
      <x:c r="V8" s="84" t="str">
        <x:v>待定</x:v>
      </x:c>
      <x:c r="W8" s="84" t="str">
        <x:v>生成候选，不确认组合成立</x:v>
      </x:c>
      <x:c r="X8" s="82" t="str">
        <x:v>否</x:v>
      </x:c>
      <x:c r="Y8" s="68" t="str">
        <x:v>无</x:v>
      </x:c>
      <x:c r="Z8" s="84" t="str">
        <x:v>同现不等于成立</x:v>
      </x:c>
      <x:c r="AA8" s="84" t="str">
        <x:v>十神组合通用判定：当主体、客体、路径与力量匹配满足最低标准时，判“待定”；是否上升为格局转M14/M15。</x:v>
      </x:c>
      <x:c r="AB8" s="82" t="str">
        <x:v>较高</x:v>
      </x:c>
      <x:c r="AC8" s="82" t="str">
        <x:v>现代综合</x:v>
      </x:c>
      <x:c r="AD8" s="68" t="str">
        <x:v>十神同时出现不等于组合成立。M11须同时验证核心十神有效性、作用路径、力量匹配、日主承载、破坏因素与救应；组合成立也不等于格局成立。</x:v>
      </x:c>
      <x:c r="AE8" s="68" t="str">
        <x:v>两个或多个相关十神在原局同时出现；尚未验证生克制化路径与力量比例；作用路径稳定且无关键破坏，可按“十神组合通用判定”记录。</x:v>
      </x:c>
      <x:c r="AF8" s="90" t="str">
        <x:v>仅因“多个相关十神”同时出现，但核心十神无力、无作用路径或被关键因素破坏，不能判“十神组合通用判定”成立。</x:v>
      </x:c>
      <x:c r="AG8" s="68" t="str">
        <x:v>https://zh.wikisource.org/zh-hans/%E6%B7%B5%E6%B5%B7%E5%AD%90%E5%B9%B3 ; https://zh.wikisource.org/wiki/%E6%BB%B4%E5%A4%A9%E9%AB%93%E9%97%A1%E5%BE%AE</x:v>
      </x:c>
      <x:c r="AH8" s="82" t="str">
        <x:v>采用</x:v>
      </x:c>
      <x:c r="AI8" s="82" t="str">
        <x:v>初审</x:v>
      </x:c>
      <x:c r="AJ8" s="87" t="n">
        <x:v>46255</x:v>
      </x:c>
    </x:row>
    <x:row r="9">
      <x:c r="A9" s="72" t="str">
        <x:f>IF(OR(C9="",D9=""),"",B9&amp;"-"&amp;UPPER(C9)&amp;"-"&amp;TEXT(D9,"0000")&amp;"-"&amp;E9)</x:f>
        <x:v>M11-GEN-0003-V1.0</x:v>
      </x:c>
      <x:c r="B9" s="74" t="str">
        <x:v>M11</x:v>
      </x:c>
      <x:c r="C9" s="74" t="str">
        <x:v>GEN</x:v>
      </x:c>
      <x:c r="D9" s="215" t="n">
        <x:v>3</x:v>
      </x:c>
      <x:c r="E9" s="74" t="str">
        <x:v>V1.0</x:v>
      </x:c>
      <x:c r="F9" s="68" t="str">
        <x:v>作用路径是组合成立的必要条件</x:v>
      </x:c>
      <x:c r="G9" s="82" t="str">
        <x:v>结构层</x:v>
      </x:c>
      <x:c r="H9" s="82" t="str">
        <x:v>其他</x:v>
      </x:c>
      <x:c r="I9" s="68" t="str">
        <x:v>十神组合通用判定</x:v>
      </x:c>
      <x:c r="J9" s="68" t="str">
        <x:v>多个相关十神</x:v>
      </x:c>
      <x:c r="K9" s="68" t="str">
        <x:v>核心十神均有效</x:v>
      </x:c>
      <x:c r="L9" s="68" t="str">
        <x:v>两者之间存在直接或经一层桥梁可达的真实生克制化路径</x:v>
      </x:c>
      <x:c r="M9" s="68" t="str">
        <x:v>直接或可达的生克制化路径成立</x:v>
      </x:c>
      <x:c r="N9" s="68" t="str">
        <x:v>相关十神均以M10有效力量为准，且不存在决定性失衡</x:v>
      </x:c>
      <x:c r="O9" s="68" t="str">
        <x:v>结合M09日主承载判断</x:v>
      </x:c>
      <x:c r="P9" s="68" t="str">
        <x:v>核心十神有效＋作用路径成立</x:v>
      </x:c>
      <x:c r="Q9" s="68" t="str">
        <x:v>相关十神有根、有源、透达、清纯且关键通路稳定</x:v>
      </x:c>
      <x:c r="R9" s="90" t="str">
        <x:v>关键十神被合绊、被制、改性、失效或力量严重失衡</x:v>
      </x:c>
      <x:c r="S9" s="68" t="str">
        <x:v>存在第三十神恢复通路、清除破坏或重新形成平衡</x:v>
      </x:c>
      <x:c r="T9" s="90" t="str">
        <x:v>任一核心十神失效，或不存在真实作用路径</x:v>
      </x:c>
      <x:c r="U9" s="68" t="str">
        <x:v>特殊格局、从化或月令格局另转M14/M15复审</x:v>
      </x:c>
      <x:c r="V9" s="84" t="str">
        <x:v>基本成立</x:v>
      </x:c>
      <x:c r="W9" s="84" t="str">
        <x:v>形成局部生化、制化或承载结构</x:v>
      </x:c>
      <x:c r="X9" s="82" t="str">
        <x:v>否</x:v>
      </x:c>
      <x:c r="Y9" s="68" t="str">
        <x:v>对应格局候选转M14</x:v>
      </x:c>
      <x:c r="Z9" s="84" t="str">
        <x:v>组合路径必要性</x:v>
      </x:c>
      <x:c r="AA9" s="84" t="str">
        <x:v>十神组合通用判定：当主体、客体、路径与力量匹配满足最低标准时，判“基本成立”；是否上升为格局转M14/M15。</x:v>
      </x:c>
      <x:c r="AB9" s="82" t="str">
        <x:v>较高</x:v>
      </x:c>
      <x:c r="AC9" s="82" t="str">
        <x:v>现代综合</x:v>
      </x:c>
      <x:c r="AD9" s="68" t="str">
        <x:v>十神同时出现不等于组合成立。M11须同时验证核心十神有效性、作用路径、力量匹配、日主承载、破坏因素与救应；组合成立也不等于格局成立。</x:v>
      </x:c>
      <x:c r="AE9" s="68" t="str">
        <x:v>核心十神均有效；两者之间存在直接或经一层桥梁可达的真实生克制化路径；作用路径稳定且无关键破坏，可按“十神组合通用判定”记录。</x:v>
      </x:c>
      <x:c r="AF9" s="90" t="str">
        <x:v>仅因“多个相关十神”同时出现，但核心十神无力、无作用路径或被关键因素破坏，不能判“十神组合通用判定”成立。</x:v>
      </x:c>
      <x:c r="AG9" s="68" t="str">
        <x:v>https://zh.wikisource.org/zh-hans/%E6%B7%B5%E6%B5%B7%E5%AD%90%E5%B9%B3 ; https://zh.wikisource.org/wiki/%E6%BB%B4%E5%A4%A9%E9%AB%93%E9%97%A1%E5%BE%AE</x:v>
      </x:c>
      <x:c r="AH9" s="82" t="str">
        <x:v>采用</x:v>
      </x:c>
      <x:c r="AI9" s="82" t="str">
        <x:v>初审</x:v>
      </x:c>
      <x:c r="AJ9" s="87" t="n">
        <x:v>46255</x:v>
      </x:c>
    </x:row>
    <x:row r="10">
      <x:c r="A10" s="72" t="str">
        <x:f>IF(OR(C10="",D10=""),"",B10&amp;"-"&amp;UPPER(C10)&amp;"-"&amp;TEXT(D10,"0000")&amp;"-"&amp;E10)</x:f>
        <x:v>M11-GEN-0004-V1.0</x:v>
      </x:c>
      <x:c r="B10" s="74" t="str">
        <x:v>M11</x:v>
      </x:c>
      <x:c r="C10" s="74" t="str">
        <x:v>GEN</x:v>
      </x:c>
      <x:c r="D10" s="215" t="n">
        <x:v>4</x:v>
      </x:c>
      <x:c r="E10" s="74" t="str">
        <x:v>V1.0</x:v>
      </x:c>
      <x:c r="F10" s="68" t="str">
        <x:v>力量严重失衡时组合降级</x:v>
      </x:c>
      <x:c r="G10" s="82" t="str">
        <x:v>结构层</x:v>
      </x:c>
      <x:c r="H10" s="82" t="str">
        <x:v>其他</x:v>
      </x:c>
      <x:c r="I10" s="68" t="str">
        <x:v>十神组合通用判定</x:v>
      </x:c>
      <x:c r="J10" s="68" t="str">
        <x:v>多个相关十神</x:v>
      </x:c>
      <x:c r="K10" s="68" t="str">
        <x:v>主体明显强于客体或客体明显强于主体</x:v>
      </x:c>
      <x:c r="L10" s="68" t="str">
        <x:v>一方不足以承担预期生、制、化功能</x:v>
      </x:c>
      <x:c r="M10" s="68" t="str">
        <x:v>直接或可达的生克制化路径成立</x:v>
      </x:c>
      <x:c r="N10" s="68" t="str">
        <x:v>双方有效力量存在明显失衡</x:v>
      </x:c>
      <x:c r="O10" s="68" t="str">
        <x:v>结合M09日主承载判断</x:v>
      </x:c>
      <x:c r="P10" s="68" t="str">
        <x:v>仅可记录局部作用</x:v>
      </x:c>
      <x:c r="Q10" s="68" t="str">
        <x:v>相关十神有根、有源、透达、清纯且关键通路稳定</x:v>
      </x:c>
      <x:c r="R10" s="90" t="str">
        <x:v>关键十神被合绊、被制、改性、失效或力量严重失衡</x:v>
      </x:c>
      <x:c r="S10" s="68" t="str">
        <x:v>存在第三十神恢复通路、清除破坏或重新形成平衡</x:v>
      </x:c>
      <x:c r="T10" s="90" t="str">
        <x:v>任一核心十神失效，或不存在真实作用路径</x:v>
      </x:c>
      <x:c r="U10" s="68" t="str">
        <x:v>特殊格局、从化或月令格局另转M14/M15复审</x:v>
      </x:c>
      <x:c r="V10" s="84" t="str">
        <x:v>弱成立</x:v>
      </x:c>
      <x:c r="W10" s="84" t="str">
        <x:v>形成局部生化、制化或承载结构</x:v>
      </x:c>
      <x:c r="X10" s="82" t="str">
        <x:v>否</x:v>
      </x:c>
      <x:c r="Y10" s="68" t="str">
        <x:v>对应格局候选转M14</x:v>
      </x:c>
      <x:c r="Z10" s="84" t="str">
        <x:v>组合力量失衡</x:v>
      </x:c>
      <x:c r="AA10" s="84" t="str">
        <x:v>十神组合通用判定：当主体、客体、路径与力量匹配满足最低标准时，判“弱成立”；是否上升为格局转M14/M15。</x:v>
      </x:c>
      <x:c r="AB10" s="82" t="str">
        <x:v>较高</x:v>
      </x:c>
      <x:c r="AC10" s="82" t="str">
        <x:v>现代综合</x:v>
      </x:c>
      <x:c r="AD10" s="68" t="str">
        <x:v>十神同时出现不等于组合成立。M11须同时验证核心十神有效性、作用路径、力量匹配、日主承载、破坏因素与救应；组合成立也不等于格局成立。</x:v>
      </x:c>
      <x:c r="AE10" s="68" t="str">
        <x:v>主体明显强于客体或客体明显强于主体；一方不足以承担预期生、制、化功能；作用路径稳定且无关键破坏，可按“十神组合通用判定”记录。</x:v>
      </x:c>
      <x:c r="AF10" s="90" t="str">
        <x:v>仅因“多个相关十神”同时出现，但核心十神无力、无作用路径或被关键因素破坏，不能判“十神组合通用判定”成立。</x:v>
      </x:c>
      <x:c r="AG10" s="68" t="str">
        <x:v>https://zh.wikisource.org/zh-hans/%E6%B7%B5%E6%B5%B7%E5%AD%90%E5%B9%B3 ; https://zh.wikisource.org/wiki/%E6%BB%B4%E5%A4%A9%E9%AB%93%E9%97%A1%E5%BE%AE</x:v>
      </x:c>
      <x:c r="AH10" s="82" t="str">
        <x:v>采用</x:v>
      </x:c>
      <x:c r="AI10" s="82" t="str">
        <x:v>初审</x:v>
      </x:c>
      <x:c r="AJ10" s="87" t="n">
        <x:v>46255</x:v>
      </x:c>
    </x:row>
    <x:row r="11">
      <x:c r="A11" s="72" t="str">
        <x:f>IF(OR(C11="",D11=""),"",B11&amp;"-"&amp;UPPER(C11)&amp;"-"&amp;TEXT(D11,"0000")&amp;"-"&amp;E11)</x:f>
        <x:v>M11-GEN-0005-V1.0</x:v>
      </x:c>
      <x:c r="B11" s="74" t="str">
        <x:v>M11</x:v>
      </x:c>
      <x:c r="C11" s="74" t="str">
        <x:v>GEN</x:v>
      </x:c>
      <x:c r="D11" s="215" t="n">
        <x:v>5</x:v>
      </x:c>
      <x:c r="E11" s="74" t="str">
        <x:v>V1.0</x:v>
      </x:c>
      <x:c r="F11" s="68" t="str">
        <x:v>组合必须检查日主承载</x:v>
      </x:c>
      <x:c r="G11" s="82" t="str">
        <x:v>结构层</x:v>
      </x:c>
      <x:c r="H11" s="82" t="str">
        <x:v>其他</x:v>
      </x:c>
      <x:c r="I11" s="68" t="str">
        <x:v>十神组合通用判定</x:v>
      </x:c>
      <x:c r="J11" s="68" t="str">
        <x:v>多个相关十神</x:v>
      </x:c>
      <x:c r="K11" s="68" t="str">
        <x:v>组合本身路径成立</x:v>
      </x:c>
      <x:c r="L11" s="68" t="str">
        <x:v>组合的泄、耗、制、生最终会反馈日主</x:v>
      </x:c>
      <x:c r="M11" s="68" t="str">
        <x:v>直接或可达的生克制化路径成立</x:v>
      </x:c>
      <x:c r="N11" s="68" t="str">
        <x:v>相关十神均以M10有效力量为准，且不存在决定性失衡</x:v>
      </x:c>
      <x:c r="O11" s="68" t="str">
        <x:v>若日主无法承载组合运行成本，组合功能需降级</x:v>
      </x:c>
      <x:c r="P11" s="68" t="str">
        <x:v>主体、客体、作用路径与力量匹配均达到最低要求</x:v>
      </x:c>
      <x:c r="Q11" s="68" t="str">
        <x:v>相关十神有根、有源、透达、清纯且关键通路稳定</x:v>
      </x:c>
      <x:c r="R11" s="90" t="str">
        <x:v>关键十神被合绊、被制、改性、失效或力量严重失衡</x:v>
      </x:c>
      <x:c r="S11" s="68" t="str">
        <x:v>存在第三十神恢复通路、清除破坏或重新形成平衡</x:v>
      </x:c>
      <x:c r="T11" s="90" t="str">
        <x:v>任一核心十神失效，或不存在真实作用路径</x:v>
      </x:c>
      <x:c r="U11" s="68" t="str">
        <x:v>特殊格局、从化或月令格局另转M14/M15复审</x:v>
      </x:c>
      <x:c r="V11" s="84" t="str">
        <x:v>基本成立</x:v>
      </x:c>
      <x:c r="W11" s="84" t="str">
        <x:v>形成局部生化、制化或承载结构</x:v>
      </x:c>
      <x:c r="X11" s="82" t="str">
        <x:v>否</x:v>
      </x:c>
      <x:c r="Y11" s="68" t="str">
        <x:v>对应格局候选转M14</x:v>
      </x:c>
      <x:c r="Z11" s="84" t="str">
        <x:v>组合承载约束</x:v>
      </x:c>
      <x:c r="AA11" s="84" t="str">
        <x:v>十神组合通用判定：当主体、客体、路径与力量匹配满足最低标准时，判“基本成立”；是否上升为格局转M14/M15。</x:v>
      </x:c>
      <x:c r="AB11" s="82" t="str">
        <x:v>较高</x:v>
      </x:c>
      <x:c r="AC11" s="82" t="str">
        <x:v>现代综合</x:v>
      </x:c>
      <x:c r="AD11" s="68" t="str">
        <x:v>十神同时出现不等于组合成立。M11须同时验证核心十神有效性、作用路径、力量匹配、日主承载、破坏因素与救应；组合成立也不等于格局成立。</x:v>
      </x:c>
      <x:c r="AE11" s="68" t="str">
        <x:v>组合本身路径成立；组合的泄、耗、制、生最终会反馈日主；作用路径稳定且无关键破坏，可按“十神组合通用判定”记录。</x:v>
      </x:c>
      <x:c r="AF11" s="90" t="str">
        <x:v>仅因“多个相关十神”同时出现，但核心十神无力、无作用路径或被关键因素破坏，不能判“十神组合通用判定”成立。</x:v>
      </x:c>
      <x:c r="AG11" s="68" t="str">
        <x:v>https://zh.wikisource.org/zh-hans/%E6%B7%B5%E6%B5%B7%E5%AD%90%E5%B9%B3 ; https://zh.wikisource.org/wiki/%E6%BB%B4%E5%A4%A9%E9%AB%93%E9%97%A1%E5%BE%AE</x:v>
      </x:c>
      <x:c r="AH11" s="82" t="str">
        <x:v>采用</x:v>
      </x:c>
      <x:c r="AI11" s="82" t="str">
        <x:v>初审</x:v>
      </x:c>
      <x:c r="AJ11" s="87" t="n">
        <x:v>46255</x:v>
      </x:c>
    </x:row>
    <x:row r="12">
      <x:c r="A12" s="72" t="str">
        <x:f>IF(OR(C12="",D12=""),"",B12&amp;"-"&amp;UPPER(C12)&amp;"-"&amp;TEXT(D12,"0000")&amp;"-"&amp;E12)</x:f>
        <x:v>M11-GEN-0006-V1.0</x:v>
      </x:c>
      <x:c r="B12" s="74" t="str">
        <x:v>M11</x:v>
      </x:c>
      <x:c r="C12" s="74" t="str">
        <x:v>GEN</x:v>
      </x:c>
      <x:c r="D12" s="215" t="n">
        <x:v>6</x:v>
      </x:c>
      <x:c r="E12" s="74" t="str">
        <x:v>V1.0</x:v>
      </x:c>
      <x:c r="F12" s="68" t="str">
        <x:v>一神多职不得重复全额调用</x:v>
      </x:c>
      <x:c r="G12" s="82" t="str">
        <x:v>结构层</x:v>
      </x:c>
      <x:c r="H12" s="82" t="str">
        <x:v>其他</x:v>
      </x:c>
      <x:c r="I12" s="68" t="str">
        <x:v>十神组合通用判定</x:v>
      </x:c>
      <x:c r="J12" s="68" t="str">
        <x:v>多个相关十神</x:v>
      </x:c>
      <x:c r="K12" s="68" t="str">
        <x:v>同一十神节点同时参与两个以上组合</x:v>
      </x:c>
      <x:c r="L12" s="68" t="str">
        <x:v>其有效力量存在容量上限</x:v>
      </x:c>
      <x:c r="M12" s="68" t="str">
        <x:v>直接或可达的生克制化路径成立</x:v>
      </x:c>
      <x:c r="N12" s="68" t="str">
        <x:v>相关十神均以M10有效力量为准，且不存在决定性失衡</x:v>
      </x:c>
      <x:c r="O12" s="68" t="str">
        <x:v>结合M09日主承载判断</x:v>
      </x:c>
      <x:c r="P12" s="68" t="str">
        <x:v>各组合共享同一节点时必须做容量分配</x:v>
      </x:c>
      <x:c r="Q12" s="68" t="str">
        <x:v>相关十神有根、有源、透达、清纯且关键通路稳定</x:v>
      </x:c>
      <x:c r="R12" s="90" t="str">
        <x:v>关键十神被合绊、被制、改性、失效或力量严重失衡</x:v>
      </x:c>
      <x:c r="S12" s="68" t="str">
        <x:v>存在第三十神恢复通路、清除破坏或重新形成平衡</x:v>
      </x:c>
      <x:c r="T12" s="90" t="str">
        <x:v>任一核心十神失效，或不存在真实作用路径</x:v>
      </x:c>
      <x:c r="U12" s="68" t="str">
        <x:v>特殊格局、从化或月令格局另转M14/M15复审</x:v>
      </x:c>
      <x:c r="V12" s="84" t="str">
        <x:v>待定</x:v>
      </x:c>
      <x:c r="W12" s="84" t="str">
        <x:v>防止同一力量在多组合中重复计量</x:v>
      </x:c>
      <x:c r="X12" s="82" t="str">
        <x:v>否</x:v>
      </x:c>
      <x:c r="Y12" s="68" t="str">
        <x:v>对应格局候选转M14</x:v>
      </x:c>
      <x:c r="Z12" s="84" t="str">
        <x:v>组合容量去重</x:v>
      </x:c>
      <x:c r="AA12" s="84" t="str">
        <x:v>十神组合通用判定：当主体、客体、路径与力量匹配满足最低标准时，判“待定”；是否上升为格局转M14/M15。</x:v>
      </x:c>
      <x:c r="AB12" s="82" t="str">
        <x:v>较高</x:v>
      </x:c>
      <x:c r="AC12" s="82" t="str">
        <x:v>现代综合</x:v>
      </x:c>
      <x:c r="AD12" s="68" t="str">
        <x:v>十神同时出现不等于组合成立。M11须同时验证核心十神有效性、作用路径、力量匹配、日主承载、破坏因素与救应；组合成立也不等于格局成立。</x:v>
      </x:c>
      <x:c r="AE12" s="68" t="str">
        <x:v>同一十神节点同时参与两个以上组合；其有效力量存在容量上限；作用路径稳定且无关键破坏，可按“十神组合通用判定”记录。</x:v>
      </x:c>
      <x:c r="AF12" s="90" t="str">
        <x:v>仅因“多个相关十神”同时出现，但核心十神无力、无作用路径或被关键因素破坏，不能判“十神组合通用判定”成立。</x:v>
      </x:c>
      <x:c r="AG12" s="68" t="str">
        <x:v>https://zh.wikisource.org/zh-hans/%E6%B7%B5%E6%B5%B7%E5%AD%90%E5%B9%B3 ; https://zh.wikisource.org/wiki/%E6%BB%B4%E5%A4%A9%E9%AB%93%E9%97%A1%E5%BE%AE</x:v>
      </x:c>
      <x:c r="AH12" s="82" t="str">
        <x:v>采用</x:v>
      </x:c>
      <x:c r="AI12" s="82" t="str">
        <x:v>初审</x:v>
      </x:c>
      <x:c r="AJ12" s="87" t="n">
        <x:v>46255</x:v>
      </x:c>
    </x:row>
    <x:row r="13">
      <x:c r="A13" s="72" t="str">
        <x:f>IF(OR(C13="",D13=""),"",B13&amp;"-"&amp;UPPER(C13)&amp;"-"&amp;TEXT(D13,"0000")&amp;"-"&amp;E13)</x:f>
        <x:v>M11-GEN-0007-V1.0</x:v>
      </x:c>
      <x:c r="B13" s="74" t="str">
        <x:v>M11</x:v>
      </x:c>
      <x:c r="C13" s="74" t="str">
        <x:v>GEN</x:v>
      </x:c>
      <x:c r="D13" s="215" t="n">
        <x:v>7</x:v>
      </x:c>
      <x:c r="E13" s="74" t="str">
        <x:v>V1.0</x:v>
      </x:c>
      <x:c r="F13" s="68" t="str">
        <x:v>强破坏因素可否决表面组合</x:v>
      </x:c>
      <x:c r="G13" s="82" t="str">
        <x:v>结构层</x:v>
      </x:c>
      <x:c r="H13" s="82" t="str">
        <x:v>其他</x:v>
      </x:c>
      <x:c r="I13" s="68" t="str">
        <x:v>十神组合通用判定</x:v>
      </x:c>
      <x:c r="J13" s="68" t="str">
        <x:v>多个相关十神</x:v>
      </x:c>
      <x:c r="K13" s="68" t="str">
        <x:v>组合表面条件齐全</x:v>
      </x:c>
      <x:c r="L13" s="68" t="str">
        <x:v>关键主体或客体被M06/M08确认合化、合住、强制或失效</x:v>
      </x:c>
      <x:c r="M13" s="68" t="str">
        <x:v>直接或可达的生克制化路径成立</x:v>
      </x:c>
      <x:c r="N13" s="68" t="str">
        <x:v>相关十神均以M10有效力量为准，且不存在决定性失衡</x:v>
      </x:c>
      <x:c r="O13" s="68" t="str">
        <x:v>结合M09日主承载判断</x:v>
      </x:c>
      <x:c r="P13" s="68" t="str">
        <x:v>主体、客体、作用路径与力量匹配均达到最低要求</x:v>
      </x:c>
      <x:c r="Q13" s="68" t="str">
        <x:v>相关十神有根、有源、透达、清纯且关键通路稳定</x:v>
      </x:c>
      <x:c r="R13" s="90" t="str">
        <x:v>关键十神被合绊、被制、改性、失效或力量严重失衡</x:v>
      </x:c>
      <x:c r="S13" s="68" t="str">
        <x:v>存在第三十神恢复通路、清除破坏或重新形成平衡</x:v>
      </x:c>
      <x:c r="T13" s="90" t="str">
        <x:v>关键核心十神失效或作用路径被完全切断</x:v>
      </x:c>
      <x:c r="U13" s="68" t="str">
        <x:v>特殊格局、从化或月令格局另转M14/M15复审</x:v>
      </x:c>
      <x:c r="V13" s="84" t="str">
        <x:v>不成立</x:v>
      </x:c>
      <x:c r="W13" s="84" t="str">
        <x:v>否决组合成立</x:v>
      </x:c>
      <x:c r="X13" s="82" t="str">
        <x:v>否</x:v>
      </x:c>
      <x:c r="Y13" s="68" t="str">
        <x:v>对应格局候选转M14</x:v>
      </x:c>
      <x:c r="Z13" s="84" t="str">
        <x:v>组合破坏否决</x:v>
      </x:c>
      <x:c r="AA13" s="84" t="str">
        <x:v>十神组合通用判定：当主体、客体、路径与力量匹配满足最低标准时，判“不成立”；是否上升为格局转M14/M15。</x:v>
      </x:c>
      <x:c r="AB13" s="82" t="str">
        <x:v>较高</x:v>
      </x:c>
      <x:c r="AC13" s="82" t="str">
        <x:v>现代综合</x:v>
      </x:c>
      <x:c r="AD13" s="68" t="str">
        <x:v>十神同时出现不等于组合成立。M11须同时验证核心十神有效性、作用路径、力量匹配、日主承载、破坏因素与救应；组合成立也不等于格局成立。</x:v>
      </x:c>
      <x:c r="AE13" s="68" t="str">
        <x:v>组合表面条件齐全；关键主体或客体被M06/M08确认合化、合住、强制或失效；作用路径稳定且无关键破坏，可按“十神组合通用判定”记录。</x:v>
      </x:c>
      <x:c r="AF13" s="90" t="str">
        <x:v>仅因“多个相关十神”同时出现，但核心十神无力、无作用路径或被关键因素破坏，不能判“十神组合通用判定”成立。</x:v>
      </x:c>
      <x:c r="AG13" s="68" t="str">
        <x:v>https://zh.wikisource.org/zh-hans/%E6%B7%B5%E6%B5%B7%E5%AD%90%E5%B9%B3 ; https://zh.wikisource.org/wiki/%E6%BB%B4%E5%A4%A9%E9%AB%93%E9%97%A1%E5%BE%AE</x:v>
      </x:c>
      <x:c r="AH13" s="82" t="str">
        <x:v>采用</x:v>
      </x:c>
      <x:c r="AI13" s="82" t="str">
        <x:v>初审</x:v>
      </x:c>
      <x:c r="AJ13" s="87" t="n">
        <x:v>46255</x:v>
      </x:c>
    </x:row>
    <x:row r="14">
      <x:c r="A14" s="72" t="str">
        <x:f>IF(OR(C14="",D14=""),"",B14&amp;"-"&amp;UPPER(C14)&amp;"-"&amp;TEXT(D14,"0000")&amp;"-"&amp;E14)</x:f>
        <x:v>M11-GEN-0008-V1.0</x:v>
      </x:c>
      <x:c r="B14" s="74" t="str">
        <x:v>M11</x:v>
      </x:c>
      <x:c r="C14" s="74" t="str">
        <x:v>GEN</x:v>
      </x:c>
      <x:c r="D14" s="215" t="n">
        <x:v>8</x:v>
      </x:c>
      <x:c r="E14" s="74" t="str">
        <x:v>V1.0</x:v>
      </x:c>
      <x:c r="F14" s="68" t="str">
        <x:v>救应只在恢复关键功能后有效</x:v>
      </x:c>
      <x:c r="G14" s="82" t="str">
        <x:v>结构层</x:v>
      </x:c>
      <x:c r="H14" s="82" t="str">
        <x:v>其他</x:v>
      </x:c>
      <x:c r="I14" s="68" t="str">
        <x:v>十神组合通用判定</x:v>
      </x:c>
      <x:c r="J14" s="68" t="str">
        <x:v>多个相关十神</x:v>
      </x:c>
      <x:c r="K14" s="68" t="str">
        <x:v>组合原有关键环节受损</x:v>
      </x:c>
      <x:c r="L14" s="68" t="str">
        <x:v>第三十神能够真实制去破坏、恢复主体或重建通路</x:v>
      </x:c>
      <x:c r="M14" s="68" t="str">
        <x:v>直接或可达的生克制化路径成立</x:v>
      </x:c>
      <x:c r="N14" s="68" t="str">
        <x:v>相关十神均以M10有效力量为准，且不存在决定性失衡</x:v>
      </x:c>
      <x:c r="O14" s="68" t="str">
        <x:v>结合M09日主承载判断</x:v>
      </x:c>
      <x:c r="P14" s="68" t="str">
        <x:v>主体、客体、作用路径与力量匹配均达到最低要求</x:v>
      </x:c>
      <x:c r="Q14" s="68" t="str">
        <x:v>相关十神有根、有源、透达、清纯且关键通路稳定</x:v>
      </x:c>
      <x:c r="R14" s="90" t="str">
        <x:v>关键十神被合绊、被制、改性、失效或力量严重失衡</x:v>
      </x:c>
      <x:c r="S14" s="68" t="str">
        <x:v>救应必须自身有效且作用对象准确</x:v>
      </x:c>
      <x:c r="T14" s="90" t="str">
        <x:v>任一核心十神失效，或不存在真实作用路径</x:v>
      </x:c>
      <x:c r="U14" s="68" t="str">
        <x:v>特殊格局、从化或月令格局另转M14/M15复审</x:v>
      </x:c>
      <x:c r="V14" s="84" t="str">
        <x:v>基本成立</x:v>
      </x:c>
      <x:c r="W14" s="84" t="str">
        <x:v>形成局部生化、制化或承载结构</x:v>
      </x:c>
      <x:c r="X14" s="82" t="str">
        <x:v>条件性</x:v>
      </x:c>
      <x:c r="Y14" s="68" t="str">
        <x:v>对应格局候选转M14</x:v>
      </x:c>
      <x:c r="Z14" s="84" t="str">
        <x:v>组合救应有效性</x:v>
      </x:c>
      <x:c r="AA14" s="84" t="str">
        <x:v>十神组合通用判定：当主体、客体、路径与力量匹配满足最低标准时，判“基本成立”；是否上升为格局转M14/M15。</x:v>
      </x:c>
      <x:c r="AB14" s="82" t="str">
        <x:v>较高</x:v>
      </x:c>
      <x:c r="AC14" s="82" t="str">
        <x:v>现代综合</x:v>
      </x:c>
      <x:c r="AD14" s="68" t="str">
        <x:v>十神同时出现不等于组合成立。M11须同时验证核心十神有效性、作用路径、力量匹配、日主承载、破坏因素与救应；组合成立也不等于格局成立。</x:v>
      </x:c>
      <x:c r="AE14" s="68" t="str">
        <x:v>组合原有关键环节受损；第三十神能够真实制去破坏、恢复主体或重建通路；作用路径稳定且无关键破坏，可按“十神组合通用判定”记录。</x:v>
      </x:c>
      <x:c r="AF14" s="90" t="str">
        <x:v>仅因“多个相关十神”同时出现，但核心十神无力、无作用路径或被关键因素破坏，不能判“十神组合通用判定”成立。</x:v>
      </x:c>
      <x:c r="AG14" s="68" t="str">
        <x:v>https://zh.wikisource.org/zh-hans/%E6%B7%B5%E6%B5%B7%E5%AD%90%E5%B9%B3 ; https://zh.wikisource.org/wiki/%E6%BB%B4%E5%A4%A9%E9%AB%93%E9%97%A1%E5%BE%AE</x:v>
      </x:c>
      <x:c r="AH14" s="82" t="str">
        <x:v>采用</x:v>
      </x:c>
      <x:c r="AI14" s="82" t="str">
        <x:v>初审</x:v>
      </x:c>
      <x:c r="AJ14" s="87" t="n">
        <x:v>46255</x:v>
      </x:c>
    </x:row>
    <x:row r="15">
      <x:c r="A15" s="72" t="str">
        <x:f>IF(OR(C15="",D15=""),"",B15&amp;"-"&amp;UPPER(C15)&amp;"-"&amp;TEXT(D15,"0000")&amp;"-"&amp;E15)</x:f>
        <x:v>M11-GEN-0009-V1.0</x:v>
      </x:c>
      <x:c r="B15" s="74" t="str">
        <x:v>M11</x:v>
      </x:c>
      <x:c r="C15" s="74" t="str">
        <x:v>GEN</x:v>
      </x:c>
      <x:c r="D15" s="215" t="n">
        <x:v>9</x:v>
      </x:c>
      <x:c r="E15" s="74" t="str">
        <x:v>V1.0</x:v>
      </x:c>
      <x:c r="F15" s="68" t="str">
        <x:v>组合成立与格局成立必须分层</x:v>
      </x:c>
      <x:c r="G15" s="82" t="str">
        <x:v>结构层</x:v>
      </x:c>
      <x:c r="H15" s="82" t="str">
        <x:v>其他</x:v>
      </x:c>
      <x:c r="I15" s="68" t="str">
        <x:v>十神组合通用判定</x:v>
      </x:c>
      <x:c r="J15" s="68" t="str">
        <x:v>多个相关十神</x:v>
      </x:c>
      <x:c r="K15" s="68" t="str">
        <x:v>M11已确认局部组合成立</x:v>
      </x:c>
      <x:c r="L15" s="68" t="str">
        <x:v>尚未验证月令、格神、全局主导性和破格救应</x:v>
      </x:c>
      <x:c r="M15" s="68" t="str">
        <x:v>直接或可达的生克制化路径成立</x:v>
      </x:c>
      <x:c r="N15" s="68" t="str">
        <x:v>相关十神均以M10有效力量为准，且不存在决定性失衡</x:v>
      </x:c>
      <x:c r="O15" s="68" t="str">
        <x:v>结合M09日主承载判断</x:v>
      </x:c>
      <x:c r="P15" s="68" t="str">
        <x:v>M11只输出组合成立等级</x:v>
      </x:c>
      <x:c r="Q15" s="68" t="str">
        <x:v>相关十神有根、有源、透达、清纯且关键通路稳定</x:v>
      </x:c>
      <x:c r="R15" s="90" t="str">
        <x:v>关键十神被合绊、被制、改性、失效或力量严重失衡</x:v>
      </x:c>
      <x:c r="S15" s="68" t="str">
        <x:v>存在第三十神恢复通路、清除破坏或重新形成平衡</x:v>
      </x:c>
      <x:c r="T15" s="90" t="str">
        <x:v>任一核心十神失效，或不存在真实作用路径</x:v>
      </x:c>
      <x:c r="U15" s="68" t="str">
        <x:v>特殊格局、从化或月令格局另转M14/M15复审</x:v>
      </x:c>
      <x:c r="V15" s="84" t="str">
        <x:v>明显成立</x:v>
      </x:c>
      <x:c r="W15" s="84" t="str">
        <x:v>提供M14候选，不直接定格</x:v>
      </x:c>
      <x:c r="X15" s="82" t="str">
        <x:v>条件性</x:v>
      </x:c>
      <x:c r="Y15" s="68" t="str">
        <x:v>对应格局候选转M14</x:v>
      </x:c>
      <x:c r="Z15" s="84" t="str">
        <x:v>组合格局分离</x:v>
      </x:c>
      <x:c r="AA15" s="84" t="str">
        <x:v>十神组合通用判定：当主体、客体、路径与力量匹配满足最低标准时，判“明显成立”；是否上升为格局转M14/M15。</x:v>
      </x:c>
      <x:c r="AB15" s="82" t="str">
        <x:v>较高</x:v>
      </x:c>
      <x:c r="AC15" s="82" t="str">
        <x:v>现代综合</x:v>
      </x:c>
      <x:c r="AD15" s="68" t="str">
        <x:v>十神同时出现不等于组合成立。M11须同时验证核心十神有效性、作用路径、力量匹配、日主承载、破坏因素与救应；组合成立也不等于格局成立。</x:v>
      </x:c>
      <x:c r="AE15" s="68" t="str">
        <x:v>M11已确认局部组合成立；尚未验证月令、格神、全局主导性和破格救应；作用路径稳定且无关键破坏，可按“十神组合通用判定”记录。</x:v>
      </x:c>
      <x:c r="AF15" s="90" t="str">
        <x:v>仅因“多个相关十神”同时出现，但核心十神无力、无作用路径或被关键因素破坏，不能判“十神组合通用判定”成立。</x:v>
      </x:c>
      <x:c r="AG15" s="68" t="str">
        <x:v>https://zh.wikisource.org/zh-hans/%E6%B7%B5%E6%B5%B7%E5%AD%90%E5%B9%B3 ; https://zh.wikisource.org/wiki/%E6%BB%B4%E5%A4%A9%E9%AB%93%E9%97%A1%E5%BE%AE</x:v>
      </x:c>
      <x:c r="AH15" s="82" t="str">
        <x:v>采用</x:v>
      </x:c>
      <x:c r="AI15" s="82" t="str">
        <x:v>初审</x:v>
      </x:c>
      <x:c r="AJ15" s="87" t="n">
        <x:v>46255</x:v>
      </x:c>
    </x:row>
    <x:row r="16">
      <x:c r="A16" s="72" t="str">
        <x:f>IF(OR(C16="",D16=""),"",B16&amp;"-"&amp;UPPER(C16)&amp;"-"&amp;TEXT(D16,"0000")&amp;"-"&amp;E16)</x:f>
        <x:v>M11-GEN-0010-V1.0</x:v>
      </x:c>
      <x:c r="B16" s="74" t="str">
        <x:v>M11</x:v>
      </x:c>
      <x:c r="C16" s="74" t="str">
        <x:v>GEN</x:v>
      </x:c>
      <x:c r="D16" s="215" t="n">
        <x:v>10</x:v>
      </x:c>
      <x:c r="E16" s="74" t="str">
        <x:v>V1.0</x:v>
      </x:c>
      <x:c r="F16" s="68" t="str">
        <x:v>组合输出必须同时保留破坏与反证</x:v>
      </x:c>
      <x:c r="G16" s="82" t="str">
        <x:v>结构层</x:v>
      </x:c>
      <x:c r="H16" s="82" t="str">
        <x:v>其他</x:v>
      </x:c>
      <x:c r="I16" s="68" t="str">
        <x:v>十神组合通用判定</x:v>
      </x:c>
      <x:c r="J16" s="68" t="str">
        <x:v>多个相关十神</x:v>
      </x:c>
      <x:c r="K16" s="68" t="str">
        <x:v>任一组合被判为弱成立以上</x:v>
      </x:c>
      <x:c r="L16" s="68" t="str">
        <x:v>必须记录主要成立证据、破坏因素和救应因素</x:v>
      </x:c>
      <x:c r="M16" s="68" t="str">
        <x:v>直接或可达的生克制化路径成立</x:v>
      </x:c>
      <x:c r="N16" s="68" t="str">
        <x:v>相关十神均以M10有效力量为准，且不存在决定性失衡</x:v>
      </x:c>
      <x:c r="O16" s="68" t="str">
        <x:v>结合M09日主承载判断</x:v>
      </x:c>
      <x:c r="P16" s="68" t="str">
        <x:v>成立证据与反证均有记录</x:v>
      </x:c>
      <x:c r="Q16" s="68" t="str">
        <x:v>相关十神有根、有源、透达、清纯且关键通路稳定</x:v>
      </x:c>
      <x:c r="R16" s="90" t="str">
        <x:v>关键十神被合绊、被制、改性、失效或力量严重失衡</x:v>
      </x:c>
      <x:c r="S16" s="68" t="str">
        <x:v>存在第三十神恢复通路、清除破坏或重新形成平衡</x:v>
      </x:c>
      <x:c r="T16" s="90" t="str">
        <x:v>任一核心十神失效，或不存在真实作用路径</x:v>
      </x:c>
      <x:c r="U16" s="68" t="str">
        <x:v>特殊格局、从化或月令格局另转M14/M15复审</x:v>
      </x:c>
      <x:c r="V16" s="84" t="str">
        <x:v>待定</x:v>
      </x:c>
      <x:c r="W16" s="84" t="str">
        <x:v>形成可追溯组合结论</x:v>
      </x:c>
      <x:c r="X16" s="82" t="str">
        <x:v>待定</x:v>
      </x:c>
      <x:c r="Y16" s="68" t="str">
        <x:v>对应格局候选转M14</x:v>
      </x:c>
      <x:c r="Z16" s="84" t="str">
        <x:v>组合标准输出</x:v>
      </x:c>
      <x:c r="AA16" s="84" t="str">
        <x:v>每个组合至少输出：核心十神、主体/客体、路径、力量匹配、日主承载、破坏、救应、成立等级、实际功能、是否具备格局候选资格。</x:v>
      </x:c>
      <x:c r="AB16" s="82" t="str">
        <x:v>较高</x:v>
      </x:c>
      <x:c r="AC16" s="82" t="str">
        <x:v>现代综合</x:v>
      </x:c>
      <x:c r="AD16" s="68" t="str">
        <x:v>十神同时出现不等于组合成立。M11须同时验证核心十神有效性、作用路径、力量匹配、日主承载、破坏因素与救应；组合成立也不等于格局成立。</x:v>
      </x:c>
      <x:c r="AE16" s="68" t="str">
        <x:v>任一组合被判为弱成立以上；必须记录主要成立证据、破坏因素和救应因素；作用路径稳定且无关键破坏，可按“十神组合通用判定”记录。</x:v>
      </x:c>
      <x:c r="AF16" s="90" t="str">
        <x:v>仅因“多个相关十神”同时出现，但核心十神无力、无作用路径或被关键因素破坏，不能判“十神组合通用判定”成立。</x:v>
      </x:c>
      <x:c r="AG16" s="68" t="str">
        <x:v>https://zh.wikisource.org/zh-hans/%E6%B7%B5%E6%B5%B7%E5%AD%90%E5%B9%B3 ; https://zh.wikisource.org/wiki/%E6%BB%B4%E5%A4%A9%E9%AB%93%E9%97%A1%E5%BE%AE</x:v>
      </x:c>
      <x:c r="AH16" s="82" t="str">
        <x:v>采用</x:v>
      </x:c>
      <x:c r="AI16" s="82" t="str">
        <x:v>初审</x:v>
      </x:c>
      <x:c r="AJ16" s="87" t="n">
        <x:v>46255</x:v>
      </x:c>
    </x:row>
    <x:row r="17">
      <x:c r="A17" s="72" t="str">
        <x:f>IF(OR(C17="",D17=""),"",B17&amp;"-"&amp;UPPER(C17)&amp;"-"&amp;TEXT(D17,"0000")&amp;"-"&amp;E17)</x:f>
        <x:v>M11-SHIZHI-0011-V1.0</x:v>
      </x:c>
      <x:c r="B17" s="74" t="str">
        <x:v>M11</x:v>
      </x:c>
      <x:c r="C17" s="74" t="str">
        <x:v>SHIZHI</x:v>
      </x:c>
      <x:c r="D17" s="215" t="n">
        <x:v>11</x:v>
      </x:c>
      <x:c r="E17" s="74" t="str">
        <x:v>V1.0</x:v>
      </x:c>
      <x:c r="F17" s="68" t="str">
        <x:v>七杀必须真实有力并对日主形成压力</x:v>
      </x:c>
      <x:c r="G17" s="82" t="str">
        <x:v>结构层</x:v>
      </x:c>
      <x:c r="H17" s="82" t="str">
        <x:v>制化型</x:v>
      </x:c>
      <x:c r="I17" s="68" t="str">
        <x:v>食神制杀</x:v>
      </x:c>
      <x:c r="J17" s="68" t="str">
        <x:v>食神、七杀</x:v>
      </x:c>
      <x:c r="K17" s="68" t="str">
        <x:v>七杀有效力量达到中和偏旺以上，或虽不旺但形成直接制身压力</x:v>
      </x:c>
      <x:c r="L17" s="68" t="str">
        <x:v>食神有效且具有克制七杀的能力</x:v>
      </x:c>
      <x:c r="M17" s="68" t="str">
        <x:v>食神与七杀之间存在直接可达的克制路径</x:v>
      </x:c>
      <x:c r="N17" s="68" t="str">
        <x:v>相关十神均以M10有效力量为准，且不存在决定性失衡</x:v>
      </x:c>
      <x:c r="O17" s="68" t="str">
        <x:v>日主至少能承受食神泄身，且有必要制杀</x:v>
      </x:c>
      <x:c r="P17" s="68" t="str">
        <x:v>杀有力、食有力、食能制杀、无强枭夺食</x:v>
      </x:c>
      <x:c r="Q17" s="68" t="str">
        <x:v>相关十神有根、有源、透达、清纯且关键通路稳定</x:v>
      </x:c>
      <x:c r="R17" s="90" t="str">
        <x:v>关键十神被合绊、被制、改性、失效或力量严重失衡</x:v>
      </x:c>
      <x:c r="S17" s="68" t="str">
        <x:v>存在第三十神恢复通路、清除破坏或重新形成平衡</x:v>
      </x:c>
      <x:c r="T17" s="90" t="str">
        <x:v>任一核心十神失效，或不存在真实作用路径</x:v>
      </x:c>
      <x:c r="U17" s="68" t="str">
        <x:v>特殊格局、从化或月令格局另转M14/M15复审</x:v>
      </x:c>
      <x:c r="V17" s="84" t="str">
        <x:v>基本成立</x:v>
      </x:c>
      <x:c r="W17" s="84" t="str">
        <x:v>降低七杀制身压力</x:v>
      </x:c>
      <x:c r="X17" s="82" t="str">
        <x:v>条件性</x:v>
      </x:c>
      <x:c r="Y17" s="68" t="str">
        <x:v>食神制杀格候选</x:v>
      </x:c>
      <x:c r="Z17" s="84" t="str">
        <x:v>食神制杀_成立条件</x:v>
      </x:c>
      <x:c r="AA17" s="84" t="str">
        <x:v>食神制杀：当主体、客体、路径与力量匹配满足最低标准时，判“基本成立”；是否上升为格局转M14/M15。</x:v>
      </x:c>
      <x:c r="AB17" s="82" t="str">
        <x:v>较高</x:v>
      </x:c>
      <x:c r="AC17" s="82" t="str">
        <x:v>现代综合</x:v>
      </x:c>
      <x:c r="AD17" s="68" t="str">
        <x:v>十神同时出现不等于组合成立。M11须同时验证核心十神有效性、作用路径、力量匹配、日主承载、破坏因素与救应；组合成立也不等于格局成立。</x:v>
      </x:c>
      <x:c r="AE17" s="68" t="str">
        <x:v>七杀有效力量达到中和偏旺以上，或虽不旺但形成直接制身压力；食神有效且具有克制七杀的能力；作用路径稳定且无关键破坏，可按“食神制杀”记录。</x:v>
      </x:c>
      <x:c r="AF17" s="90" t="str">
        <x:v>仅因“食神、七杀”同时出现，但核心十神无力、无作用路径或被关键因素破坏，不能判“食神制杀”成立。</x:v>
      </x:c>
      <x:c r="AG17" s="68" t="str">
        <x:v>https://zh.wikisource.org/zh-hans/%E6%B7%B5%E6%B5%B7%E5%AD%90%E5%B9%B3 ; https://zh.wikisource.org/wiki/%E6%BB%B4%E5%A4%A9%E9%AB%93%E9%97%A1%E5%BE%AE</x:v>
      </x:c>
      <x:c r="AH17" s="82" t="str">
        <x:v>采用</x:v>
      </x:c>
      <x:c r="AI17" s="82" t="str">
        <x:v>初审</x:v>
      </x:c>
      <x:c r="AJ17" s="87" t="n">
        <x:v>46255</x:v>
      </x:c>
    </x:row>
    <x:row r="18">
      <x:c r="A18" s="72" t="str">
        <x:f>IF(OR(C18="",D18=""),"",B18&amp;"-"&amp;UPPER(C18)&amp;"-"&amp;TEXT(D18,"0000")&amp;"-"&amp;E18)</x:f>
        <x:v>M11-SHIZHI-0012-V1.0</x:v>
      </x:c>
      <x:c r="B18" s="74" t="str">
        <x:v>M11</x:v>
      </x:c>
      <x:c r="C18" s="74" t="str">
        <x:v>SHIZHI</x:v>
      </x:c>
      <x:c r="D18" s="215" t="n">
        <x:v>12</x:v>
      </x:c>
      <x:c r="E18" s="74" t="str">
        <x:v>V1.0</x:v>
      </x:c>
      <x:c r="F18" s="68" t="str">
        <x:v>食神自身必须有根有源或稳定有效</x:v>
      </x:c>
      <x:c r="G18" s="82" t="str">
        <x:v>结构层</x:v>
      </x:c>
      <x:c r="H18" s="82" t="str">
        <x:v>制化型</x:v>
      </x:c>
      <x:c r="I18" s="68" t="str">
        <x:v>食神制杀</x:v>
      </x:c>
      <x:c r="J18" s="68" t="str">
        <x:v>食神、七杀</x:v>
      </x:c>
      <x:c r="K18" s="68" t="str">
        <x:v>食神不只是浮干或微弱藏气</x:v>
      </x:c>
      <x:c r="L18" s="68" t="str">
        <x:v>七杀存在真实压力</x:v>
      </x:c>
      <x:c r="M18" s="68" t="str">
        <x:v>直接或可达的生克制化路径成立</x:v>
      </x:c>
      <x:c r="N18" s="68" t="str">
        <x:v>食神至少达到可稳定执行制杀的有效等级</x:v>
      </x:c>
      <x:c r="O18" s="68" t="str">
        <x:v>结合M09日主承载判断</x:v>
      </x:c>
      <x:c r="P18" s="68" t="str">
        <x:v>主体、客体、作用路径与力量匹配均达到最低要求</x:v>
      </x:c>
      <x:c r="Q18" s="68" t="str">
        <x:v>相关十神有根、有源、透达、清纯且关键通路稳定</x:v>
      </x:c>
      <x:c r="R18" s="90" t="str">
        <x:v>关键十神被合绊、被制、改性、失效或力量严重失衡</x:v>
      </x:c>
      <x:c r="S18" s="68" t="str">
        <x:v>存在第三十神恢复通路、清除破坏或重新形成平衡</x:v>
      </x:c>
      <x:c r="T18" s="90" t="str">
        <x:v>任一核心十神失效，或不存在真实作用路径</x:v>
      </x:c>
      <x:c r="U18" s="68" t="str">
        <x:v>特殊格局、从化或月令格局另转M14/M15复审</x:v>
      </x:c>
      <x:c r="V18" s="84" t="str">
        <x:v>基本成立</x:v>
      </x:c>
      <x:c r="W18" s="84" t="str">
        <x:v>形成局部生化、制化或承载结构</x:v>
      </x:c>
      <x:c r="X18" s="82" t="str">
        <x:v>条件性</x:v>
      </x:c>
      <x:c r="Y18" s="68" t="str">
        <x:v>对应格局候选转M14</x:v>
      </x:c>
      <x:c r="Z18" s="84" t="str">
        <x:v>食神制杀_食神有效性</x:v>
      </x:c>
      <x:c r="AA18" s="84" t="str">
        <x:v>食神制杀：当主体、客体、路径与力量匹配满足最低标准时，判“基本成立”；是否上升为格局转M14/M15。</x:v>
      </x:c>
      <x:c r="AB18" s="82" t="str">
        <x:v>较高</x:v>
      </x:c>
      <x:c r="AC18" s="82" t="str">
        <x:v>现代综合</x:v>
      </x:c>
      <x:c r="AD18" s="68" t="str">
        <x:v>十神同时出现不等于组合成立。M11须同时验证核心十神有效性、作用路径、力量匹配、日主承载、破坏因素与救应；组合成立也不等于格局成立。</x:v>
      </x:c>
      <x:c r="AE18" s="68" t="str">
        <x:v>食神不只是浮干或微弱藏气；七杀存在真实压力；作用路径稳定且无关键破坏，可按“食神制杀”记录。</x:v>
      </x:c>
      <x:c r="AF18" s="90" t="str">
        <x:v>仅因“食神、七杀”同时出现，但核心十神无力、无作用路径或被关键因素破坏，不能判“食神制杀”成立。</x:v>
      </x:c>
      <x:c r="AG18" s="68" t="str">
        <x:v>https://zh.wikisource.org/zh-hans/%E6%B7%B5%E6%B5%B7%E5%AD%90%E5%B9%B3 ; https://zh.wikisource.org/wiki/%E6%BB%B4%E5%A4%A9%E9%AB%93%E9%97%A1%E5%BE%AE</x:v>
      </x:c>
      <x:c r="AH18" s="82" t="str">
        <x:v>采用</x:v>
      </x:c>
      <x:c r="AI18" s="82" t="str">
        <x:v>初审</x:v>
      </x:c>
      <x:c r="AJ18" s="87" t="n">
        <x:v>46255</x:v>
      </x:c>
    </x:row>
    <x:row r="19">
      <x:c r="A19" s="72" t="str">
        <x:f>IF(OR(C19="",D19=""),"",B19&amp;"-"&amp;UPPER(C19)&amp;"-"&amp;TEXT(D19,"0000")&amp;"-"&amp;E19)</x:f>
        <x:v>M11-SHIZHI-0013-V1.0</x:v>
      </x:c>
      <x:c r="B19" s="74" t="str">
        <x:v>M11</x:v>
      </x:c>
      <x:c r="C19" s="74" t="str">
        <x:v>SHIZHI</x:v>
      </x:c>
      <x:c r="D19" s="215" t="n">
        <x:v>13</x:v>
      </x:c>
      <x:c r="E19" s="74" t="str">
        <x:v>V1.0</x:v>
      </x:c>
      <x:c r="F19" s="68" t="str">
        <x:v>七杀太弱无须制时组合降级</x:v>
      </x:c>
      <x:c r="G19" s="82" t="str">
        <x:v>结构层</x:v>
      </x:c>
      <x:c r="H19" s="82" t="str">
        <x:v>制化型</x:v>
      </x:c>
      <x:c r="I19" s="68" t="str">
        <x:v>食神制杀</x:v>
      </x:c>
      <x:c r="J19" s="68" t="str">
        <x:v>食神、七杀</x:v>
      </x:c>
      <x:c r="K19" s="68" t="str">
        <x:v>七杀极弱或已失效</x:v>
      </x:c>
      <x:c r="L19" s="68" t="str">
        <x:v>食神虽有力但缺少真实制杀对象</x:v>
      </x:c>
      <x:c r="M19" s="68" t="str">
        <x:v>直接或可达的生克制化路径成立</x:v>
      </x:c>
      <x:c r="N19" s="68" t="str">
        <x:v>相关十神均以M10有效力量为准，且不存在决定性失衡</x:v>
      </x:c>
      <x:c r="O19" s="68" t="str">
        <x:v>结合M09日主承载判断</x:v>
      </x:c>
      <x:c r="P19" s="68" t="str">
        <x:v>只可记录食神存在，不构成必要制杀</x:v>
      </x:c>
      <x:c r="Q19" s="68" t="str">
        <x:v>相关十神有根、有源、透达、清纯且关键通路稳定</x:v>
      </x:c>
      <x:c r="R19" s="90" t="str">
        <x:v>关键十神被合绊、被制、改性、失效或力量严重失衡</x:v>
      </x:c>
      <x:c r="S19" s="68" t="str">
        <x:v>存在第三十神恢复通路、清除破坏或重新形成平衡</x:v>
      </x:c>
      <x:c r="T19" s="90" t="str">
        <x:v>任一核心十神失效，或不存在真实作用路径</x:v>
      </x:c>
      <x:c r="U19" s="68" t="str">
        <x:v>特殊格局、从化或月令格局另转M14/M15复审</x:v>
      </x:c>
      <x:c r="V19" s="84" t="str">
        <x:v>不成立</x:v>
      </x:c>
      <x:c r="W19" s="84" t="str">
        <x:v>无制杀必要</x:v>
      </x:c>
      <x:c r="X19" s="82" t="str">
        <x:v>否</x:v>
      </x:c>
      <x:c r="Y19" s="68" t="str">
        <x:v>无</x:v>
      </x:c>
      <x:c r="Z19" s="84" t="str">
        <x:v>食神制杀_杀弱否决</x:v>
      </x:c>
      <x:c r="AA19" s="84" t="str">
        <x:v>食神制杀：当主体、客体、路径与力量匹配满足最低标准时，判“不成立”；是否上升为格局转M14/M15。</x:v>
      </x:c>
      <x:c r="AB19" s="82" t="str">
        <x:v>较高</x:v>
      </x:c>
      <x:c r="AC19" s="82" t="str">
        <x:v>现代综合</x:v>
      </x:c>
      <x:c r="AD19" s="68" t="str">
        <x:v>十神同时出现不等于组合成立。M11须同时验证核心十神有效性、作用路径、力量匹配、日主承载、破坏因素与救应；组合成立也不等于格局成立。</x:v>
      </x:c>
      <x:c r="AE19" s="68" t="str">
        <x:v>七杀极弱或已失效；食神虽有力但缺少真实制杀对象；作用路径稳定且无关键破坏，可按“食神制杀”记录。</x:v>
      </x:c>
      <x:c r="AF19" s="90" t="str">
        <x:v>仅因“食神、七杀”同时出现，但核心十神无力、无作用路径或被关键因素破坏，不能判“食神制杀”成立。</x:v>
      </x:c>
      <x:c r="AG19" s="68" t="str">
        <x:v>https://zh.wikisource.org/zh-hans/%E6%B7%B5%E6%B5%B7%E5%AD%90%E5%B9%B3 ; https://zh.wikisource.org/wiki/%E6%BB%B4%E5%A4%A9%E9%AB%93%E9%97%A1%E5%BE%AE</x:v>
      </x:c>
      <x:c r="AH19" s="82" t="str">
        <x:v>采用</x:v>
      </x:c>
      <x:c r="AI19" s="82" t="str">
        <x:v>初审</x:v>
      </x:c>
      <x:c r="AJ19" s="87" t="n">
        <x:v>46255</x:v>
      </x:c>
    </x:row>
    <x:row r="20">
      <x:c r="A20" s="72" t="str">
        <x:f>IF(OR(C20="",D20=""),"",B20&amp;"-"&amp;UPPER(C20)&amp;"-"&amp;TEXT(D20,"0000")&amp;"-"&amp;E20)</x:f>
        <x:v>M11-SHIZHI-0014-V1.0</x:v>
      </x:c>
      <x:c r="B20" s="74" t="str">
        <x:v>M11</x:v>
      </x:c>
      <x:c r="C20" s="74" t="str">
        <x:v>SHIZHI</x:v>
      </x:c>
      <x:c r="D20" s="215" t="n">
        <x:v>14</x:v>
      </x:c>
      <x:c r="E20" s="74" t="str">
        <x:v>V1.0</x:v>
      </x:c>
      <x:c r="F20" s="68" t="str">
        <x:v>食神太弱不能有效制杀</x:v>
      </x:c>
      <x:c r="G20" s="82" t="str">
        <x:v>结构层</x:v>
      </x:c>
      <x:c r="H20" s="82" t="str">
        <x:v>制化型</x:v>
      </x:c>
      <x:c r="I20" s="68" t="str">
        <x:v>食神制杀</x:v>
      </x:c>
      <x:c r="J20" s="68" t="str">
        <x:v>食神、七杀</x:v>
      </x:c>
      <x:c r="K20" s="68" t="str">
        <x:v>七杀旺而食神仅弱或中和偏弱</x:v>
      </x:c>
      <x:c r="L20" s="68" t="str">
        <x:v>食神克制容量不足</x:v>
      </x:c>
      <x:c r="M20" s="68" t="str">
        <x:v>直接或可达的生克制化路径成立</x:v>
      </x:c>
      <x:c r="N20" s="68" t="str">
        <x:v>杀明显强于食</x:v>
      </x:c>
      <x:c r="O20" s="68" t="str">
        <x:v>结合M09日主承载判断</x:v>
      </x:c>
      <x:c r="P20" s="68" t="str">
        <x:v>主体、客体、作用路径与力量匹配均达到最低要求</x:v>
      </x:c>
      <x:c r="Q20" s="68" t="str">
        <x:v>相关十神有根、有源、透达、清纯且关键通路稳定</x:v>
      </x:c>
      <x:c r="R20" s="90" t="str">
        <x:v>关键十神被合绊、被制、改性、失效或力量严重失衡</x:v>
      </x:c>
      <x:c r="S20" s="68" t="str">
        <x:v>存在第三十神恢复通路、清除破坏或重新形成平衡</x:v>
      </x:c>
      <x:c r="T20" s="90" t="str">
        <x:v>任一核心十神失效，或不存在真实作用路径</x:v>
      </x:c>
      <x:c r="U20" s="68" t="str">
        <x:v>特殊格局、从化或月令格局另转M14/M15复审</x:v>
      </x:c>
      <x:c r="V20" s="84" t="str">
        <x:v>弱成立</x:v>
      </x:c>
      <x:c r="W20" s="84" t="str">
        <x:v>制杀不足</x:v>
      </x:c>
      <x:c r="X20" s="82" t="str">
        <x:v>否</x:v>
      </x:c>
      <x:c r="Y20" s="68" t="str">
        <x:v>对应格局候选转M14</x:v>
      </x:c>
      <x:c r="Z20" s="84" t="str">
        <x:v>食神制杀_食弱</x:v>
      </x:c>
      <x:c r="AA20" s="84" t="str">
        <x:v>食神制杀：当主体、客体、路径与力量匹配满足最低标准时，判“弱成立”；是否上升为格局转M14/M15。</x:v>
      </x:c>
      <x:c r="AB20" s="82" t="str">
        <x:v>较高</x:v>
      </x:c>
      <x:c r="AC20" s="82" t="str">
        <x:v>现代综合</x:v>
      </x:c>
      <x:c r="AD20" s="68" t="str">
        <x:v>十神同时出现不等于组合成立。M11须同时验证核心十神有效性、作用路径、力量匹配、日主承载、破坏因素与救应；组合成立也不等于格局成立。</x:v>
      </x:c>
      <x:c r="AE20" s="68" t="str">
        <x:v>七杀旺而食神仅弱或中和偏弱；食神克制容量不足；作用路径稳定且无关键破坏，可按“食神制杀”记录。</x:v>
      </x:c>
      <x:c r="AF20" s="90" t="str">
        <x:v>仅因“食神、七杀”同时出现，但核心十神无力、无作用路径或被关键因素破坏，不能判“食神制杀”成立。</x:v>
      </x:c>
      <x:c r="AG20" s="68" t="str">
        <x:v>https://zh.wikisource.org/zh-hans/%E6%B7%B5%E6%B5%B7%E5%AD%90%E5%B9%B3 ; https://zh.wikisource.org/wiki/%E6%BB%B4%E5%A4%A9%E9%AB%93%E9%97%A1%E5%BE%AE</x:v>
      </x:c>
      <x:c r="AH20" s="82" t="str">
        <x:v>采用</x:v>
      </x:c>
      <x:c r="AI20" s="82" t="str">
        <x:v>初审</x:v>
      </x:c>
      <x:c r="AJ20" s="87" t="n">
        <x:v>46255</x:v>
      </x:c>
    </x:row>
    <x:row r="21">
      <x:c r="A21" s="72" t="str">
        <x:f>IF(OR(C21="",D21=""),"",B21&amp;"-"&amp;UPPER(C21)&amp;"-"&amp;TEXT(D21,"0000")&amp;"-"&amp;E21)</x:f>
        <x:v>M11-SHIZHI-0015-V1.0</x:v>
      </x:c>
      <x:c r="B21" s="74" t="str">
        <x:v>M11</x:v>
      </x:c>
      <x:c r="C21" s="74" t="str">
        <x:v>SHIZHI</x:v>
      </x:c>
      <x:c r="D21" s="215" t="n">
        <x:v>15</x:v>
      </x:c>
      <x:c r="E21" s="74" t="str">
        <x:v>V1.0</x:v>
      </x:c>
      <x:c r="F21" s="68" t="str">
        <x:v>制杀太过时由平衡转为失衡</x:v>
      </x:c>
      <x:c r="G21" s="82" t="str">
        <x:v>结构层</x:v>
      </x:c>
      <x:c r="H21" s="82" t="str">
        <x:v>制化型</x:v>
      </x:c>
      <x:c r="I21" s="68" t="str">
        <x:v>食神制杀</x:v>
      </x:c>
      <x:c r="J21" s="68" t="str">
        <x:v>食神、七杀</x:v>
      </x:c>
      <x:c r="K21" s="68" t="str">
        <x:v>食神食伤集团过旺，七杀被制至失效或残弱</x:v>
      </x:c>
      <x:c r="L21" s="68" t="str">
        <x:v>杀已不足以承担制衡功能</x:v>
      </x:c>
      <x:c r="M21" s="68" t="str">
        <x:v>直接或可达的生克制化路径成立</x:v>
      </x:c>
      <x:c r="N21" s="68" t="str">
        <x:v>食明显强于杀</x:v>
      </x:c>
      <x:c r="O21" s="68" t="str">
        <x:v>结合M09日主承载判断</x:v>
      </x:c>
      <x:c r="P21" s="68" t="str">
        <x:v>主体、客体、作用路径与力量匹配均达到最低要求</x:v>
      </x:c>
      <x:c r="Q21" s="68" t="str">
        <x:v>相关十神有根、有源、透达、清纯且关键通路稳定</x:v>
      </x:c>
      <x:c r="R21" s="90" t="str">
        <x:v>关键十神被合绊、被制、改性、失效或力量严重失衡</x:v>
      </x:c>
      <x:c r="S21" s="68" t="str">
        <x:v>存在第三十神恢复通路、清除破坏或重新形成平衡</x:v>
      </x:c>
      <x:c r="T21" s="90" t="str">
        <x:v>任一核心十神失效，或不存在真实作用路径</x:v>
      </x:c>
      <x:c r="U21" s="68" t="str">
        <x:v>特殊格局、从化或月令格局另转M14/M15复审</x:v>
      </x:c>
      <x:c r="V21" s="84" t="str">
        <x:v>弱成立</x:v>
      </x:c>
      <x:c r="W21" s="84" t="str">
        <x:v>制杀过度，原制化结构失衡</x:v>
      </x:c>
      <x:c r="X21" s="82" t="str">
        <x:v>否</x:v>
      </x:c>
      <x:c r="Y21" s="68" t="str">
        <x:v>对应格局候选转M14</x:v>
      </x:c>
      <x:c r="Z21" s="84" t="str">
        <x:v>食神制杀_制杀太过</x:v>
      </x:c>
      <x:c r="AA21" s="84" t="str">
        <x:v>食神制杀：当主体、客体、路径与力量匹配满足最低标准时，判“弱成立”；是否上升为格局转M14/M15。</x:v>
      </x:c>
      <x:c r="AB21" s="82" t="str">
        <x:v>较高</x:v>
      </x:c>
      <x:c r="AC21" s="82" t="str">
        <x:v>现代综合</x:v>
      </x:c>
      <x:c r="AD21" s="68" t="str">
        <x:v>十神同时出现不等于组合成立。M11须同时验证核心十神有效性、作用路径、力量匹配、日主承载、破坏因素与救应；组合成立也不等于格局成立。</x:v>
      </x:c>
      <x:c r="AE21" s="68" t="str">
        <x:v>食神食伤集团过旺，七杀被制至失效或残弱；杀已不足以承担制衡功能；作用路径稳定且无关键破坏，可按“食神制杀”记录。</x:v>
      </x:c>
      <x:c r="AF21" s="90" t="str">
        <x:v>仅因“食神、七杀”同时出现，但核心十神无力、无作用路径或被关键因素破坏，不能判“食神制杀”成立。</x:v>
      </x:c>
      <x:c r="AG21" s="68" t="str">
        <x:v>https://zh.wikisource.org/zh-hans/%E6%B7%B5%E6%B5%B7%E5%AD%90%E5%B9%B3 ; https://zh.wikisource.org/wiki/%E6%BB%B4%E5%A4%A9%E9%AB%93%E9%97%A1%E5%BE%AE</x:v>
      </x:c>
      <x:c r="AH21" s="82" t="str">
        <x:v>采用</x:v>
      </x:c>
      <x:c r="AI21" s="82" t="str">
        <x:v>初审</x:v>
      </x:c>
      <x:c r="AJ21" s="87" t="n">
        <x:v>46255</x:v>
      </x:c>
    </x:row>
    <x:row r="22">
      <x:c r="A22" s="72" t="str">
        <x:f>IF(OR(C22="",D22=""),"",B22&amp;"-"&amp;UPPER(C22)&amp;"-"&amp;TEXT(D22,"0000")&amp;"-"&amp;E22)</x:f>
        <x:v>M11-SHIZHI-0016-V1.0</x:v>
      </x:c>
      <x:c r="B22" s="74" t="str">
        <x:v>M11</x:v>
      </x:c>
      <x:c r="C22" s="74" t="str">
        <x:v>SHIZHI</x:v>
      </x:c>
      <x:c r="D22" s="215" t="n">
        <x:v>16</x:v>
      </x:c>
      <x:c r="E22" s="74" t="str">
        <x:v>V1.0</x:v>
      </x:c>
      <x:c r="F22" s="68" t="str">
        <x:v>强枭夺食可破坏食神制杀</x:v>
      </x:c>
      <x:c r="G22" s="82" t="str">
        <x:v>结构层</x:v>
      </x:c>
      <x:c r="H22" s="82" t="str">
        <x:v>制化型</x:v>
      </x:c>
      <x:c r="I22" s="68" t="str">
        <x:v>食神制杀</x:v>
      </x:c>
      <x:c r="J22" s="68" t="str">
        <x:v>食神、七杀、偏印</x:v>
      </x:c>
      <x:c r="K22" s="68" t="str">
        <x:v>偏印有效且直接强制食神</x:v>
      </x:c>
      <x:c r="L22" s="68" t="str">
        <x:v>食神制杀功能因此显著下降</x:v>
      </x:c>
      <x:c r="M22" s="68" t="str">
        <x:v>直接或可达的生克制化路径成立</x:v>
      </x:c>
      <x:c r="N22" s="68" t="str">
        <x:v>相关十神均以M10有效力量为准，且不存在决定性失衡</x:v>
      </x:c>
      <x:c r="O22" s="68" t="str">
        <x:v>结合M09日主承载判断</x:v>
      </x:c>
      <x:c r="P22" s="68" t="str">
        <x:v>主体、客体、作用路径与力量匹配均达到最低要求</x:v>
      </x:c>
      <x:c r="Q22" s="68" t="str">
        <x:v>相关十神有根、有源、透达、清纯且关键通路稳定</x:v>
      </x:c>
      <x:c r="R22" s="90" t="str">
        <x:v>偏印强夺食并使食神受限或失效</x:v>
      </x:c>
      <x:c r="S22" s="68" t="str">
        <x:v>存在第三十神恢复通路、清除破坏或重新形成平衡</x:v>
      </x:c>
      <x:c r="T22" s="90" t="str">
        <x:v>任一核心十神失效，或不存在真实作用路径</x:v>
      </x:c>
      <x:c r="U22" s="68" t="str">
        <x:v>特殊格局、从化或月令格局另转M14/M15复审</x:v>
      </x:c>
      <x:c r="V22" s="84" t="str">
        <x:v>不成立</x:v>
      </x:c>
      <x:c r="W22" s="84" t="str">
        <x:v>食神制杀被破</x:v>
      </x:c>
      <x:c r="X22" s="82" t="str">
        <x:v>否</x:v>
      </x:c>
      <x:c r="Y22" s="68" t="str">
        <x:v>对应格局候选转M14</x:v>
      </x:c>
      <x:c r="Z22" s="84" t="str">
        <x:v>食神制杀_枭夺食破坏</x:v>
      </x:c>
      <x:c r="AA22" s="84" t="str">
        <x:v>食神制杀：当主体、客体、路径与力量匹配满足最低标准时，判“不成立”；是否上升为格局转M14/M15。</x:v>
      </x:c>
      <x:c r="AB22" s="82" t="str">
        <x:v>较高</x:v>
      </x:c>
      <x:c r="AC22" s="82" t="str">
        <x:v>现代综合</x:v>
      </x:c>
      <x:c r="AD22" s="68" t="str">
        <x:v>十神同时出现不等于组合成立。M11须同时验证核心十神有效性、作用路径、力量匹配、日主承载、破坏因素与救应；组合成立也不等于格局成立。</x:v>
      </x:c>
      <x:c r="AE22" s="68" t="str">
        <x:v>偏印有效且直接强制食神；食神制杀功能因此显著下降；作用路径稳定且无关键破坏，可按“食神制杀”记录。</x:v>
      </x:c>
      <x:c r="AF22" s="90" t="str">
        <x:v>仅因“食神、七杀、偏印”同时出现，但核心十神无力、无作用路径或被关键因素破坏，不能判“食神制杀”成立。</x:v>
      </x:c>
      <x:c r="AG22" s="68" t="str">
        <x:v>https://zh.wikisource.org/zh-hans/%E6%B7%B5%E6%B5%B7%E5%AD%90%E5%B9%B3 ; https://zh.wikisource.org/wiki/%E6%BB%B4%E5%A4%A9%E9%AB%93%E9%97%A1%E5%BE%AE</x:v>
      </x:c>
      <x:c r="AH22" s="82" t="str">
        <x:v>采用</x:v>
      </x:c>
      <x:c r="AI22" s="82" t="str">
        <x:v>初审</x:v>
      </x:c>
      <x:c r="AJ22" s="87" t="n">
        <x:v>46255</x:v>
      </x:c>
    </x:row>
    <x:row r="23">
      <x:c r="A23" s="72" t="str">
        <x:f>IF(OR(C23="",D23=""),"",B23&amp;"-"&amp;UPPER(C23)&amp;"-"&amp;TEXT(D23,"0000")&amp;"-"&amp;E23)</x:f>
        <x:v>M11-SHIZHI-0017-V1.0</x:v>
      </x:c>
      <x:c r="B23" s="74" t="str">
        <x:v>M11</x:v>
      </x:c>
      <x:c r="C23" s="74" t="str">
        <x:v>SHIZHI</x:v>
      </x:c>
      <x:c r="D23" s="215" t="n">
        <x:v>17</x:v>
      </x:c>
      <x:c r="E23" s="74" t="str">
        <x:v>V1.0</x:v>
      </x:c>
      <x:c r="F23" s="68" t="str">
        <x:v>财星制枭可成为救应</x:v>
      </x:c>
      <x:c r="G23" s="82" t="str">
        <x:v>结构层</x:v>
      </x:c>
      <x:c r="H23" s="82" t="str">
        <x:v>制化型</x:v>
      </x:c>
      <x:c r="I23" s="68" t="str">
        <x:v>食神制杀</x:v>
      </x:c>
      <x:c r="J23" s="68" t="str">
        <x:v>食神、七杀、财星</x:v>
      </x:c>
      <x:c r="K23" s="68" t="str">
        <x:v>偏印破坏食神制杀</x:v>
      </x:c>
      <x:c r="L23" s="68" t="str">
        <x:v>财星有力且能够有效制偏印，恢复食神功能</x:v>
      </x:c>
      <x:c r="M23" s="68" t="str">
        <x:v>直接或可达的生克制化路径成立</x:v>
      </x:c>
      <x:c r="N23" s="68" t="str">
        <x:v>相关十神均以M10有效力量为准，且不存在决定性失衡</x:v>
      </x:c>
      <x:c r="O23" s="68" t="str">
        <x:v>结合M09日主承载判断</x:v>
      </x:c>
      <x:c r="P23" s="68" t="str">
        <x:v>主体、客体、作用路径与力量匹配均达到最低要求</x:v>
      </x:c>
      <x:c r="Q23" s="68" t="str">
        <x:v>相关十神有根、有源、透达、清纯且关键通路稳定</x:v>
      </x:c>
      <x:c r="R23" s="90" t="str">
        <x:v>关键十神被合绊、被制、改性、失效或力量严重失衡</x:v>
      </x:c>
      <x:c r="S23" s="68" t="str">
        <x:v>财星制枭成功且不过度生杀</x:v>
      </x:c>
      <x:c r="T23" s="90" t="str">
        <x:v>任一核心十神失效，或不存在真实作用路径</x:v>
      </x:c>
      <x:c r="U23" s="68" t="str">
        <x:v>特殊格局、从化或月令格局另转M14/M15复审</x:v>
      </x:c>
      <x:c r="V23" s="84" t="str">
        <x:v>基本成立</x:v>
      </x:c>
      <x:c r="W23" s="84" t="str">
        <x:v>形成局部生化、制化或承载结构</x:v>
      </x:c>
      <x:c r="X23" s="82" t="str">
        <x:v>条件性</x:v>
      </x:c>
      <x:c r="Y23" s="68" t="str">
        <x:v>对应格局候选转M14</x:v>
      </x:c>
      <x:c r="Z23" s="84" t="str">
        <x:v>食神制杀_财制枭救应</x:v>
      </x:c>
      <x:c r="AA23" s="84" t="str">
        <x:v>食神制杀：当主体、客体、路径与力量匹配满足最低标准时，判“基本成立”；是否上升为格局转M14/M15。</x:v>
      </x:c>
      <x:c r="AB23" s="82" t="str">
        <x:v>较高</x:v>
      </x:c>
      <x:c r="AC23" s="82" t="str">
        <x:v>现代综合</x:v>
      </x:c>
      <x:c r="AD23" s="68" t="str">
        <x:v>十神同时出现不等于组合成立。M11须同时验证核心十神有效性、作用路径、力量匹配、日主承载、破坏因素与救应；组合成立也不等于格局成立。</x:v>
      </x:c>
      <x:c r="AE23" s="68" t="str">
        <x:v>偏印破坏食神制杀；财星有力且能够有效制偏印，恢复食神功能；作用路径稳定且无关键破坏，可按“食神制杀”记录。</x:v>
      </x:c>
      <x:c r="AF23" s="90" t="str">
        <x:v>仅因“食神、七杀、财星”同时出现，但核心十神无力、无作用路径或被关键因素破坏，不能判“食神制杀”成立。</x:v>
      </x:c>
      <x:c r="AG23" s="68" t="str">
        <x:v>https://zh.wikisource.org/zh-hans/%E6%B7%B5%E6%B5%B7%E5%AD%90%E5%B9%B3 ; https://zh.wikisource.org/wiki/%E6%BB%B4%E5%A4%A9%E9%AB%93%E9%97%A1%E5%BE%AE</x:v>
      </x:c>
      <x:c r="AH23" s="82" t="str">
        <x:v>采用</x:v>
      </x:c>
      <x:c r="AI23" s="82" t="str">
        <x:v>初审</x:v>
      </x:c>
      <x:c r="AJ23" s="87" t="n">
        <x:v>46255</x:v>
      </x:c>
    </x:row>
    <x:row r="24">
      <x:c r="A24" s="72" t="str">
        <x:f>IF(OR(C24="",D24=""),"",B24&amp;"-"&amp;UPPER(C24)&amp;"-"&amp;TEXT(D24,"0000")&amp;"-"&amp;E24)</x:f>
        <x:v>M11-SHIZHI-0018-V1.0</x:v>
      </x:c>
      <x:c r="B24" s="74" t="str">
        <x:v>M11</x:v>
      </x:c>
      <x:c r="C24" s="74" t="str">
        <x:v>SHIZHI</x:v>
      </x:c>
      <x:c r="D24" s="215" t="n">
        <x:v>18</x:v>
      </x:c>
      <x:c r="E24" s="74" t="str">
        <x:v>V1.0</x:v>
      </x:c>
      <x:c r="F24" s="68" t="str">
        <x:v>财星过强生杀可能抵消制杀</x:v>
      </x:c>
      <x:c r="G24" s="82" t="str">
        <x:v>结构层</x:v>
      </x:c>
      <x:c r="H24" s="82" t="str">
        <x:v>制化型</x:v>
      </x:c>
      <x:c r="I24" s="68" t="str">
        <x:v>食神制杀</x:v>
      </x:c>
      <x:c r="J24" s="68" t="str">
        <x:v>食神、七杀、财星</x:v>
      </x:c>
      <x:c r="K24" s="68" t="str">
        <x:v>财星有力并持续生七杀</x:v>
      </x:c>
      <x:c r="L24" s="68" t="str">
        <x:v>食神同时制杀</x:v>
      </x:c>
      <x:c r="M24" s="68" t="str">
        <x:v>直接或可达的生克制化路径成立</x:v>
      </x:c>
      <x:c r="N24" s="68" t="str">
        <x:v>相关十神均以M10有效力量为准，且不存在决定性失衡</x:v>
      </x:c>
      <x:c r="O24" s="68" t="str">
        <x:v>结合M09日主承载判断</x:v>
      </x:c>
      <x:c r="P24" s="68" t="str">
        <x:v>主体、客体、作用路径与力量匹配均达到最低要求</x:v>
      </x:c>
      <x:c r="Q24" s="68" t="str">
        <x:v>相关十神有根、有源、透达、清纯且关键通路稳定</x:v>
      </x:c>
      <x:c r="R24" s="90" t="str">
        <x:v>财生杀强度明显高于食神制杀效率</x:v>
      </x:c>
      <x:c r="S24" s="68" t="str">
        <x:v>存在第三十神恢复通路、清除破坏或重新形成平衡</x:v>
      </x:c>
      <x:c r="T24" s="90" t="str">
        <x:v>任一核心十神失效，或不存在真实作用路径</x:v>
      </x:c>
      <x:c r="U24" s="68" t="str">
        <x:v>特殊格局、从化或月令格局另转M14/M15复审</x:v>
      </x:c>
      <x:c r="V24" s="84" t="str">
        <x:v>弱成立</x:v>
      </x:c>
      <x:c r="W24" s="84" t="str">
        <x:v>制杀与生杀并行，净效应不足</x:v>
      </x:c>
      <x:c r="X24" s="82" t="str">
        <x:v>条件性</x:v>
      </x:c>
      <x:c r="Y24" s="68" t="str">
        <x:v>对应格局候选转M14</x:v>
      </x:c>
      <x:c r="Z24" s="84" t="str">
        <x:v>食神制杀_财生杀干扰</x:v>
      </x:c>
      <x:c r="AA24" s="84" t="str">
        <x:v>食神制杀：当主体、客体、路径与力量匹配满足最低标准时，判“弱成立”；是否上升为格局转M14/M15。</x:v>
      </x:c>
      <x:c r="AB24" s="82" t="str">
        <x:v>较高</x:v>
      </x:c>
      <x:c r="AC24" s="82" t="str">
        <x:v>现代综合</x:v>
      </x:c>
      <x:c r="AD24" s="68" t="str">
        <x:v>十神同时出现不等于组合成立。M11须同时验证核心十神有效性、作用路径、力量匹配、日主承载、破坏因素与救应；组合成立也不等于格局成立。</x:v>
      </x:c>
      <x:c r="AE24" s="68" t="str">
        <x:v>财星有力并持续生七杀；食神同时制杀；作用路径稳定且无关键破坏，可按“食神制杀”记录。</x:v>
      </x:c>
      <x:c r="AF24" s="90" t="str">
        <x:v>仅因“食神、七杀、财星”同时出现，但核心十神无力、无作用路径或被关键因素破坏，不能判“食神制杀”成立。</x:v>
      </x:c>
      <x:c r="AG24" s="68" t="str">
        <x:v>https://zh.wikisource.org/zh-hans/%E6%B7%B5%E6%B5%B7%E5%AD%90%E5%B9%B3 ; https://zh.wikisource.org/wiki/%E6%BB%B4%E5%A4%A9%E9%AB%93%E9%97%A1%E5%BE%AE</x:v>
      </x:c>
      <x:c r="AH24" s="82" t="str">
        <x:v>采用</x:v>
      </x:c>
      <x:c r="AI24" s="82" t="str">
        <x:v>初审</x:v>
      </x:c>
      <x:c r="AJ24" s="87" t="n">
        <x:v>46255</x:v>
      </x:c>
    </x:row>
    <x:row r="25">
      <x:c r="A25" s="72" t="str">
        <x:f>IF(OR(C25="",D25=""),"",B25&amp;"-"&amp;UPPER(C25)&amp;"-"&amp;TEXT(D25,"0000")&amp;"-"&amp;E25)</x:f>
        <x:v>M11-SHIZHI-0019-V1.0</x:v>
      </x:c>
      <x:c r="B25" s="74" t="str">
        <x:v>M11</x:v>
      </x:c>
      <x:c r="C25" s="74" t="str">
        <x:v>SHIZHI</x:v>
      </x:c>
      <x:c r="D25" s="215" t="n">
        <x:v>19</x:v>
      </x:c>
      <x:c r="E25" s="74" t="str">
        <x:v>V1.0</x:v>
      </x:c>
      <x:c r="F25" s="68" t="str">
        <x:v>日主过弱时食神制杀需防再泄身</x:v>
      </x:c>
      <x:c r="G25" s="82" t="str">
        <x:v>结构层</x:v>
      </x:c>
      <x:c r="H25" s="82" t="str">
        <x:v>制化型</x:v>
      </x:c>
      <x:c r="I25" s="68" t="str">
        <x:v>食神制杀</x:v>
      </x:c>
      <x:c r="J25" s="68" t="str">
        <x:v>食神、七杀</x:v>
      </x:c>
      <x:c r="K25" s="68" t="str">
        <x:v>日主弱或极弱</x:v>
      </x:c>
      <x:c r="L25" s="68" t="str">
        <x:v>食神虽能制杀但同时明显泄身</x:v>
      </x:c>
      <x:c r="M25" s="68" t="str">
        <x:v>直接或可达的生克制化路径成立</x:v>
      </x:c>
      <x:c r="N25" s="68" t="str">
        <x:v>相关十神均以M10有效力量为准，且不存在决定性失衡</x:v>
      </x:c>
      <x:c r="O25" s="68" t="str">
        <x:v>若日主无印比承载，食神制杀的收益可能被泄身成本抵消</x:v>
      </x:c>
      <x:c r="P25" s="68" t="str">
        <x:v>主体、客体、作用路径与力量匹配均达到最低要求</x:v>
      </x:c>
      <x:c r="Q25" s="68" t="str">
        <x:v>相关十神有根、有源、透达、清纯且关键通路稳定</x:v>
      </x:c>
      <x:c r="R25" s="90" t="str">
        <x:v>关键十神被合绊、被制、改性、失效或力量严重失衡</x:v>
      </x:c>
      <x:c r="S25" s="68" t="str">
        <x:v>存在第三十神恢复通路、清除破坏或重新形成平衡</x:v>
      </x:c>
      <x:c r="T25" s="90" t="str">
        <x:v>任一核心十神失效，或不存在真实作用路径</x:v>
      </x:c>
      <x:c r="U25" s="68" t="str">
        <x:v>特殊格局、从化或月令格局另转M14/M15复审</x:v>
      </x:c>
      <x:c r="V25" s="84" t="str">
        <x:v>弱成立</x:v>
      </x:c>
      <x:c r="W25" s="84" t="str">
        <x:v>形成局部生化、制化或承载结构</x:v>
      </x:c>
      <x:c r="X25" s="82" t="str">
        <x:v>否</x:v>
      </x:c>
      <x:c r="Y25" s="68" t="str">
        <x:v>对应格局候选转M14</x:v>
      </x:c>
      <x:c r="Z25" s="84" t="str">
        <x:v>食神制杀_日主承载</x:v>
      </x:c>
      <x:c r="AA25" s="84" t="str">
        <x:v>食神制杀：当主体、客体、路径与力量匹配满足最低标准时，判“弱成立”；是否上升为格局转M14/M15。</x:v>
      </x:c>
      <x:c r="AB25" s="82" t="str">
        <x:v>较高</x:v>
      </x:c>
      <x:c r="AC25" s="82" t="str">
        <x:v>现代综合</x:v>
      </x:c>
      <x:c r="AD25" s="68" t="str">
        <x:v>十神同时出现不等于组合成立。M11须同时验证核心十神有效性、作用路径、力量匹配、日主承载、破坏因素与救应；组合成立也不等于格局成立。</x:v>
      </x:c>
      <x:c r="AE25" s="68" t="str">
        <x:v>日主弱或极弱；食神虽能制杀但同时明显泄身；作用路径稳定且无关键破坏，可按“食神制杀”记录。</x:v>
      </x:c>
      <x:c r="AF25" s="90" t="str">
        <x:v>仅因“食神、七杀”同时出现，但核心十神无力、无作用路径或被关键因素破坏，不能判“食神制杀”成立。</x:v>
      </x:c>
      <x:c r="AG25" s="68" t="str">
        <x:v>https://zh.wikisource.org/zh-hans/%E6%B7%B5%E6%B5%B7%E5%AD%90%E5%B9%B3 ; https://zh.wikisource.org/wiki/%E6%BB%B4%E5%A4%A9%E9%AB%93%E9%97%A1%E5%BE%AE</x:v>
      </x:c>
      <x:c r="AH25" s="82" t="str">
        <x:v>采用</x:v>
      </x:c>
      <x:c r="AI25" s="82" t="str">
        <x:v>初审</x:v>
      </x:c>
      <x:c r="AJ25" s="87" t="n">
        <x:v>46255</x:v>
      </x:c>
    </x:row>
    <x:row r="26">
      <x:c r="A26" s="72" t="str">
        <x:f>IF(OR(C26="",D26=""),"",B26&amp;"-"&amp;UPPER(C26)&amp;"-"&amp;TEXT(D26,"0000")&amp;"-"&amp;E26)</x:f>
        <x:v>M11-SHIZHI-0020-V1.0</x:v>
      </x:c>
      <x:c r="B26" s="74" t="str">
        <x:v>M11</x:v>
      </x:c>
      <x:c r="C26" s="74" t="str">
        <x:v>SHIZHI</x:v>
      </x:c>
      <x:c r="D26" s="215" t="n">
        <x:v>20</x:v>
      </x:c>
      <x:c r="E26" s="74" t="str">
        <x:v>V1.0</x:v>
      </x:c>
      <x:c r="F26" s="68" t="str">
        <x:v>力量匹配且路径清晰时可判明显成立</x:v>
      </x:c>
      <x:c r="G26" s="82" t="str">
        <x:v>结构层</x:v>
      </x:c>
      <x:c r="H26" s="82" t="str">
        <x:v>制化型</x:v>
      </x:c>
      <x:c r="I26" s="68" t="str">
        <x:v>食神制杀</x:v>
      </x:c>
      <x:c r="J26" s="68" t="str">
        <x:v>食神、七杀</x:v>
      </x:c>
      <x:c r="K26" s="68" t="str">
        <x:v>七杀有权，食神有力且未受关键破坏</x:v>
      </x:c>
      <x:c r="L26" s="68" t="str">
        <x:v>制杀路径直接、持续、无争夺</x:v>
      </x:c>
      <x:c r="M26" s="68" t="str">
        <x:v>直接或可达的生克制化路径成立</x:v>
      </x:c>
      <x:c r="N26" s="68" t="str">
        <x:v>食杀力量匹配，既非制杀不足也非制杀太过</x:v>
      </x:c>
      <x:c r="O26" s="68" t="str">
        <x:v>结合M09日主承载判断</x:v>
      </x:c>
      <x:c r="P26" s="68" t="str">
        <x:v>主体客体路径比例与承载均良好</x:v>
      </x:c>
      <x:c r="Q26" s="68" t="str">
        <x:v>相关十神有根、有源、透达、清纯且关键通路稳定</x:v>
      </x:c>
      <x:c r="R26" s="90" t="str">
        <x:v>关键十神被合绊、被制、改性、失效或力量严重失衡</x:v>
      </x:c>
      <x:c r="S26" s="68" t="str">
        <x:v>存在第三十神恢复通路、清除破坏或重新形成平衡</x:v>
      </x:c>
      <x:c r="T26" s="90" t="str">
        <x:v>任一核心十神失效，或不存在真实作用路径</x:v>
      </x:c>
      <x:c r="U26" s="68" t="str">
        <x:v>特殊格局、从化或月令格局另转M14/M15复审</x:v>
      </x:c>
      <x:c r="V26" s="84" t="str">
        <x:v>明显成立</x:v>
      </x:c>
      <x:c r="W26" s="84" t="str">
        <x:v>形成稳定制杀结构</x:v>
      </x:c>
      <x:c r="X26" s="82" t="str">
        <x:v>条件性</x:v>
      </x:c>
      <x:c r="Y26" s="68" t="str">
        <x:v>对应格局候选转M14</x:v>
      </x:c>
      <x:c r="Z26" s="84" t="str">
        <x:v>食神制杀_明显成立</x:v>
      </x:c>
      <x:c r="AA26" s="84" t="str">
        <x:v>食神制杀：当主体、客体、路径与力量匹配满足最低标准时，判“明显成立”；是否上升为格局转M14/M15。</x:v>
      </x:c>
      <x:c r="AB26" s="82" t="str">
        <x:v>较高</x:v>
      </x:c>
      <x:c r="AC26" s="82" t="str">
        <x:v>现代综合</x:v>
      </x:c>
      <x:c r="AD26" s="68" t="str">
        <x:v>十神同时出现不等于组合成立。M11须同时验证核心十神有效性、作用路径、力量匹配、日主承载、破坏因素与救应；组合成立也不等于格局成立。</x:v>
      </x:c>
      <x:c r="AE26" s="68" t="str">
        <x:v>七杀有权，食神有力且未受关键破坏；制杀路径直接、持续、无争夺；作用路径稳定且无关键破坏，可按“食神制杀”记录。</x:v>
      </x:c>
      <x:c r="AF26" s="90" t="str">
        <x:v>仅因“食神、七杀”同时出现，但核心十神无力、无作用路径或被关键因素破坏，不能判“食神制杀”成立。</x:v>
      </x:c>
      <x:c r="AG26" s="68" t="str">
        <x:v>https://zh.wikisource.org/zh-hans/%E6%B7%B5%E6%B5%B7%E5%AD%90%E5%B9%B3 ; https://zh.wikisource.org/wiki/%E6%BB%B4%E5%A4%A9%E9%AB%93%E9%97%A1%E5%BE%AE</x:v>
      </x:c>
      <x:c r="AH26" s="82" t="str">
        <x:v>采用</x:v>
      </x:c>
      <x:c r="AI26" s="82" t="str">
        <x:v>初审</x:v>
      </x:c>
      <x:c r="AJ26" s="87" t="n">
        <x:v>46255</x:v>
      </x:c>
    </x:row>
    <x:row r="27">
      <x:c r="A27" s="72" t="str">
        <x:f>IF(OR(C27="",D27=""),"",B27&amp;"-"&amp;UPPER(C27)&amp;"-"&amp;TEXT(D27,"0000")&amp;"-"&amp;E27)</x:f>
        <x:v>M11-SHAYIN-0021-V1.0</x:v>
      </x:c>
      <x:c r="B27" s="74" t="str">
        <x:v>M11</x:v>
      </x:c>
      <x:c r="C27" s="74" t="str">
        <x:v>SHAYIN</x:v>
      </x:c>
      <x:c r="D27" s="215" t="n">
        <x:v>21</x:v>
      </x:c>
      <x:c r="E27" s="74" t="str">
        <x:v>V1.0</x:v>
      </x:c>
      <x:c r="F27" s="68" t="str">
        <x:v>七杀必须能够生印而非只直接攻身</x:v>
      </x:c>
      <x:c r="G27" s="82" t="str">
        <x:v>结构层</x:v>
      </x:c>
      <x:c r="H27" s="82" t="str">
        <x:v>生化型</x:v>
      </x:c>
      <x:c r="I27" s="68" t="str">
        <x:v>杀印相生</x:v>
      </x:c>
      <x:c r="J27" s="68" t="str">
        <x:v>七杀、印星</x:v>
      </x:c>
      <x:c r="K27" s="68" t="str">
        <x:v>七杀有效且存在向印星的生扶路径</x:v>
      </x:c>
      <x:c r="L27" s="68" t="str">
        <x:v>印星有效并能承接七杀之气</x:v>
      </x:c>
      <x:c r="M27" s="68" t="str">
        <x:v>七杀→印星路径连续</x:v>
      </x:c>
      <x:c r="N27" s="68" t="str">
        <x:v>相关十神均以M10有效力量为准，且不存在决定性失衡</x:v>
      </x:c>
      <x:c r="O27" s="68" t="str">
        <x:v>结合M09日主承载判断</x:v>
      </x:c>
      <x:c r="P27" s="68" t="str">
        <x:v>主体、客体、作用路径与力量匹配均达到最低要求</x:v>
      </x:c>
      <x:c r="Q27" s="68" t="str">
        <x:v>相关十神有根、有源、透达、清纯且关键通路稳定</x:v>
      </x:c>
      <x:c r="R27" s="90" t="str">
        <x:v>关键十神被合绊、被制、改性、失效或力量严重失衡</x:v>
      </x:c>
      <x:c r="S27" s="68" t="str">
        <x:v>存在第三十神恢复通路、清除破坏或重新形成平衡</x:v>
      </x:c>
      <x:c r="T27" s="90" t="str">
        <x:v>任一核心十神失效，或不存在真实作用路径</x:v>
      </x:c>
      <x:c r="U27" s="68" t="str">
        <x:v>特殊格局、从化或月令格局另转M14/M15复审</x:v>
      </x:c>
      <x:c r="V27" s="84" t="str">
        <x:v>基本成立</x:v>
      </x:c>
      <x:c r="W27" s="84" t="str">
        <x:v>将杀气导入印星</x:v>
      </x:c>
      <x:c r="X27" s="82" t="str">
        <x:v>条件性</x:v>
      </x:c>
      <x:c r="Y27" s="68" t="str">
        <x:v>杀印相生格候选</x:v>
      </x:c>
      <x:c r="Z27" s="84" t="str">
        <x:v>杀印相生_成立条件</x:v>
      </x:c>
      <x:c r="AA27" s="84" t="str">
        <x:v>杀印相生：当主体、客体、路径与力量匹配满足最低标准时，判“基本成立”；是否上升为格局转M14/M15。</x:v>
      </x:c>
      <x:c r="AB27" s="82" t="str">
        <x:v>较高</x:v>
      </x:c>
      <x:c r="AC27" s="82" t="str">
        <x:v>现代综合</x:v>
      </x:c>
      <x:c r="AD27" s="68" t="str">
        <x:v>十神同时出现不等于组合成立。M11须同时验证核心十神有效性、作用路径、力量匹配、日主承载、破坏因素与救应；组合成立也不等于格局成立。</x:v>
      </x:c>
      <x:c r="AE27" s="68" t="str">
        <x:v>七杀有效且存在向印星的生扶路径；印星有效并能承接七杀之气；作用路径稳定且无关键破坏，可按“杀印相生”记录。</x:v>
      </x:c>
      <x:c r="AF27" s="90" t="str">
        <x:v>仅因“七杀、印星”同时出现，但核心十神无力、无作用路径或被关键因素破坏，不能判“杀印相生”成立。</x:v>
      </x:c>
      <x:c r="AG27" s="68" t="str">
        <x:v>https://zh.wikisource.org/zh-hans/%E6%B7%B5%E6%B5%B7%E5%AD%90%E5%B9%B3 ; https://zh.wikisource.org/wiki/%E6%BB%B4%E5%A4%A9%E9%AB%93%E9%97%A1%E5%BE%AE</x:v>
      </x:c>
      <x:c r="AH27" s="82" t="str">
        <x:v>采用</x:v>
      </x:c>
      <x:c r="AI27" s="82" t="str">
        <x:v>初审</x:v>
      </x:c>
      <x:c r="AJ27" s="87" t="n">
        <x:v>46255</x:v>
      </x:c>
    </x:row>
    <x:row r="28">
      <x:c r="A28" s="72" t="str">
        <x:f>IF(OR(C28="",D28=""),"",B28&amp;"-"&amp;UPPER(C28)&amp;"-"&amp;TEXT(D28,"0000")&amp;"-"&amp;E28)</x:f>
        <x:v>M11-SHAYIN-0022-V1.0</x:v>
      </x:c>
      <x:c r="B28" s="74" t="str">
        <x:v>M11</x:v>
      </x:c>
      <x:c r="C28" s="74" t="str">
        <x:v>SHAYIN</x:v>
      </x:c>
      <x:c r="D28" s="215" t="n">
        <x:v>22</x:v>
      </x:c>
      <x:c r="E28" s="74" t="str">
        <x:v>V1.0</x:v>
      </x:c>
      <x:c r="F28" s="68" t="str">
        <x:v>印星必须能够继续生日主</x:v>
      </x:c>
      <x:c r="G28" s="82" t="str">
        <x:v>结构层</x:v>
      </x:c>
      <x:c r="H28" s="82" t="str">
        <x:v>生化型</x:v>
      </x:c>
      <x:c r="I28" s="68" t="str">
        <x:v>杀印相生</x:v>
      </x:c>
      <x:c r="J28" s="68" t="str">
        <x:v>七杀、印星、日主</x:v>
      </x:c>
      <x:c r="K28" s="68" t="str">
        <x:v>印星承接七杀后仍有能力生日主</x:v>
      </x:c>
      <x:c r="L28" s="68" t="str">
        <x:v>日主能够接受印星生扶</x:v>
      </x:c>
      <x:c r="M28" s="68" t="str">
        <x:v>七杀→印→日主链路完整</x:v>
      </x:c>
      <x:c r="N28" s="68" t="str">
        <x:v>相关十神均以M10有效力量为准，且不存在决定性失衡</x:v>
      </x:c>
      <x:c r="O28" s="68" t="str">
        <x:v>结合M09日主承载判断</x:v>
      </x:c>
      <x:c r="P28" s="68" t="str">
        <x:v>杀生印、印生身两段均有效</x:v>
      </x:c>
      <x:c r="Q28" s="68" t="str">
        <x:v>相关十神有根、有源、透达、清纯且关键通路稳定</x:v>
      </x:c>
      <x:c r="R28" s="90" t="str">
        <x:v>关键十神被合绊、被制、改性、失效或力量严重失衡</x:v>
      </x:c>
      <x:c r="S28" s="68" t="str">
        <x:v>存在第三十神恢复通路、清除破坏或重新形成平衡</x:v>
      </x:c>
      <x:c r="T28" s="90" t="str">
        <x:v>任一核心十神失效，或不存在真实作用路径</x:v>
      </x:c>
      <x:c r="U28" s="68" t="str">
        <x:v>特殊格局、从化或月令格局另转M14/M15复审</x:v>
      </x:c>
      <x:c r="V28" s="84" t="str">
        <x:v>基本成立</x:v>
      </x:c>
      <x:c r="W28" s="84" t="str">
        <x:v>形成局部生化、制化或承载结构</x:v>
      </x:c>
      <x:c r="X28" s="82" t="str">
        <x:v>条件性</x:v>
      </x:c>
      <x:c r="Y28" s="68" t="str">
        <x:v>对应格局候选转M14</x:v>
      </x:c>
      <x:c r="Z28" s="84" t="str">
        <x:v>杀印相生_完整链</x:v>
      </x:c>
      <x:c r="AA28" s="84" t="str">
        <x:v>杀印相生：当主体、客体、路径与力量匹配满足最低标准时，判“基本成立”；是否上升为格局转M14/M15。</x:v>
      </x:c>
      <x:c r="AB28" s="82" t="str">
        <x:v>较高</x:v>
      </x:c>
      <x:c r="AC28" s="82" t="str">
        <x:v>现代综合</x:v>
      </x:c>
      <x:c r="AD28" s="68" t="str">
        <x:v>十神同时出现不等于组合成立。M11须同时验证核心十神有效性、作用路径、力量匹配、日主承载、破坏因素与救应；组合成立也不等于格局成立。</x:v>
      </x:c>
      <x:c r="AE28" s="68" t="str">
        <x:v>印星承接七杀后仍有能力生日主；日主能够接受印星生扶；作用路径稳定且无关键破坏，可按“杀印相生”记录。</x:v>
      </x:c>
      <x:c r="AF28" s="90" t="str">
        <x:v>仅因“七杀、印星、日主”同时出现，但核心十神无力、无作用路径或被关键因素破坏，不能判“杀印相生”成立。</x:v>
      </x:c>
      <x:c r="AG28" s="68" t="str">
        <x:v>https://zh.wikisource.org/zh-hans/%E6%B7%B5%E6%B5%B7%E5%AD%90%E5%B9%B3 ; https://zh.wikisource.org/wiki/%E6%BB%B4%E5%A4%A9%E9%AB%93%E9%97%A1%E5%BE%AE</x:v>
      </x:c>
      <x:c r="AH28" s="82" t="str">
        <x:v>采用</x:v>
      </x:c>
      <x:c r="AI28" s="82" t="str">
        <x:v>初审</x:v>
      </x:c>
      <x:c r="AJ28" s="87" t="n">
        <x:v>46255</x:v>
      </x:c>
    </x:row>
    <x:row r="29">
      <x:c r="A29" s="72" t="str">
        <x:f>IF(OR(C29="",D29=""),"",B29&amp;"-"&amp;UPPER(C29)&amp;"-"&amp;TEXT(D29,"0000")&amp;"-"&amp;E29)</x:f>
        <x:v>M11-SHAYIN-0023-V1.0</x:v>
      </x:c>
      <x:c r="B29" s="74" t="str">
        <x:v>M11</x:v>
      </x:c>
      <x:c r="C29" s="74" t="str">
        <x:v>SHAYIN</x:v>
      </x:c>
      <x:c r="D29" s="215" t="n">
        <x:v>23</x:v>
      </x:c>
      <x:c r="E29" s="74" t="str">
        <x:v>V1.0</x:v>
      </x:c>
      <x:c r="F29" s="68" t="str">
        <x:v>印弱不能有效化杀时组合降级</x:v>
      </x:c>
      <x:c r="G29" s="82" t="str">
        <x:v>结构层</x:v>
      </x:c>
      <x:c r="H29" s="82" t="str">
        <x:v>生化型</x:v>
      </x:c>
      <x:c r="I29" s="68" t="str">
        <x:v>杀印相生</x:v>
      </x:c>
      <x:c r="J29" s="68" t="str">
        <x:v>七杀、印星</x:v>
      </x:c>
      <x:c r="K29" s="68" t="str">
        <x:v>七杀旺而印星弱、无根或受制</x:v>
      </x:c>
      <x:c r="L29" s="68" t="str">
        <x:v>印不足以承接杀气</x:v>
      </x:c>
      <x:c r="M29" s="68" t="str">
        <x:v>直接或可达的生克制化路径成立</x:v>
      </x:c>
      <x:c r="N29" s="68" t="str">
        <x:v>杀明显强于印</x:v>
      </x:c>
      <x:c r="O29" s="68" t="str">
        <x:v>结合M09日主承载判断</x:v>
      </x:c>
      <x:c r="P29" s="68" t="str">
        <x:v>主体、客体、作用路径与力量匹配均达到最低要求</x:v>
      </x:c>
      <x:c r="Q29" s="68" t="str">
        <x:v>相关十神有根、有源、透达、清纯且关键通路稳定</x:v>
      </x:c>
      <x:c r="R29" s="90" t="str">
        <x:v>关键十神被合绊、被制、改性、失效或力量严重失衡</x:v>
      </x:c>
      <x:c r="S29" s="68" t="str">
        <x:v>存在第三十神恢复通路、清除破坏或重新形成平衡</x:v>
      </x:c>
      <x:c r="T29" s="90" t="str">
        <x:v>任一核心十神失效，或不存在真实作用路径</x:v>
      </x:c>
      <x:c r="U29" s="68" t="str">
        <x:v>特殊格局、从化或月令格局另转M14/M15复审</x:v>
      </x:c>
      <x:c r="V29" s="84" t="str">
        <x:v>弱成立</x:v>
      </x:c>
      <x:c r="W29" s="84" t="str">
        <x:v>化杀不及</x:v>
      </x:c>
      <x:c r="X29" s="82" t="str">
        <x:v>否</x:v>
      </x:c>
      <x:c r="Y29" s="68" t="str">
        <x:v>对应格局候选转M14</x:v>
      </x:c>
      <x:c r="Z29" s="84" t="str">
        <x:v>杀印相生_印弱</x:v>
      </x:c>
      <x:c r="AA29" s="84" t="str">
        <x:v>杀印相生：当主体、客体、路径与力量匹配满足最低标准时，判“弱成立”；是否上升为格局转M14/M15。</x:v>
      </x:c>
      <x:c r="AB29" s="82" t="str">
        <x:v>较高</x:v>
      </x:c>
      <x:c r="AC29" s="82" t="str">
        <x:v>现代综合</x:v>
      </x:c>
      <x:c r="AD29" s="68" t="str">
        <x:v>十神同时出现不等于组合成立。M11须同时验证核心十神有效性、作用路径、力量匹配、日主承载、破坏因素与救应；组合成立也不等于格局成立。</x:v>
      </x:c>
      <x:c r="AE29" s="68" t="str">
        <x:v>七杀旺而印星弱、无根或受制；印不足以承接杀气；作用路径稳定且无关键破坏，可按“杀印相生”记录。</x:v>
      </x:c>
      <x:c r="AF29" s="90" t="str">
        <x:v>仅因“七杀、印星”同时出现，但核心十神无力、无作用路径或被关键因素破坏，不能判“杀印相生”成立。</x:v>
      </x:c>
      <x:c r="AG29" s="68" t="str">
        <x:v>https://zh.wikisource.org/zh-hans/%E6%B7%B5%E6%B5%B7%E5%AD%90%E5%B9%B3 ; https://zh.wikisource.org/wiki/%E6%BB%B4%E5%A4%A9%E9%AB%93%E9%97%A1%E5%BE%AE</x:v>
      </x:c>
      <x:c r="AH29" s="82" t="str">
        <x:v>采用</x:v>
      </x:c>
      <x:c r="AI29" s="82" t="str">
        <x:v>初审</x:v>
      </x:c>
      <x:c r="AJ29" s="87" t="n">
        <x:v>46255</x:v>
      </x:c>
    </x:row>
    <x:row r="30">
      <x:c r="A30" s="72" t="str">
        <x:f>IF(OR(C30="",D30=""),"",B30&amp;"-"&amp;UPPER(C30)&amp;"-"&amp;TEXT(D30,"0000")&amp;"-"&amp;E30)</x:f>
        <x:v>M11-SHAYIN-0024-V1.0</x:v>
      </x:c>
      <x:c r="B30" s="74" t="str">
        <x:v>M11</x:v>
      </x:c>
      <x:c r="C30" s="74" t="str">
        <x:v>SHAYIN</x:v>
      </x:c>
      <x:c r="D30" s="215" t="n">
        <x:v>24</x:v>
      </x:c>
      <x:c r="E30" s="74" t="str">
        <x:v>V1.0</x:v>
      </x:c>
      <x:c r="F30" s="68" t="str">
        <x:v>杀弱印旺时不以化杀为主要功能</x:v>
      </x:c>
      <x:c r="G30" s="82" t="str">
        <x:v>结构层</x:v>
      </x:c>
      <x:c r="H30" s="82" t="str">
        <x:v>生化型</x:v>
      </x:c>
      <x:c r="I30" s="68" t="str">
        <x:v>杀印相生</x:v>
      </x:c>
      <x:c r="J30" s="68" t="str">
        <x:v>七杀、印星</x:v>
      </x:c>
      <x:c r="K30" s="68" t="str">
        <x:v>七杀极弱或已被其他力量制住</x:v>
      </x:c>
      <x:c r="L30" s="68" t="str">
        <x:v>印星旺</x:v>
      </x:c>
      <x:c r="M30" s="68" t="str">
        <x:v>直接或可达的生克制化路径成立</x:v>
      </x:c>
      <x:c r="N30" s="68" t="str">
        <x:v>相关十神均以M10有效力量为准，且不存在决定性失衡</x:v>
      </x:c>
      <x:c r="O30" s="68" t="str">
        <x:v>结合M09日主承载判断</x:v>
      </x:c>
      <x:c r="P30" s="68" t="str">
        <x:v>缺少需要化解的有效杀气</x:v>
      </x:c>
      <x:c r="Q30" s="68" t="str">
        <x:v>相关十神有根、有源、透达、清纯且关键通路稳定</x:v>
      </x:c>
      <x:c r="R30" s="90" t="str">
        <x:v>关键十神被合绊、被制、改性、失效或力量严重失衡</x:v>
      </x:c>
      <x:c r="S30" s="68" t="str">
        <x:v>存在第三十神恢复通路、清除破坏或重新形成平衡</x:v>
      </x:c>
      <x:c r="T30" s="90" t="str">
        <x:v>任一核心十神失效，或不存在真实作用路径</x:v>
      </x:c>
      <x:c r="U30" s="68" t="str">
        <x:v>特殊格局、从化或月令格局另转M14/M15复审</x:v>
      </x:c>
      <x:c r="V30" s="84" t="str">
        <x:v>弱成立</x:v>
      </x:c>
      <x:c r="W30" s="84" t="str">
        <x:v>以印生身为主，杀印相生不主导</x:v>
      </x:c>
      <x:c r="X30" s="82" t="str">
        <x:v>否</x:v>
      </x:c>
      <x:c r="Y30" s="68" t="str">
        <x:v>对应格局候选转M14</x:v>
      </x:c>
      <x:c r="Z30" s="84" t="str">
        <x:v>杀印相生_杀弱</x:v>
      </x:c>
      <x:c r="AA30" s="84" t="str">
        <x:v>杀印相生：当主体、客体、路径与力量匹配满足最低标准时，判“弱成立”；是否上升为格局转M14/M15。</x:v>
      </x:c>
      <x:c r="AB30" s="82" t="str">
        <x:v>较高</x:v>
      </x:c>
      <x:c r="AC30" s="82" t="str">
        <x:v>现代综合</x:v>
      </x:c>
      <x:c r="AD30" s="68" t="str">
        <x:v>十神同时出现不等于组合成立。M11须同时验证核心十神有效性、作用路径、力量匹配、日主承载、破坏因素与救应；组合成立也不等于格局成立。</x:v>
      </x:c>
      <x:c r="AE30" s="68" t="str">
        <x:v>七杀极弱或已被其他力量制住；印星旺；作用路径稳定且无关键破坏，可按“杀印相生”记录。</x:v>
      </x:c>
      <x:c r="AF30" s="90" t="str">
        <x:v>仅因“七杀、印星”同时出现，但核心十神无力、无作用路径或被关键因素破坏，不能判“杀印相生”成立。</x:v>
      </x:c>
      <x:c r="AG30" s="68" t="str">
        <x:v>https://zh.wikisource.org/zh-hans/%E6%B7%B5%E6%B5%B7%E5%AD%90%E5%B9%B3 ; https://zh.wikisource.org/wiki/%E6%BB%B4%E5%A4%A9%E9%AB%93%E9%97%A1%E5%BE%AE</x:v>
      </x:c>
      <x:c r="AH30" s="82" t="str">
        <x:v>采用</x:v>
      </x:c>
      <x:c r="AI30" s="82" t="str">
        <x:v>初审</x:v>
      </x:c>
      <x:c r="AJ30" s="87" t="n">
        <x:v>46255</x:v>
      </x:c>
    </x:row>
    <x:row r="31">
      <x:c r="A31" s="72" t="str">
        <x:f>IF(OR(C31="",D31=""),"",B31&amp;"-"&amp;UPPER(C31)&amp;"-"&amp;TEXT(D31,"0000")&amp;"-"&amp;E31)</x:f>
        <x:v>M11-SHAYIN-0025-V1.0</x:v>
      </x:c>
      <x:c r="B31" s="74" t="str">
        <x:v>M11</x:v>
      </x:c>
      <x:c r="C31" s="74" t="str">
        <x:v>SHAYIN</x:v>
      </x:c>
      <x:c r="D31" s="215" t="n">
        <x:v>25</x:v>
      </x:c>
      <x:c r="E31" s="74" t="str">
        <x:v>V1.0</x:v>
      </x:c>
      <x:c r="F31" s="68" t="str">
        <x:v>财坏印会切断杀印相生链</x:v>
      </x:c>
      <x:c r="G31" s="82" t="str">
        <x:v>结构层</x:v>
      </x:c>
      <x:c r="H31" s="82" t="str">
        <x:v>生化型</x:v>
      </x:c>
      <x:c r="I31" s="68" t="str">
        <x:v>杀印相生</x:v>
      </x:c>
      <x:c r="J31" s="68" t="str">
        <x:v>七杀、印星、财星</x:v>
      </x:c>
      <x:c r="K31" s="68" t="str">
        <x:v>财星对印星形成实质强制</x:v>
      </x:c>
      <x:c r="L31" s="68" t="str">
        <x:v>印星承接和生身功能下降</x:v>
      </x:c>
      <x:c r="M31" s="68" t="str">
        <x:v>直接或可达的生克制化路径成立</x:v>
      </x:c>
      <x:c r="N31" s="68" t="str">
        <x:v>相关十神均以M10有效力量为准，且不存在决定性失衡</x:v>
      </x:c>
      <x:c r="O31" s="68" t="str">
        <x:v>结合M09日主承载判断</x:v>
      </x:c>
      <x:c r="P31" s="68" t="str">
        <x:v>主体、客体、作用路径与力量匹配均达到最低要求</x:v>
      </x:c>
      <x:c r="Q31" s="68" t="str">
        <x:v>相关十神有根、有源、透达、清纯且关键通路稳定</x:v>
      </x:c>
      <x:c r="R31" s="90" t="str">
        <x:v>关键印星受财克至受限或失效</x:v>
      </x:c>
      <x:c r="S31" s="68" t="str">
        <x:v>存在第三十神恢复通路、清除破坏或重新形成平衡</x:v>
      </x:c>
      <x:c r="T31" s="90" t="str">
        <x:v>任一核心十神失效，或不存在真实作用路径</x:v>
      </x:c>
      <x:c r="U31" s="68" t="str">
        <x:v>特殊格局、从化或月令格局另转M14/M15复审</x:v>
      </x:c>
      <x:c r="V31" s="84" t="str">
        <x:v>不成立</x:v>
      </x:c>
      <x:c r="W31" s="84" t="str">
        <x:v>形成局部生化、制化或承载结构</x:v>
      </x:c>
      <x:c r="X31" s="82" t="str">
        <x:v>否</x:v>
      </x:c>
      <x:c r="Y31" s="68" t="str">
        <x:v>对应格局候选转M14</x:v>
      </x:c>
      <x:c r="Z31" s="84" t="str">
        <x:v>杀印相生_财坏印</x:v>
      </x:c>
      <x:c r="AA31" s="84" t="str">
        <x:v>杀印相生：当主体、客体、路径与力量匹配满足最低标准时，判“不成立”；是否上升为格局转M14/M15。</x:v>
      </x:c>
      <x:c r="AB31" s="82" t="str">
        <x:v>较高</x:v>
      </x:c>
      <x:c r="AC31" s="82" t="str">
        <x:v>现代综合</x:v>
      </x:c>
      <x:c r="AD31" s="68" t="str">
        <x:v>十神同时出现不等于组合成立。M11须同时验证核心十神有效性、作用路径、力量匹配、日主承载、破坏因素与救应；组合成立也不等于格局成立。</x:v>
      </x:c>
      <x:c r="AE31" s="68" t="str">
        <x:v>财星对印星形成实质强制；印星承接和生身功能下降；作用路径稳定且无关键破坏，可按“杀印相生”记录。</x:v>
      </x:c>
      <x:c r="AF31" s="90" t="str">
        <x:v>仅因“七杀、印星、财星”同时出现，但核心十神无力、无作用路径或被关键因素破坏，不能判“杀印相生”成立。</x:v>
      </x:c>
      <x:c r="AG31" s="68" t="str">
        <x:v>https://zh.wikisource.org/zh-hans/%E6%B7%B5%E6%B5%B7%E5%AD%90%E5%B9%B3 ; https://zh.wikisource.org/wiki/%E6%BB%B4%E5%A4%A9%E9%AB%93%E9%97%A1%E5%BE%AE</x:v>
      </x:c>
      <x:c r="AH31" s="82" t="str">
        <x:v>采用</x:v>
      </x:c>
      <x:c r="AI31" s="82" t="str">
        <x:v>初审</x:v>
      </x:c>
      <x:c r="AJ31" s="87" t="n">
        <x:v>46255</x:v>
      </x:c>
    </x:row>
    <x:row r="32">
      <x:c r="A32" s="72" t="str">
        <x:f>IF(OR(C32="",D32=""),"",B32&amp;"-"&amp;UPPER(C32)&amp;"-"&amp;TEXT(D32,"0000")&amp;"-"&amp;E32)</x:f>
        <x:v>M11-SHAYIN-0026-V1.0</x:v>
      </x:c>
      <x:c r="B32" s="74" t="str">
        <x:v>M11</x:v>
      </x:c>
      <x:c r="C32" s="74" t="str">
        <x:v>SHAYIN</x:v>
      </x:c>
      <x:c r="D32" s="215" t="n">
        <x:v>26</x:v>
      </x:c>
      <x:c r="E32" s="74" t="str">
        <x:v>V1.0</x:v>
      </x:c>
      <x:c r="F32" s="68" t="str">
        <x:v>比劫可增强印生身后的承载</x:v>
      </x:c>
      <x:c r="G32" s="82" t="str">
        <x:v>结构层</x:v>
      </x:c>
      <x:c r="H32" s="82" t="str">
        <x:v>生化型</x:v>
      </x:c>
      <x:c r="I32" s="68" t="str">
        <x:v>杀印相生</x:v>
      </x:c>
      <x:c r="J32" s="68" t="str">
        <x:v>七杀、印星、比劫</x:v>
      </x:c>
      <x:c r="K32" s="68" t="str">
        <x:v>杀印链成立</x:v>
      </x:c>
      <x:c r="L32" s="68" t="str">
        <x:v>比劫提供额外同类承载</x:v>
      </x:c>
      <x:c r="M32" s="68" t="str">
        <x:v>直接或可达的生克制化路径成立</x:v>
      </x:c>
      <x:c r="N32" s="68" t="str">
        <x:v>相关十神均以M10有效力量为准，且不存在决定性失衡</x:v>
      </x:c>
      <x:c r="O32" s="68" t="str">
        <x:v>结合M09日主承载判断</x:v>
      </x:c>
      <x:c r="P32" s="68" t="str">
        <x:v>主体、客体、作用路径与力量匹配均达到最低要求</x:v>
      </x:c>
      <x:c r="Q32" s="68" t="str">
        <x:v>印比连续扶身且不破坏其他关键结构</x:v>
      </x:c>
      <x:c r="R32" s="90" t="str">
        <x:v>关键十神被合绊、被制、改性、失效或力量严重失衡</x:v>
      </x:c>
      <x:c r="S32" s="68" t="str">
        <x:v>存在第三十神恢复通路、清除破坏或重新形成平衡</x:v>
      </x:c>
      <x:c r="T32" s="90" t="str">
        <x:v>任一核心十神失效，或不存在真实作用路径</x:v>
      </x:c>
      <x:c r="U32" s="68" t="str">
        <x:v>特殊格局、从化或月令格局另转M14/M15复审</x:v>
      </x:c>
      <x:c r="V32" s="84" t="str">
        <x:v>明显成立</x:v>
      </x:c>
      <x:c r="W32" s="84" t="str">
        <x:v>形成局部生化、制化或承载结构</x:v>
      </x:c>
      <x:c r="X32" s="82" t="str">
        <x:v>条件性</x:v>
      </x:c>
      <x:c r="Y32" s="68" t="str">
        <x:v>对应格局候选转M14</x:v>
      </x:c>
      <x:c r="Z32" s="84" t="str">
        <x:v>杀印相生_印比增强</x:v>
      </x:c>
      <x:c r="AA32" s="84" t="str">
        <x:v>杀印相生：当主体、客体、路径与力量匹配满足最低标准时，判“明显成立”；是否上升为格局转M14/M15。</x:v>
      </x:c>
      <x:c r="AB32" s="82" t="str">
        <x:v>较高</x:v>
      </x:c>
      <x:c r="AC32" s="82" t="str">
        <x:v>现代综合</x:v>
      </x:c>
      <x:c r="AD32" s="68" t="str">
        <x:v>十神同时出现不等于组合成立。M11须同时验证核心十神有效性、作用路径、力量匹配、日主承载、破坏因素与救应；组合成立也不等于格局成立。</x:v>
      </x:c>
      <x:c r="AE32" s="68" t="str">
        <x:v>杀印链成立；比劫提供额外同类承载；作用路径稳定且无关键破坏，可按“杀印相生”记录。</x:v>
      </x:c>
      <x:c r="AF32" s="90" t="str">
        <x:v>仅因“七杀、印星、比劫”同时出现，但核心十神无力、无作用路径或被关键因素破坏，不能判“杀印相生”成立。</x:v>
      </x:c>
      <x:c r="AG32" s="68" t="str">
        <x:v>https://zh.wikisource.org/zh-hans/%E6%B7%B5%E6%B5%B7%E5%AD%90%E5%B9%B3 ; https://zh.wikisource.org/wiki/%E6%BB%B4%E5%A4%A9%E9%AB%93%E9%97%A1%E5%BE%AE</x:v>
      </x:c>
      <x:c r="AH32" s="82" t="str">
        <x:v>采用</x:v>
      </x:c>
      <x:c r="AI32" s="82" t="str">
        <x:v>初审</x:v>
      </x:c>
      <x:c r="AJ32" s="87" t="n">
        <x:v>46255</x:v>
      </x:c>
    </x:row>
    <x:row r="33">
      <x:c r="A33" s="72" t="str">
        <x:f>IF(OR(C33="",D33=""),"",B33&amp;"-"&amp;UPPER(C33)&amp;"-"&amp;TEXT(D33,"0000")&amp;"-"&amp;E33)</x:f>
        <x:v>M11-SHAYIN-0027-V1.0</x:v>
      </x:c>
      <x:c r="B33" s="74" t="str">
        <x:v>M11</x:v>
      </x:c>
      <x:c r="C33" s="74" t="str">
        <x:v>SHAYIN</x:v>
      </x:c>
      <x:c r="D33" s="215" t="n">
        <x:v>27</x:v>
      </x:c>
      <x:c r="E33" s="74" t="str">
        <x:v>V1.0</x:v>
      </x:c>
      <x:c r="F33" s="68" t="str">
        <x:v>食神强制杀会与印化杀形成路线竞争</x:v>
      </x:c>
      <x:c r="G33" s="82" t="str">
        <x:v>结构层</x:v>
      </x:c>
      <x:c r="H33" s="82" t="str">
        <x:v>生化型</x:v>
      </x:c>
      <x:c r="I33" s="68" t="str">
        <x:v>杀印相生</x:v>
      </x:c>
      <x:c r="J33" s="68" t="str">
        <x:v>七杀、印星、食神</x:v>
      </x:c>
      <x:c r="K33" s="68" t="str">
        <x:v>食神制杀与印化杀同时存在</x:v>
      </x:c>
      <x:c r="L33" s="68" t="str">
        <x:v>七杀力量被两条路径共同调用</x:v>
      </x:c>
      <x:c r="M33" s="68" t="str">
        <x:v>直接或可达的生克制化路径成立</x:v>
      </x:c>
      <x:c r="N33" s="68" t="str">
        <x:v>相关十神均以M10有效力量为准，且不存在决定性失衡</x:v>
      </x:c>
      <x:c r="O33" s="68" t="str">
        <x:v>结合M09日主承载判断</x:v>
      </x:c>
      <x:c r="P33" s="68" t="str">
        <x:v>主体、客体、作用路径与力量匹配均达到最低要求</x:v>
      </x:c>
      <x:c r="Q33" s="68" t="str">
        <x:v>相关十神有根、有源、透达、清纯且关键通路稳定</x:v>
      </x:c>
      <x:c r="R33" s="90" t="str">
        <x:v>制杀与化杀争夺同一杀气，导致任一路径容量不足</x:v>
      </x:c>
      <x:c r="S33" s="68" t="str">
        <x:v>存在第三十神恢复通路、清除破坏或重新形成平衡</x:v>
      </x:c>
      <x:c r="T33" s="90" t="str">
        <x:v>任一核心十神失效，或不存在真实作用路径</x:v>
      </x:c>
      <x:c r="U33" s="68" t="str">
        <x:v>特殊格局、从化或月令格局另转M14/M15复审</x:v>
      </x:c>
      <x:c r="V33" s="84" t="str">
        <x:v>基本成立</x:v>
      </x:c>
      <x:c r="W33" s="84" t="str">
        <x:v>形成局部生化、制化或承载结构</x:v>
      </x:c>
      <x:c r="X33" s="82" t="str">
        <x:v>条件性</x:v>
      </x:c>
      <x:c r="Y33" s="68" t="str">
        <x:v>对应格局候选转M14</x:v>
      </x:c>
      <x:c r="Z33" s="84" t="str">
        <x:v>杀印相生_制化并见</x:v>
      </x:c>
      <x:c r="AA33" s="84" t="str">
        <x:v>杀印相生：当主体、客体、路径与力量匹配满足最低标准时，判“基本成立”；是否上升为格局转M14/M15。</x:v>
      </x:c>
      <x:c r="AB33" s="82" t="str">
        <x:v>较高</x:v>
      </x:c>
      <x:c r="AC33" s="82" t="str">
        <x:v>现代综合</x:v>
      </x:c>
      <x:c r="AD33" s="68" t="str">
        <x:v>十神同时出现不等于组合成立。M11须同时验证核心十神有效性、作用路径、力量匹配、日主承载、破坏因素与救应；组合成立也不等于格局成立。</x:v>
      </x:c>
      <x:c r="AE33" s="68" t="str">
        <x:v>食神制杀与印化杀同时存在；七杀力量被两条路径共同调用；作用路径稳定且无关键破坏，可按“杀印相生”记录。</x:v>
      </x:c>
      <x:c r="AF33" s="90" t="str">
        <x:v>仅因“七杀、印星、食神”同时出现，但核心十神无力、无作用路径或被关键因素破坏，不能判“杀印相生”成立。</x:v>
      </x:c>
      <x:c r="AG33" s="68" t="str">
        <x:v>https://zh.wikisource.org/zh-hans/%E6%B7%B5%E6%B5%B7%E5%AD%90%E5%B9%B3 ; https://zh.wikisource.org/wiki/%E6%BB%B4%E5%A4%A9%E9%AB%93%E9%97%A1%E5%BE%AE</x:v>
      </x:c>
      <x:c r="AH33" s="82" t="str">
        <x:v>采用</x:v>
      </x:c>
      <x:c r="AI33" s="82" t="str">
        <x:v>初审</x:v>
      </x:c>
      <x:c r="AJ33" s="87" t="n">
        <x:v>46255</x:v>
      </x:c>
    </x:row>
    <x:row r="34">
      <x:c r="A34" s="72" t="str">
        <x:f>IF(OR(C34="",D34=""),"",B34&amp;"-"&amp;UPPER(C34)&amp;"-"&amp;TEXT(D34,"0000")&amp;"-"&amp;E34)</x:f>
        <x:v>M11-SHAYIN-0028-V1.0</x:v>
      </x:c>
      <x:c r="B34" s="74" t="str">
        <x:v>M11</x:v>
      </x:c>
      <x:c r="C34" s="74" t="str">
        <x:v>SHAYIN</x:v>
      </x:c>
      <x:c r="D34" s="215" t="n">
        <x:v>28</x:v>
      </x:c>
      <x:c r="E34" s="74" t="str">
        <x:v>V1.0</x:v>
      </x:c>
      <x:c r="F34" s="68" t="str">
        <x:v>杀印链连续且比例协调可判明显成立</x:v>
      </x:c>
      <x:c r="G34" s="82" t="str">
        <x:v>结构层</x:v>
      </x:c>
      <x:c r="H34" s="82" t="str">
        <x:v>生化型</x:v>
      </x:c>
      <x:c r="I34" s="68" t="str">
        <x:v>杀印相生</x:v>
      </x:c>
      <x:c r="J34" s="68" t="str">
        <x:v>七杀、印星</x:v>
      </x:c>
      <x:c r="K34" s="68" t="str">
        <x:v>七杀有力、印星有力、印可生身</x:v>
      </x:c>
      <x:c r="L34" s="68" t="str">
        <x:v>无财破印、无关键合化阻断</x:v>
      </x:c>
      <x:c r="M34" s="68" t="str">
        <x:v>直接或可达的生克制化路径成立</x:v>
      </x:c>
      <x:c r="N34" s="68" t="str">
        <x:v>杀印力量匹配且日主能承载</x:v>
      </x:c>
      <x:c r="O34" s="68" t="str">
        <x:v>结合M09日主承载判断</x:v>
      </x:c>
      <x:c r="P34" s="68" t="str">
        <x:v>主体、客体、作用路径与力量匹配均达到最低要求</x:v>
      </x:c>
      <x:c r="Q34" s="68" t="str">
        <x:v>相关十神有根、有源、透达、清纯且关键通路稳定</x:v>
      </x:c>
      <x:c r="R34" s="90" t="str">
        <x:v>关键十神被合绊、被制、改性、失效或力量严重失衡</x:v>
      </x:c>
      <x:c r="S34" s="68" t="str">
        <x:v>存在第三十神恢复通路、清除破坏或重新形成平衡</x:v>
      </x:c>
      <x:c r="T34" s="90" t="str">
        <x:v>任一核心十神失效，或不存在真实作用路径</x:v>
      </x:c>
      <x:c r="U34" s="68" t="str">
        <x:v>特殊格局、从化或月令格局另转M14/M15复审</x:v>
      </x:c>
      <x:c r="V34" s="84" t="str">
        <x:v>明显成立</x:v>
      </x:c>
      <x:c r="W34" s="84" t="str">
        <x:v>形成局部生化、制化或承载结构</x:v>
      </x:c>
      <x:c r="X34" s="82" t="str">
        <x:v>条件性</x:v>
      </x:c>
      <x:c r="Y34" s="68" t="str">
        <x:v>对应格局候选转M14</x:v>
      </x:c>
      <x:c r="Z34" s="84" t="str">
        <x:v>杀印相生_明显成立</x:v>
      </x:c>
      <x:c r="AA34" s="84" t="str">
        <x:v>杀印相生：当主体、客体、路径与力量匹配满足最低标准时，判“明显成立”；是否上升为格局转M14/M15。</x:v>
      </x:c>
      <x:c r="AB34" s="82" t="str">
        <x:v>较高</x:v>
      </x:c>
      <x:c r="AC34" s="82" t="str">
        <x:v>现代综合</x:v>
      </x:c>
      <x:c r="AD34" s="68" t="str">
        <x:v>十神同时出现不等于组合成立。M11须同时验证核心十神有效性、作用路径、力量匹配、日主承载、破坏因素与救应；组合成立也不等于格局成立。</x:v>
      </x:c>
      <x:c r="AE34" s="68" t="str">
        <x:v>七杀有力、印星有力、印可生身；无财破印、无关键合化阻断；作用路径稳定且无关键破坏，可按“杀印相生”记录。</x:v>
      </x:c>
      <x:c r="AF34" s="90" t="str">
        <x:v>仅因“七杀、印星”同时出现，但核心十神无力、无作用路径或被关键因素破坏，不能判“杀印相生”成立。</x:v>
      </x:c>
      <x:c r="AG34" s="68" t="str">
        <x:v>https://zh.wikisource.org/zh-hans/%E6%B7%B5%E6%B5%B7%E5%AD%90%E5%B9%B3 ; https://zh.wikisource.org/wiki/%E6%BB%B4%E5%A4%A9%E9%AB%93%E9%97%A1%E5%BE%AE</x:v>
      </x:c>
      <x:c r="AH34" s="82" t="str">
        <x:v>采用</x:v>
      </x:c>
      <x:c r="AI34" s="82" t="str">
        <x:v>初审</x:v>
      </x:c>
      <x:c r="AJ34" s="87" t="n">
        <x:v>46255</x:v>
      </x:c>
    </x:row>
    <x:row r="35">
      <x:c r="A35" s="72" t="str">
        <x:f>IF(OR(C35="",D35=""),"",B35&amp;"-"&amp;UPPER(C35)&amp;"-"&amp;TEXT(D35,"0000")&amp;"-"&amp;E35)</x:f>
        <x:v>M11-GUANYIN-0029-V1.0</x:v>
      </x:c>
      <x:c r="B35" s="74" t="str">
        <x:v>M11</x:v>
      </x:c>
      <x:c r="C35" s="74" t="str">
        <x:v>GUANYIN</x:v>
      </x:c>
      <x:c r="D35" s="215" t="n">
        <x:v>29</x:v>
      </x:c>
      <x:c r="E35" s="74" t="str">
        <x:v>V1.0</x:v>
      </x:c>
      <x:c r="F35" s="68" t="str">
        <x:v>正官应真实有效并能够生印</x:v>
      </x:c>
      <x:c r="G35" s="82" t="str">
        <x:v>结构层</x:v>
      </x:c>
      <x:c r="H35" s="82" t="str">
        <x:v>生化型</x:v>
      </x:c>
      <x:c r="I35" s="68" t="str">
        <x:v>官印相生</x:v>
      </x:c>
      <x:c r="J35" s="68" t="str">
        <x:v>正官、印星</x:v>
      </x:c>
      <x:c r="K35" s="68" t="str">
        <x:v>正官有效且生印路径存在</x:v>
      </x:c>
      <x:c r="L35" s="68" t="str">
        <x:v>印星有效并可承接官气</x:v>
      </x:c>
      <x:c r="M35" s="68" t="str">
        <x:v>正官→印星链路连续</x:v>
      </x:c>
      <x:c r="N35" s="68" t="str">
        <x:v>相关十神均以M10有效力量为准，且不存在决定性失衡</x:v>
      </x:c>
      <x:c r="O35" s="68" t="str">
        <x:v>结合M09日主承载判断</x:v>
      </x:c>
      <x:c r="P35" s="68" t="str">
        <x:v>主体、客体、作用路径与力量匹配均达到最低要求</x:v>
      </x:c>
      <x:c r="Q35" s="68" t="str">
        <x:v>相关十神有根、有源、透达、清纯且关键通路稳定</x:v>
      </x:c>
      <x:c r="R35" s="90" t="str">
        <x:v>关键十神被合绊、被制、改性、失效或力量严重失衡</x:v>
      </x:c>
      <x:c r="S35" s="68" t="str">
        <x:v>存在第三十神恢复通路、清除破坏或重新形成平衡</x:v>
      </x:c>
      <x:c r="T35" s="90" t="str">
        <x:v>任一核心十神失效，或不存在真实作用路径</x:v>
      </x:c>
      <x:c r="U35" s="68" t="str">
        <x:v>特殊格局、从化或月令格局另转M14/M15复审</x:v>
      </x:c>
      <x:c r="V35" s="84" t="str">
        <x:v>基本成立</x:v>
      </x:c>
      <x:c r="W35" s="84" t="str">
        <x:v>官气转为印星资源</x:v>
      </x:c>
      <x:c r="X35" s="82" t="str">
        <x:v>条件性</x:v>
      </x:c>
      <x:c r="Y35" s="68" t="str">
        <x:v>官印相生格候选</x:v>
      </x:c>
      <x:c r="Z35" s="84" t="str">
        <x:v>官印相生_成立条件</x:v>
      </x:c>
      <x:c r="AA35" s="84" t="str">
        <x:v>官印相生：当主体、客体、路径与力量匹配满足最低标准时，判“基本成立”；是否上升为格局转M14/M15。</x:v>
      </x:c>
      <x:c r="AB35" s="82" t="str">
        <x:v>较高</x:v>
      </x:c>
      <x:c r="AC35" s="82" t="str">
        <x:v>现代综合</x:v>
      </x:c>
      <x:c r="AD35" s="68" t="str">
        <x:v>十神同时出现不等于组合成立。M11须同时验证核心十神有效性、作用路径、力量匹配、日主承载、破坏因素与救应；组合成立也不等于格局成立。</x:v>
      </x:c>
      <x:c r="AE35" s="68" t="str">
        <x:v>正官有效且生印路径存在；印星有效并可承接官气；作用路径稳定且无关键破坏，可按“官印相生”记录。</x:v>
      </x:c>
      <x:c r="AF35" s="90" t="str">
        <x:v>仅因“正官、印星”同时出现，但核心十神无力、无作用路径或被关键因素破坏，不能判“官印相生”成立。</x:v>
      </x:c>
      <x:c r="AG35" s="68" t="str">
        <x:v>https://zh.wikisource.org/zh-hans/%E6%B7%B5%E6%B5%B7%E5%AD%90%E5%B9%B3 ; https://zh.wikisource.org/wiki/%E6%BB%B4%E5%A4%A9%E9%AB%93%E9%97%A1%E5%BE%AE</x:v>
      </x:c>
      <x:c r="AH35" s="82" t="str">
        <x:v>采用</x:v>
      </x:c>
      <x:c r="AI35" s="82" t="str">
        <x:v>初审</x:v>
      </x:c>
      <x:c r="AJ35" s="87" t="n">
        <x:v>46255</x:v>
      </x:c>
    </x:row>
    <x:row r="36">
      <x:c r="A36" s="72" t="str">
        <x:f>IF(OR(C36="",D36=""),"",B36&amp;"-"&amp;UPPER(C36)&amp;"-"&amp;TEXT(D36,"0000")&amp;"-"&amp;E36)</x:f>
        <x:v>M11-GUANYIN-0030-V1.0</x:v>
      </x:c>
      <x:c r="B36" s="74" t="str">
        <x:v>M11</x:v>
      </x:c>
      <x:c r="C36" s="74" t="str">
        <x:v>GUANYIN</x:v>
      </x:c>
      <x:c r="D36" s="215" t="n">
        <x:v>30</x:v>
      </x:c>
      <x:c r="E36" s="74" t="str">
        <x:v>V1.0</x:v>
      </x:c>
      <x:c r="F36" s="68" t="str">
        <x:v>印星必须继续生日主形成完整链</x:v>
      </x:c>
      <x:c r="G36" s="82" t="str">
        <x:v>结构层</x:v>
      </x:c>
      <x:c r="H36" s="82" t="str">
        <x:v>生化型</x:v>
      </x:c>
      <x:c r="I36" s="68" t="str">
        <x:v>官印相生</x:v>
      </x:c>
      <x:c r="J36" s="68" t="str">
        <x:v>正官、印星、日主</x:v>
      </x:c>
      <x:c r="K36" s="68" t="str">
        <x:v>印星有力</x:v>
      </x:c>
      <x:c r="L36" s="68" t="str">
        <x:v>日主可承接印星生扶</x:v>
      </x:c>
      <x:c r="M36" s="68" t="str">
        <x:v>官→印→身连续</x:v>
      </x:c>
      <x:c r="N36" s="68" t="str">
        <x:v>相关十神均以M10有效力量为准，且不存在决定性失衡</x:v>
      </x:c>
      <x:c r="O36" s="68" t="str">
        <x:v>结合M09日主承载判断</x:v>
      </x:c>
      <x:c r="P36" s="68" t="str">
        <x:v>官生印、印生身均有效</x:v>
      </x:c>
      <x:c r="Q36" s="68" t="str">
        <x:v>相关十神有根、有源、透达、清纯且关键通路稳定</x:v>
      </x:c>
      <x:c r="R36" s="90" t="str">
        <x:v>关键十神被合绊、被制、改性、失效或力量严重失衡</x:v>
      </x:c>
      <x:c r="S36" s="68" t="str">
        <x:v>存在第三十神恢复通路、清除破坏或重新形成平衡</x:v>
      </x:c>
      <x:c r="T36" s="90" t="str">
        <x:v>任一核心十神失效，或不存在真实作用路径</x:v>
      </x:c>
      <x:c r="U36" s="68" t="str">
        <x:v>特殊格局、从化或月令格局另转M14/M15复审</x:v>
      </x:c>
      <x:c r="V36" s="84" t="str">
        <x:v>基本成立</x:v>
      </x:c>
      <x:c r="W36" s="84" t="str">
        <x:v>形成局部生化、制化或承载结构</x:v>
      </x:c>
      <x:c r="X36" s="82" t="str">
        <x:v>条件性</x:v>
      </x:c>
      <x:c r="Y36" s="68" t="str">
        <x:v>对应格局候选转M14</x:v>
      </x:c>
      <x:c r="Z36" s="84" t="str">
        <x:v>官印相生_完整链</x:v>
      </x:c>
      <x:c r="AA36" s="84" t="str">
        <x:v>官印相生：当主体、客体、路径与力量匹配满足最低标准时，判“基本成立”；是否上升为格局转M14/M15。</x:v>
      </x:c>
      <x:c r="AB36" s="82" t="str">
        <x:v>较高</x:v>
      </x:c>
      <x:c r="AC36" s="82" t="str">
        <x:v>现代综合</x:v>
      </x:c>
      <x:c r="AD36" s="68" t="str">
        <x:v>十神同时出现不等于组合成立。M11须同时验证核心十神有效性、作用路径、力量匹配、日主承载、破坏因素与救应；组合成立也不等于格局成立。</x:v>
      </x:c>
      <x:c r="AE36" s="68" t="str">
        <x:v>印星有力；日主可承接印星生扶；作用路径稳定且无关键破坏，可按“官印相生”记录。</x:v>
      </x:c>
      <x:c r="AF36" s="90" t="str">
        <x:v>仅因“正官、印星、日主”同时出现，但核心十神无力、无作用路径或被关键因素破坏，不能判“官印相生”成立。</x:v>
      </x:c>
      <x:c r="AG36" s="68" t="str">
        <x:v>https://zh.wikisource.org/zh-hans/%E6%B7%B5%E6%B5%B7%E5%AD%90%E5%B9%B3 ; https://zh.wikisource.org/wiki/%E6%BB%B4%E5%A4%A9%E9%AB%93%E9%97%A1%E5%BE%AE</x:v>
      </x:c>
      <x:c r="AH36" s="82" t="str">
        <x:v>采用</x:v>
      </x:c>
      <x:c r="AI36" s="82" t="str">
        <x:v>初审</x:v>
      </x:c>
      <x:c r="AJ36" s="87" t="n">
        <x:v>46255</x:v>
      </x:c>
    </x:row>
    <x:row r="37">
      <x:c r="A37" s="72" t="str">
        <x:f>IF(OR(C37="",D37=""),"",B37&amp;"-"&amp;UPPER(C37)&amp;"-"&amp;TEXT(D37,"0000")&amp;"-"&amp;E37)</x:f>
        <x:v>M11-GUANYIN-0031-V1.0</x:v>
      </x:c>
      <x:c r="B37" s="74" t="str">
        <x:v>M11</x:v>
      </x:c>
      <x:c r="C37" s="74" t="str">
        <x:v>GUANYIN</x:v>
      </x:c>
      <x:c r="D37" s="215" t="n">
        <x:v>31</x:v>
      </x:c>
      <x:c r="E37" s="74" t="str">
        <x:v>V1.0</x:v>
      </x:c>
      <x:c r="F37" s="68" t="str">
        <x:v>官弱无根时相生功能有限</x:v>
      </x:c>
      <x:c r="G37" s="82" t="str">
        <x:v>结构层</x:v>
      </x:c>
      <x:c r="H37" s="82" t="str">
        <x:v>生化型</x:v>
      </x:c>
      <x:c r="I37" s="68" t="str">
        <x:v>官印相生</x:v>
      </x:c>
      <x:c r="J37" s="68" t="str">
        <x:v>正官、印星</x:v>
      </x:c>
      <x:c r="K37" s="68" t="str">
        <x:v>正官仅名义存在或极弱</x:v>
      </x:c>
      <x:c r="L37" s="68" t="str">
        <x:v>印星虽有力但缺乏有效官源</x:v>
      </x:c>
      <x:c r="M37" s="68" t="str">
        <x:v>直接或可达的生克制化路径成立</x:v>
      </x:c>
      <x:c r="N37" s="68" t="str">
        <x:v>相关十神均以M10有效力量为准，且不存在决定性失衡</x:v>
      </x:c>
      <x:c r="O37" s="68" t="str">
        <x:v>结合M09日主承载判断</x:v>
      </x:c>
      <x:c r="P37" s="68" t="str">
        <x:v>主体、客体、作用路径与力量匹配均达到最低要求</x:v>
      </x:c>
      <x:c r="Q37" s="68" t="str">
        <x:v>相关十神有根、有源、透达、清纯且关键通路稳定</x:v>
      </x:c>
      <x:c r="R37" s="90" t="str">
        <x:v>关键十神被合绊、被制、改性、失效或力量严重失衡</x:v>
      </x:c>
      <x:c r="S37" s="68" t="str">
        <x:v>存在第三十神恢复通路、清除破坏或重新形成平衡</x:v>
      </x:c>
      <x:c r="T37" s="90" t="str">
        <x:v>任一核心十神失效，或不存在真实作用路径</x:v>
      </x:c>
      <x:c r="U37" s="68" t="str">
        <x:v>特殊格局、从化或月令格局另转M14/M15复审</x:v>
      </x:c>
      <x:c r="V37" s="84" t="str">
        <x:v>弱成立</x:v>
      </x:c>
      <x:c r="W37" s="84" t="str">
        <x:v>以印生身为主，官印链弱</x:v>
      </x:c>
      <x:c r="X37" s="82" t="str">
        <x:v>否</x:v>
      </x:c>
      <x:c r="Y37" s="68" t="str">
        <x:v>对应格局候选转M14</x:v>
      </x:c>
      <x:c r="Z37" s="84" t="str">
        <x:v>官印相生_官弱</x:v>
      </x:c>
      <x:c r="AA37" s="84" t="str">
        <x:v>官印相生：当主体、客体、路径与力量匹配满足最低标准时，判“弱成立”；是否上升为格局转M14/M15。</x:v>
      </x:c>
      <x:c r="AB37" s="82" t="str">
        <x:v>较高</x:v>
      </x:c>
      <x:c r="AC37" s="82" t="str">
        <x:v>现代综合</x:v>
      </x:c>
      <x:c r="AD37" s="68" t="str">
        <x:v>十神同时出现不等于组合成立。M11须同时验证核心十神有效性、作用路径、力量匹配、日主承载、破坏因素与救应；组合成立也不等于格局成立。</x:v>
      </x:c>
      <x:c r="AE37" s="68" t="str">
        <x:v>正官仅名义存在或极弱；印星虽有力但缺乏有效官源；作用路径稳定且无关键破坏，可按“官印相生”记录。</x:v>
      </x:c>
      <x:c r="AF37" s="90" t="str">
        <x:v>仅因“正官、印星”同时出现，但核心十神无力、无作用路径或被关键因素破坏，不能判“官印相生”成立。</x:v>
      </x:c>
      <x:c r="AG37" s="68" t="str">
        <x:v>https://zh.wikisource.org/zh-hans/%E6%B7%B5%E6%B5%B7%E5%AD%90%E5%B9%B3 ; https://zh.wikisource.org/wiki/%E6%BB%B4%E5%A4%A9%E9%AB%93%E9%97%A1%E5%BE%AE</x:v>
      </x:c>
      <x:c r="AH37" s="82" t="str">
        <x:v>采用</x:v>
      </x:c>
      <x:c r="AI37" s="82" t="str">
        <x:v>初审</x:v>
      </x:c>
      <x:c r="AJ37" s="87" t="n">
        <x:v>46255</x:v>
      </x:c>
    </x:row>
    <x:row r="38">
      <x:c r="A38" s="72" t="str">
        <x:f>IF(OR(C38="",D38=""),"",B38&amp;"-"&amp;UPPER(C38)&amp;"-"&amp;TEXT(D38,"0000")&amp;"-"&amp;E38)</x:f>
        <x:v>M11-GUANYIN-0032-V1.0</x:v>
      </x:c>
      <x:c r="B38" s="74" t="str">
        <x:v>M11</x:v>
      </x:c>
      <x:c r="C38" s="74" t="str">
        <x:v>GUANYIN</x:v>
      </x:c>
      <x:c r="D38" s="215" t="n">
        <x:v>32</x:v>
      </x:c>
      <x:c r="E38" s="74" t="str">
        <x:v>V1.0</x:v>
      </x:c>
      <x:c r="F38" s="68" t="str">
        <x:v>印弱受损时官印链中断</x:v>
      </x:c>
      <x:c r="G38" s="82" t="str">
        <x:v>结构层</x:v>
      </x:c>
      <x:c r="H38" s="82" t="str">
        <x:v>生化型</x:v>
      </x:c>
      <x:c r="I38" s="68" t="str">
        <x:v>官印相生</x:v>
      </x:c>
      <x:c r="J38" s="68" t="str">
        <x:v>正官、印星</x:v>
      </x:c>
      <x:c r="K38" s="68" t="str">
        <x:v>正官有力</x:v>
      </x:c>
      <x:c r="L38" s="68" t="str">
        <x:v>印星弱、被财制或改性</x:v>
      </x:c>
      <x:c r="M38" s="68" t="str">
        <x:v>直接或可达的生克制化路径成立</x:v>
      </x:c>
      <x:c r="N38" s="68" t="str">
        <x:v>相关十神均以M10有效力量为准，且不存在决定性失衡</x:v>
      </x:c>
      <x:c r="O38" s="68" t="str">
        <x:v>结合M09日主承载判断</x:v>
      </x:c>
      <x:c r="P38" s="68" t="str">
        <x:v>主体、客体、作用路径与力量匹配均达到最低要求</x:v>
      </x:c>
      <x:c r="Q38" s="68" t="str">
        <x:v>相关十神有根、有源、透达、清纯且关键通路稳定</x:v>
      </x:c>
      <x:c r="R38" s="90" t="str">
        <x:v>印星无法承接官气或无法继续生身</x:v>
      </x:c>
      <x:c r="S38" s="68" t="str">
        <x:v>存在第三十神恢复通路、清除破坏或重新形成平衡</x:v>
      </x:c>
      <x:c r="T38" s="90" t="str">
        <x:v>任一核心十神失效，或不存在真实作用路径</x:v>
      </x:c>
      <x:c r="U38" s="68" t="str">
        <x:v>特殊格局、从化或月令格局另转M14/M15复审</x:v>
      </x:c>
      <x:c r="V38" s="84" t="str">
        <x:v>不成立</x:v>
      </x:c>
      <x:c r="W38" s="84" t="str">
        <x:v>形成局部生化、制化或承载结构</x:v>
      </x:c>
      <x:c r="X38" s="82" t="str">
        <x:v>否</x:v>
      </x:c>
      <x:c r="Y38" s="68" t="str">
        <x:v>对应格局候选转M14</x:v>
      </x:c>
      <x:c r="Z38" s="84" t="str">
        <x:v>官印相生_印弱</x:v>
      </x:c>
      <x:c r="AA38" s="84" t="str">
        <x:v>官印相生：当主体、客体、路径与力量匹配满足最低标准时，判“不成立”；是否上升为格局转M14/M15。</x:v>
      </x:c>
      <x:c r="AB38" s="82" t="str">
        <x:v>较高</x:v>
      </x:c>
      <x:c r="AC38" s="82" t="str">
        <x:v>现代综合</x:v>
      </x:c>
      <x:c r="AD38" s="68" t="str">
        <x:v>十神同时出现不等于组合成立。M11须同时验证核心十神有效性、作用路径、力量匹配、日主承载、破坏因素与救应；组合成立也不等于格局成立。</x:v>
      </x:c>
      <x:c r="AE38" s="68" t="str">
        <x:v>正官有力；印星弱、被财制或改性；作用路径稳定且无关键破坏，可按“官印相生”记录。</x:v>
      </x:c>
      <x:c r="AF38" s="90" t="str">
        <x:v>仅因“正官、印星”同时出现，但核心十神无力、无作用路径或被关键因素破坏，不能判“官印相生”成立。</x:v>
      </x:c>
      <x:c r="AG38" s="68" t="str">
        <x:v>https://zh.wikisource.org/zh-hans/%E6%B7%B5%E6%B5%B7%E5%AD%90%E5%B9%B3 ; https://zh.wikisource.org/wiki/%E6%BB%B4%E5%A4%A9%E9%AB%93%E9%97%A1%E5%BE%AE</x:v>
      </x:c>
      <x:c r="AH38" s="82" t="str">
        <x:v>采用</x:v>
      </x:c>
      <x:c r="AI38" s="82" t="str">
        <x:v>初审</x:v>
      </x:c>
      <x:c r="AJ38" s="87" t="n">
        <x:v>46255</x:v>
      </x:c>
    </x:row>
    <x:row r="39">
      <x:c r="A39" s="72" t="str">
        <x:f>IF(OR(C39="",D39=""),"",B39&amp;"-"&amp;UPPER(C39)&amp;"-"&amp;TEXT(D39,"0000")&amp;"-"&amp;E39)</x:f>
        <x:v>M11-GUANYIN-0033-V1.0</x:v>
      </x:c>
      <x:c r="B39" s="74" t="str">
        <x:v>M11</x:v>
      </x:c>
      <x:c r="C39" s="74" t="str">
        <x:v>GUANYIN</x:v>
      </x:c>
      <x:c r="D39" s="215" t="n">
        <x:v>33</x:v>
      </x:c>
      <x:c r="E39" s="74" t="str">
        <x:v>V1.0</x:v>
      </x:c>
      <x:c r="F39" s="68" t="str">
        <x:v>伤官克官会破坏官印源头</x:v>
      </x:c>
      <x:c r="G39" s="82" t="str">
        <x:v>结构层</x:v>
      </x:c>
      <x:c r="H39" s="82" t="str">
        <x:v>生化型</x:v>
      </x:c>
      <x:c r="I39" s="68" t="str">
        <x:v>官印相生</x:v>
      </x:c>
      <x:c r="J39" s="68" t="str">
        <x:v>正官、印星、伤官</x:v>
      </x:c>
      <x:c r="K39" s="68" t="str">
        <x:v>伤官有效强制正官</x:v>
      </x:c>
      <x:c r="L39" s="68" t="str">
        <x:v>正官功能显著受限</x:v>
      </x:c>
      <x:c r="M39" s="68" t="str">
        <x:v>直接或可达的生克制化路径成立</x:v>
      </x:c>
      <x:c r="N39" s="68" t="str">
        <x:v>相关十神均以M10有效力量为准，且不存在决定性失衡</x:v>
      </x:c>
      <x:c r="O39" s="68" t="str">
        <x:v>结合M09日主承载判断</x:v>
      </x:c>
      <x:c r="P39" s="68" t="str">
        <x:v>主体、客体、作用路径与力量匹配均达到最低要求</x:v>
      </x:c>
      <x:c r="Q39" s="68" t="str">
        <x:v>相关十神有根、有源、透达、清纯且关键通路稳定</x:v>
      </x:c>
      <x:c r="R39" s="90" t="str">
        <x:v>官星被伤官制至无法稳定生印</x:v>
      </x:c>
      <x:c r="S39" s="68" t="str">
        <x:v>存在第三十神恢复通路、清除破坏或重新形成平衡</x:v>
      </x:c>
      <x:c r="T39" s="90" t="str">
        <x:v>任一核心十神失效，或不存在真实作用路径</x:v>
      </x:c>
      <x:c r="U39" s="68" t="str">
        <x:v>特殊格局、从化或月令格局另转M14/M15复审</x:v>
      </x:c>
      <x:c r="V39" s="84" t="str">
        <x:v>不成立</x:v>
      </x:c>
      <x:c r="W39" s="84" t="str">
        <x:v>形成局部生化、制化或承载结构</x:v>
      </x:c>
      <x:c r="X39" s="82" t="str">
        <x:v>否</x:v>
      </x:c>
      <x:c r="Y39" s="68" t="str">
        <x:v>对应格局候选转M14</x:v>
      </x:c>
      <x:c r="Z39" s="84" t="str">
        <x:v>官印相生_伤官破官</x:v>
      </x:c>
      <x:c r="AA39" s="84" t="str">
        <x:v>官印相生：当主体、客体、路径与力量匹配满足最低标准时，判“不成立”；是否上升为格局转M14/M15。</x:v>
      </x:c>
      <x:c r="AB39" s="82" t="str">
        <x:v>较高</x:v>
      </x:c>
      <x:c r="AC39" s="82" t="str">
        <x:v>现代综合</x:v>
      </x:c>
      <x:c r="AD39" s="68" t="str">
        <x:v>十神同时出现不等于组合成立。M11须同时验证核心十神有效性、作用路径、力量匹配、日主承载、破坏因素与救应；组合成立也不等于格局成立。</x:v>
      </x:c>
      <x:c r="AE39" s="68" t="str">
        <x:v>伤官有效强制正官；正官功能显著受限；作用路径稳定且无关键破坏，可按“官印相生”记录。</x:v>
      </x:c>
      <x:c r="AF39" s="90" t="str">
        <x:v>仅因“正官、印星、伤官”同时出现，但核心十神无力、无作用路径或被关键因素破坏，不能判“官印相生”成立。</x:v>
      </x:c>
      <x:c r="AG39" s="68" t="str">
        <x:v>https://zh.wikisource.org/zh-hans/%E6%B7%B5%E6%B5%B7%E5%AD%90%E5%B9%B3 ; https://zh.wikisource.org/wiki/%E6%BB%B4%E5%A4%A9%E9%AB%93%E9%97%A1%E5%BE%AE</x:v>
      </x:c>
      <x:c r="AH39" s="82" t="str">
        <x:v>采用</x:v>
      </x:c>
      <x:c r="AI39" s="82" t="str">
        <x:v>初审</x:v>
      </x:c>
      <x:c r="AJ39" s="87" t="n">
        <x:v>46255</x:v>
      </x:c>
    </x:row>
    <x:row r="40">
      <x:c r="A40" s="72" t="str">
        <x:f>IF(OR(C40="",D40=""),"",B40&amp;"-"&amp;UPPER(C40)&amp;"-"&amp;TEXT(D40,"0000")&amp;"-"&amp;E40)</x:f>
        <x:v>M11-GUANYIN-0034-V1.0</x:v>
      </x:c>
      <x:c r="B40" s="74" t="str">
        <x:v>M11</x:v>
      </x:c>
      <x:c r="C40" s="74" t="str">
        <x:v>GUANYIN</x:v>
      </x:c>
      <x:c r="D40" s="215" t="n">
        <x:v>34</x:v>
      </x:c>
      <x:c r="E40" s="74" t="str">
        <x:v>V1.0</x:v>
      </x:c>
      <x:c r="F40" s="68" t="str">
        <x:v>财星既可生官又可能破印需比较净效应</x:v>
      </x:c>
      <x:c r="G40" s="82" t="str">
        <x:v>结构层</x:v>
      </x:c>
      <x:c r="H40" s="82" t="str">
        <x:v>生化型</x:v>
      </x:c>
      <x:c r="I40" s="68" t="str">
        <x:v>官印相生</x:v>
      </x:c>
      <x:c r="J40" s="68" t="str">
        <x:v>正官、印星、财星</x:v>
      </x:c>
      <x:c r="K40" s="68" t="str">
        <x:v>财星同时与官、印发生作用</x:v>
      </x:c>
      <x:c r="L40" s="68" t="str">
        <x:v>一面生官，一面克印</x:v>
      </x:c>
      <x:c r="M40" s="68" t="str">
        <x:v>直接或可达的生克制化路径成立</x:v>
      </x:c>
      <x:c r="N40" s="68" t="str">
        <x:v>比较财生官收益与财坏印副作用</x:v>
      </x:c>
      <x:c r="O40" s="68" t="str">
        <x:v>结合M09日主承载判断</x:v>
      </x:c>
      <x:c r="P40" s="68" t="str">
        <x:v>主体、客体、作用路径与力量匹配均达到最低要求</x:v>
      </x:c>
      <x:c r="Q40" s="68" t="str">
        <x:v>相关十神有根、有源、透达、清纯且关键通路稳定</x:v>
      </x:c>
      <x:c r="R40" s="90" t="str">
        <x:v>关键十神被合绊、被制、改性、失效或力量严重失衡</x:v>
      </x:c>
      <x:c r="S40" s="68" t="str">
        <x:v>存在第三十神恢复通路、清除破坏或重新形成平衡</x:v>
      </x:c>
      <x:c r="T40" s="90" t="str">
        <x:v>任一核心十神失效，或不存在真实作用路径</x:v>
      </x:c>
      <x:c r="U40" s="68" t="str">
        <x:v>特殊格局、从化或月令格局另转M14/M15复审</x:v>
      </x:c>
      <x:c r="V40" s="84" t="str">
        <x:v>基本成立</x:v>
      </x:c>
      <x:c r="W40" s="84" t="str">
        <x:v>形成局部生化、制化或承载结构</x:v>
      </x:c>
      <x:c r="X40" s="82" t="str">
        <x:v>条件性</x:v>
      </x:c>
      <x:c r="Y40" s="68" t="str">
        <x:v>对应格局候选转M14</x:v>
      </x:c>
      <x:c r="Z40" s="84" t="str">
        <x:v>官印相生_财星双效</x:v>
      </x:c>
      <x:c r="AA40" s="84" t="str">
        <x:v>官印相生：当主体、客体、路径与力量匹配满足最低标准时，判“基本成立”；是否上升为格局转M14/M15。</x:v>
      </x:c>
      <x:c r="AB40" s="82" t="str">
        <x:v>较高</x:v>
      </x:c>
      <x:c r="AC40" s="82" t="str">
        <x:v>现代综合</x:v>
      </x:c>
      <x:c r="AD40" s="68" t="str">
        <x:v>十神同时出现不等于组合成立。M11须同时验证核心十神有效性、作用路径、力量匹配、日主承载、破坏因素与救应；组合成立也不等于格局成立。</x:v>
      </x:c>
      <x:c r="AE40" s="68" t="str">
        <x:v>财星同时与官、印发生作用；一面生官，一面克印；作用路径稳定且无关键破坏，可按“官印相生”记录。</x:v>
      </x:c>
      <x:c r="AF40" s="90" t="str">
        <x:v>仅因“正官、印星、财星”同时出现，但核心十神无力、无作用路径或被关键因素破坏，不能判“官印相生”成立。</x:v>
      </x:c>
      <x:c r="AG40" s="68" t="str">
        <x:v>https://zh.wikisource.org/zh-hans/%E6%B7%B5%E6%B5%B7%E5%AD%90%E5%B9%B3 ; https://zh.wikisource.org/wiki/%E6%BB%B4%E5%A4%A9%E9%AB%93%E9%97%A1%E5%BE%AE</x:v>
      </x:c>
      <x:c r="AH40" s="82" t="str">
        <x:v>采用</x:v>
      </x:c>
      <x:c r="AI40" s="82" t="str">
        <x:v>初审</x:v>
      </x:c>
      <x:c r="AJ40" s="87" t="n">
        <x:v>46255</x:v>
      </x:c>
    </x:row>
    <x:row r="41">
      <x:c r="A41" s="72" t="str">
        <x:f>IF(OR(C41="",D41=""),"",B41&amp;"-"&amp;UPPER(C41)&amp;"-"&amp;TEXT(D41,"0000")&amp;"-"&amp;E41)</x:f>
        <x:v>M11-GUANYIN-0035-V1.0</x:v>
      </x:c>
      <x:c r="B41" s="74" t="str">
        <x:v>M11</x:v>
      </x:c>
      <x:c r="C41" s="74" t="str">
        <x:v>GUANYIN</x:v>
      </x:c>
      <x:c r="D41" s="215" t="n">
        <x:v>35</x:v>
      </x:c>
      <x:c r="E41" s="74" t="str">
        <x:v>V1.0</x:v>
      </x:c>
      <x:c r="F41" s="68" t="str">
        <x:v>官印清纯且链路稳定时组合增强</x:v>
      </x:c>
      <x:c r="G41" s="82" t="str">
        <x:v>结构层</x:v>
      </x:c>
      <x:c r="H41" s="82" t="str">
        <x:v>生化型</x:v>
      </x:c>
      <x:c r="I41" s="68" t="str">
        <x:v>官印相生</x:v>
      </x:c>
      <x:c r="J41" s="68" t="str">
        <x:v>正官、印星</x:v>
      </x:c>
      <x:c r="K41" s="68" t="str">
        <x:v>正官较清、印星较清且均有效</x:v>
      </x:c>
      <x:c r="L41" s="68" t="str">
        <x:v>官印无强伤官、财破或合化</x:v>
      </x:c>
      <x:c r="M41" s="68" t="str">
        <x:v>直接或可达的生克制化路径成立</x:v>
      </x:c>
      <x:c r="N41" s="68" t="str">
        <x:v>相关十神均以M10有效力量为准，且不存在决定性失衡</x:v>
      </x:c>
      <x:c r="O41" s="68" t="str">
        <x:v>结合M09日主承载判断</x:v>
      </x:c>
      <x:c r="P41" s="68" t="str">
        <x:v>主体、客体、作用路径与力量匹配均达到最低要求</x:v>
      </x:c>
      <x:c r="Q41" s="68" t="str">
        <x:v>相关十神有根、有源、透达、清纯且关键通路稳定</x:v>
      </x:c>
      <x:c r="R41" s="90" t="str">
        <x:v>关键十神被合绊、被制、改性、失效或力量严重失衡</x:v>
      </x:c>
      <x:c r="S41" s="68" t="str">
        <x:v>存在第三十神恢复通路、清除破坏或重新形成平衡</x:v>
      </x:c>
      <x:c r="T41" s="90" t="str">
        <x:v>任一核心十神失效，或不存在真实作用路径</x:v>
      </x:c>
      <x:c r="U41" s="68" t="str">
        <x:v>特殊格局、从化或月令格局另转M14/M15复审</x:v>
      </x:c>
      <x:c r="V41" s="84" t="str">
        <x:v>明显成立</x:v>
      </x:c>
      <x:c r="W41" s="84" t="str">
        <x:v>形成局部生化、制化或承载结构</x:v>
      </x:c>
      <x:c r="X41" s="82" t="str">
        <x:v>条件性</x:v>
      </x:c>
      <x:c r="Y41" s="68" t="str">
        <x:v>对应格局候选转M14</x:v>
      </x:c>
      <x:c r="Z41" s="84" t="str">
        <x:v>官印相生_清纯增强</x:v>
      </x:c>
      <x:c r="AA41" s="84" t="str">
        <x:v>官印相生：当主体、客体、路径与力量匹配满足最低标准时，判“明显成立”；是否上升为格局转M14/M15。</x:v>
      </x:c>
      <x:c r="AB41" s="82" t="str">
        <x:v>较高</x:v>
      </x:c>
      <x:c r="AC41" s="82" t="str">
        <x:v>现代综合</x:v>
      </x:c>
      <x:c r="AD41" s="68" t="str">
        <x:v>十神同时出现不等于组合成立。M11须同时验证核心十神有效性、作用路径、力量匹配、日主承载、破坏因素与救应；组合成立也不等于格局成立。</x:v>
      </x:c>
      <x:c r="AE41" s="68" t="str">
        <x:v>正官较清、印星较清且均有效；官印无强伤官、财破或合化；作用路径稳定且无关键破坏，可按“官印相生”记录。</x:v>
      </x:c>
      <x:c r="AF41" s="90" t="str">
        <x:v>仅因“正官、印星”同时出现，但核心十神无力、无作用路径或被关键因素破坏，不能判“官印相生”成立。</x:v>
      </x:c>
      <x:c r="AG41" s="68" t="str">
        <x:v>https://zh.wikisource.org/zh-hans/%E6%B7%B5%E6%B5%B7%E5%AD%90%E5%B9%B3 ; https://zh.wikisource.org/wiki/%E6%BB%B4%E5%A4%A9%E9%AB%93%E9%97%A1%E5%BE%AE</x:v>
      </x:c>
      <x:c r="AH41" s="82" t="str">
        <x:v>采用</x:v>
      </x:c>
      <x:c r="AI41" s="82" t="str">
        <x:v>初审</x:v>
      </x:c>
      <x:c r="AJ41" s="87" t="n">
        <x:v>46255</x:v>
      </x:c>
    </x:row>
    <x:row r="42">
      <x:c r="A42" s="72" t="str">
        <x:f>IF(OR(C42="",D42=""),"",B42&amp;"-"&amp;UPPER(C42)&amp;"-"&amp;TEXT(D42,"0000")&amp;"-"&amp;E42)</x:f>
        <x:v>M11-GUANYIN-0036-V1.0</x:v>
      </x:c>
      <x:c r="B42" s="74" t="str">
        <x:v>M11</x:v>
      </x:c>
      <x:c r="C42" s="74" t="str">
        <x:v>GUANYIN</x:v>
      </x:c>
      <x:c r="D42" s="215" t="n">
        <x:v>36</x:v>
      </x:c>
      <x:c r="E42" s="74" t="str">
        <x:v>V1.0</x:v>
      </x:c>
      <x:c r="F42" s="68" t="str">
        <x:v>官印相生不等于正官格成立</x:v>
      </x:c>
      <x:c r="G42" s="82" t="str">
        <x:v>结构层</x:v>
      </x:c>
      <x:c r="H42" s="82" t="str">
        <x:v>生化型</x:v>
      </x:c>
      <x:c r="I42" s="68" t="str">
        <x:v>官印相生</x:v>
      </x:c>
      <x:c r="J42" s="68" t="str">
        <x:v>正官、印星</x:v>
      </x:c>
      <x:c r="K42" s="68" t="str">
        <x:v>局部官印链已经成立</x:v>
      </x:c>
      <x:c r="L42" s="68" t="str">
        <x:v>月令与格局主导性尚未核查</x:v>
      </x:c>
      <x:c r="M42" s="68" t="str">
        <x:v>直接或可达的生克制化路径成立</x:v>
      </x:c>
      <x:c r="N42" s="68" t="str">
        <x:v>相关十神均以M10有效力量为准，且不存在决定性失衡</x:v>
      </x:c>
      <x:c r="O42" s="68" t="str">
        <x:v>结合M09日主承载判断</x:v>
      </x:c>
      <x:c r="P42" s="68" t="str">
        <x:v>主体、客体、作用路径与力量匹配均达到最低要求</x:v>
      </x:c>
      <x:c r="Q42" s="68" t="str">
        <x:v>相关十神有根、有源、透达、清纯且关键通路稳定</x:v>
      </x:c>
      <x:c r="R42" s="90" t="str">
        <x:v>关键十神被合绊、被制、改性、失效或力量严重失衡</x:v>
      </x:c>
      <x:c r="S42" s="68" t="str">
        <x:v>存在第三十神恢复通路、清除破坏或重新形成平衡</x:v>
      </x:c>
      <x:c r="T42" s="90" t="str">
        <x:v>任一核心十神失效，或不存在真实作用路径</x:v>
      </x:c>
      <x:c r="U42" s="68" t="str">
        <x:v>特殊格局、从化或月令格局另转M14/M15复审</x:v>
      </x:c>
      <x:c r="V42" s="84" t="str">
        <x:v>明显成立</x:v>
      </x:c>
      <x:c r="W42" s="84" t="str">
        <x:v>提供官印结构候选</x:v>
      </x:c>
      <x:c r="X42" s="82" t="str">
        <x:v>条件性</x:v>
      </x:c>
      <x:c r="Y42" s="68" t="str">
        <x:v>正官格/印格候选转M14</x:v>
      </x:c>
      <x:c r="Z42" s="84" t="str">
        <x:v>官印相生_格局边界</x:v>
      </x:c>
      <x:c r="AA42" s="84" t="str">
        <x:v>官印相生：当主体、客体、路径与力量匹配满足最低标准时，判“明显成立”；是否上升为格局转M14/M15。</x:v>
      </x:c>
      <x:c r="AB42" s="82" t="str">
        <x:v>较高</x:v>
      </x:c>
      <x:c r="AC42" s="82" t="str">
        <x:v>现代综合</x:v>
      </x:c>
      <x:c r="AD42" s="68" t="str">
        <x:v>十神同时出现不等于组合成立。M11须同时验证核心十神有效性、作用路径、力量匹配、日主承载、破坏因素与救应；组合成立也不等于格局成立。</x:v>
      </x:c>
      <x:c r="AE42" s="68" t="str">
        <x:v>局部官印链已经成立；月令与格局主导性尚未核查；作用路径稳定且无关键破坏，可按“官印相生”记录。</x:v>
      </x:c>
      <x:c r="AF42" s="90" t="str">
        <x:v>仅因“正官、印星”同时出现，但核心十神无力、无作用路径或被关键因素破坏，不能判“官印相生”成立。</x:v>
      </x:c>
      <x:c r="AG42" s="68" t="str">
        <x:v>https://zh.wikisource.org/zh-hans/%E6%B7%B5%E6%B5%B7%E5%AD%90%E5%B9%B3 ; https://zh.wikisource.org/wiki/%E6%BB%B4%E5%A4%A9%E9%AB%93%E9%97%A1%E5%BE%AE</x:v>
      </x:c>
      <x:c r="AH42" s="82" t="str">
        <x:v>采用</x:v>
      </x:c>
      <x:c r="AI42" s="82" t="str">
        <x:v>初审</x:v>
      </x:c>
      <x:c r="AJ42" s="87" t="n">
        <x:v>46255</x:v>
      </x:c>
    </x:row>
    <x:row r="43">
      <x:c r="A43" s="72" t="str">
        <x:f>IF(OR(C43="",D43=""),"",B43&amp;"-"&amp;UPPER(C43)&amp;"-"&amp;TEXT(D43,"0000")&amp;"-"&amp;E43)</x:f>
        <x:v>M11-SHANGYIN-0037-V1.0</x:v>
      </x:c>
      <x:c r="B43" s="74" t="str">
        <x:v>M11</x:v>
      </x:c>
      <x:c r="C43" s="74" t="str">
        <x:v>SHANGYIN</x:v>
      </x:c>
      <x:c r="D43" s="215" t="n">
        <x:v>37</x:v>
      </x:c>
      <x:c r="E43" s="74" t="str">
        <x:v>V1.0</x:v>
      </x:c>
      <x:c r="F43" s="68" t="str">
        <x:v>伤官必须真实有力且存在需要制化的输出</x:v>
      </x:c>
      <x:c r="G43" s="82" t="str">
        <x:v>结构层</x:v>
      </x:c>
      <x:c r="H43" s="82" t="str">
        <x:v>制化型</x:v>
      </x:c>
      <x:c r="I43" s="68" t="str">
        <x:v>伤官配印</x:v>
      </x:c>
      <x:c r="J43" s="68" t="str">
        <x:v>伤官、印星</x:v>
      </x:c>
      <x:c r="K43" s="68" t="str">
        <x:v>伤官有效并达到中和偏旺以上或形成明显泄身/克官作用</x:v>
      </x:c>
      <x:c r="L43" s="68" t="str">
        <x:v>印星有效且可克制伤官</x:v>
      </x:c>
      <x:c r="M43" s="68" t="str">
        <x:v>印星对伤官存在直接可达制约路径</x:v>
      </x:c>
      <x:c r="N43" s="68" t="str">
        <x:v>相关十神均以M10有效力量为准，且不存在决定性失衡</x:v>
      </x:c>
      <x:c r="O43" s="68" t="str">
        <x:v>日主不能因印星过度生身而进一步失衡</x:v>
      </x:c>
      <x:c r="P43" s="68" t="str">
        <x:v>主体、客体、作用路径与力量匹配均达到最低要求</x:v>
      </x:c>
      <x:c r="Q43" s="68" t="str">
        <x:v>相关十神有根、有源、透达、清纯且关键通路稳定</x:v>
      </x:c>
      <x:c r="R43" s="90" t="str">
        <x:v>关键十神被合绊、被制、改性、失效或力量严重失衡</x:v>
      </x:c>
      <x:c r="S43" s="68" t="str">
        <x:v>存在第三十神恢复通路、清除破坏或重新形成平衡</x:v>
      </x:c>
      <x:c r="T43" s="90" t="str">
        <x:v>任一核心十神失效，或不存在真实作用路径</x:v>
      </x:c>
      <x:c r="U43" s="68" t="str">
        <x:v>特殊格局、从化或月令格局另转M14/M15复审</x:v>
      </x:c>
      <x:c r="V43" s="84" t="str">
        <x:v>基本成立</x:v>
      </x:c>
      <x:c r="W43" s="84" t="str">
        <x:v>约束伤官、稳定输出</x:v>
      </x:c>
      <x:c r="X43" s="82" t="str">
        <x:v>条件性</x:v>
      </x:c>
      <x:c r="Y43" s="68" t="str">
        <x:v>伤官配印格候选</x:v>
      </x:c>
      <x:c r="Z43" s="84" t="str">
        <x:v>伤官配印_成立条件</x:v>
      </x:c>
      <x:c r="AA43" s="84" t="str">
        <x:v>伤官配印：当主体、客体、路径与力量匹配满足最低标准时，判“基本成立”；是否上升为格局转M14/M15。</x:v>
      </x:c>
      <x:c r="AB43" s="82" t="str">
        <x:v>较高</x:v>
      </x:c>
      <x:c r="AC43" s="82" t="str">
        <x:v>现代综合</x:v>
      </x:c>
      <x:c r="AD43" s="68" t="str">
        <x:v>十神同时出现不等于组合成立。M11须同时验证核心十神有效性、作用路径、力量匹配、日主承载、破坏因素与救应；组合成立也不等于格局成立。</x:v>
      </x:c>
      <x:c r="AE43" s="68" t="str">
        <x:v>伤官有效并达到中和偏旺以上或形成明显泄身/克官作用；印星有效且可克制伤官；作用路径稳定且无关键破坏，可按“伤官配印”记录。</x:v>
      </x:c>
      <x:c r="AF43" s="90" t="str">
        <x:v>仅因“伤官、印星”同时出现，但核心十神无力、无作用路径或被关键因素破坏，不能判“伤官配印”成立。</x:v>
      </x:c>
      <x:c r="AG43" s="68" t="str">
        <x:v>https://zh.wikisource.org/zh-hans/%E6%B7%B5%E6%B5%B7%E5%AD%90%E5%B9%B3 ; https://zh.wikisource.org/wiki/%E6%BB%B4%E5%A4%A9%E9%AB%93%E9%97%A1%E5%BE%AE</x:v>
      </x:c>
      <x:c r="AH43" s="82" t="str">
        <x:v>采用</x:v>
      </x:c>
      <x:c r="AI43" s="82" t="str">
        <x:v>初审</x:v>
      </x:c>
      <x:c r="AJ43" s="87" t="n">
        <x:v>46255</x:v>
      </x:c>
    </x:row>
    <x:row r="44">
      <x:c r="A44" s="72" t="str">
        <x:f>IF(OR(C44="",D44=""),"",B44&amp;"-"&amp;UPPER(C44)&amp;"-"&amp;TEXT(D44,"0000")&amp;"-"&amp;E44)</x:f>
        <x:v>M11-SHANGYIN-0038-V1.0</x:v>
      </x:c>
      <x:c r="B44" s="74" t="str">
        <x:v>M11</x:v>
      </x:c>
      <x:c r="C44" s="74" t="str">
        <x:v>SHANGYIN</x:v>
      </x:c>
      <x:c r="D44" s="215" t="n">
        <x:v>38</x:v>
      </x:c>
      <x:c r="E44" s="74" t="str">
        <x:v>V1.0</x:v>
      </x:c>
      <x:c r="F44" s="68" t="str">
        <x:v>印星必须有足够力量制约伤官</x:v>
      </x:c>
      <x:c r="G44" s="82" t="str">
        <x:v>结构层</x:v>
      </x:c>
      <x:c r="H44" s="82" t="str">
        <x:v>制化型</x:v>
      </x:c>
      <x:c r="I44" s="68" t="str">
        <x:v>伤官配印</x:v>
      </x:c>
      <x:c r="J44" s="68" t="str">
        <x:v>伤官、印星</x:v>
      </x:c>
      <x:c r="K44" s="68" t="str">
        <x:v>伤官有力</x:v>
      </x:c>
      <x:c r="L44" s="68" t="str">
        <x:v>印星至少达到可稳定制伤的有效水平</x:v>
      </x:c>
      <x:c r="M44" s="68" t="str">
        <x:v>直接或可达的生克制化路径成立</x:v>
      </x:c>
      <x:c r="N44" s="68" t="str">
        <x:v>印伤力量不可严重失衡</x:v>
      </x:c>
      <x:c r="O44" s="68" t="str">
        <x:v>结合M09日主承载判断</x:v>
      </x:c>
      <x:c r="P44" s="68" t="str">
        <x:v>主体、客体、作用路径与力量匹配均达到最低要求</x:v>
      </x:c>
      <x:c r="Q44" s="68" t="str">
        <x:v>相关十神有根、有源、透达、清纯且关键通路稳定</x:v>
      </x:c>
      <x:c r="R44" s="90" t="str">
        <x:v>关键十神被合绊、被制、改性、失效或力量严重失衡</x:v>
      </x:c>
      <x:c r="S44" s="68" t="str">
        <x:v>存在第三十神恢复通路、清除破坏或重新形成平衡</x:v>
      </x:c>
      <x:c r="T44" s="90" t="str">
        <x:v>任一核心十神失效，或不存在真实作用路径</x:v>
      </x:c>
      <x:c r="U44" s="68" t="str">
        <x:v>特殊格局、从化或月令格局另转M14/M15复审</x:v>
      </x:c>
      <x:c r="V44" s="84" t="str">
        <x:v>基本成立</x:v>
      </x:c>
      <x:c r="W44" s="84" t="str">
        <x:v>形成局部生化、制化或承载结构</x:v>
      </x:c>
      <x:c r="X44" s="82" t="str">
        <x:v>条件性</x:v>
      </x:c>
      <x:c r="Y44" s="68" t="str">
        <x:v>对应格局候选转M14</x:v>
      </x:c>
      <x:c r="Z44" s="84" t="str">
        <x:v>伤官配印_印有力</x:v>
      </x:c>
      <x:c r="AA44" s="84" t="str">
        <x:v>伤官配印：当主体、客体、路径与力量匹配满足最低标准时，判“基本成立”；是否上升为格局转M14/M15。</x:v>
      </x:c>
      <x:c r="AB44" s="82" t="str">
        <x:v>较高</x:v>
      </x:c>
      <x:c r="AC44" s="82" t="str">
        <x:v>现代综合</x:v>
      </x:c>
      <x:c r="AD44" s="68" t="str">
        <x:v>十神同时出现不等于组合成立。M11须同时验证核心十神有效性、作用路径、力量匹配、日主承载、破坏因素与救应；组合成立也不等于格局成立。</x:v>
      </x:c>
      <x:c r="AE44" s="68" t="str">
        <x:v>伤官有力；印星至少达到可稳定制伤的有效水平；作用路径稳定且无关键破坏，可按“伤官配印”记录。</x:v>
      </x:c>
      <x:c r="AF44" s="90" t="str">
        <x:v>仅因“伤官、印星”同时出现，但核心十神无力、无作用路径或被关键因素破坏，不能判“伤官配印”成立。</x:v>
      </x:c>
      <x:c r="AG44" s="68" t="str">
        <x:v>https://zh.wikisource.org/zh-hans/%E6%B7%B5%E6%B5%B7%E5%AD%90%E5%B9%B3 ; https://zh.wikisource.org/wiki/%E6%BB%B4%E5%A4%A9%E9%AB%93%E9%97%A1%E5%BE%AE</x:v>
      </x:c>
      <x:c r="AH44" s="82" t="str">
        <x:v>采用</x:v>
      </x:c>
      <x:c r="AI44" s="82" t="str">
        <x:v>初审</x:v>
      </x:c>
      <x:c r="AJ44" s="87" t="n">
        <x:v>46255</x:v>
      </x:c>
    </x:row>
    <x:row r="45">
      <x:c r="A45" s="72" t="str">
        <x:f>IF(OR(C45="",D45=""),"",B45&amp;"-"&amp;UPPER(C45)&amp;"-"&amp;TEXT(D45,"0000")&amp;"-"&amp;E45)</x:f>
        <x:v>M11-SHANGYIN-0039-V1.0</x:v>
      </x:c>
      <x:c r="B45" s="74" t="str">
        <x:v>M11</x:v>
      </x:c>
      <x:c r="C45" s="74" t="str">
        <x:v>SHANGYIN</x:v>
      </x:c>
      <x:c r="D45" s="215" t="n">
        <x:v>39</x:v>
      </x:c>
      <x:c r="E45" s="74" t="str">
        <x:v>V1.0</x:v>
      </x:c>
      <x:c r="F45" s="68" t="str">
        <x:v>伤官太弱无须配印时组合降级</x:v>
      </x:c>
      <x:c r="G45" s="82" t="str">
        <x:v>结构层</x:v>
      </x:c>
      <x:c r="H45" s="82" t="str">
        <x:v>制化型</x:v>
      </x:c>
      <x:c r="I45" s="68" t="str">
        <x:v>伤官配印</x:v>
      </x:c>
      <x:c r="J45" s="68" t="str">
        <x:v>伤官、印星</x:v>
      </x:c>
      <x:c r="K45" s="68" t="str">
        <x:v>伤官极弱、受限或已失效</x:v>
      </x:c>
      <x:c r="L45" s="68" t="str">
        <x:v>印星虽有力</x:v>
      </x:c>
      <x:c r="M45" s="68" t="str">
        <x:v>直接或可达的生克制化路径成立</x:v>
      </x:c>
      <x:c r="N45" s="68" t="str">
        <x:v>相关十神均以M10有效力量为准，且不存在决定性失衡</x:v>
      </x:c>
      <x:c r="O45" s="68" t="str">
        <x:v>结合M09日主承载判断</x:v>
      </x:c>
      <x:c r="P45" s="68" t="str">
        <x:v>不存在明显需要制化的伤官功能</x:v>
      </x:c>
      <x:c r="Q45" s="68" t="str">
        <x:v>相关十神有根、有源、透达、清纯且关键通路稳定</x:v>
      </x:c>
      <x:c r="R45" s="90" t="str">
        <x:v>关键十神被合绊、被制、改性、失效或力量严重失衡</x:v>
      </x:c>
      <x:c r="S45" s="68" t="str">
        <x:v>存在第三十神恢复通路、清除破坏或重新形成平衡</x:v>
      </x:c>
      <x:c r="T45" s="90" t="str">
        <x:v>任一核心十神失效，或不存在真实作用路径</x:v>
      </x:c>
      <x:c r="U45" s="68" t="str">
        <x:v>特殊格局、从化或月令格局另转M14/M15复审</x:v>
      </x:c>
      <x:c r="V45" s="84" t="str">
        <x:v>不成立</x:v>
      </x:c>
      <x:c r="W45" s="84" t="str">
        <x:v>印星主要生身而非配伤</x:v>
      </x:c>
      <x:c r="X45" s="82" t="str">
        <x:v>否</x:v>
      </x:c>
      <x:c r="Y45" s="68" t="str">
        <x:v>对应格局候选转M14</x:v>
      </x:c>
      <x:c r="Z45" s="84" t="str">
        <x:v>伤官配印_伤弱</x:v>
      </x:c>
      <x:c r="AA45" s="84" t="str">
        <x:v>伤官配印：当主体、客体、路径与力量匹配满足最低标准时，判“不成立”；是否上升为格局转M14/M15。</x:v>
      </x:c>
      <x:c r="AB45" s="82" t="str">
        <x:v>较高</x:v>
      </x:c>
      <x:c r="AC45" s="82" t="str">
        <x:v>现代综合</x:v>
      </x:c>
      <x:c r="AD45" s="68" t="str">
        <x:v>十神同时出现不等于组合成立。M11须同时验证核心十神有效性、作用路径、力量匹配、日主承载、破坏因素与救应；组合成立也不等于格局成立。</x:v>
      </x:c>
      <x:c r="AE45" s="68" t="str">
        <x:v>伤官极弱、受限或已失效；印星虽有力；作用路径稳定且无关键破坏，可按“伤官配印”记录。</x:v>
      </x:c>
      <x:c r="AF45" s="90" t="str">
        <x:v>仅因“伤官、印星”同时出现，但核心十神无力、无作用路径或被关键因素破坏，不能判“伤官配印”成立。</x:v>
      </x:c>
      <x:c r="AG45" s="68" t="str">
        <x:v>https://zh.wikisource.org/zh-hans/%E6%B7%B5%E6%B5%B7%E5%AD%90%E5%B9%B3 ; https://zh.wikisource.org/wiki/%E6%BB%B4%E5%A4%A9%E9%AB%93%E9%97%A1%E5%BE%AE</x:v>
      </x:c>
      <x:c r="AH45" s="82" t="str">
        <x:v>采用</x:v>
      </x:c>
      <x:c r="AI45" s="82" t="str">
        <x:v>初审</x:v>
      </x:c>
      <x:c r="AJ45" s="87" t="n">
        <x:v>46255</x:v>
      </x:c>
    </x:row>
    <x:row r="46">
      <x:c r="A46" s="72" t="str">
        <x:f>IF(OR(C46="",D46=""),"",B46&amp;"-"&amp;UPPER(C46)&amp;"-"&amp;TEXT(D46,"0000")&amp;"-"&amp;E46)</x:f>
        <x:v>M11-SHANGYIN-0040-V1.0</x:v>
      </x:c>
      <x:c r="B46" s="74" t="str">
        <x:v>M11</x:v>
      </x:c>
      <x:c r="C46" s="74" t="str">
        <x:v>SHANGYIN</x:v>
      </x:c>
      <x:c r="D46" s="215" t="n">
        <x:v>40</x:v>
      </x:c>
      <x:c r="E46" s="74" t="str">
        <x:v>V1.0</x:v>
      </x:c>
      <x:c r="F46" s="68" t="str">
        <x:v>印过强将伤官完全压制时属于制化过度</x:v>
      </x:c>
      <x:c r="G46" s="82" t="str">
        <x:v>结构层</x:v>
      </x:c>
      <x:c r="H46" s="82" t="str">
        <x:v>制化型</x:v>
      </x:c>
      <x:c r="I46" s="68" t="str">
        <x:v>伤官配印</x:v>
      </x:c>
      <x:c r="J46" s="68" t="str">
        <x:v>伤官、印星</x:v>
      </x:c>
      <x:c r="K46" s="68" t="str">
        <x:v>印星旺或极旺</x:v>
      </x:c>
      <x:c r="L46" s="68" t="str">
        <x:v>伤官被制至失效</x:v>
      </x:c>
      <x:c r="M46" s="68" t="str">
        <x:v>直接或可达的生克制化路径成立</x:v>
      </x:c>
      <x:c r="N46" s="68" t="str">
        <x:v>印明显强于伤</x:v>
      </x:c>
      <x:c r="O46" s="68" t="str">
        <x:v>结合M09日主承载判断</x:v>
      </x:c>
      <x:c r="P46" s="68" t="str">
        <x:v>主体、客体、作用路径与力量匹配均达到最低要求</x:v>
      </x:c>
      <x:c r="Q46" s="68" t="str">
        <x:v>相关十神有根、有源、透达、清纯且关键通路稳定</x:v>
      </x:c>
      <x:c r="R46" s="90" t="str">
        <x:v>关键十神被合绊、被制、改性、失效或力量严重失衡</x:v>
      </x:c>
      <x:c r="S46" s="68" t="str">
        <x:v>存在第三十神恢复通路、清除破坏或重新形成平衡</x:v>
      </x:c>
      <x:c r="T46" s="90" t="str">
        <x:v>任一核心十神失效，或不存在真实作用路径</x:v>
      </x:c>
      <x:c r="U46" s="68" t="str">
        <x:v>特殊格局、从化或月令格局另转M14/M15复审</x:v>
      </x:c>
      <x:c r="V46" s="84" t="str">
        <x:v>弱成立</x:v>
      </x:c>
      <x:c r="W46" s="84" t="str">
        <x:v>伤官功能被过度压制</x:v>
      </x:c>
      <x:c r="X46" s="82" t="str">
        <x:v>否</x:v>
      </x:c>
      <x:c r="Y46" s="68" t="str">
        <x:v>对应格局候选转M14</x:v>
      </x:c>
      <x:c r="Z46" s="84" t="str">
        <x:v>伤官配印_印制太过</x:v>
      </x:c>
      <x:c r="AA46" s="84" t="str">
        <x:v>伤官配印：当主体、客体、路径与力量匹配满足最低标准时，判“弱成立”；是否上升为格局转M14/M15。</x:v>
      </x:c>
      <x:c r="AB46" s="82" t="str">
        <x:v>较高</x:v>
      </x:c>
      <x:c r="AC46" s="82" t="str">
        <x:v>现代综合</x:v>
      </x:c>
      <x:c r="AD46" s="68" t="str">
        <x:v>十神同时出现不等于组合成立。M11须同时验证核心十神有效性、作用路径、力量匹配、日主承载、破坏因素与救应；组合成立也不等于格局成立。</x:v>
      </x:c>
      <x:c r="AE46" s="68" t="str">
        <x:v>印星旺或极旺；伤官被制至失效；作用路径稳定且无关键破坏，可按“伤官配印”记录。</x:v>
      </x:c>
      <x:c r="AF46" s="90" t="str">
        <x:v>仅因“伤官、印星”同时出现，但核心十神无力、无作用路径或被关键因素破坏，不能判“伤官配印”成立。</x:v>
      </x:c>
      <x:c r="AG46" s="68" t="str">
        <x:v>https://zh.wikisource.org/zh-hans/%E6%B7%B5%E6%B5%B7%E5%AD%90%E5%B9%B3 ; https://zh.wikisource.org/wiki/%E6%BB%B4%E5%A4%A9%E9%AB%93%E9%97%A1%E5%BE%AE</x:v>
      </x:c>
      <x:c r="AH46" s="82" t="str">
        <x:v>采用</x:v>
      </x:c>
      <x:c r="AI46" s="82" t="str">
        <x:v>初审</x:v>
      </x:c>
      <x:c r="AJ46" s="87" t="n">
        <x:v>46255</x:v>
      </x:c>
    </x:row>
    <x:row r="47">
      <x:c r="A47" s="72" t="str">
        <x:f>IF(OR(C47="",D47=""),"",B47&amp;"-"&amp;UPPER(C47)&amp;"-"&amp;TEXT(D47,"0000")&amp;"-"&amp;E47)</x:f>
        <x:v>M11-SHANGYIN-0041-V1.0</x:v>
      </x:c>
      <x:c r="B47" s="74" t="str">
        <x:v>M11</x:v>
      </x:c>
      <x:c r="C47" s="74" t="str">
        <x:v>SHANGYIN</x:v>
      </x:c>
      <x:c r="D47" s="215" t="n">
        <x:v>41</x:v>
      </x:c>
      <x:c r="E47" s="74" t="str">
        <x:v>V1.0</x:v>
      </x:c>
      <x:c r="F47" s="68" t="str">
        <x:v>财星强制印会破坏配印</x:v>
      </x:c>
      <x:c r="G47" s="82" t="str">
        <x:v>结构层</x:v>
      </x:c>
      <x:c r="H47" s="82" t="str">
        <x:v>制化型</x:v>
      </x:c>
      <x:c r="I47" s="68" t="str">
        <x:v>伤官配印</x:v>
      </x:c>
      <x:c r="J47" s="68" t="str">
        <x:v>伤官、印星、财星</x:v>
      </x:c>
      <x:c r="K47" s="68" t="str">
        <x:v>财星有效且直接克制关键印星</x:v>
      </x:c>
      <x:c r="L47" s="68" t="str">
        <x:v>印星制伤能力下降</x:v>
      </x:c>
      <x:c r="M47" s="68" t="str">
        <x:v>直接或可达的生克制化路径成立</x:v>
      </x:c>
      <x:c r="N47" s="68" t="str">
        <x:v>相关十神均以M10有效力量为准，且不存在决定性失衡</x:v>
      </x:c>
      <x:c r="O47" s="68" t="str">
        <x:v>结合M09日主承载判断</x:v>
      </x:c>
      <x:c r="P47" s="68" t="str">
        <x:v>主体、客体、作用路径与力量匹配均达到最低要求</x:v>
      </x:c>
      <x:c r="Q47" s="68" t="str">
        <x:v>相关十神有根、有源、透达、清纯且关键通路稳定</x:v>
      </x:c>
      <x:c r="R47" s="90" t="str">
        <x:v>财破关键印星</x:v>
      </x:c>
      <x:c r="S47" s="68" t="str">
        <x:v>存在第三十神恢复通路、清除破坏或重新形成平衡</x:v>
      </x:c>
      <x:c r="T47" s="90" t="str">
        <x:v>任一核心十神失效，或不存在真实作用路径</x:v>
      </x:c>
      <x:c r="U47" s="68" t="str">
        <x:v>特殊格局、从化或月令格局另转M14/M15复审</x:v>
      </x:c>
      <x:c r="V47" s="84" t="str">
        <x:v>不成立</x:v>
      </x:c>
      <x:c r="W47" s="84" t="str">
        <x:v>形成局部生化、制化或承载结构</x:v>
      </x:c>
      <x:c r="X47" s="82" t="str">
        <x:v>否</x:v>
      </x:c>
      <x:c r="Y47" s="68" t="str">
        <x:v>对应格局候选转M14</x:v>
      </x:c>
      <x:c r="Z47" s="84" t="str">
        <x:v>伤官配印_财坏印</x:v>
      </x:c>
      <x:c r="AA47" s="84" t="str">
        <x:v>伤官配印：当主体、客体、路径与力量匹配满足最低标准时，判“不成立”；是否上升为格局转M14/M15。</x:v>
      </x:c>
      <x:c r="AB47" s="82" t="str">
        <x:v>较高</x:v>
      </x:c>
      <x:c r="AC47" s="82" t="str">
        <x:v>现代综合</x:v>
      </x:c>
      <x:c r="AD47" s="68" t="str">
        <x:v>十神同时出现不等于组合成立。M11须同时验证核心十神有效性、作用路径、力量匹配、日主承载、破坏因素与救应；组合成立也不等于格局成立。</x:v>
      </x:c>
      <x:c r="AE47" s="68" t="str">
        <x:v>财星有效且直接克制关键印星；印星制伤能力下降；作用路径稳定且无关键破坏，可按“伤官配印”记录。</x:v>
      </x:c>
      <x:c r="AF47" s="90" t="str">
        <x:v>仅因“伤官、印星、财星”同时出现，但核心十神无力、无作用路径或被关键因素破坏，不能判“伤官配印”成立。</x:v>
      </x:c>
      <x:c r="AG47" s="68" t="str">
        <x:v>https://zh.wikisource.org/zh-hans/%E6%B7%B5%E6%B5%B7%E5%AD%90%E5%B9%B3 ; https://zh.wikisource.org/wiki/%E6%BB%B4%E5%A4%A9%E9%AB%93%E9%97%A1%E5%BE%AE</x:v>
      </x:c>
      <x:c r="AH47" s="82" t="str">
        <x:v>采用</x:v>
      </x:c>
      <x:c r="AI47" s="82" t="str">
        <x:v>初审</x:v>
      </x:c>
      <x:c r="AJ47" s="87" t="n">
        <x:v>46255</x:v>
      </x:c>
    </x:row>
    <x:row r="48">
      <x:c r="A48" s="72" t="str">
        <x:f>IF(OR(C48="",D48=""),"",B48&amp;"-"&amp;UPPER(C48)&amp;"-"&amp;TEXT(D48,"0000")&amp;"-"&amp;E48)</x:f>
        <x:v>M11-SHANGYIN-0042-V1.0</x:v>
      </x:c>
      <x:c r="B48" s="74" t="str">
        <x:v>M11</x:v>
      </x:c>
      <x:c r="C48" s="74" t="str">
        <x:v>SHANGYIN</x:v>
      </x:c>
      <x:c r="D48" s="215" t="n">
        <x:v>42</x:v>
      </x:c>
      <x:c r="E48" s="74" t="str">
        <x:v>V1.0</x:v>
      </x:c>
      <x:c r="F48" s="68" t="str">
        <x:v>伤官已强克官时配印可作为救应</x:v>
      </x:c>
      <x:c r="G48" s="82" t="str">
        <x:v>结构层</x:v>
      </x:c>
      <x:c r="H48" s="82" t="str">
        <x:v>制化型</x:v>
      </x:c>
      <x:c r="I48" s="68" t="str">
        <x:v>伤官配印</x:v>
      </x:c>
      <x:c r="J48" s="68" t="str">
        <x:v>伤官、印星、正官</x:v>
      </x:c>
      <x:c r="K48" s="68" t="str">
        <x:v>伤官克官冲突已经成立</x:v>
      </x:c>
      <x:c r="L48" s="68" t="str">
        <x:v>印星有力并能制伤、同时不被财破</x:v>
      </x:c>
      <x:c r="M48" s="68" t="str">
        <x:v>直接或可达的生克制化路径成立</x:v>
      </x:c>
      <x:c r="N48" s="68" t="str">
        <x:v>相关十神均以M10有效力量为准，且不存在决定性失衡</x:v>
      </x:c>
      <x:c r="O48" s="68" t="str">
        <x:v>结合M09日主承载判断</x:v>
      </x:c>
      <x:c r="P48" s="68" t="str">
        <x:v>主体、客体、作用路径与力量匹配均达到最低要求</x:v>
      </x:c>
      <x:c r="Q48" s="68" t="str">
        <x:v>相关十神有根、有源、透达、清纯且关键通路稳定</x:v>
      </x:c>
      <x:c r="R48" s="90" t="str">
        <x:v>关键十神被合绊、被制、改性、失效或力量严重失衡</x:v>
      </x:c>
      <x:c r="S48" s="68" t="str">
        <x:v>印制伤恢复官星功能或降低冲突</x:v>
      </x:c>
      <x:c r="T48" s="90" t="str">
        <x:v>任一核心十神失效，或不存在真实作用路径</x:v>
      </x:c>
      <x:c r="U48" s="68" t="str">
        <x:v>特殊格局、从化或月令格局另转M14/M15复审</x:v>
      </x:c>
      <x:c r="V48" s="84" t="str">
        <x:v>基本成立</x:v>
      </x:c>
      <x:c r="W48" s="84" t="str">
        <x:v>形成局部生化、制化或承载结构</x:v>
      </x:c>
      <x:c r="X48" s="82" t="str">
        <x:v>条件性</x:v>
      </x:c>
      <x:c r="Y48" s="68" t="str">
        <x:v>对应格局候选转M14</x:v>
      </x:c>
      <x:c r="Z48" s="84" t="str">
        <x:v>伤官配印_救官</x:v>
      </x:c>
      <x:c r="AA48" s="84" t="str">
        <x:v>伤官配印：当主体、客体、路径与力量匹配满足最低标准时，判“基本成立”；是否上升为格局转M14/M15。</x:v>
      </x:c>
      <x:c r="AB48" s="82" t="str">
        <x:v>较高</x:v>
      </x:c>
      <x:c r="AC48" s="82" t="str">
        <x:v>现代综合</x:v>
      </x:c>
      <x:c r="AD48" s="68" t="str">
        <x:v>十神同时出现不等于组合成立。M11须同时验证核心十神有效性、作用路径、力量匹配、日主承载、破坏因素与救应；组合成立也不等于格局成立。</x:v>
      </x:c>
      <x:c r="AE48" s="68" t="str">
        <x:v>伤官克官冲突已经成立；印星有力并能制伤、同时不被财破；作用路径稳定且无关键破坏，可按“伤官配印”记录。</x:v>
      </x:c>
      <x:c r="AF48" s="90" t="str">
        <x:v>仅因“伤官、印星、正官”同时出现，但核心十神无力、无作用路径或被关键因素破坏，不能判“伤官配印”成立。</x:v>
      </x:c>
      <x:c r="AG48" s="68" t="str">
        <x:v>https://zh.wikisource.org/zh-hans/%E6%B7%B5%E6%B5%B7%E5%AD%90%E5%B9%B3 ; https://zh.wikisource.org/wiki/%E6%BB%B4%E5%A4%A9%E9%AB%93%E9%97%A1%E5%BE%AE</x:v>
      </x:c>
      <x:c r="AH48" s="82" t="str">
        <x:v>采用</x:v>
      </x:c>
      <x:c r="AI48" s="82" t="str">
        <x:v>初审</x:v>
      </x:c>
      <x:c r="AJ48" s="87" t="n">
        <x:v>46255</x:v>
      </x:c>
    </x:row>
    <x:row r="49">
      <x:c r="A49" s="72" t="str">
        <x:f>IF(OR(C49="",D49=""),"",B49&amp;"-"&amp;UPPER(C49)&amp;"-"&amp;TEXT(D49,"0000")&amp;"-"&amp;E49)</x:f>
        <x:v>M11-SHANGYIN-0043-V1.0</x:v>
      </x:c>
      <x:c r="B49" s="74" t="str">
        <x:v>M11</x:v>
      </x:c>
      <x:c r="C49" s="74" t="str">
        <x:v>SHANGYIN</x:v>
      </x:c>
      <x:c r="D49" s="215" t="n">
        <x:v>43</x:v>
      </x:c>
      <x:c r="E49" s="74" t="str">
        <x:v>V1.0</x:v>
      </x:c>
      <x:c r="F49" s="68" t="str">
        <x:v>身弱时印星兼具生身与制伤双重收益</x:v>
      </x:c>
      <x:c r="G49" s="82" t="str">
        <x:v>结构层</x:v>
      </x:c>
      <x:c r="H49" s="82" t="str">
        <x:v>制化型</x:v>
      </x:c>
      <x:c r="I49" s="68" t="str">
        <x:v>伤官配印</x:v>
      </x:c>
      <x:c r="J49" s="68" t="str">
        <x:v>伤官、印星</x:v>
      </x:c>
      <x:c r="K49" s="68" t="str">
        <x:v>M09日主弱或中和偏弱</x:v>
      </x:c>
      <x:c r="L49" s="68" t="str">
        <x:v>伤官有力且印星有效</x:v>
      </x:c>
      <x:c r="M49" s="68" t="str">
        <x:v>直接或可达的生克制化路径成立</x:v>
      </x:c>
      <x:c r="N49" s="68" t="str">
        <x:v>相关十神均以M10有效力量为准，且不存在决定性失衡</x:v>
      </x:c>
      <x:c r="O49" s="68" t="str">
        <x:v>印既补身又制过泄，通常提高组合有效性</x:v>
      </x:c>
      <x:c r="P49" s="68" t="str">
        <x:v>主体、客体、作用路径与力量匹配均达到最低要求</x:v>
      </x:c>
      <x:c r="Q49" s="68" t="str">
        <x:v>印星有根有源且不被财破</x:v>
      </x:c>
      <x:c r="R49" s="90" t="str">
        <x:v>关键十神被合绊、被制、改性、失效或力量严重失衡</x:v>
      </x:c>
      <x:c r="S49" s="68" t="str">
        <x:v>存在第三十神恢复通路、清除破坏或重新形成平衡</x:v>
      </x:c>
      <x:c r="T49" s="90" t="str">
        <x:v>任一核心十神失效，或不存在真实作用路径</x:v>
      </x:c>
      <x:c r="U49" s="68" t="str">
        <x:v>特殊格局、从化或月令格局另转M14/M15复审</x:v>
      </x:c>
      <x:c r="V49" s="84" t="str">
        <x:v>明显成立</x:v>
      </x:c>
      <x:c r="W49" s="84" t="str">
        <x:v>形成局部生化、制化或承载结构</x:v>
      </x:c>
      <x:c r="X49" s="82" t="str">
        <x:v>条件性</x:v>
      </x:c>
      <x:c r="Y49" s="68" t="str">
        <x:v>对应格局候选转M14</x:v>
      </x:c>
      <x:c r="Z49" s="84" t="str">
        <x:v>伤官配印_身弱增强</x:v>
      </x:c>
      <x:c r="AA49" s="84" t="str">
        <x:v>伤官配印：当主体、客体、路径与力量匹配满足最低标准时，判“明显成立”；是否上升为格局转M14/M15。</x:v>
      </x:c>
      <x:c r="AB49" s="82" t="str">
        <x:v>较高</x:v>
      </x:c>
      <x:c r="AC49" s="82" t="str">
        <x:v>现代综合</x:v>
      </x:c>
      <x:c r="AD49" s="68" t="str">
        <x:v>十神同时出现不等于组合成立。M11须同时验证核心十神有效性、作用路径、力量匹配、日主承载、破坏因素与救应；组合成立也不等于格局成立。</x:v>
      </x:c>
      <x:c r="AE49" s="68" t="str">
        <x:v>M09日主弱或中和偏弱；伤官有力且印星有效；作用路径稳定且无关键破坏，可按“伤官配印”记录。</x:v>
      </x:c>
      <x:c r="AF49" s="90" t="str">
        <x:v>仅因“伤官、印星”同时出现，但核心十神无力、无作用路径或被关键因素破坏，不能判“伤官配印”成立。</x:v>
      </x:c>
      <x:c r="AG49" s="68" t="str">
        <x:v>https://zh.wikisource.org/zh-hans/%E6%B7%B5%E6%B5%B7%E5%AD%90%E5%B9%B3 ; https://zh.wikisource.org/wiki/%E6%BB%B4%E5%A4%A9%E9%AB%93%E9%97%A1%E5%BE%AE</x:v>
      </x:c>
      <x:c r="AH49" s="82" t="str">
        <x:v>采用</x:v>
      </x:c>
      <x:c r="AI49" s="82" t="str">
        <x:v>初审</x:v>
      </x:c>
      <x:c r="AJ49" s="87" t="n">
        <x:v>46255</x:v>
      </x:c>
    </x:row>
    <x:row r="50">
      <x:c r="A50" s="72" t="str">
        <x:f>IF(OR(C50="",D50=""),"",B50&amp;"-"&amp;UPPER(C50)&amp;"-"&amp;TEXT(D50,"0000")&amp;"-"&amp;E50)</x:f>
        <x:v>M11-SHANGYIN-0044-V1.0</x:v>
      </x:c>
      <x:c r="B50" s="74" t="str">
        <x:v>M11</x:v>
      </x:c>
      <x:c r="C50" s="74" t="str">
        <x:v>SHANGYIN</x:v>
      </x:c>
      <x:c r="D50" s="215" t="n">
        <x:v>44</x:v>
      </x:c>
      <x:c r="E50" s="74" t="str">
        <x:v>V1.0</x:v>
      </x:c>
      <x:c r="F50" s="68" t="str">
        <x:v>身旺印旺再配印可能加重身势</x:v>
      </x:c>
      <x:c r="G50" s="82" t="str">
        <x:v>结构层</x:v>
      </x:c>
      <x:c r="H50" s="82" t="str">
        <x:v>制化型</x:v>
      </x:c>
      <x:c r="I50" s="68" t="str">
        <x:v>伤官配印</x:v>
      </x:c>
      <x:c r="J50" s="68" t="str">
        <x:v>伤官、印星</x:v>
      </x:c>
      <x:c r="K50" s="68" t="str">
        <x:v>日主旺或极旺且印星本已强</x:v>
      </x:c>
      <x:c r="L50" s="68" t="str">
        <x:v>伤官虽然存在，但印的生身副作用明显</x:v>
      </x:c>
      <x:c r="M50" s="68" t="str">
        <x:v>直接或可达的生克制化路径成立</x:v>
      </x:c>
      <x:c r="N50" s="68" t="str">
        <x:v>相关十神均以M10有效力量为准，且不存在决定性失衡</x:v>
      </x:c>
      <x:c r="O50" s="68" t="str">
        <x:v>若制伤收益小于印增身副作用，组合价值下降</x:v>
      </x:c>
      <x:c r="P50" s="68" t="str">
        <x:v>主体、客体、作用路径与力量匹配均达到最低要求</x:v>
      </x:c>
      <x:c r="Q50" s="68" t="str">
        <x:v>相关十神有根、有源、透达、清纯且关键通路稳定</x:v>
      </x:c>
      <x:c r="R50" s="90" t="str">
        <x:v>关键十神被合绊、被制、改性、失效或力量严重失衡</x:v>
      </x:c>
      <x:c r="S50" s="68" t="str">
        <x:v>存在第三十神恢复通路、清除破坏或重新形成平衡</x:v>
      </x:c>
      <x:c r="T50" s="90" t="str">
        <x:v>任一核心十神失效，或不存在真实作用路径</x:v>
      </x:c>
      <x:c r="U50" s="68" t="str">
        <x:v>特殊格局、从化或月令格局另转M14/M15复审</x:v>
      </x:c>
      <x:c r="V50" s="84" t="str">
        <x:v>弱成立</x:v>
      </x:c>
      <x:c r="W50" s="84" t="str">
        <x:v>形成局部生化、制化或承载结构</x:v>
      </x:c>
      <x:c r="X50" s="82" t="str">
        <x:v>否</x:v>
      </x:c>
      <x:c r="Y50" s="68" t="str">
        <x:v>对应格局候选转M14</x:v>
      </x:c>
      <x:c r="Z50" s="84" t="str">
        <x:v>伤官配印_身旺副作用</x:v>
      </x:c>
      <x:c r="AA50" s="84" t="str">
        <x:v>伤官配印：当主体、客体、路径与力量匹配满足最低标准时，判“弱成立”；是否上升为格局转M14/M15。</x:v>
      </x:c>
      <x:c r="AB50" s="82" t="str">
        <x:v>较高</x:v>
      </x:c>
      <x:c r="AC50" s="82" t="str">
        <x:v>现代综合</x:v>
      </x:c>
      <x:c r="AD50" s="68" t="str">
        <x:v>十神同时出现不等于组合成立。M11须同时验证核心十神有效性、作用路径、力量匹配、日主承载、破坏因素与救应；组合成立也不等于格局成立。</x:v>
      </x:c>
      <x:c r="AE50" s="68" t="str">
        <x:v>日主旺或极旺且印星本已强；伤官虽然存在，但印的生身副作用明显；作用路径稳定且无关键破坏，可按“伤官配印”记录。</x:v>
      </x:c>
      <x:c r="AF50" s="90" t="str">
        <x:v>仅因“伤官、印星”同时出现，但核心十神无力、无作用路径或被关键因素破坏，不能判“伤官配印”成立。</x:v>
      </x:c>
      <x:c r="AG50" s="68" t="str">
        <x:v>https://zh.wikisource.org/zh-hans/%E6%B7%B5%E6%B5%B7%E5%AD%90%E5%B9%B3 ; https://zh.wikisource.org/wiki/%E6%BB%B4%E5%A4%A9%E9%AB%93%E9%97%A1%E5%BE%AE</x:v>
      </x:c>
      <x:c r="AH50" s="82" t="str">
        <x:v>采用</x:v>
      </x:c>
      <x:c r="AI50" s="82" t="str">
        <x:v>初审</x:v>
      </x:c>
      <x:c r="AJ50" s="87" t="n">
        <x:v>46255</x:v>
      </x:c>
    </x:row>
    <x:row r="51">
      <x:c r="A51" s="72" t="str">
        <x:f>IF(OR(C51="",D51=""),"",B51&amp;"-"&amp;UPPER(C51)&amp;"-"&amp;TEXT(D51,"0000")&amp;"-"&amp;E51)</x:f>
        <x:v>M11-SHANGYIN-0045-V1.0</x:v>
      </x:c>
      <x:c r="B51" s="74" t="str">
        <x:v>M11</x:v>
      </x:c>
      <x:c r="C51" s="74" t="str">
        <x:v>SHANGYIN</x:v>
      </x:c>
      <x:c r="D51" s="215" t="n">
        <x:v>45</x:v>
      </x:c>
      <x:c r="E51" s="74" t="str">
        <x:v>V1.0</x:v>
      </x:c>
      <x:c r="F51" s="68" t="str">
        <x:v>伤印力量协调且无财破印可判明显成立</x:v>
      </x:c>
      <x:c r="G51" s="82" t="str">
        <x:v>结构层</x:v>
      </x:c>
      <x:c r="H51" s="82" t="str">
        <x:v>制化型</x:v>
      </x:c>
      <x:c r="I51" s="68" t="str">
        <x:v>伤官配印</x:v>
      </x:c>
      <x:c r="J51" s="68" t="str">
        <x:v>伤官、印星</x:v>
      </x:c>
      <x:c r="K51" s="68" t="str">
        <x:v>伤官有力、印星有力</x:v>
      </x:c>
      <x:c r="L51" s="68" t="str">
        <x:v>印能制伤但不至伤官完全失效</x:v>
      </x:c>
      <x:c r="M51" s="68" t="str">
        <x:v>直接或可达的生克制化路径成立</x:v>
      </x:c>
      <x:c r="N51" s="68" t="str">
        <x:v>伤印制化适中</x:v>
      </x:c>
      <x:c r="O51" s="68" t="str">
        <x:v>结合M09日主承载判断</x:v>
      </x:c>
      <x:c r="P51" s="68" t="str">
        <x:v>主体、客体、作用路径与力量匹配均达到最低要求</x:v>
      </x:c>
      <x:c r="Q51" s="68" t="str">
        <x:v>相关十神有根、有源、透达、清纯且关键通路稳定</x:v>
      </x:c>
      <x:c r="R51" s="90" t="str">
        <x:v>关键十神被合绊、被制、改性、失效或力量严重失衡</x:v>
      </x:c>
      <x:c r="S51" s="68" t="str">
        <x:v>存在第三十神恢复通路、清除破坏或重新形成平衡</x:v>
      </x:c>
      <x:c r="T51" s="90" t="str">
        <x:v>任一核心十神失效，或不存在真实作用路径</x:v>
      </x:c>
      <x:c r="U51" s="68" t="str">
        <x:v>特殊格局、从化或月令格局另转M14/M15复审</x:v>
      </x:c>
      <x:c r="V51" s="84" t="str">
        <x:v>明显成立</x:v>
      </x:c>
      <x:c r="W51" s="84" t="str">
        <x:v>形成局部生化、制化或承载结构</x:v>
      </x:c>
      <x:c r="X51" s="82" t="str">
        <x:v>条件性</x:v>
      </x:c>
      <x:c r="Y51" s="68" t="str">
        <x:v>对应格局候选转M14</x:v>
      </x:c>
      <x:c r="Z51" s="84" t="str">
        <x:v>伤官配印_明显成立</x:v>
      </x:c>
      <x:c r="AA51" s="84" t="str">
        <x:v>伤官配印：当主体、客体、路径与力量匹配满足最低标准时，判“明显成立”；是否上升为格局转M14/M15。</x:v>
      </x:c>
      <x:c r="AB51" s="82" t="str">
        <x:v>较高</x:v>
      </x:c>
      <x:c r="AC51" s="82" t="str">
        <x:v>现代综合</x:v>
      </x:c>
      <x:c r="AD51" s="68" t="str">
        <x:v>十神同时出现不等于组合成立。M11须同时验证核心十神有效性、作用路径、力量匹配、日主承载、破坏因素与救应；组合成立也不等于格局成立。</x:v>
      </x:c>
      <x:c r="AE51" s="68" t="str">
        <x:v>伤官有力、印星有力；印能制伤但不至伤官完全失效；作用路径稳定且无关键破坏，可按“伤官配印”记录。</x:v>
      </x:c>
      <x:c r="AF51" s="90" t="str">
        <x:v>仅因“伤官、印星”同时出现，但核心十神无力、无作用路径或被关键因素破坏，不能判“伤官配印”成立。</x:v>
      </x:c>
      <x:c r="AG51" s="68" t="str">
        <x:v>https://zh.wikisource.org/zh-hans/%E6%B7%B5%E6%B5%B7%E5%AD%90%E5%B9%B3 ; https://zh.wikisource.org/wiki/%E6%BB%B4%E5%A4%A9%E9%AB%93%E9%97%A1%E5%BE%AE</x:v>
      </x:c>
      <x:c r="AH51" s="82" t="str">
        <x:v>采用</x:v>
      </x:c>
      <x:c r="AI51" s="82" t="str">
        <x:v>初审</x:v>
      </x:c>
      <x:c r="AJ51" s="87" t="n">
        <x:v>46255</x:v>
      </x:c>
    </x:row>
    <x:row r="52">
      <x:c r="A52" s="72" t="str">
        <x:f>IF(OR(C52="",D52=""),"",B52&amp;"-"&amp;UPPER(C52)&amp;"-"&amp;TEXT(D52,"0000")&amp;"-"&amp;E52)</x:f>
        <x:v>M11-SHANGYIN-0046-V1.0</x:v>
      </x:c>
      <x:c r="B52" s="74" t="str">
        <x:v>M11</x:v>
      </x:c>
      <x:c r="C52" s="74" t="str">
        <x:v>SHANGYIN</x:v>
      </x:c>
      <x:c r="D52" s="215" t="n">
        <x:v>46</x:v>
      </x:c>
      <x:c r="E52" s="74" t="str">
        <x:v>V1.0</x:v>
      </x:c>
      <x:c r="F52" s="68" t="str">
        <x:v>伤官配印与枭神夺食必须区分对象</x:v>
      </x:c>
      <x:c r="G52" s="82" t="str">
        <x:v>结构层</x:v>
      </x:c>
      <x:c r="H52" s="82" t="str">
        <x:v>制化型</x:v>
      </x:c>
      <x:c r="I52" s="68" t="str">
        <x:v>伤官配印</x:v>
      </x:c>
      <x:c r="J52" s="68" t="str">
        <x:v>伤官、印星</x:v>
      </x:c>
      <x:c r="K52" s="68" t="str">
        <x:v>印星同时可能制伤官或食神</x:v>
      </x:c>
      <x:c r="L52" s="68" t="str">
        <x:v>须识别印制的具体食伤类型及该食伤承担的功能</x:v>
      </x:c>
      <x:c r="M52" s="68" t="str">
        <x:v>直接或可达的生克制化路径成立</x:v>
      </x:c>
      <x:c r="N52" s="68" t="str">
        <x:v>相关十神均以M10有效力量为准，且不存在决定性失衡</x:v>
      </x:c>
      <x:c r="O52" s="68" t="str">
        <x:v>结合M09日主承载判断</x:v>
      </x:c>
      <x:c r="P52" s="68" t="str">
        <x:v>明确作用对象后再命名组合</x:v>
      </x:c>
      <x:c r="Q52" s="68" t="str">
        <x:v>相关十神有根、有源、透达、清纯且关键通路稳定</x:v>
      </x:c>
      <x:c r="R52" s="90" t="str">
        <x:v>关键十神被合绊、被制、改性、失效或力量严重失衡</x:v>
      </x:c>
      <x:c r="S52" s="68" t="str">
        <x:v>存在第三十神恢复通路、清除破坏或重新形成平衡</x:v>
      </x:c>
      <x:c r="T52" s="90" t="str">
        <x:v>任一核心十神失效，或不存在真实作用路径</x:v>
      </x:c>
      <x:c r="U52" s="68" t="str">
        <x:v>特殊格局、从化或月令格局另转M14/M15复审</x:v>
      </x:c>
      <x:c r="V52" s="84" t="str">
        <x:v>待定</x:v>
      </x:c>
      <x:c r="W52" s="84" t="str">
        <x:v>防止将印制食伤统一命名</x:v>
      </x:c>
      <x:c r="X52" s="82" t="str">
        <x:v>否</x:v>
      </x:c>
      <x:c r="Y52" s="68" t="str">
        <x:v>对应格局候选转M14</x:v>
      </x:c>
      <x:c r="Z52" s="84" t="str">
        <x:v>伤官配印_对象边界</x:v>
      </x:c>
      <x:c r="AA52" s="84" t="str">
        <x:v>伤官配印：当主体、客体、路径与力量匹配满足最低标准时，判“待定”；是否上升为格局转M14/M15。</x:v>
      </x:c>
      <x:c r="AB52" s="82" t="str">
        <x:v>较高</x:v>
      </x:c>
      <x:c r="AC52" s="82" t="str">
        <x:v>现代综合</x:v>
      </x:c>
      <x:c r="AD52" s="68" t="str">
        <x:v>十神同时出现不等于组合成立。M11须同时验证核心十神有效性、作用路径、力量匹配、日主承载、破坏因素与救应；组合成立也不等于格局成立。</x:v>
      </x:c>
      <x:c r="AE52" s="68" t="str">
        <x:v>印星同时可能制伤官或食神；须识别印制的具体食伤类型及该食伤承担的功能；作用路径稳定且无关键破坏，可按“伤官配印”记录。</x:v>
      </x:c>
      <x:c r="AF52" s="90" t="str">
        <x:v>仅因“伤官、印星”同时出现，但核心十神无力、无作用路径或被关键因素破坏，不能判“伤官配印”成立。</x:v>
      </x:c>
      <x:c r="AG52" s="68" t="str">
        <x:v>https://zh.wikisource.org/zh-hans/%E6%B7%B5%E6%B5%B7%E5%AD%90%E5%B9%B3 ; https://zh.wikisource.org/wiki/%E6%BB%B4%E5%A4%A9%E9%AB%93%E9%97%A1%E5%BE%AE</x:v>
      </x:c>
      <x:c r="AH52" s="82" t="str">
        <x:v>采用</x:v>
      </x:c>
      <x:c r="AI52" s="82" t="str">
        <x:v>初审</x:v>
      </x:c>
      <x:c r="AJ52" s="87" t="n">
        <x:v>46255</x:v>
      </x:c>
    </x:row>
    <x:row r="53">
      <x:c r="A53" s="72" t="str">
        <x:f>IF(OR(C53="",D53=""),"",B53&amp;"-"&amp;UPPER(C53)&amp;"-"&amp;TEXT(D53,"0000")&amp;"-"&amp;E53)</x:f>
        <x:v>M11-SHENGCAI-0047-V1.0</x:v>
      </x:c>
      <x:c r="B53" s="74" t="str">
        <x:v>M11</x:v>
      </x:c>
      <x:c r="C53" s="74" t="str">
        <x:v>SHENGCAI</x:v>
      </x:c>
      <x:c r="D53" s="215" t="n">
        <x:v>47</x:v>
      </x:c>
      <x:c r="E53" s="74" t="str">
        <x:v>V1.0</x:v>
      </x:c>
      <x:c r="F53" s="68" t="str">
        <x:v>食神必须有效且能够向财星输送</x:v>
      </x:c>
      <x:c r="G53" s="82" t="str">
        <x:v>结构层</x:v>
      </x:c>
      <x:c r="H53" s="82" t="str">
        <x:v>生化型</x:v>
      </x:c>
      <x:c r="I53" s="68" t="str">
        <x:v>食神生财</x:v>
      </x:c>
      <x:c r="J53" s="68" t="str">
        <x:v>食神、财星</x:v>
      </x:c>
      <x:c r="K53" s="68" t="str">
        <x:v>食神有效</x:v>
      </x:c>
      <x:c r="L53" s="68" t="str">
        <x:v>财星有效且能承接食神生扶</x:v>
      </x:c>
      <x:c r="M53" s="68" t="str">
        <x:v>食神→财星路径连续</x:v>
      </x:c>
      <x:c r="N53" s="68" t="str">
        <x:v>相关十神均以M10有效力量为准，且不存在决定性失衡</x:v>
      </x:c>
      <x:c r="O53" s="68" t="str">
        <x:v>结合M09日主承载判断</x:v>
      </x:c>
      <x:c r="P53" s="68" t="str">
        <x:v>主体、客体、作用路径与力量匹配均达到最低要求</x:v>
      </x:c>
      <x:c r="Q53" s="68" t="str">
        <x:v>相关十神有根、有源、透达、清纯且关键通路稳定</x:v>
      </x:c>
      <x:c r="R53" s="90" t="str">
        <x:v>关键十神被合绊、被制、改性、失效或力量严重失衡</x:v>
      </x:c>
      <x:c r="S53" s="68" t="str">
        <x:v>存在第三十神恢复通路、清除破坏或重新形成平衡</x:v>
      </x:c>
      <x:c r="T53" s="90" t="str">
        <x:v>任一核心十神失效，或不存在真实作用路径</x:v>
      </x:c>
      <x:c r="U53" s="68" t="str">
        <x:v>特殊格局、从化或月令格局另转M14/M15复审</x:v>
      </x:c>
      <x:c r="V53" s="84" t="str">
        <x:v>基本成立</x:v>
      </x:c>
      <x:c r="W53" s="84" t="str">
        <x:v>泄身并转化为财星</x:v>
      </x:c>
      <x:c r="X53" s="82" t="str">
        <x:v>条件性</x:v>
      </x:c>
      <x:c r="Y53" s="68" t="str">
        <x:v>食神生财格候选</x:v>
      </x:c>
      <x:c r="Z53" s="84" t="str">
        <x:v>食神生财_成立条件</x:v>
      </x:c>
      <x:c r="AA53" s="84" t="str">
        <x:v>食神生财：当主体、客体、路径与力量匹配满足最低标准时，判“基本成立”；是否上升为格局转M14/M15。</x:v>
      </x:c>
      <x:c r="AB53" s="82" t="str">
        <x:v>较高</x:v>
      </x:c>
      <x:c r="AC53" s="82" t="str">
        <x:v>现代综合</x:v>
      </x:c>
      <x:c r="AD53" s="68" t="str">
        <x:v>十神同时出现不等于组合成立。M11须同时验证核心十神有效性、作用路径、力量匹配、日主承载、破坏因素与救应；组合成立也不等于格局成立。</x:v>
      </x:c>
      <x:c r="AE53" s="68" t="str">
        <x:v>食神有效；财星有效且能承接食神生扶；作用路径稳定且无关键破坏，可按“食神生财”记录。</x:v>
      </x:c>
      <x:c r="AF53" s="90" t="str">
        <x:v>仅因“食神、财星”同时出现，但核心十神无力、无作用路径或被关键因素破坏，不能判“食神生财”成立。</x:v>
      </x:c>
      <x:c r="AG53" s="68" t="str">
        <x:v>https://zh.wikisource.org/zh-hans/%E6%B7%B5%E6%B5%B7%E5%AD%90%E5%B9%B3 ; https://zh.wikisource.org/wiki/%E6%BB%B4%E5%A4%A9%E9%AB%93%E9%97%A1%E5%BE%AE</x:v>
      </x:c>
      <x:c r="AH53" s="82" t="str">
        <x:v>采用</x:v>
      </x:c>
      <x:c r="AI53" s="82" t="str">
        <x:v>初审</x:v>
      </x:c>
      <x:c r="AJ53" s="87" t="n">
        <x:v>46255</x:v>
      </x:c>
    </x:row>
    <x:row r="54">
      <x:c r="A54" s="72" t="str">
        <x:f>IF(OR(C54="",D54=""),"",B54&amp;"-"&amp;UPPER(C54)&amp;"-"&amp;TEXT(D54,"0000")&amp;"-"&amp;E54)</x:f>
        <x:v>M11-SHENGCAI-0048-V1.0</x:v>
      </x:c>
      <x:c r="B54" s="74" t="str">
        <x:v>M11</x:v>
      </x:c>
      <x:c r="C54" s="74" t="str">
        <x:v>SHENGCAI</x:v>
      </x:c>
      <x:c r="D54" s="215" t="n">
        <x:v>48</x:v>
      </x:c>
      <x:c r="E54" s="74" t="str">
        <x:v>V1.0</x:v>
      </x:c>
      <x:c r="F54" s="68" t="str">
        <x:v>伤官必须有效且财星能够承接</x:v>
      </x:c>
      <x:c r="G54" s="82" t="str">
        <x:v>结构层</x:v>
      </x:c>
      <x:c r="H54" s="82" t="str">
        <x:v>生化型</x:v>
      </x:c>
      <x:c r="I54" s="68" t="str">
        <x:v>伤官生财</x:v>
      </x:c>
      <x:c r="J54" s="68" t="str">
        <x:v>伤官、财星</x:v>
      </x:c>
      <x:c r="K54" s="68" t="str">
        <x:v>伤官有效</x:v>
      </x:c>
      <x:c r="L54" s="68" t="str">
        <x:v>财星有效</x:v>
      </x:c>
      <x:c r="M54" s="68" t="str">
        <x:v>伤官→财星路径连续</x:v>
      </x:c>
      <x:c r="N54" s="68" t="str">
        <x:v>相关十神均以M10有效力量为准，且不存在决定性失衡</x:v>
      </x:c>
      <x:c r="O54" s="68" t="str">
        <x:v>结合M09日主承载判断</x:v>
      </x:c>
      <x:c r="P54" s="68" t="str">
        <x:v>主体、客体、作用路径与力量匹配均达到最低要求</x:v>
      </x:c>
      <x:c r="Q54" s="68" t="str">
        <x:v>相关十神有根、有源、透达、清纯且关键通路稳定</x:v>
      </x:c>
      <x:c r="R54" s="90" t="str">
        <x:v>关键十神被合绊、被制、改性、失效或力量严重失衡</x:v>
      </x:c>
      <x:c r="S54" s="68" t="str">
        <x:v>存在第三十神恢复通路、清除破坏或重新形成平衡</x:v>
      </x:c>
      <x:c r="T54" s="90" t="str">
        <x:v>任一核心十神失效，或不存在真实作用路径</x:v>
      </x:c>
      <x:c r="U54" s="68" t="str">
        <x:v>特殊格局、从化或月令格局另转M14/M15复审</x:v>
      </x:c>
      <x:c r="V54" s="84" t="str">
        <x:v>基本成立</x:v>
      </x:c>
      <x:c r="W54" s="84" t="str">
        <x:v>泄身并生财</x:v>
      </x:c>
      <x:c r="X54" s="82" t="str">
        <x:v>条件性</x:v>
      </x:c>
      <x:c r="Y54" s="68" t="str">
        <x:v>伤官生财格候选</x:v>
      </x:c>
      <x:c r="Z54" s="84" t="str">
        <x:v>伤官生财_成立条件</x:v>
      </x:c>
      <x:c r="AA54" s="84" t="str">
        <x:v>伤官生财：当主体、客体、路径与力量匹配满足最低标准时，判“基本成立”；是否上升为格局转M14/M15。</x:v>
      </x:c>
      <x:c r="AB54" s="82" t="str">
        <x:v>较高</x:v>
      </x:c>
      <x:c r="AC54" s="82" t="str">
        <x:v>现代综合</x:v>
      </x:c>
      <x:c r="AD54" s="68" t="str">
        <x:v>十神同时出现不等于组合成立。M11须同时验证核心十神有效性、作用路径、力量匹配、日主承载、破坏因素与救应；组合成立也不等于格局成立。</x:v>
      </x:c>
      <x:c r="AE54" s="68" t="str">
        <x:v>伤官有效；财星有效；作用路径稳定且无关键破坏，可按“伤官生财”记录。</x:v>
      </x:c>
      <x:c r="AF54" s="90" t="str">
        <x:v>仅因“伤官、财星”同时出现，但核心十神无力、无作用路径或被关键因素破坏，不能判“伤官生财”成立。</x:v>
      </x:c>
      <x:c r="AG54" s="68" t="str">
        <x:v>https://zh.wikisource.org/zh-hans/%E6%B7%B5%E6%B5%B7%E5%AD%90%E5%B9%B3 ; https://zh.wikisource.org/wiki/%E6%BB%B4%E5%A4%A9%E9%AB%93%E9%97%A1%E5%BE%AE</x:v>
      </x:c>
      <x:c r="AH54" s="82" t="str">
        <x:v>采用</x:v>
      </x:c>
      <x:c r="AI54" s="82" t="str">
        <x:v>初审</x:v>
      </x:c>
      <x:c r="AJ54" s="87" t="n">
        <x:v>46255</x:v>
      </x:c>
    </x:row>
    <x:row r="55">
      <x:c r="A55" s="72" t="str">
        <x:f>IF(OR(C55="",D55=""),"",B55&amp;"-"&amp;UPPER(C55)&amp;"-"&amp;TEXT(D55,"0000")&amp;"-"&amp;E55)</x:f>
        <x:v>M11-SHENGCAI-0049-V1.0</x:v>
      </x:c>
      <x:c r="B55" s="74" t="str">
        <x:v>M11</x:v>
      </x:c>
      <x:c r="C55" s="74" t="str">
        <x:v>SHENGCAI</x:v>
      </x:c>
      <x:c r="D55" s="215" t="n">
        <x:v>49</x:v>
      </x:c>
      <x:c r="E55" s="74" t="str">
        <x:v>V1.0</x:v>
      </x:c>
      <x:c r="F55" s="68" t="str">
        <x:v>财星过弱不能充分承接食伤输出</x:v>
      </x:c>
      <x:c r="G55" s="82" t="str">
        <x:v>结构层</x:v>
      </x:c>
      <x:c r="H55" s="82" t="str">
        <x:v>生化型</x:v>
      </x:c>
      <x:c r="I55" s="68" t="str">
        <x:v>食伤生财</x:v>
      </x:c>
      <x:c r="J55" s="68" t="str">
        <x:v>食伤、财星</x:v>
      </x:c>
      <x:c r="K55" s="68" t="str">
        <x:v>食伤旺</x:v>
      </x:c>
      <x:c r="L55" s="68" t="str">
        <x:v>财星弱、无根或受比劫强制</x:v>
      </x:c>
      <x:c r="M55" s="68" t="str">
        <x:v>直接或可达的生克制化路径成立</x:v>
      </x:c>
      <x:c r="N55" s="68" t="str">
        <x:v>相关十神均以M10有效力量为准，且不存在决定性失衡</x:v>
      </x:c>
      <x:c r="O55" s="68" t="str">
        <x:v>结合M09日主承载判断</x:v>
      </x:c>
      <x:c r="P55" s="68" t="str">
        <x:v>主体、客体、作用路径与力量匹配均达到最低要求</x:v>
      </x:c>
      <x:c r="Q55" s="68" t="str">
        <x:v>相关十神有根、有源、透达、清纯且关键通路稳定</x:v>
      </x:c>
      <x:c r="R55" s="90" t="str">
        <x:v>关键十神被合绊、被制、改性、失效或力量严重失衡</x:v>
      </x:c>
      <x:c r="S55" s="68" t="str">
        <x:v>存在第三十神恢复通路、清除破坏或重新形成平衡</x:v>
      </x:c>
      <x:c r="T55" s="90" t="str">
        <x:v>任一核心十神失效，或不存在真实作用路径</x:v>
      </x:c>
      <x:c r="U55" s="68" t="str">
        <x:v>特殊格局、从化或月令格局另转M14/M15复审</x:v>
      </x:c>
      <x:c r="V55" s="84" t="str">
        <x:v>弱成立</x:v>
      </x:c>
      <x:c r="W55" s="84" t="str">
        <x:v>输出有源但终点承载不足</x:v>
      </x:c>
      <x:c r="X55" s="82" t="str">
        <x:v>否</x:v>
      </x:c>
      <x:c r="Y55" s="68" t="str">
        <x:v>对应格局候选转M14</x:v>
      </x:c>
      <x:c r="Z55" s="84" t="str">
        <x:v>食伤生财_财弱</x:v>
      </x:c>
      <x:c r="AA55" s="84" t="str">
        <x:v>食伤生财：当主体、客体、路径与力量匹配满足最低标准时，判“弱成立”；是否上升为格局转M14/M15。</x:v>
      </x:c>
      <x:c r="AB55" s="82" t="str">
        <x:v>较高</x:v>
      </x:c>
      <x:c r="AC55" s="82" t="str">
        <x:v>现代综合</x:v>
      </x:c>
      <x:c r="AD55" s="68" t="str">
        <x:v>十神同时出现不等于组合成立。M11须同时验证核心十神有效性、作用路径、力量匹配、日主承载、破坏因素与救应；组合成立也不等于格局成立。</x:v>
      </x:c>
      <x:c r="AE55" s="68" t="str">
        <x:v>食伤旺；财星弱、无根或受比劫强制；作用路径稳定且无关键破坏，可按“食伤生财”记录。</x:v>
      </x:c>
      <x:c r="AF55" s="90" t="str">
        <x:v>仅因“食伤、财星”同时出现，但核心十神无力、无作用路径或被关键因素破坏，不能判“食伤生财”成立。</x:v>
      </x:c>
      <x:c r="AG55" s="68" t="str">
        <x:v>https://zh.wikisource.org/zh-hans/%E6%B7%B5%E6%B5%B7%E5%AD%90%E5%B9%B3 ; https://zh.wikisource.org/wiki/%E6%BB%B4%E5%A4%A9%E9%AB%93%E9%97%A1%E5%BE%AE</x:v>
      </x:c>
      <x:c r="AH55" s="82" t="str">
        <x:v>采用</x:v>
      </x:c>
      <x:c r="AI55" s="82" t="str">
        <x:v>初审</x:v>
      </x:c>
      <x:c r="AJ55" s="87" t="n">
        <x:v>46255</x:v>
      </x:c>
    </x:row>
    <x:row r="56">
      <x:c r="A56" s="72" t="str">
        <x:f>IF(OR(C56="",D56=""),"",B56&amp;"-"&amp;UPPER(C56)&amp;"-"&amp;TEXT(D56,"0000")&amp;"-"&amp;E56)</x:f>
        <x:v>M11-SHENGCAI-0050-V1.0</x:v>
      </x:c>
      <x:c r="B56" s="74" t="str">
        <x:v>M11</x:v>
      </x:c>
      <x:c r="C56" s="74" t="str">
        <x:v>SHENGCAI</x:v>
      </x:c>
      <x:c r="D56" s="215" t="n">
        <x:v>50</x:v>
      </x:c>
      <x:c r="E56" s="74" t="str">
        <x:v>V1.0</x:v>
      </x:c>
      <x:c r="F56" s="68" t="str">
        <x:v>食伤过弱时财星缺少稳定生源</x:v>
      </x:c>
      <x:c r="G56" s="82" t="str">
        <x:v>结构层</x:v>
      </x:c>
      <x:c r="H56" s="82" t="str">
        <x:v>生化型</x:v>
      </x:c>
      <x:c r="I56" s="68" t="str">
        <x:v>食伤生财</x:v>
      </x:c>
      <x:c r="J56" s="68" t="str">
        <x:v>食伤、财星</x:v>
      </x:c>
      <x:c r="K56" s="68" t="str">
        <x:v>食伤弱或受印星强制</x:v>
      </x:c>
      <x:c r="L56" s="68" t="str">
        <x:v>财星虽存在但生源不足</x:v>
      </x:c>
      <x:c r="M56" s="68" t="str">
        <x:v>直接或可达的生克制化路径成立</x:v>
      </x:c>
      <x:c r="N56" s="68" t="str">
        <x:v>相关十神均以M10有效力量为准，且不存在决定性失衡</x:v>
      </x:c>
      <x:c r="O56" s="68" t="str">
        <x:v>结合M09日主承载判断</x:v>
      </x:c>
      <x:c r="P56" s="68" t="str">
        <x:v>主体、客体、作用路径与力量匹配均达到最低要求</x:v>
      </x:c>
      <x:c r="Q56" s="68" t="str">
        <x:v>相关十神有根、有源、透达、清纯且关键通路稳定</x:v>
      </x:c>
      <x:c r="R56" s="90" t="str">
        <x:v>关键十神被合绊、被制、改性、失效或力量严重失衡</x:v>
      </x:c>
      <x:c r="S56" s="68" t="str">
        <x:v>存在第三十神恢复通路、清除破坏或重新形成平衡</x:v>
      </x:c>
      <x:c r="T56" s="90" t="str">
        <x:v>任一核心十神失效，或不存在真实作用路径</x:v>
      </x:c>
      <x:c r="U56" s="68" t="str">
        <x:v>特殊格局、从化或月令格局另转M14/M15复审</x:v>
      </x:c>
      <x:c r="V56" s="84" t="str">
        <x:v>弱成立</x:v>
      </x:c>
      <x:c r="W56" s="84" t="str">
        <x:v>形成局部生化、制化或承载结构</x:v>
      </x:c>
      <x:c r="X56" s="82" t="str">
        <x:v>否</x:v>
      </x:c>
      <x:c r="Y56" s="68" t="str">
        <x:v>对应格局候选转M14</x:v>
      </x:c>
      <x:c r="Z56" s="84" t="str">
        <x:v>食伤生财_食伤弱</x:v>
      </x:c>
      <x:c r="AA56" s="84" t="str">
        <x:v>食伤生财：当主体、客体、路径与力量匹配满足最低标准时，判“弱成立”；是否上升为格局转M14/M15。</x:v>
      </x:c>
      <x:c r="AB56" s="82" t="str">
        <x:v>较高</x:v>
      </x:c>
      <x:c r="AC56" s="82" t="str">
        <x:v>现代综合</x:v>
      </x:c>
      <x:c r="AD56" s="68" t="str">
        <x:v>十神同时出现不等于组合成立。M11须同时验证核心十神有效性、作用路径、力量匹配、日主承载、破坏因素与救应；组合成立也不等于格局成立。</x:v>
      </x:c>
      <x:c r="AE56" s="68" t="str">
        <x:v>食伤弱或受印星强制；财星虽存在但生源不足；作用路径稳定且无关键破坏，可按“食伤生财”记录。</x:v>
      </x:c>
      <x:c r="AF56" s="90" t="str">
        <x:v>仅因“食伤、财星”同时出现，但核心十神无力、无作用路径或被关键因素破坏，不能判“食伤生财”成立。</x:v>
      </x:c>
      <x:c r="AG56" s="68" t="str">
        <x:v>https://zh.wikisource.org/zh-hans/%E6%B7%B5%E6%B5%B7%E5%AD%90%E5%B9%B3 ; https://zh.wikisource.org/wiki/%E6%BB%B4%E5%A4%A9%E9%AB%93%E9%97%A1%E5%BE%AE</x:v>
      </x:c>
      <x:c r="AH56" s="82" t="str">
        <x:v>采用</x:v>
      </x:c>
      <x:c r="AI56" s="82" t="str">
        <x:v>初审</x:v>
      </x:c>
      <x:c r="AJ56" s="87" t="n">
        <x:v>46255</x:v>
      </x:c>
    </x:row>
    <x:row r="57">
      <x:c r="A57" s="72" t="str">
        <x:f>IF(OR(C57="",D57=""),"",B57&amp;"-"&amp;UPPER(C57)&amp;"-"&amp;TEXT(D57,"0000")&amp;"-"&amp;E57)</x:f>
        <x:v>M11-SHENGCAI-0051-V1.0</x:v>
      </x:c>
      <x:c r="B57" s="74" t="str">
        <x:v>M11</x:v>
      </x:c>
      <x:c r="C57" s="74" t="str">
        <x:v>SHENGCAI</x:v>
      </x:c>
      <x:c r="D57" s="215" t="n">
        <x:v>51</x:v>
      </x:c>
      <x:c r="E57" s="74" t="str">
        <x:v>V1.0</x:v>
      </x:c>
      <x:c r="F57" s="68" t="str">
        <x:v>比劫强制财会破坏生财终点</x:v>
      </x:c>
      <x:c r="G57" s="82" t="str">
        <x:v>结构层</x:v>
      </x:c>
      <x:c r="H57" s="82" t="str">
        <x:v>生化型</x:v>
      </x:c>
      <x:c r="I57" s="68" t="str">
        <x:v>食伤生财</x:v>
      </x:c>
      <x:c r="J57" s="68" t="str">
        <x:v>食伤、财星、比劫</x:v>
      </x:c>
      <x:c r="K57" s="68" t="str">
        <x:v>食伤生财路径成立</x:v>
      </x:c>
      <x:c r="L57" s="68" t="str">
        <x:v>比劫对财星形成实质强制</x:v>
      </x:c>
      <x:c r="M57" s="68" t="str">
        <x:v>直接或可达的生克制化路径成立</x:v>
      </x:c>
      <x:c r="N57" s="68" t="str">
        <x:v>相关十神均以M10有效力量为准，且不存在决定性失衡</x:v>
      </x:c>
      <x:c r="O57" s="68" t="str">
        <x:v>结合M09日主承载判断</x:v>
      </x:c>
      <x:c r="P57" s="68" t="str">
        <x:v>主体、客体、作用路径与力量匹配均达到最低要求</x:v>
      </x:c>
      <x:c r="Q57" s="68" t="str">
        <x:v>相关十神有根、有源、透达、清纯且关键通路稳定</x:v>
      </x:c>
      <x:c r="R57" s="90" t="str">
        <x:v>财星被比劫制至受限或失效</x:v>
      </x:c>
      <x:c r="S57" s="68" t="str">
        <x:v>存在第三十神恢复通路、清除破坏或重新形成平衡</x:v>
      </x:c>
      <x:c r="T57" s="90" t="str">
        <x:v>任一核心十神失效，或不存在真实作用路径</x:v>
      </x:c>
      <x:c r="U57" s="68" t="str">
        <x:v>特殊格局、从化或月令格局另转M14/M15复审</x:v>
      </x:c>
      <x:c r="V57" s="84" t="str">
        <x:v>弱成立</x:v>
      </x:c>
      <x:c r="W57" s="84" t="str">
        <x:v>形成局部生化、制化或承载结构</x:v>
      </x:c>
      <x:c r="X57" s="82" t="str">
        <x:v>否</x:v>
      </x:c>
      <x:c r="Y57" s="68" t="str">
        <x:v>对应格局候选转M14</x:v>
      </x:c>
      <x:c r="Z57" s="84" t="str">
        <x:v>食伤生财_比劫破财</x:v>
      </x:c>
      <x:c r="AA57" s="84" t="str">
        <x:v>食伤生财：当主体、客体、路径与力量匹配满足最低标准时，判“弱成立”；是否上升为格局转M14/M15。</x:v>
      </x:c>
      <x:c r="AB57" s="82" t="str">
        <x:v>较高</x:v>
      </x:c>
      <x:c r="AC57" s="82" t="str">
        <x:v>现代综合</x:v>
      </x:c>
      <x:c r="AD57" s="68" t="str">
        <x:v>十神同时出现不等于组合成立。M11须同时验证核心十神有效性、作用路径、力量匹配、日主承载、破坏因素与救应；组合成立也不等于格局成立。</x:v>
      </x:c>
      <x:c r="AE57" s="68" t="str">
        <x:v>食伤生财路径成立；比劫对财星形成实质强制；作用路径稳定且无关键破坏，可按“食伤生财”记录。</x:v>
      </x:c>
      <x:c r="AF57" s="90" t="str">
        <x:v>仅因“食伤、财星、比劫”同时出现，但核心十神无力、无作用路径或被关键因素破坏，不能判“食伤生财”成立。</x:v>
      </x:c>
      <x:c r="AG57" s="68" t="str">
        <x:v>https://zh.wikisource.org/zh-hans/%E6%B7%B5%E6%B5%B7%E5%AD%90%E5%B9%B3 ; https://zh.wikisource.org/wiki/%E6%BB%B4%E5%A4%A9%E9%AB%93%E9%97%A1%E5%BE%AE</x:v>
      </x:c>
      <x:c r="AH57" s="82" t="str">
        <x:v>采用</x:v>
      </x:c>
      <x:c r="AI57" s="82" t="str">
        <x:v>初审</x:v>
      </x:c>
      <x:c r="AJ57" s="87" t="n">
        <x:v>46255</x:v>
      </x:c>
    </x:row>
    <x:row r="58">
      <x:c r="A58" s="72" t="str">
        <x:f>IF(OR(C58="",D58=""),"",B58&amp;"-"&amp;UPPER(C58)&amp;"-"&amp;TEXT(D58,"0000")&amp;"-"&amp;E58)</x:f>
        <x:v>M11-SHENGCAI-0052-V1.0</x:v>
      </x:c>
      <x:c r="B58" s="74" t="str">
        <x:v>M11</x:v>
      </x:c>
      <x:c r="C58" s="74" t="str">
        <x:v>SHENGCAI</x:v>
      </x:c>
      <x:c r="D58" s="215" t="n">
        <x:v>52</x:v>
      </x:c>
      <x:c r="E58" s="74" t="str">
        <x:v>V1.0</x:v>
      </x:c>
      <x:c r="F58" s="68" t="str">
        <x:v>印星强制食伤会切断生财源头</x:v>
      </x:c>
      <x:c r="G58" s="82" t="str">
        <x:v>结构层</x:v>
      </x:c>
      <x:c r="H58" s="82" t="str">
        <x:v>生化型</x:v>
      </x:c>
      <x:c r="I58" s="68" t="str">
        <x:v>食伤生财</x:v>
      </x:c>
      <x:c r="J58" s="68" t="str">
        <x:v>食伤、财星、印星</x:v>
      </x:c>
      <x:c r="K58" s="68" t="str">
        <x:v>印星强制关键食伤</x:v>
      </x:c>
      <x:c r="L58" s="68" t="str">
        <x:v>食伤生财能力下降</x:v>
      </x:c>
      <x:c r="M58" s="68" t="str">
        <x:v>直接或可达的生克制化路径成立</x:v>
      </x:c>
      <x:c r="N58" s="68" t="str">
        <x:v>相关十神均以M10有效力量为准，且不存在决定性失衡</x:v>
      </x:c>
      <x:c r="O58" s="68" t="str">
        <x:v>结合M09日主承载判断</x:v>
      </x:c>
      <x:c r="P58" s="68" t="str">
        <x:v>主体、客体、作用路径与力量匹配均达到最低要求</x:v>
      </x:c>
      <x:c r="Q58" s="68" t="str">
        <x:v>相关十神有根、有源、透达、清纯且关键通路稳定</x:v>
      </x:c>
      <x:c r="R58" s="90" t="str">
        <x:v>食伤被印制至失效</x:v>
      </x:c>
      <x:c r="S58" s="68" t="str">
        <x:v>存在第三十神恢复通路、清除破坏或重新形成平衡</x:v>
      </x:c>
      <x:c r="T58" s="90" t="str">
        <x:v>任一核心十神失效，或不存在真实作用路径</x:v>
      </x:c>
      <x:c r="U58" s="68" t="str">
        <x:v>特殊格局、从化或月令格局另转M14/M15复审</x:v>
      </x:c>
      <x:c r="V58" s="84" t="str">
        <x:v>不成立</x:v>
      </x:c>
      <x:c r="W58" s="84" t="str">
        <x:v>形成局部生化、制化或承载结构</x:v>
      </x:c>
      <x:c r="X58" s="82" t="str">
        <x:v>否</x:v>
      </x:c>
      <x:c r="Y58" s="68" t="str">
        <x:v>对应格局候选转M14</x:v>
      </x:c>
      <x:c r="Z58" s="84" t="str">
        <x:v>食伤生财_印制食伤</x:v>
      </x:c>
      <x:c r="AA58" s="84" t="str">
        <x:v>食伤生财：当主体、客体、路径与力量匹配满足最低标准时，判“不成立”；是否上升为格局转M14/M15。</x:v>
      </x:c>
      <x:c r="AB58" s="82" t="str">
        <x:v>较高</x:v>
      </x:c>
      <x:c r="AC58" s="82" t="str">
        <x:v>现代综合</x:v>
      </x:c>
      <x:c r="AD58" s="68" t="str">
        <x:v>十神同时出现不等于组合成立。M11须同时验证核心十神有效性、作用路径、力量匹配、日主承载、破坏因素与救应；组合成立也不等于格局成立。</x:v>
      </x:c>
      <x:c r="AE58" s="68" t="str">
        <x:v>印星强制关键食伤；食伤生财能力下降；作用路径稳定且无关键破坏，可按“食伤生财”记录。</x:v>
      </x:c>
      <x:c r="AF58" s="90" t="str">
        <x:v>仅因“食伤、财星、印星”同时出现，但核心十神无力、无作用路径或被关键因素破坏，不能判“食伤生财”成立。</x:v>
      </x:c>
      <x:c r="AG58" s="68" t="str">
        <x:v>https://zh.wikisource.org/zh-hans/%E6%B7%B5%E6%B5%B7%E5%AD%90%E5%B9%B3 ; https://zh.wikisource.org/wiki/%E6%BB%B4%E5%A4%A9%E9%AB%93%E9%97%A1%E5%BE%AE</x:v>
      </x:c>
      <x:c r="AH58" s="82" t="str">
        <x:v>采用</x:v>
      </x:c>
      <x:c r="AI58" s="82" t="str">
        <x:v>初审</x:v>
      </x:c>
      <x:c r="AJ58" s="87" t="n">
        <x:v>46255</x:v>
      </x:c>
    </x:row>
    <x:row r="59">
      <x:c r="A59" s="72" t="str">
        <x:f>IF(OR(C59="",D59=""),"",B59&amp;"-"&amp;UPPER(C59)&amp;"-"&amp;TEXT(D59,"0000")&amp;"-"&amp;E59)</x:f>
        <x:v>M11-SHENGCAI-0053-V1.0</x:v>
      </x:c>
      <x:c r="B59" s="74" t="str">
        <x:v>M11</x:v>
      </x:c>
      <x:c r="C59" s="74" t="str">
        <x:v>SHENGCAI</x:v>
      </x:c>
      <x:c r="D59" s="215" t="n">
        <x:v>53</x:v>
      </x:c>
      <x:c r="E59" s="74" t="str">
        <x:v>V1.0</x:v>
      </x:c>
      <x:c r="F59" s="68" t="str">
        <x:v>身弱时连续泄耗可能超过日主承载</x:v>
      </x:c>
      <x:c r="G59" s="82" t="str">
        <x:v>结构层</x:v>
      </x:c>
      <x:c r="H59" s="82" t="str">
        <x:v>生化型</x:v>
      </x:c>
      <x:c r="I59" s="68" t="str">
        <x:v>食伤生财</x:v>
      </x:c>
      <x:c r="J59" s="68" t="str">
        <x:v>食伤、财星</x:v>
      </x:c>
      <x:c r="K59" s="68" t="str">
        <x:v>日主弱或极弱</x:v>
      </x:c>
      <x:c r="L59" s="68" t="str">
        <x:v>食伤生财形成“泄身→生财”连续负荷</x:v>
      </x:c>
      <x:c r="M59" s="68" t="str">
        <x:v>直接或可达的生克制化路径成立</x:v>
      </x:c>
      <x:c r="N59" s="68" t="str">
        <x:v>相关十神均以M10有效力量为准，且不存在决定性失衡</x:v>
      </x:c>
      <x:c r="O59" s="68" t="str">
        <x:v>若无印比承载，组合虽成立但可能成为负担</x:v>
      </x:c>
      <x:c r="P59" s="68" t="str">
        <x:v>主体、客体、作用路径与力量匹配均达到最低要求</x:v>
      </x:c>
      <x:c r="Q59" s="68" t="str">
        <x:v>相关十神有根、有源、透达、清纯且关键通路稳定</x:v>
      </x:c>
      <x:c r="R59" s="90" t="str">
        <x:v>关键十神被合绊、被制、改性、失效或力量严重失衡</x:v>
      </x:c>
      <x:c r="S59" s="68" t="str">
        <x:v>存在第三十神恢复通路、清除破坏或重新形成平衡</x:v>
      </x:c>
      <x:c r="T59" s="90" t="str">
        <x:v>任一核心十神失效，或不存在真实作用路径</x:v>
      </x:c>
      <x:c r="U59" s="68" t="str">
        <x:v>特殊格局、从化或月令格局另转M14/M15复审</x:v>
      </x:c>
      <x:c r="V59" s="84" t="str">
        <x:v>基本成立</x:v>
      </x:c>
      <x:c r="W59" s="84" t="str">
        <x:v>形成局部生化、制化或承载结构</x:v>
      </x:c>
      <x:c r="X59" s="82" t="str">
        <x:v>条件性</x:v>
      </x:c>
      <x:c r="Y59" s="68" t="str">
        <x:v>对应格局候选转M14</x:v>
      </x:c>
      <x:c r="Z59" s="84" t="str">
        <x:v>食伤生财_身弱负荷</x:v>
      </x:c>
      <x:c r="AA59" s="84" t="str">
        <x:v>食伤生财：当主体、客体、路径与力量匹配满足最低标准时，判“基本成立”；是否上升为格局转M14/M15。</x:v>
      </x:c>
      <x:c r="AB59" s="82" t="str">
        <x:v>较高</x:v>
      </x:c>
      <x:c r="AC59" s="82" t="str">
        <x:v>现代综合</x:v>
      </x:c>
      <x:c r="AD59" s="68" t="str">
        <x:v>十神同时出现不等于组合成立。M11须同时验证核心十神有效性、作用路径、力量匹配、日主承载、破坏因素与救应；组合成立也不等于格局成立。</x:v>
      </x:c>
      <x:c r="AE59" s="68" t="str">
        <x:v>日主弱或极弱；食伤生财形成“泄身→生财”连续负荷；作用路径稳定且无关键破坏，可按“食伤生财”记录。</x:v>
      </x:c>
      <x:c r="AF59" s="90" t="str">
        <x:v>仅因“食伤、财星”同时出现，但核心十神无力、无作用路径或被关键因素破坏，不能判“食伤生财”成立。</x:v>
      </x:c>
      <x:c r="AG59" s="68" t="str">
        <x:v>https://zh.wikisource.org/zh-hans/%E6%B7%B5%E6%B5%B7%E5%AD%90%E5%B9%B3 ; https://zh.wikisource.org/wiki/%E6%BB%B4%E5%A4%A9%E9%AB%93%E9%97%A1%E5%BE%AE</x:v>
      </x:c>
      <x:c r="AH59" s="82" t="str">
        <x:v>采用</x:v>
      </x:c>
      <x:c r="AI59" s="82" t="str">
        <x:v>初审</x:v>
      </x:c>
      <x:c r="AJ59" s="87" t="n">
        <x:v>46255</x:v>
      </x:c>
    </x:row>
    <x:row r="60">
      <x:c r="A60" s="72" t="str">
        <x:f>IF(OR(C60="",D60=""),"",B60&amp;"-"&amp;UPPER(C60)&amp;"-"&amp;TEXT(D60,"0000")&amp;"-"&amp;E60)</x:f>
        <x:v>M11-SHENGCAI-0054-V1.0</x:v>
      </x:c>
      <x:c r="B60" s="74" t="str">
        <x:v>M11</x:v>
      </x:c>
      <x:c r="C60" s="74" t="str">
        <x:v>SHENGCAI</x:v>
      </x:c>
      <x:c r="D60" s="215" t="n">
        <x:v>54</x:v>
      </x:c>
      <x:c r="E60" s="74" t="str">
        <x:v>V1.0</x:v>
      </x:c>
      <x:c r="F60" s="68" t="str">
        <x:v>身旺有食伤生财时通道通常更可持续</x:v>
      </x:c>
      <x:c r="G60" s="82" t="str">
        <x:v>结构层</x:v>
      </x:c>
      <x:c r="H60" s="82" t="str">
        <x:v>生化型</x:v>
      </x:c>
      <x:c r="I60" s="68" t="str">
        <x:v>食伤生财</x:v>
      </x:c>
      <x:c r="J60" s="68" t="str">
        <x:v>食伤、财星</x:v>
      </x:c>
      <x:c r="K60" s="68" t="str">
        <x:v>日主旺或中和偏旺</x:v>
      </x:c>
      <x:c r="L60" s="68" t="str">
        <x:v>食伤与财星均有效</x:v>
      </x:c>
      <x:c r="M60" s="68" t="str">
        <x:v>直接或可达的生克制化路径成立</x:v>
      </x:c>
      <x:c r="N60" s="68" t="str">
        <x:v>相关十神均以M10有效力量为准，且不存在决定性失衡</x:v>
      </x:c>
      <x:c r="O60" s="68" t="str">
        <x:v>日主有足够源头供给食伤并承受财耗</x:v>
      </x:c>
      <x:c r="P60" s="68" t="str">
        <x:v>主体、客体、作用路径与力量匹配均达到最低要求</x:v>
      </x:c>
      <x:c r="Q60" s="68" t="str">
        <x:v>食伤财链清晰且无印比破坏</x:v>
      </x:c>
      <x:c r="R60" s="90" t="str">
        <x:v>关键十神被合绊、被制、改性、失效或力量严重失衡</x:v>
      </x:c>
      <x:c r="S60" s="68" t="str">
        <x:v>存在第三十神恢复通路、清除破坏或重新形成平衡</x:v>
      </x:c>
      <x:c r="T60" s="90" t="str">
        <x:v>任一核心十神失效，或不存在真实作用路径</x:v>
      </x:c>
      <x:c r="U60" s="68" t="str">
        <x:v>特殊格局、从化或月令格局另转M14/M15复审</x:v>
      </x:c>
      <x:c r="V60" s="84" t="str">
        <x:v>明显成立</x:v>
      </x:c>
      <x:c r="W60" s="84" t="str">
        <x:v>形成局部生化、制化或承载结构</x:v>
      </x:c>
      <x:c r="X60" s="82" t="str">
        <x:v>条件性</x:v>
      </x:c>
      <x:c r="Y60" s="68" t="str">
        <x:v>对应格局候选转M14</x:v>
      </x:c>
      <x:c r="Z60" s="84" t="str">
        <x:v>食伤生财_身旺增强</x:v>
      </x:c>
      <x:c r="AA60" s="84" t="str">
        <x:v>食伤生财：当主体、客体、路径与力量匹配满足最低标准时，判“明显成立”；是否上升为格局转M14/M15。</x:v>
      </x:c>
      <x:c r="AB60" s="82" t="str">
        <x:v>较高</x:v>
      </x:c>
      <x:c r="AC60" s="82" t="str">
        <x:v>现代综合</x:v>
      </x:c>
      <x:c r="AD60" s="68" t="str">
        <x:v>十神同时出现不等于组合成立。M11须同时验证核心十神有效性、作用路径、力量匹配、日主承载、破坏因素与救应；组合成立也不等于格局成立。</x:v>
      </x:c>
      <x:c r="AE60" s="68" t="str">
        <x:v>日主旺或中和偏旺；食伤与财星均有效；作用路径稳定且无关键破坏，可按“食伤生财”记录。</x:v>
      </x:c>
      <x:c r="AF60" s="90" t="str">
        <x:v>仅因“食伤、财星”同时出现，但核心十神无力、无作用路径或被关键因素破坏，不能判“食伤生财”成立。</x:v>
      </x:c>
      <x:c r="AG60" s="68" t="str">
        <x:v>https://zh.wikisource.org/zh-hans/%E6%B7%B5%E6%B5%B7%E5%AD%90%E5%B9%B3 ; https://zh.wikisource.org/wiki/%E6%BB%B4%E5%A4%A9%E9%AB%93%E9%97%A1%E5%BE%AE</x:v>
      </x:c>
      <x:c r="AH60" s="82" t="str">
        <x:v>采用</x:v>
      </x:c>
      <x:c r="AI60" s="82" t="str">
        <x:v>初审</x:v>
      </x:c>
      <x:c r="AJ60" s="87" t="n">
        <x:v>46255</x:v>
      </x:c>
    </x:row>
    <x:row r="61">
      <x:c r="A61" s="72" t="str">
        <x:f>IF(OR(C61="",D61=""),"",B61&amp;"-"&amp;UPPER(C61)&amp;"-"&amp;TEXT(D61,"0000")&amp;"-"&amp;E61)</x:f>
        <x:v>M11-SHENGCAI-0055-V1.0</x:v>
      </x:c>
      <x:c r="B61" s="74" t="str">
        <x:v>M11</x:v>
      </x:c>
      <x:c r="C61" s="74" t="str">
        <x:v>SHENGCAI</x:v>
      </x:c>
      <x:c r="D61" s="215" t="n">
        <x:v>55</x:v>
      </x:c>
      <x:c r="E61" s="74" t="str">
        <x:v>V1.0</x:v>
      </x:c>
      <x:c r="F61" s="68" t="str">
        <x:v>食伤混杂时先判断主导输出者</x:v>
      </x:c>
      <x:c r="G61" s="82" t="str">
        <x:v>结构层</x:v>
      </x:c>
      <x:c r="H61" s="82" t="str">
        <x:v>生化型</x:v>
      </x:c>
      <x:c r="I61" s="68" t="str">
        <x:v>食伤生财</x:v>
      </x:c>
      <x:c r="J61" s="68" t="str">
        <x:v>食神、伤官、财星</x:v>
      </x:c>
      <x:c r="K61" s="68" t="str">
        <x:v>食神伤官均有效并生财</x:v>
      </x:c>
      <x:c r="L61" s="68" t="str">
        <x:v>财星能够承接</x:v>
      </x:c>
      <x:c r="M61" s="68" t="str">
        <x:v>直接或可达的生克制化路径成立</x:v>
      </x:c>
      <x:c r="N61" s="68" t="str">
        <x:v>需判断食神、伤官主次，避免重复计算同一财源</x:v>
      </x:c>
      <x:c r="O61" s="68" t="str">
        <x:v>结合M09日主承载判断</x:v>
      </x:c>
      <x:c r="P61" s="68" t="str">
        <x:v>主体、客体、作用路径与力量匹配均达到最低要求</x:v>
      </x:c>
      <x:c r="Q61" s="68" t="str">
        <x:v>相关十神有根、有源、透达、清纯且关键通路稳定</x:v>
      </x:c>
      <x:c r="R61" s="90" t="str">
        <x:v>关键十神被合绊、被制、改性、失效或力量严重失衡</x:v>
      </x:c>
      <x:c r="S61" s="68" t="str">
        <x:v>存在第三十神恢复通路、清除破坏或重新形成平衡</x:v>
      </x:c>
      <x:c r="T61" s="90" t="str">
        <x:v>任一核心十神失效，或不存在真实作用路径</x:v>
      </x:c>
      <x:c r="U61" s="68" t="str">
        <x:v>特殊格局、从化或月令格局另转M14/M15复审</x:v>
      </x:c>
      <x:c r="V61" s="84" t="str">
        <x:v>基本成立</x:v>
      </x:c>
      <x:c r="W61" s="84" t="str">
        <x:v>形成局部生化、制化或承载结构</x:v>
      </x:c>
      <x:c r="X61" s="82" t="str">
        <x:v>条件性</x:v>
      </x:c>
      <x:c r="Y61" s="68" t="str">
        <x:v>对应格局候选转M14</x:v>
      </x:c>
      <x:c r="Z61" s="84" t="str">
        <x:v>食伤生财_食伤混杂</x:v>
      </x:c>
      <x:c r="AA61" s="84" t="str">
        <x:v>食伤生财：当主体、客体、路径与力量匹配满足最低标准时，判“基本成立”；是否上升为格局转M14/M15。</x:v>
      </x:c>
      <x:c r="AB61" s="82" t="str">
        <x:v>较高</x:v>
      </x:c>
      <x:c r="AC61" s="82" t="str">
        <x:v>现代综合</x:v>
      </x:c>
      <x:c r="AD61" s="68" t="str">
        <x:v>十神同时出现不等于组合成立。M11须同时验证核心十神有效性、作用路径、力量匹配、日主承载、破坏因素与救应；组合成立也不等于格局成立。</x:v>
      </x:c>
      <x:c r="AE61" s="68" t="str">
        <x:v>食神伤官均有效并生财；财星能够承接；作用路径稳定且无关键破坏，可按“食伤生财”记录。</x:v>
      </x:c>
      <x:c r="AF61" s="90" t="str">
        <x:v>仅因“食神、伤官、财星”同时出现，但核心十神无力、无作用路径或被关键因素破坏，不能判“食伤生财”成立。</x:v>
      </x:c>
      <x:c r="AG61" s="68" t="str">
        <x:v>https://zh.wikisource.org/zh-hans/%E6%B7%B5%E6%B5%B7%E5%AD%90%E5%B9%B3 ; https://zh.wikisource.org/wiki/%E6%BB%B4%E5%A4%A9%E9%AB%93%E9%97%A1%E5%BE%AE</x:v>
      </x:c>
      <x:c r="AH61" s="82" t="str">
        <x:v>采用</x:v>
      </x:c>
      <x:c r="AI61" s="82" t="str">
        <x:v>初审</x:v>
      </x:c>
      <x:c r="AJ61" s="87" t="n">
        <x:v>46255</x:v>
      </x:c>
    </x:row>
    <x:row r="62">
      <x:c r="A62" s="72" t="str">
        <x:f>IF(OR(C62="",D62=""),"",B62&amp;"-"&amp;UPPER(C62)&amp;"-"&amp;TEXT(D62,"0000")&amp;"-"&amp;E62)</x:f>
        <x:v>M11-SHENGCAI-0056-V1.0</x:v>
      </x:c>
      <x:c r="B62" s="74" t="str">
        <x:v>M11</x:v>
      </x:c>
      <x:c r="C62" s="74" t="str">
        <x:v>SHENGCAI</x:v>
      </x:c>
      <x:c r="D62" s="215" t="n">
        <x:v>56</x:v>
      </x:c>
      <x:c r="E62" s="74" t="str">
        <x:v>V1.0</x:v>
      </x:c>
      <x:c r="F62" s="68" t="str">
        <x:v>链路稳定且供给承载匹配时可明显成立</x:v>
      </x:c>
      <x:c r="G62" s="82" t="str">
        <x:v>结构层</x:v>
      </x:c>
      <x:c r="H62" s="82" t="str">
        <x:v>生化型</x:v>
      </x:c>
      <x:c r="I62" s="68" t="str">
        <x:v>食伤生财</x:v>
      </x:c>
      <x:c r="J62" s="68" t="str">
        <x:v>食伤、财星</x:v>
      </x:c>
      <x:c r="K62" s="68" t="str">
        <x:v>食伤有力、财星有力</x:v>
      </x:c>
      <x:c r="L62" s="68" t="str">
        <x:v>源头、通路、终点三者连续</x:v>
      </x:c>
      <x:c r="M62" s="68" t="str">
        <x:v>直接或可达的生克制化路径成立</x:v>
      </x:c>
      <x:c r="N62" s="68" t="str">
        <x:v>日主供给、食伤输出、财星承载相匹配</x:v>
      </x:c>
      <x:c r="O62" s="68" t="str">
        <x:v>结合M09日主承载判断</x:v>
      </x:c>
      <x:c r="P62" s="68" t="str">
        <x:v>主体、客体、作用路径与力量匹配均达到最低要求</x:v>
      </x:c>
      <x:c r="Q62" s="68" t="str">
        <x:v>相关十神有根、有源、透达、清纯且关键通路稳定</x:v>
      </x:c>
      <x:c r="R62" s="90" t="str">
        <x:v>关键十神被合绊、被制、改性、失效或力量严重失衡</x:v>
      </x:c>
      <x:c r="S62" s="68" t="str">
        <x:v>存在第三十神恢复通路、清除破坏或重新形成平衡</x:v>
      </x:c>
      <x:c r="T62" s="90" t="str">
        <x:v>任一核心十神失效，或不存在真实作用路径</x:v>
      </x:c>
      <x:c r="U62" s="68" t="str">
        <x:v>特殊格局、从化或月令格局另转M14/M15复审</x:v>
      </x:c>
      <x:c r="V62" s="84" t="str">
        <x:v>明显成立</x:v>
      </x:c>
      <x:c r="W62" s="84" t="str">
        <x:v>形成局部生化、制化或承载结构</x:v>
      </x:c>
      <x:c r="X62" s="82" t="str">
        <x:v>条件性</x:v>
      </x:c>
      <x:c r="Y62" s="68" t="str">
        <x:v>对应格局候选转M14</x:v>
      </x:c>
      <x:c r="Z62" s="84" t="str">
        <x:v>食伤生财_明显成立</x:v>
      </x:c>
      <x:c r="AA62" s="84" t="str">
        <x:v>食伤生财：当主体、客体、路径与力量匹配满足最低标准时，判“明显成立”；是否上升为格局转M14/M15。</x:v>
      </x:c>
      <x:c r="AB62" s="82" t="str">
        <x:v>较高</x:v>
      </x:c>
      <x:c r="AC62" s="82" t="str">
        <x:v>现代综合</x:v>
      </x:c>
      <x:c r="AD62" s="68" t="str">
        <x:v>十神同时出现不等于组合成立。M11须同时验证核心十神有效性、作用路径、力量匹配、日主承载、破坏因素与救应；组合成立也不等于格局成立。</x:v>
      </x:c>
      <x:c r="AE62" s="68" t="str">
        <x:v>食伤有力、财星有力；源头、通路、终点三者连续；作用路径稳定且无关键破坏，可按“食伤生财”记录。</x:v>
      </x:c>
      <x:c r="AF62" s="90" t="str">
        <x:v>仅因“食伤、财星”同时出现，但核心十神无力、无作用路径或被关键因素破坏，不能判“食伤生财”成立。</x:v>
      </x:c>
      <x:c r="AG62" s="68" t="str">
        <x:v>https://zh.wikisource.org/zh-hans/%E6%B7%B5%E6%B5%B7%E5%AD%90%E5%B9%B3 ; https://zh.wikisource.org/wiki/%E6%BB%B4%E5%A4%A9%E9%AB%93%E9%97%A1%E5%BE%AE</x:v>
      </x:c>
      <x:c r="AH62" s="82" t="str">
        <x:v>采用</x:v>
      </x:c>
      <x:c r="AI62" s="82" t="str">
        <x:v>初审</x:v>
      </x:c>
      <x:c r="AJ62" s="87" t="n">
        <x:v>46255</x:v>
      </x:c>
    </x:row>
    <x:row r="63">
      <x:c r="A63" s="72" t="str">
        <x:f>IF(OR(C63="",D63=""),"",B63&amp;"-"&amp;UPPER(C63)&amp;"-"&amp;TEXT(D63,"0000")&amp;"-"&amp;E63)</x:f>
        <x:v>M11-CAIGUAN-0057-V1.0</x:v>
      </x:c>
      <x:c r="B63" s="74" t="str">
        <x:v>M11</x:v>
      </x:c>
      <x:c r="C63" s="74" t="str">
        <x:v>CAIGUAN</x:v>
      </x:c>
      <x:c r="D63" s="215" t="n">
        <x:v>57</x:v>
      </x:c>
      <x:c r="E63" s="74" t="str">
        <x:v>V1.0</x:v>
      </x:c>
      <x:c r="F63" s="68" t="str">
        <x:v>财星必须有效且能生正官</x:v>
      </x:c>
      <x:c r="G63" s="82" t="str">
        <x:v>结构层</x:v>
      </x:c>
      <x:c r="H63" s="82" t="str">
        <x:v>生化型</x:v>
      </x:c>
      <x:c r="I63" s="68" t="str">
        <x:v>财生官</x:v>
      </x:c>
      <x:c r="J63" s="68" t="str">
        <x:v>财星、正官</x:v>
      </x:c>
      <x:c r="K63" s="68" t="str">
        <x:v>财星有效</x:v>
      </x:c>
      <x:c r="L63" s="68" t="str">
        <x:v>正官有效并能承接财生</x:v>
      </x:c>
      <x:c r="M63" s="68" t="str">
        <x:v>财→官路径连续</x:v>
      </x:c>
      <x:c r="N63" s="68" t="str">
        <x:v>相关十神均以M10有效力量为准，且不存在决定性失衡</x:v>
      </x:c>
      <x:c r="O63" s="68" t="str">
        <x:v>结合M09日主承载判断</x:v>
      </x:c>
      <x:c r="P63" s="68" t="str">
        <x:v>主体、客体、作用路径与力量匹配均达到最低要求</x:v>
      </x:c>
      <x:c r="Q63" s="68" t="str">
        <x:v>相关十神有根、有源、透达、清纯且关键通路稳定</x:v>
      </x:c>
      <x:c r="R63" s="90" t="str">
        <x:v>关键十神被合绊、被制、改性、失效或力量严重失衡</x:v>
      </x:c>
      <x:c r="S63" s="68" t="str">
        <x:v>存在第三十神恢复通路、清除破坏或重新形成平衡</x:v>
      </x:c>
      <x:c r="T63" s="90" t="str">
        <x:v>任一核心十神失效，或不存在真实作用路径</x:v>
      </x:c>
      <x:c r="U63" s="68" t="str">
        <x:v>特殊格局、从化或月令格局另转M14/M15复审</x:v>
      </x:c>
      <x:c r="V63" s="84" t="str">
        <x:v>基本成立</x:v>
      </x:c>
      <x:c r="W63" s="84" t="str">
        <x:v>增强正官力量</x:v>
      </x:c>
      <x:c r="X63" s="82" t="str">
        <x:v>条件性</x:v>
      </x:c>
      <x:c r="Y63" s="68" t="str">
        <x:v>财官相生候选</x:v>
      </x:c>
      <x:c r="Z63" s="84" t="str">
        <x:v>财生官_成立条件</x:v>
      </x:c>
      <x:c r="AA63" s="84" t="str">
        <x:v>财生官：当主体、客体、路径与力量匹配满足最低标准时，判“基本成立”；是否上升为格局转M14/M15。</x:v>
      </x:c>
      <x:c r="AB63" s="82" t="str">
        <x:v>较高</x:v>
      </x:c>
      <x:c r="AC63" s="82" t="str">
        <x:v>现代综合</x:v>
      </x:c>
      <x:c r="AD63" s="68" t="str">
        <x:v>十神同时出现不等于组合成立。M11须同时验证核心十神有效性、作用路径、力量匹配、日主承载、破坏因素与救应；组合成立也不等于格局成立。</x:v>
      </x:c>
      <x:c r="AE63" s="68" t="str">
        <x:v>财星有效；正官有效并能承接财生；作用路径稳定且无关键破坏，可按“财生官”记录。</x:v>
      </x:c>
      <x:c r="AF63" s="90" t="str">
        <x:v>仅因“财星、正官”同时出现，但核心十神无力、无作用路径或被关键因素破坏，不能判“财生官”成立。</x:v>
      </x:c>
      <x:c r="AG63" s="68" t="str">
        <x:v>https://zh.wikisource.org/zh-hans/%E6%B7%B5%E6%B5%B7%E5%AD%90%E5%B9%B3 ; https://zh.wikisource.org/wiki/%E6%BB%B4%E5%A4%A9%E9%AB%93%E9%97%A1%E5%BE%AE</x:v>
      </x:c>
      <x:c r="AH63" s="82" t="str">
        <x:v>采用</x:v>
      </x:c>
      <x:c r="AI63" s="82" t="str">
        <x:v>初审</x:v>
      </x:c>
      <x:c r="AJ63" s="87" t="n">
        <x:v>46255</x:v>
      </x:c>
    </x:row>
    <x:row r="64">
      <x:c r="A64" s="72" t="str">
        <x:f>IF(OR(C64="",D64=""),"",B64&amp;"-"&amp;UPPER(C64)&amp;"-"&amp;TEXT(D64,"0000")&amp;"-"&amp;E64)</x:f>
        <x:v>M11-CAIGUAN-0058-V1.0</x:v>
      </x:c>
      <x:c r="B64" s="74" t="str">
        <x:v>M11</x:v>
      </x:c>
      <x:c r="C64" s="74" t="str">
        <x:v>CAIGUAN</x:v>
      </x:c>
      <x:c r="D64" s="215" t="n">
        <x:v>58</x:v>
      </x:c>
      <x:c r="E64" s="74" t="str">
        <x:v>V1.0</x:v>
      </x:c>
      <x:c r="F64" s="68" t="str">
        <x:v>财星有效生七杀时形成生杀链</x:v>
      </x:c>
      <x:c r="G64" s="82" t="str">
        <x:v>结构层</x:v>
      </x:c>
      <x:c r="H64" s="82" t="str">
        <x:v>生化型</x:v>
      </x:c>
      <x:c r="I64" s="68" t="str">
        <x:v>财生杀</x:v>
      </x:c>
      <x:c r="J64" s="68" t="str">
        <x:v>财星、七杀</x:v>
      </x:c>
      <x:c r="K64" s="68" t="str">
        <x:v>财星有效</x:v>
      </x:c>
      <x:c r="L64" s="68" t="str">
        <x:v>七杀有效</x:v>
      </x:c>
      <x:c r="M64" s="68" t="str">
        <x:v>财→杀路径连续</x:v>
      </x:c>
      <x:c r="N64" s="68" t="str">
        <x:v>相关十神均以M10有效力量为准，且不存在决定性失衡</x:v>
      </x:c>
      <x:c r="O64" s="68" t="str">
        <x:v>结合M09日主承载判断</x:v>
      </x:c>
      <x:c r="P64" s="68" t="str">
        <x:v>主体、客体、作用路径与力量匹配均达到最低要求</x:v>
      </x:c>
      <x:c r="Q64" s="68" t="str">
        <x:v>相关十神有根、有源、透达、清纯且关键通路稳定</x:v>
      </x:c>
      <x:c r="R64" s="90" t="str">
        <x:v>关键十神被合绊、被制、改性、失效或力量严重失衡</x:v>
      </x:c>
      <x:c r="S64" s="68" t="str">
        <x:v>存在第三十神恢复通路、清除破坏或重新形成平衡</x:v>
      </x:c>
      <x:c r="T64" s="90" t="str">
        <x:v>任一核心十神失效，或不存在真实作用路径</x:v>
      </x:c>
      <x:c r="U64" s="68" t="str">
        <x:v>特殊格局、从化或月令格局另转M14/M15复审</x:v>
      </x:c>
      <x:c r="V64" s="84" t="str">
        <x:v>基本成立</x:v>
      </x:c>
      <x:c r="W64" s="84" t="str">
        <x:v>增强七杀压力或权力结构</x:v>
      </x:c>
      <x:c r="X64" s="82" t="str">
        <x:v>条件性</x:v>
      </x:c>
      <x:c r="Y64" s="68" t="str">
        <x:v>财滋杀候选</x:v>
      </x:c>
      <x:c r="Z64" s="84" t="str">
        <x:v>财生杀_成立条件</x:v>
      </x:c>
      <x:c r="AA64" s="84" t="str">
        <x:v>财生杀：当主体、客体、路径与力量匹配满足最低标准时，判“基本成立”；是否上升为格局转M14/M15。</x:v>
      </x:c>
      <x:c r="AB64" s="82" t="str">
        <x:v>较高</x:v>
      </x:c>
      <x:c r="AC64" s="82" t="str">
        <x:v>现代综合</x:v>
      </x:c>
      <x:c r="AD64" s="68" t="str">
        <x:v>十神同时出现不等于组合成立。M11须同时验证核心十神有效性、作用路径、力量匹配、日主承载、破坏因素与救应；组合成立也不等于格局成立。</x:v>
      </x:c>
      <x:c r="AE64" s="68" t="str">
        <x:v>财星有效；七杀有效；作用路径稳定且无关键破坏，可按“财生杀”记录。</x:v>
      </x:c>
      <x:c r="AF64" s="90" t="str">
        <x:v>仅因“财星、七杀”同时出现，但核心十神无力、无作用路径或被关键因素破坏，不能判“财生杀”成立。</x:v>
      </x:c>
      <x:c r="AG64" s="68" t="str">
        <x:v>https://zh.wikisource.org/zh-hans/%E6%B7%B5%E6%B5%B7%E5%AD%90%E5%B9%B3 ; https://zh.wikisource.org/wiki/%E6%BB%B4%E5%A4%A9%E9%AB%93%E9%97%A1%E5%BE%AE</x:v>
      </x:c>
      <x:c r="AH64" s="82" t="str">
        <x:v>采用</x:v>
      </x:c>
      <x:c r="AI64" s="82" t="str">
        <x:v>初审</x:v>
      </x:c>
      <x:c r="AJ64" s="87" t="n">
        <x:v>46255</x:v>
      </x:c>
    </x:row>
    <x:row r="65">
      <x:c r="A65" s="72" t="str">
        <x:f>IF(OR(C65="",D65=""),"",B65&amp;"-"&amp;UPPER(C65)&amp;"-"&amp;TEXT(D65,"0000")&amp;"-"&amp;E65)</x:f>
        <x:v>M11-CAIGUAN-0059-V1.0</x:v>
      </x:c>
      <x:c r="B65" s="74" t="str">
        <x:v>M11</x:v>
      </x:c>
      <x:c r="C65" s="74" t="str">
        <x:v>CAIGUAN</x:v>
      </x:c>
      <x:c r="D65" s="215" t="n">
        <x:v>59</x:v>
      </x:c>
      <x:c r="E65" s="74" t="str">
        <x:v>V1.0</x:v>
      </x:c>
      <x:c r="F65" s="68" t="str">
        <x:v>财官印连续链必须三段有效</x:v>
      </x:c>
      <x:c r="G65" s="82" t="str">
        <x:v>结构层</x:v>
      </x:c>
      <x:c r="H65" s="82" t="str">
        <x:v>生化型</x:v>
      </x:c>
      <x:c r="I65" s="68" t="str">
        <x:v>财官印相生</x:v>
      </x:c>
      <x:c r="J65" s="68" t="str">
        <x:v>财星、官星、印星</x:v>
      </x:c>
      <x:c r="K65" s="68" t="str">
        <x:v>财生官有效</x:v>
      </x:c>
      <x:c r="L65" s="68" t="str">
        <x:v>官生印、印生身也有效</x:v>
      </x:c>
      <x:c r="M65" s="68" t="str">
        <x:v>财→官→印→身连续</x:v>
      </x:c>
      <x:c r="N65" s="68" t="str">
        <x:v>相关十神均以M10有效力量为准，且不存在决定性失衡</x:v>
      </x:c>
      <x:c r="O65" s="68" t="str">
        <x:v>结合M09日主承载判断</x:v>
      </x:c>
      <x:c r="P65" s="68" t="str">
        <x:v>财、官、印三者有效且链路不被切断</x:v>
      </x:c>
      <x:c r="Q65" s="68" t="str">
        <x:v>相关十神有根、有源、透达、清纯且关键通路稳定</x:v>
      </x:c>
      <x:c r="R65" s="90" t="str">
        <x:v>关键十神被合绊、被制、改性、失效或力量严重失衡</x:v>
      </x:c>
      <x:c r="S65" s="68" t="str">
        <x:v>存在第三十神恢复通路、清除破坏或重新形成平衡</x:v>
      </x:c>
      <x:c r="T65" s="90" t="str">
        <x:v>任一核心十神失效，或不存在真实作用路径</x:v>
      </x:c>
      <x:c r="U65" s="68" t="str">
        <x:v>特殊格局、从化或月令格局另转M14/M15复审</x:v>
      </x:c>
      <x:c r="V65" s="84" t="str">
        <x:v>明显成立</x:v>
      </x:c>
      <x:c r="W65" s="84" t="str">
        <x:v>形成连续生化链</x:v>
      </x:c>
      <x:c r="X65" s="82" t="str">
        <x:v>条件性</x:v>
      </x:c>
      <x:c r="Y65" s="68" t="str">
        <x:v>财官印相生候选</x:v>
      </x:c>
      <x:c r="Z65" s="84" t="str">
        <x:v>财官印相生_成立条件</x:v>
      </x:c>
      <x:c r="AA65" s="84" t="str">
        <x:v>财官印相生：当主体、客体、路径与力量匹配满足最低标准时，判“明显成立”；是否上升为格局转M14/M15。</x:v>
      </x:c>
      <x:c r="AB65" s="82" t="str">
        <x:v>较高</x:v>
      </x:c>
      <x:c r="AC65" s="82" t="str">
        <x:v>现代综合</x:v>
      </x:c>
      <x:c r="AD65" s="68" t="str">
        <x:v>十神同时出现不等于组合成立。M11须同时验证核心十神有效性、作用路径、力量匹配、日主承载、破坏因素与救应；组合成立也不等于格局成立。</x:v>
      </x:c>
      <x:c r="AE65" s="68" t="str">
        <x:v>财生官有效；官生印、印生身也有效；作用路径稳定且无关键破坏，可按“财官印相生”记录。</x:v>
      </x:c>
      <x:c r="AF65" s="90" t="str">
        <x:v>仅因“财星、官星、印星”同时出现，但核心十神无力、无作用路径或被关键因素破坏，不能判“财官印相生”成立。</x:v>
      </x:c>
      <x:c r="AG65" s="68" t="str">
        <x:v>https://zh.wikisource.org/zh-hans/%E6%B7%B5%E6%B5%B7%E5%AD%90%E5%B9%B3 ; https://zh.wikisource.org/wiki/%E6%BB%B4%E5%A4%A9%E9%AB%93%E9%97%A1%E5%BE%AE</x:v>
      </x:c>
      <x:c r="AH65" s="82" t="str">
        <x:v>采用</x:v>
      </x:c>
      <x:c r="AI65" s="82" t="str">
        <x:v>初审</x:v>
      </x:c>
      <x:c r="AJ65" s="87" t="n">
        <x:v>46255</x:v>
      </x:c>
    </x:row>
    <x:row r="66">
      <x:c r="A66" s="72" t="str">
        <x:f>IF(OR(C66="",D66=""),"",B66&amp;"-"&amp;UPPER(C66)&amp;"-"&amp;TEXT(D66,"0000")&amp;"-"&amp;E66)</x:f>
        <x:v>M11-CAIGUAN-0060-V1.0</x:v>
      </x:c>
      <x:c r="B66" s="74" t="str">
        <x:v>M11</x:v>
      </x:c>
      <x:c r="C66" s="74" t="str">
        <x:v>CAIGUAN</x:v>
      </x:c>
      <x:c r="D66" s="215" t="n">
        <x:v>60</x:v>
      </x:c>
      <x:c r="E66" s="74" t="str">
        <x:v>V1.0</x:v>
      </x:c>
      <x:c r="F66" s="68" t="str">
        <x:v>官弱无根时财生官效果有限</x:v>
      </x:c>
      <x:c r="G66" s="82" t="str">
        <x:v>结构层</x:v>
      </x:c>
      <x:c r="H66" s="82" t="str">
        <x:v>生化型</x:v>
      </x:c>
      <x:c r="I66" s="68" t="str">
        <x:v>财官相生</x:v>
      </x:c>
      <x:c r="J66" s="68" t="str">
        <x:v>财星、正官</x:v>
      </x:c>
      <x:c r="K66" s="68" t="str">
        <x:v>财星旺</x:v>
      </x:c>
      <x:c r="L66" s="68" t="str">
        <x:v>正官弱、无根或被伤官制</x:v>
      </x:c>
      <x:c r="M66" s="68" t="str">
        <x:v>直接或可达的生克制化路径成立</x:v>
      </x:c>
      <x:c r="N66" s="68" t="str">
        <x:v>相关十神均以M10有效力量为准，且不存在决定性失衡</x:v>
      </x:c>
      <x:c r="O66" s="68" t="str">
        <x:v>结合M09日主承载判断</x:v>
      </x:c>
      <x:c r="P66" s="68" t="str">
        <x:v>主体、客体、作用路径与力量匹配均达到最低要求</x:v>
      </x:c>
      <x:c r="Q66" s="68" t="str">
        <x:v>相关十神有根、有源、透达、清纯且关键通路稳定</x:v>
      </x:c>
      <x:c r="R66" s="90" t="str">
        <x:v>关键十神被合绊、被制、改性、失效或力量严重失衡</x:v>
      </x:c>
      <x:c r="S66" s="68" t="str">
        <x:v>存在第三十神恢复通路、清除破坏或重新形成平衡</x:v>
      </x:c>
      <x:c r="T66" s="90" t="str">
        <x:v>任一核心十神失效，或不存在真实作用路径</x:v>
      </x:c>
      <x:c r="U66" s="68" t="str">
        <x:v>特殊格局、从化或月令格局另转M14/M15复审</x:v>
      </x:c>
      <x:c r="V66" s="84" t="str">
        <x:v>弱成立</x:v>
      </x:c>
      <x:c r="W66" s="84" t="str">
        <x:v>形成局部生化、制化或承载结构</x:v>
      </x:c>
      <x:c r="X66" s="82" t="str">
        <x:v>否</x:v>
      </x:c>
      <x:c r="Y66" s="68" t="str">
        <x:v>对应格局候选转M14</x:v>
      </x:c>
      <x:c r="Z66" s="84" t="str">
        <x:v>财官相生_官弱</x:v>
      </x:c>
      <x:c r="AA66" s="84" t="str">
        <x:v>财官相生：当主体、客体、路径与力量匹配满足最低标准时，判“弱成立”；是否上升为格局转M14/M15。</x:v>
      </x:c>
      <x:c r="AB66" s="82" t="str">
        <x:v>较高</x:v>
      </x:c>
      <x:c r="AC66" s="82" t="str">
        <x:v>现代综合</x:v>
      </x:c>
      <x:c r="AD66" s="68" t="str">
        <x:v>十神同时出现不等于组合成立。M11须同时验证核心十神有效性、作用路径、力量匹配、日主承载、破坏因素与救应；组合成立也不等于格局成立。</x:v>
      </x:c>
      <x:c r="AE66" s="68" t="str">
        <x:v>财星旺；正官弱、无根或被伤官制；作用路径稳定且无关键破坏，可按“财官相生”记录。</x:v>
      </x:c>
      <x:c r="AF66" s="90" t="str">
        <x:v>仅因“财星、正官”同时出现，但核心十神无力、无作用路径或被关键因素破坏，不能判“财官相生”成立。</x:v>
      </x:c>
      <x:c r="AG66" s="68" t="str">
        <x:v>https://zh.wikisource.org/zh-hans/%E6%B7%B5%E6%B5%B7%E5%AD%90%E5%B9%B3 ; https://zh.wikisource.org/wiki/%E6%BB%B4%E5%A4%A9%E9%AB%93%E9%97%A1%E5%BE%AE</x:v>
      </x:c>
      <x:c r="AH66" s="82" t="str">
        <x:v>采用</x:v>
      </x:c>
      <x:c r="AI66" s="82" t="str">
        <x:v>初审</x:v>
      </x:c>
      <x:c r="AJ66" s="87" t="n">
        <x:v>46255</x:v>
      </x:c>
    </x:row>
    <x:row r="67">
      <x:c r="A67" s="72" t="str">
        <x:f>IF(OR(C67="",D67=""),"",B67&amp;"-"&amp;UPPER(C67)&amp;"-"&amp;TEXT(D67,"0000")&amp;"-"&amp;E67)</x:f>
        <x:v>M11-CAIGUAN-0061-V1.0</x:v>
      </x:c>
      <x:c r="B67" s="74" t="str">
        <x:v>M11</x:v>
      </x:c>
      <x:c r="C67" s="74" t="str">
        <x:v>CAIGUAN</x:v>
      </x:c>
      <x:c r="D67" s="215" t="n">
        <x:v>61</x:v>
      </x:c>
      <x:c r="E67" s="74" t="str">
        <x:v>V1.0</x:v>
      </x:c>
      <x:c r="F67" s="68" t="str">
        <x:v>身弱时财生杀可能加重双重负荷</x:v>
      </x:c>
      <x:c r="G67" s="82" t="str">
        <x:v>结构层</x:v>
      </x:c>
      <x:c r="H67" s="82" t="str">
        <x:v>生化型</x:v>
      </x:c>
      <x:c r="I67" s="68" t="str">
        <x:v>财生杀</x:v>
      </x:c>
      <x:c r="J67" s="68" t="str">
        <x:v>财星、七杀</x:v>
      </x:c>
      <x:c r="K67" s="68" t="str">
        <x:v>日主弱或偏弱</x:v>
      </x:c>
      <x:c r="L67" s="68" t="str">
        <x:v>财既耗身又生七杀制身</x:v>
      </x:c>
      <x:c r="M67" s="68" t="str">
        <x:v>直接或可达的生克制化路径成立</x:v>
      </x:c>
      <x:c r="N67" s="68" t="str">
        <x:v>相关十神均以M10有效力量为准，且不存在决定性失衡</x:v>
      </x:c>
      <x:c r="O67" s="68" t="str">
        <x:v>若无印比救应，组合虽成立但对日主压力显著</x:v>
      </x:c>
      <x:c r="P67" s="68" t="str">
        <x:v>主体、客体、作用路径与力量匹配均达到最低要求</x:v>
      </x:c>
      <x:c r="Q67" s="68" t="str">
        <x:v>相关十神有根、有源、透达、清纯且关键通路稳定</x:v>
      </x:c>
      <x:c r="R67" s="90" t="str">
        <x:v>关键十神被合绊、被制、改性、失效或力量严重失衡</x:v>
      </x:c>
      <x:c r="S67" s="68" t="str">
        <x:v>存在第三十神恢复通路、清除破坏或重新形成平衡</x:v>
      </x:c>
      <x:c r="T67" s="90" t="str">
        <x:v>任一核心十神失效，或不存在真实作用路径</x:v>
      </x:c>
      <x:c r="U67" s="68" t="str">
        <x:v>特殊格局、从化或月令格局另转M14/M15复审</x:v>
      </x:c>
      <x:c r="V67" s="84" t="str">
        <x:v>基本成立</x:v>
      </x:c>
      <x:c r="W67" s="84" t="str">
        <x:v>耗身并增杀</x:v>
      </x:c>
      <x:c r="X67" s="82" t="str">
        <x:v>条件性</x:v>
      </x:c>
      <x:c r="Y67" s="68" t="str">
        <x:v>对应格局候选转M14</x:v>
      </x:c>
      <x:c r="Z67" s="84" t="str">
        <x:v>财生杀_身弱压力</x:v>
      </x:c>
      <x:c r="AA67" s="84" t="str">
        <x:v>财生杀：当主体、客体、路径与力量匹配满足最低标准时，判“基本成立”；是否上升为格局转M14/M15。</x:v>
      </x:c>
      <x:c r="AB67" s="82" t="str">
        <x:v>较高</x:v>
      </x:c>
      <x:c r="AC67" s="82" t="str">
        <x:v>现代综合</x:v>
      </x:c>
      <x:c r="AD67" s="68" t="str">
        <x:v>十神同时出现不等于组合成立。M11须同时验证核心十神有效性、作用路径、力量匹配、日主承载、破坏因素与救应；组合成立也不等于格局成立。</x:v>
      </x:c>
      <x:c r="AE67" s="68" t="str">
        <x:v>日主弱或偏弱；财既耗身又生七杀制身；作用路径稳定且无关键破坏，可按“财生杀”记录。</x:v>
      </x:c>
      <x:c r="AF67" s="90" t="str">
        <x:v>仅因“财星、七杀”同时出现，但核心十神无力、无作用路径或被关键因素破坏，不能判“财生杀”成立。</x:v>
      </x:c>
      <x:c r="AG67" s="68" t="str">
        <x:v>https://zh.wikisource.org/zh-hans/%E6%B7%B5%E6%B5%B7%E5%AD%90%E5%B9%B3 ; https://zh.wikisource.org/wiki/%E6%BB%B4%E5%A4%A9%E9%AB%93%E9%97%A1%E5%BE%AE</x:v>
      </x:c>
      <x:c r="AH67" s="82" t="str">
        <x:v>采用</x:v>
      </x:c>
      <x:c r="AI67" s="82" t="str">
        <x:v>初审</x:v>
      </x:c>
      <x:c r="AJ67" s="87" t="n">
        <x:v>46255</x:v>
      </x:c>
    </x:row>
    <x:row r="68">
      <x:c r="A68" s="72" t="str">
        <x:f>IF(OR(C68="",D68=""),"",B68&amp;"-"&amp;UPPER(C68)&amp;"-"&amp;TEXT(D68,"0000")&amp;"-"&amp;E68)</x:f>
        <x:v>M11-CAIGUAN-0062-V1.0</x:v>
      </x:c>
      <x:c r="B68" s="74" t="str">
        <x:v>M11</x:v>
      </x:c>
      <x:c r="C68" s="74" t="str">
        <x:v>CAIGUAN</x:v>
      </x:c>
      <x:c r="D68" s="215" t="n">
        <x:v>62</x:v>
      </x:c>
      <x:c r="E68" s="74" t="str">
        <x:v>V1.0</x:v>
      </x:c>
      <x:c r="F68" s="68" t="str">
        <x:v>财旺破印会破坏财官印连续链</x:v>
      </x:c>
      <x:c r="G68" s="82" t="str">
        <x:v>结构层</x:v>
      </x:c>
      <x:c r="H68" s="82" t="str">
        <x:v>生化型</x:v>
      </x:c>
      <x:c r="I68" s="68" t="str">
        <x:v>财官印相生</x:v>
      </x:c>
      <x:c r="J68" s="68" t="str">
        <x:v>财星、官星、印星</x:v>
      </x:c>
      <x:c r="K68" s="68" t="str">
        <x:v>财星既生官又直接强制印星</x:v>
      </x:c>
      <x:c r="L68" s="68" t="str">
        <x:v>印星成为链路薄弱点</x:v>
      </x:c>
      <x:c r="M68" s="68" t="str">
        <x:v>直接或可达的生克制化路径成立</x:v>
      </x:c>
      <x:c r="N68" s="68" t="str">
        <x:v>相关十神均以M10有效力量为准，且不存在决定性失衡</x:v>
      </x:c>
      <x:c r="O68" s="68" t="str">
        <x:v>结合M09日主承载判断</x:v>
      </x:c>
      <x:c r="P68" s="68" t="str">
        <x:v>主体、客体、作用路径与力量匹配均达到最低要求</x:v>
      </x:c>
      <x:c r="Q68" s="68" t="str">
        <x:v>相关十神有根、有源、透达、清纯且关键通路稳定</x:v>
      </x:c>
      <x:c r="R68" s="90" t="str">
        <x:v>财坏印效应大于官生印补充</x:v>
      </x:c>
      <x:c r="S68" s="68" t="str">
        <x:v>存在第三十神恢复通路、清除破坏或重新形成平衡</x:v>
      </x:c>
      <x:c r="T68" s="90" t="str">
        <x:v>任一核心十神失效，或不存在真实作用路径</x:v>
      </x:c>
      <x:c r="U68" s="68" t="str">
        <x:v>特殊格局、从化或月令格局另转M14/M15复审</x:v>
      </x:c>
      <x:c r="V68" s="84" t="str">
        <x:v>弱成立</x:v>
      </x:c>
      <x:c r="W68" s="84" t="str">
        <x:v>形成局部生化、制化或承载结构</x:v>
      </x:c>
      <x:c r="X68" s="82" t="str">
        <x:v>条件性</x:v>
      </x:c>
      <x:c r="Y68" s="68" t="str">
        <x:v>对应格局候选转M14</x:v>
      </x:c>
      <x:c r="Z68" s="84" t="str">
        <x:v>财官印_财破印</x:v>
      </x:c>
      <x:c r="AA68" s="84" t="str">
        <x:v>财官印相生：当主体、客体、路径与力量匹配满足最低标准时，判“弱成立”；是否上升为格局转M14/M15。</x:v>
      </x:c>
      <x:c r="AB68" s="82" t="str">
        <x:v>较高</x:v>
      </x:c>
      <x:c r="AC68" s="82" t="str">
        <x:v>现代综合</x:v>
      </x:c>
      <x:c r="AD68" s="68" t="str">
        <x:v>十神同时出现不等于组合成立。M11须同时验证核心十神有效性、作用路径、力量匹配、日主承载、破坏因素与救应；组合成立也不等于格局成立。</x:v>
      </x:c>
      <x:c r="AE68" s="68" t="str">
        <x:v>财星既生官又直接强制印星；印星成为链路薄弱点；作用路径稳定且无关键破坏，可按“财官印相生”记录。</x:v>
      </x:c>
      <x:c r="AF68" s="90" t="str">
        <x:v>仅因“财星、官星、印星”同时出现，但核心十神无力、无作用路径或被关键因素破坏，不能判“财官印相生”成立。</x:v>
      </x:c>
      <x:c r="AG68" s="68" t="str">
        <x:v>https://zh.wikisource.org/zh-hans/%E6%B7%B5%E6%B5%B7%E5%AD%90%E5%B9%B3 ; https://zh.wikisource.org/wiki/%E6%BB%B4%E5%A4%A9%E9%AB%93%E9%97%A1%E5%BE%AE</x:v>
      </x:c>
      <x:c r="AH68" s="82" t="str">
        <x:v>采用</x:v>
      </x:c>
      <x:c r="AI68" s="82" t="str">
        <x:v>初审</x:v>
      </x:c>
      <x:c r="AJ68" s="87" t="n">
        <x:v>46255</x:v>
      </x:c>
    </x:row>
    <x:row r="69">
      <x:c r="A69" s="72" t="str">
        <x:f>IF(OR(C69="",D69=""),"",B69&amp;"-"&amp;UPPER(C69)&amp;"-"&amp;TEXT(D69,"0000")&amp;"-"&amp;E69)</x:f>
        <x:v>M11-CAIGUAN-0063-V1.0</x:v>
      </x:c>
      <x:c r="B69" s="74" t="str">
        <x:v>M11</x:v>
      </x:c>
      <x:c r="C69" s="74" t="str">
        <x:v>CAIGUAN</x:v>
      </x:c>
      <x:c r="D69" s="215" t="n">
        <x:v>63</x:v>
      </x:c>
      <x:c r="E69" s="74" t="str">
        <x:v>V1.0</x:v>
      </x:c>
      <x:c r="F69" s="68" t="str">
        <x:v>身旺任财官时组合承载增强</x:v>
      </x:c>
      <x:c r="G69" s="82" t="str">
        <x:v>结构层</x:v>
      </x:c>
      <x:c r="H69" s="82" t="str">
        <x:v>生化型</x:v>
      </x:c>
      <x:c r="I69" s="68" t="str">
        <x:v>财官相生</x:v>
      </x:c>
      <x:c r="J69" s="68" t="str">
        <x:v>财星、正官</x:v>
      </x:c>
      <x:c r="K69" s="68" t="str">
        <x:v>日主旺或中和偏旺</x:v>
      </x:c>
      <x:c r="L69" s="68" t="str">
        <x:v>财官均有效且不过度</x:v>
      </x:c>
      <x:c r="M69" s="68" t="str">
        <x:v>直接或可达的生克制化路径成立</x:v>
      </x:c>
      <x:c r="N69" s="68" t="str">
        <x:v>相关十神均以M10有效力量为准，且不存在决定性失衡</x:v>
      </x:c>
      <x:c r="O69" s="68" t="str">
        <x:v>日主有能力承受财耗和官制</x:v>
      </x:c>
      <x:c r="P69" s="68" t="str">
        <x:v>主体、客体、作用路径与力量匹配均达到最低要求</x:v>
      </x:c>
      <x:c r="Q69" s="68" t="str">
        <x:v>相关十神有根、有源、透达、清纯且关键通路稳定</x:v>
      </x:c>
      <x:c r="R69" s="90" t="str">
        <x:v>关键十神被合绊、被制、改性、失效或力量严重失衡</x:v>
      </x:c>
      <x:c r="S69" s="68" t="str">
        <x:v>存在第三十神恢复通路、清除破坏或重新形成平衡</x:v>
      </x:c>
      <x:c r="T69" s="90" t="str">
        <x:v>任一核心十神失效，或不存在真实作用路径</x:v>
      </x:c>
      <x:c r="U69" s="68" t="str">
        <x:v>特殊格局、从化或月令格局另转M14/M15复审</x:v>
      </x:c>
      <x:c r="V69" s="84" t="str">
        <x:v>明显成立</x:v>
      </x:c>
      <x:c r="W69" s="84" t="str">
        <x:v>形成局部生化、制化或承载结构</x:v>
      </x:c>
      <x:c r="X69" s="82" t="str">
        <x:v>条件性</x:v>
      </x:c>
      <x:c r="Y69" s="68" t="str">
        <x:v>对应格局候选转M14</x:v>
      </x:c>
      <x:c r="Z69" s="84" t="str">
        <x:v>财官相生_身旺承载</x:v>
      </x:c>
      <x:c r="AA69" s="84" t="str">
        <x:v>财官相生：当主体、客体、路径与力量匹配满足最低标准时，判“明显成立”；是否上升为格局转M14/M15。</x:v>
      </x:c>
      <x:c r="AB69" s="82" t="str">
        <x:v>较高</x:v>
      </x:c>
      <x:c r="AC69" s="82" t="str">
        <x:v>现代综合</x:v>
      </x:c>
      <x:c r="AD69" s="68" t="str">
        <x:v>十神同时出现不等于组合成立。M11须同时验证核心十神有效性、作用路径、力量匹配、日主承载、破坏因素与救应；组合成立也不等于格局成立。</x:v>
      </x:c>
      <x:c r="AE69" s="68" t="str">
        <x:v>日主旺或中和偏旺；财官均有效且不过度；作用路径稳定且无关键破坏，可按“财官相生”记录。</x:v>
      </x:c>
      <x:c r="AF69" s="90" t="str">
        <x:v>仅因“财星、正官”同时出现，但核心十神无力、无作用路径或被关键因素破坏，不能判“财官相生”成立。</x:v>
      </x:c>
      <x:c r="AG69" s="68" t="str">
        <x:v>https://zh.wikisource.org/zh-hans/%E6%B7%B5%E6%B5%B7%E5%AD%90%E5%B9%B3 ; https://zh.wikisource.org/wiki/%E6%BB%B4%E5%A4%A9%E9%AB%93%E9%97%A1%E5%BE%AE</x:v>
      </x:c>
      <x:c r="AH69" s="82" t="str">
        <x:v>采用</x:v>
      </x:c>
      <x:c r="AI69" s="82" t="str">
        <x:v>初审</x:v>
      </x:c>
      <x:c r="AJ69" s="87" t="n">
        <x:v>46255</x:v>
      </x:c>
    </x:row>
    <x:row r="70">
      <x:c r="A70" s="72" t="str">
        <x:f>IF(OR(C70="",D70=""),"",B70&amp;"-"&amp;UPPER(C70)&amp;"-"&amp;TEXT(D70,"0000")&amp;"-"&amp;E70)</x:f>
        <x:v>M11-CAIGUAN-0064-V1.0</x:v>
      </x:c>
      <x:c r="B70" s="74" t="str">
        <x:v>M11</x:v>
      </x:c>
      <x:c r="C70" s="74" t="str">
        <x:v>CAIGUAN</x:v>
      </x:c>
      <x:c r="D70" s="215" t="n">
        <x:v>64</x:v>
      </x:c>
      <x:c r="E70" s="74" t="str">
        <x:v>V1.0</x:v>
      </x:c>
      <x:c r="F70" s="68" t="str">
        <x:v>财官相生只是组合，不直接等同富贵</x:v>
      </x:c>
      <x:c r="G70" s="82" t="str">
        <x:v>结构层</x:v>
      </x:c>
      <x:c r="H70" s="82" t="str">
        <x:v>生化型</x:v>
      </x:c>
      <x:c r="I70" s="68" t="str">
        <x:v>财官相生</x:v>
      </x:c>
      <x:c r="J70" s="68" t="str">
        <x:v>财星、官星</x:v>
      </x:c>
      <x:c r="K70" s="68" t="str">
        <x:v>财官链已经成立</x:v>
      </x:c>
      <x:c r="L70" s="68" t="str">
        <x:v>格局清纯、月令、日主承载及用神尚未综合裁决</x:v>
      </x:c>
      <x:c r="M70" s="68" t="str">
        <x:v>直接或可达的生克制化路径成立</x:v>
      </x:c>
      <x:c r="N70" s="68" t="str">
        <x:v>相关十神均以M10有效力量为准，且不存在决定性失衡</x:v>
      </x:c>
      <x:c r="O70" s="68" t="str">
        <x:v>结合M09日主承载判断</x:v>
      </x:c>
      <x:c r="P70" s="68" t="str">
        <x:v>主体、客体、作用路径与力量匹配均达到最低要求</x:v>
      </x:c>
      <x:c r="Q70" s="68" t="str">
        <x:v>相关十神有根、有源、透达、清纯且关键通路稳定</x:v>
      </x:c>
      <x:c r="R70" s="90" t="str">
        <x:v>关键十神被合绊、被制、改性、失效或力量严重失衡</x:v>
      </x:c>
      <x:c r="S70" s="68" t="str">
        <x:v>存在第三十神恢复通路、清除破坏或重新形成平衡</x:v>
      </x:c>
      <x:c r="T70" s="90" t="str">
        <x:v>任一核心十神失效，或不存在真实作用路径</x:v>
      </x:c>
      <x:c r="U70" s="68" t="str">
        <x:v>特殊格局、从化或月令格局另转M14/M15复审</x:v>
      </x:c>
      <x:c r="V70" s="84" t="str">
        <x:v>基本成立</x:v>
      </x:c>
      <x:c r="W70" s="84" t="str">
        <x:v>形成结构资源，不直接推出现实成就</x:v>
      </x:c>
      <x:c r="X70" s="82" t="str">
        <x:v>条件性</x:v>
      </x:c>
      <x:c r="Y70" s="68" t="str">
        <x:v>财格/官格候选转M14</x:v>
      </x:c>
      <x:c r="Z70" s="84" t="str">
        <x:v>财官相生_价值边界</x:v>
      </x:c>
      <x:c r="AA70" s="84" t="str">
        <x:v>财官相生：当主体、客体、路径与力量匹配满足最低标准时，判“基本成立”；是否上升为格局转M14/M15。</x:v>
      </x:c>
      <x:c r="AB70" s="82" t="str">
        <x:v>较高</x:v>
      </x:c>
      <x:c r="AC70" s="82" t="str">
        <x:v>现代综合</x:v>
      </x:c>
      <x:c r="AD70" s="68" t="str">
        <x:v>十神同时出现不等于组合成立。M11须同时验证核心十神有效性、作用路径、力量匹配、日主承载、破坏因素与救应；组合成立也不等于格局成立。</x:v>
      </x:c>
      <x:c r="AE70" s="68" t="str">
        <x:v>财官链已经成立；格局清纯、月令、日主承载及用神尚未综合裁决；作用路径稳定且无关键破坏，可按“财官相生”记录。</x:v>
      </x:c>
      <x:c r="AF70" s="90" t="str">
        <x:v>仅因“财星、官星”同时出现，但核心十神无力、无作用路径或被关键因素破坏，不能判“财官相生”成立。</x:v>
      </x:c>
      <x:c r="AG70" s="68" t="str">
        <x:v>https://zh.wikisource.org/zh-hans/%E6%B7%B5%E6%B5%B7%E5%AD%90%E5%B9%B3 ; https://zh.wikisource.org/wiki/%E6%BB%B4%E5%A4%A9%E9%AB%93%E9%97%A1%E5%BE%AE</x:v>
      </x:c>
      <x:c r="AH70" s="82" t="str">
        <x:v>采用</x:v>
      </x:c>
      <x:c r="AI70" s="82" t="str">
        <x:v>初审</x:v>
      </x:c>
      <x:c r="AJ70" s="87" t="n">
        <x:v>46255</x:v>
      </x:c>
    </x:row>
    <x:row r="71">
      <x:c r="A71" s="72" t="str">
        <x:f>IF(OR(C71="",D71=""),"",B71&amp;"-"&amp;UPPER(C71)&amp;"-"&amp;TEXT(D71,"0000")&amp;"-"&amp;E71)</x:f>
        <x:v>M11-BALANCE-0065-V1.0</x:v>
      </x:c>
      <x:c r="B71" s="74" t="str">
        <x:v>M11</x:v>
      </x:c>
      <x:c r="C71" s="74" t="str">
        <x:v>BALANCE</x:v>
      </x:c>
      <x:c r="D71" s="215" t="n">
        <x:v>65</x:v>
      </x:c>
      <x:c r="E71" s="74" t="str">
        <x:v>V1.0</x:v>
      </x:c>
      <x:c r="F71" s="68" t="str">
        <x:v>日主与财星有效力量大体匹配</x:v>
      </x:c>
      <x:c r="G71" s="82" t="str">
        <x:v>结构层</x:v>
      </x:c>
      <x:c r="H71" s="82" t="str">
        <x:v>平衡承载型</x:v>
      </x:c>
      <x:c r="I71" s="68" t="str">
        <x:v>身财两停</x:v>
      </x:c>
      <x:c r="J71" s="68" t="str">
        <x:v>日主、财星</x:v>
      </x:c>
      <x:c r="K71" s="68" t="str">
        <x:v>M09日主达到中和至旺，并具稳定承载</x:v>
      </x:c>
      <x:c r="L71" s="68" t="str">
        <x:v>财星有效且不过强不过弱</x:v>
      </x:c>
      <x:c r="M71" s="68" t="str">
        <x:v>直接或可达的生克制化路径成立</x:v>
      </x:c>
      <x:c r="N71" s="68" t="str">
        <x:v>身与财不存在决定性失衡</x:v>
      </x:c>
      <x:c r="O71" s="68" t="str">
        <x:v>结合M09日主承载判断</x:v>
      </x:c>
      <x:c r="P71" s="68" t="str">
        <x:v>日主能任财、财也足以形成有效耗用</x:v>
      </x:c>
      <x:c r="Q71" s="68" t="str">
        <x:v>相关十神有根、有源、透达、清纯且关键通路稳定</x:v>
      </x:c>
      <x:c r="R71" s="90" t="str">
        <x:v>关键十神被合绊、被制、改性、失效或力量严重失衡</x:v>
      </x:c>
      <x:c r="S71" s="68" t="str">
        <x:v>存在第三十神恢复通路、清除破坏或重新形成平衡</x:v>
      </x:c>
      <x:c r="T71" s="90" t="str">
        <x:v>任一核心十神失效，或不存在真实作用路径</x:v>
      </x:c>
      <x:c r="U71" s="68" t="str">
        <x:v>特殊格局、从化或月令格局另转M14/M15复审</x:v>
      </x:c>
      <x:c r="V71" s="84" t="str">
        <x:v>基本成立</x:v>
      </x:c>
      <x:c r="W71" s="84" t="str">
        <x:v>身能任财且财有可用空间</x:v>
      </x:c>
      <x:c r="X71" s="82" t="str">
        <x:v>条件性</x:v>
      </x:c>
      <x:c r="Y71" s="68" t="str">
        <x:v>身财两停候选</x:v>
      </x:c>
      <x:c r="Z71" s="84" t="str">
        <x:v>身财两停_成立条件</x:v>
      </x:c>
      <x:c r="AA71" s="84" t="str">
        <x:v>身财两停：当主体、客体、路径与力量匹配满足最低标准时，判“基本成立”；是否上升为格局转M14/M15。</x:v>
      </x:c>
      <x:c r="AB71" s="82" t="str">
        <x:v>较高</x:v>
      </x:c>
      <x:c r="AC71" s="82" t="str">
        <x:v>现代综合</x:v>
      </x:c>
      <x:c r="AD71" s="68" t="str">
        <x:v>十神同时出现不等于组合成立。M11须同时验证核心十神有效性、作用路径、力量匹配、日主承载、破坏因素与救应；组合成立也不等于格局成立。</x:v>
      </x:c>
      <x:c r="AE71" s="68" t="str">
        <x:v>M09日主达到中和至旺，并具稳定承载；财星有效且不过强不过弱；作用路径稳定且无关键破坏，可按“身财两停”记录。</x:v>
      </x:c>
      <x:c r="AF71" s="90" t="str">
        <x:v>仅因“日主、财星”同时出现，但核心十神无力、无作用路径或被关键因素破坏，不能判“身财两停”成立。</x:v>
      </x:c>
      <x:c r="AG71" s="68" t="str">
        <x:v>https://zh.wikisource.org/zh-hans/%E6%B7%B5%E6%B5%B7%E5%AD%90%E5%B9%B3 ; https://zh.wikisource.org/wiki/%E6%BB%B4%E5%A4%A9%E9%AB%93%E9%97%A1%E5%BE%AE</x:v>
      </x:c>
      <x:c r="AH71" s="82" t="str">
        <x:v>采用</x:v>
      </x:c>
      <x:c r="AI71" s="82" t="str">
        <x:v>初审</x:v>
      </x:c>
      <x:c r="AJ71" s="87" t="n">
        <x:v>46255</x:v>
      </x:c>
    </x:row>
    <x:row r="72">
      <x:c r="A72" s="72" t="str">
        <x:f>IF(OR(C72="",D72=""),"",B72&amp;"-"&amp;UPPER(C72)&amp;"-"&amp;TEXT(D72,"0000")&amp;"-"&amp;E72)</x:f>
        <x:v>M11-BALANCE-0066-V1.0</x:v>
      </x:c>
      <x:c r="B72" s="74" t="str">
        <x:v>M11</x:v>
      </x:c>
      <x:c r="C72" s="74" t="str">
        <x:v>BALANCE</x:v>
      </x:c>
      <x:c r="D72" s="215" t="n">
        <x:v>66</x:v>
      </x:c>
      <x:c r="E72" s="74" t="str">
        <x:v>V1.0</x:v>
      </x:c>
      <x:c r="F72" s="68" t="str">
        <x:v>日主与正官制衡匹配</x:v>
      </x:c>
      <x:c r="G72" s="82" t="str">
        <x:v>结构层</x:v>
      </x:c>
      <x:c r="H72" s="82" t="str">
        <x:v>平衡承载型</x:v>
      </x:c>
      <x:c r="I72" s="68" t="str">
        <x:v>身官两停</x:v>
      </x:c>
      <x:c r="J72" s="68" t="str">
        <x:v>日主、正官</x:v>
      </x:c>
      <x:c r="K72" s="68" t="str">
        <x:v>日主有足够承载</x:v>
      </x:c>
      <x:c r="L72" s="68" t="str">
        <x:v>正官有力但不过度</x:v>
      </x:c>
      <x:c r="M72" s="68" t="str">
        <x:v>直接或可达的生克制化路径成立</x:v>
      </x:c>
      <x:c r="N72" s="68" t="str">
        <x:v>官制身与身承官大体平衡</x:v>
      </x:c>
      <x:c r="O72" s="68" t="str">
        <x:v>结合M09日主承载判断</x:v>
      </x:c>
      <x:c r="P72" s="68" t="str">
        <x:v>主体、客体、作用路径与力量匹配均达到最低要求</x:v>
      </x:c>
      <x:c r="Q72" s="68" t="str">
        <x:v>相关十神有根、有源、透达、清纯且关键通路稳定</x:v>
      </x:c>
      <x:c r="R72" s="90" t="str">
        <x:v>关键十神被合绊、被制、改性、失效或力量严重失衡</x:v>
      </x:c>
      <x:c r="S72" s="68" t="str">
        <x:v>存在第三十神恢复通路、清除破坏或重新形成平衡</x:v>
      </x:c>
      <x:c r="T72" s="90" t="str">
        <x:v>任一核心十神失效，或不存在真实作用路径</x:v>
      </x:c>
      <x:c r="U72" s="68" t="str">
        <x:v>特殊格局、从化或月令格局另转M14/M15复审</x:v>
      </x:c>
      <x:c r="V72" s="84" t="str">
        <x:v>基本成立</x:v>
      </x:c>
      <x:c r="W72" s="84" t="str">
        <x:v>形成稳定约束与承载</x:v>
      </x:c>
      <x:c r="X72" s="82" t="str">
        <x:v>条件性</x:v>
      </x:c>
      <x:c r="Y72" s="68" t="str">
        <x:v>身官两停候选</x:v>
      </x:c>
      <x:c r="Z72" s="84" t="str">
        <x:v>身官两停_成立条件</x:v>
      </x:c>
      <x:c r="AA72" s="84" t="str">
        <x:v>身官两停：当主体、客体、路径与力量匹配满足最低标准时，判“基本成立”；是否上升为格局转M14/M15。</x:v>
      </x:c>
      <x:c r="AB72" s="82" t="str">
        <x:v>较高</x:v>
      </x:c>
      <x:c r="AC72" s="82" t="str">
        <x:v>现代综合</x:v>
      </x:c>
      <x:c r="AD72" s="68" t="str">
        <x:v>十神同时出现不等于组合成立。M11须同时验证核心十神有效性、作用路径、力量匹配、日主承载、破坏因素与救应；组合成立也不等于格局成立。</x:v>
      </x:c>
      <x:c r="AE72" s="68" t="str">
        <x:v>日主有足够承载；正官有力但不过度；作用路径稳定且无关键破坏，可按“身官两停”记录。</x:v>
      </x:c>
      <x:c r="AF72" s="90" t="str">
        <x:v>仅因“日主、正官”同时出现，但核心十神无力、无作用路径或被关键因素破坏，不能判“身官两停”成立。</x:v>
      </x:c>
      <x:c r="AG72" s="68" t="str">
        <x:v>https://zh.wikisource.org/zh-hans/%E6%B7%B5%E6%B5%B7%E5%AD%90%E5%B9%B3 ; https://zh.wikisource.org/wiki/%E6%BB%B4%E5%A4%A9%E9%AB%93%E9%97%A1%E5%BE%AE</x:v>
      </x:c>
      <x:c r="AH72" s="82" t="str">
        <x:v>采用</x:v>
      </x:c>
      <x:c r="AI72" s="82" t="str">
        <x:v>初审</x:v>
      </x:c>
      <x:c r="AJ72" s="87" t="n">
        <x:v>46255</x:v>
      </x:c>
    </x:row>
    <x:row r="73">
      <x:c r="A73" s="72" t="str">
        <x:f>IF(OR(C73="",D73=""),"",B73&amp;"-"&amp;UPPER(C73)&amp;"-"&amp;TEXT(D73,"0000")&amp;"-"&amp;E73)</x:f>
        <x:v>M11-BALANCE-0067-V1.0</x:v>
      </x:c>
      <x:c r="B73" s="74" t="str">
        <x:v>M11</x:v>
      </x:c>
      <x:c r="C73" s="74" t="str">
        <x:v>BALANCE</x:v>
      </x:c>
      <x:c r="D73" s="215" t="n">
        <x:v>67</x:v>
      </x:c>
      <x:c r="E73" s="74" t="str">
        <x:v>V1.0</x:v>
      </x:c>
      <x:c r="F73" s="68" t="str">
        <x:v>日主与七杀压力匹配</x:v>
      </x:c>
      <x:c r="G73" s="82" t="str">
        <x:v>结构层</x:v>
      </x:c>
      <x:c r="H73" s="82" t="str">
        <x:v>平衡承载型</x:v>
      </x:c>
      <x:c r="I73" s="68" t="str">
        <x:v>身杀两停</x:v>
      </x:c>
      <x:c r="J73" s="68" t="str">
        <x:v>日主、七杀</x:v>
      </x:c>
      <x:c r="K73" s="68" t="str">
        <x:v>日主有根有势可承杀</x:v>
      </x:c>
      <x:c r="L73" s="68" t="str">
        <x:v>七杀有力但未超过承载</x:v>
      </x:c>
      <x:c r="M73" s="68" t="str">
        <x:v>直接或可达的生克制化路径成立</x:v>
      </x:c>
      <x:c r="N73" s="68" t="str">
        <x:v>身杀两方均有权且不过度</x:v>
      </x:c>
      <x:c r="O73" s="68" t="str">
        <x:v>结合M09日主承载判断</x:v>
      </x:c>
      <x:c r="P73" s="68" t="str">
        <x:v>主体、客体、作用路径与力量匹配均达到最低要求</x:v>
      </x:c>
      <x:c r="Q73" s="68" t="str">
        <x:v>相关十神有根、有源、透达、清纯且关键通路稳定</x:v>
      </x:c>
      <x:c r="R73" s="90" t="str">
        <x:v>关键十神被合绊、被制、改性、失效或力量严重失衡</x:v>
      </x:c>
      <x:c r="S73" s="68" t="str">
        <x:v>存在第三十神恢复通路、清除破坏或重新形成平衡</x:v>
      </x:c>
      <x:c r="T73" s="90" t="str">
        <x:v>任一核心十神失效，或不存在真实作用路径</x:v>
      </x:c>
      <x:c r="U73" s="68" t="str">
        <x:v>特殊格局、从化或月令格局另转M14/M15复审</x:v>
      </x:c>
      <x:c r="V73" s="84" t="str">
        <x:v>基本成立</x:v>
      </x:c>
      <x:c r="W73" s="84" t="str">
        <x:v>杀有制衡功能而非单向攻身</x:v>
      </x:c>
      <x:c r="X73" s="82" t="str">
        <x:v>条件性</x:v>
      </x:c>
      <x:c r="Y73" s="68" t="str">
        <x:v>身杀两停候选</x:v>
      </x:c>
      <x:c r="Z73" s="84" t="str">
        <x:v>身杀两停_成立条件</x:v>
      </x:c>
      <x:c r="AA73" s="84" t="str">
        <x:v>身杀两停：当主体、客体、路径与力量匹配满足最低标准时，判“基本成立”；是否上升为格局转M14/M15。</x:v>
      </x:c>
      <x:c r="AB73" s="82" t="str">
        <x:v>较高</x:v>
      </x:c>
      <x:c r="AC73" s="82" t="str">
        <x:v>现代综合</x:v>
      </x:c>
      <x:c r="AD73" s="68" t="str">
        <x:v>十神同时出现不等于组合成立。M11须同时验证核心十神有效性、作用路径、力量匹配、日主承载、破坏因素与救应；组合成立也不等于格局成立。</x:v>
      </x:c>
      <x:c r="AE73" s="68" t="str">
        <x:v>日主有根有势可承杀；七杀有力但未超过承载；作用路径稳定且无关键破坏，可按“身杀两停”记录。</x:v>
      </x:c>
      <x:c r="AF73" s="90" t="str">
        <x:v>仅因“日主、七杀”同时出现，但核心十神无力、无作用路径或被关键因素破坏，不能判“身杀两停”成立。</x:v>
      </x:c>
      <x:c r="AG73" s="68" t="str">
        <x:v>https://zh.wikisource.org/zh-hans/%E6%B7%B5%E6%B5%B7%E5%AD%90%E5%B9%B3 ; https://zh.wikisource.org/wiki/%E6%BB%B4%E5%A4%A9%E9%AB%93%E9%97%A1%E5%BE%AE</x:v>
      </x:c>
      <x:c r="AH73" s="82" t="str">
        <x:v>采用</x:v>
      </x:c>
      <x:c r="AI73" s="82" t="str">
        <x:v>初审</x:v>
      </x:c>
      <x:c r="AJ73" s="87" t="n">
        <x:v>46255</x:v>
      </x:c>
    </x:row>
    <x:row r="74">
      <x:c r="A74" s="72" t="str">
        <x:f>IF(OR(C74="",D74=""),"",B74&amp;"-"&amp;UPPER(C74)&amp;"-"&amp;TEXT(D74,"0000")&amp;"-"&amp;E74)</x:f>
        <x:v>M11-BALANCE-0068-V1.0</x:v>
      </x:c>
      <x:c r="B74" s="74" t="str">
        <x:v>M11</x:v>
      </x:c>
      <x:c r="C74" s="74" t="str">
        <x:v>BALANCE</x:v>
      </x:c>
      <x:c r="D74" s="215" t="n">
        <x:v>68</x:v>
      </x:c>
      <x:c r="E74" s="74" t="str">
        <x:v>V1.0</x:v>
      </x:c>
      <x:c r="F74" s="68" t="str">
        <x:v>身旺是任财条件而非任财结论</x:v>
      </x:c>
      <x:c r="G74" s="82" t="str">
        <x:v>结构层</x:v>
      </x:c>
      <x:c r="H74" s="82" t="str">
        <x:v>平衡承载型</x:v>
      </x:c>
      <x:c r="I74" s="68" t="str">
        <x:v>身旺任财</x:v>
      </x:c>
      <x:c r="J74" s="68" t="str">
        <x:v>日主、财星</x:v>
      </x:c>
      <x:c r="K74" s="68" t="str">
        <x:v>日主旺或中和偏旺</x:v>
      </x:c>
      <x:c r="L74" s="68" t="str">
        <x:v>财星有效且有实际耗身路径</x:v>
      </x:c>
      <x:c r="M74" s="68" t="str">
        <x:v>直接或可达的生克制化路径成立</x:v>
      </x:c>
      <x:c r="N74" s="68" t="str">
        <x:v>相关十神均以M10有效力量为准，且不存在决定性失衡</x:v>
      </x:c>
      <x:c r="O74" s="68" t="str">
        <x:v>结合M09日主承载判断</x:v>
      </x:c>
      <x:c r="P74" s="68" t="str">
        <x:v>财星非极弱、非被比劫完全制去</x:v>
      </x:c>
      <x:c r="Q74" s="68" t="str">
        <x:v>相关十神有根、有源、透达、清纯且关键通路稳定</x:v>
      </x:c>
      <x:c r="R74" s="90" t="str">
        <x:v>关键十神被合绊、被制、改性、失效或力量严重失衡</x:v>
      </x:c>
      <x:c r="S74" s="68" t="str">
        <x:v>存在第三十神恢复通路、清除破坏或重新形成平衡</x:v>
      </x:c>
      <x:c r="T74" s="90" t="str">
        <x:v>任一核心十神失效，或不存在真实作用路径</x:v>
      </x:c>
      <x:c r="U74" s="68" t="str">
        <x:v>特殊格局、从化或月令格局另转M14/M15复审</x:v>
      </x:c>
      <x:c r="V74" s="84" t="str">
        <x:v>基本成立</x:v>
      </x:c>
      <x:c r="W74" s="84" t="str">
        <x:v>强身可承担财耗</x:v>
      </x:c>
      <x:c r="X74" s="82" t="str">
        <x:v>条件性</x:v>
      </x:c>
      <x:c r="Y74" s="68" t="str">
        <x:v>对应格局候选转M14</x:v>
      </x:c>
      <x:c r="Z74" s="84" t="str">
        <x:v>身旺任财_成立</x:v>
      </x:c>
      <x:c r="AA74" s="84" t="str">
        <x:v>身旺任财：当主体、客体、路径与力量匹配满足最低标准时，判“基本成立”；是否上升为格局转M14/M15。</x:v>
      </x:c>
      <x:c r="AB74" s="82" t="str">
        <x:v>较高</x:v>
      </x:c>
      <x:c r="AC74" s="82" t="str">
        <x:v>现代综合</x:v>
      </x:c>
      <x:c r="AD74" s="68" t="str">
        <x:v>十神同时出现不等于组合成立。M11须同时验证核心十神有效性、作用路径、力量匹配、日主承载、破坏因素与救应；组合成立也不等于格局成立。</x:v>
      </x:c>
      <x:c r="AE74" s="68" t="str">
        <x:v>日主旺或中和偏旺；财星有效且有实际耗身路径；作用路径稳定且无关键破坏，可按“身旺任财”记录。</x:v>
      </x:c>
      <x:c r="AF74" s="90" t="str">
        <x:v>仅因“日主、财星”同时出现，但核心十神无力、无作用路径或被关键因素破坏，不能判“身旺任财”成立。</x:v>
      </x:c>
      <x:c r="AG74" s="68" t="str">
        <x:v>https://zh.wikisource.org/zh-hans/%E6%B7%B5%E6%B5%B7%E5%AD%90%E5%B9%B3 ; https://zh.wikisource.org/wiki/%E6%BB%B4%E5%A4%A9%E9%AB%93%E9%97%A1%E5%BE%AE</x:v>
      </x:c>
      <x:c r="AH74" s="82" t="str">
        <x:v>采用</x:v>
      </x:c>
      <x:c r="AI74" s="82" t="str">
        <x:v>初审</x:v>
      </x:c>
      <x:c r="AJ74" s="87" t="n">
        <x:v>46255</x:v>
      </x:c>
    </x:row>
    <x:row r="75">
      <x:c r="A75" s="72" t="str">
        <x:f>IF(OR(C75="",D75=""),"",B75&amp;"-"&amp;UPPER(C75)&amp;"-"&amp;TEXT(D75,"0000")&amp;"-"&amp;E75)</x:f>
        <x:v>M11-BALANCE-0069-V1.0</x:v>
      </x:c>
      <x:c r="B75" s="74" t="str">
        <x:v>M11</x:v>
      </x:c>
      <x:c r="C75" s="74" t="str">
        <x:v>BALANCE</x:v>
      </x:c>
      <x:c r="D75" s="215" t="n">
        <x:v>69</x:v>
      </x:c>
      <x:c r="E75" s="74" t="str">
        <x:v>V1.0</x:v>
      </x:c>
      <x:c r="F75" s="68" t="str">
        <x:v>身旺可提高承官杀能力</x:v>
      </x:c>
      <x:c r="G75" s="82" t="str">
        <x:v>结构层</x:v>
      </x:c>
      <x:c r="H75" s="82" t="str">
        <x:v>平衡承载型</x:v>
      </x:c>
      <x:c r="I75" s="68" t="str">
        <x:v>身旺任官杀</x:v>
      </x:c>
      <x:c r="J75" s="68" t="str">
        <x:v>日主、官杀</x:v>
      </x:c>
      <x:c r="K75" s="68" t="str">
        <x:v>日主旺</x:v>
      </x:c>
      <x:c r="L75" s="68" t="str">
        <x:v>官杀有效且制身不过度</x:v>
      </x:c>
      <x:c r="M75" s="68" t="str">
        <x:v>直接或可达的生克制化路径成立</x:v>
      </x:c>
      <x:c r="N75" s="68" t="str">
        <x:v>相关十神均以M10有效力量为准，且不存在决定性失衡</x:v>
      </x:c>
      <x:c r="O75" s="68" t="str">
        <x:v>结合M09日主承载判断</x:v>
      </x:c>
      <x:c r="P75" s="68" t="str">
        <x:v>身旺与官杀压力大体匹配</x:v>
      </x:c>
      <x:c r="Q75" s="68" t="str">
        <x:v>相关十神有根、有源、透达、清纯且关键通路稳定</x:v>
      </x:c>
      <x:c r="R75" s="90" t="str">
        <x:v>关键十神被合绊、被制、改性、失效或力量严重失衡</x:v>
      </x:c>
      <x:c r="S75" s="68" t="str">
        <x:v>存在第三十神恢复通路、清除破坏或重新形成平衡</x:v>
      </x:c>
      <x:c r="T75" s="90" t="str">
        <x:v>任一核心十神失效，或不存在真实作用路径</x:v>
      </x:c>
      <x:c r="U75" s="68" t="str">
        <x:v>特殊格局、从化或月令格局另转M14/M15复审</x:v>
      </x:c>
      <x:c r="V75" s="84" t="str">
        <x:v>基本成立</x:v>
      </x:c>
      <x:c r="W75" s="84" t="str">
        <x:v>官杀可成为制衡力量</x:v>
      </x:c>
      <x:c r="X75" s="82" t="str">
        <x:v>条件性</x:v>
      </x:c>
      <x:c r="Y75" s="68" t="str">
        <x:v>对应格局候选转M14</x:v>
      </x:c>
      <x:c r="Z75" s="84" t="str">
        <x:v>身旺任官杀_成立</x:v>
      </x:c>
      <x:c r="AA75" s="84" t="str">
        <x:v>身旺任官杀：当主体、客体、路径与力量匹配满足最低标准时，判“基本成立”；是否上升为格局转M14/M15。</x:v>
      </x:c>
      <x:c r="AB75" s="82" t="str">
        <x:v>较高</x:v>
      </x:c>
      <x:c r="AC75" s="82" t="str">
        <x:v>现代综合</x:v>
      </x:c>
      <x:c r="AD75" s="68" t="str">
        <x:v>十神同时出现不等于组合成立。M11须同时验证核心十神有效性、作用路径、力量匹配、日主承载、破坏因素与救应；组合成立也不等于格局成立。</x:v>
      </x:c>
      <x:c r="AE75" s="68" t="str">
        <x:v>日主旺；官杀有效且制身不过度；作用路径稳定且无关键破坏，可按“身旺任官杀”记录。</x:v>
      </x:c>
      <x:c r="AF75" s="90" t="str">
        <x:v>仅因“日主、官杀”同时出现，但核心十神无力、无作用路径或被关键因素破坏，不能判“身旺任官杀”成立。</x:v>
      </x:c>
      <x:c r="AG75" s="68" t="str">
        <x:v>https://zh.wikisource.org/zh-hans/%E6%B7%B5%E6%B5%B7%E5%AD%90%E5%B9%B3 ; https://zh.wikisource.org/wiki/%E6%BB%B4%E5%A4%A9%E9%AB%93%E9%97%A1%E5%BE%AE</x:v>
      </x:c>
      <x:c r="AH75" s="82" t="str">
        <x:v>采用</x:v>
      </x:c>
      <x:c r="AI75" s="82" t="str">
        <x:v>初审</x:v>
      </x:c>
      <x:c r="AJ75" s="87" t="n">
        <x:v>46255</x:v>
      </x:c>
    </x:row>
    <x:row r="76">
      <x:c r="A76" s="72" t="str">
        <x:f>IF(OR(C76="",D76=""),"",B76&amp;"-"&amp;UPPER(C76)&amp;"-"&amp;TEXT(D76,"0000")&amp;"-"&amp;E76)</x:f>
        <x:v>M11-BALANCE-0070-V1.0</x:v>
      </x:c>
      <x:c r="B76" s="74" t="str">
        <x:v>M11</x:v>
      </x:c>
      <x:c r="C76" s="74" t="str">
        <x:v>BALANCE</x:v>
      </x:c>
      <x:c r="D76" s="215" t="n">
        <x:v>70</x:v>
      </x:c>
      <x:c r="E76" s="74" t="str">
        <x:v>V1.0</x:v>
      </x:c>
      <x:c r="F76" s="68" t="str">
        <x:v>身弱需印比真实有效才能改善承载</x:v>
      </x:c>
      <x:c r="G76" s="82" t="str">
        <x:v>结构层</x:v>
      </x:c>
      <x:c r="H76" s="82" t="str">
        <x:v>平衡承载型</x:v>
      </x:c>
      <x:c r="I76" s="68" t="str">
        <x:v>身弱得印比承载</x:v>
      </x:c>
      <x:c r="J76" s="68" t="str">
        <x:v>日主、印比</x:v>
      </x:c>
      <x:c r="K76" s="68" t="str">
        <x:v>日主弱或偏弱</x:v>
      </x:c>
      <x:c r="L76" s="68" t="str">
        <x:v>印比有效且能够生扶/帮助日主</x:v>
      </x:c>
      <x:c r="M76" s="68" t="str">
        <x:v>直接或可达的生克制化路径成立</x:v>
      </x:c>
      <x:c r="N76" s="68" t="str">
        <x:v>相关十神均以M10有效力量为准，且不存在决定性失衡</x:v>
      </x:c>
      <x:c r="O76" s="68" t="str">
        <x:v>结合M09日主承载判断</x:v>
      </x:c>
      <x:c r="P76" s="68" t="str">
        <x:v>扶身力量真实进入日主</x:v>
      </x:c>
      <x:c r="Q76" s="68" t="str">
        <x:v>相关十神有根、有源、透达、清纯且关键通路稳定</x:v>
      </x:c>
      <x:c r="R76" s="90" t="str">
        <x:v>关键十神被合绊、被制、改性、失效或力量严重失衡</x:v>
      </x:c>
      <x:c r="S76" s="68" t="str">
        <x:v>存在第三十神恢复通路、清除破坏或重新形成平衡</x:v>
      </x:c>
      <x:c r="T76" s="90" t="str">
        <x:v>任一核心十神失效，或不存在真实作用路径</x:v>
      </x:c>
      <x:c r="U76" s="68" t="str">
        <x:v>特殊格局、从化或月令格局另转M14/M15复审</x:v>
      </x:c>
      <x:c r="V76" s="84" t="str">
        <x:v>基本成立</x:v>
      </x:c>
      <x:c r="W76" s="84" t="str">
        <x:v>恢复日主对财官食伤的承载</x:v>
      </x:c>
      <x:c r="X76" s="82" t="str">
        <x:v>条件性</x:v>
      </x:c>
      <x:c r="Y76" s="68" t="str">
        <x:v>对应格局候选转M14</x:v>
      </x:c>
      <x:c r="Z76" s="84" t="str">
        <x:v>身弱印比承载</x:v>
      </x:c>
      <x:c r="AA76" s="84" t="str">
        <x:v>身弱得印比承载：当主体、客体、路径与力量匹配满足最低标准时，判“基本成立”；是否上升为格局转M14/M15。</x:v>
      </x:c>
      <x:c r="AB76" s="82" t="str">
        <x:v>较高</x:v>
      </x:c>
      <x:c r="AC76" s="82" t="str">
        <x:v>现代综合</x:v>
      </x:c>
      <x:c r="AD76" s="68" t="str">
        <x:v>十神同时出现不等于组合成立。M11须同时验证核心十神有效性、作用路径、力量匹配、日主承载、破坏因素与救应；组合成立也不等于格局成立。</x:v>
      </x:c>
      <x:c r="AE76" s="68" t="str">
        <x:v>日主弱或偏弱；印比有效且能够生扶/帮助日主；作用路径稳定且无关键破坏，可按“身弱得印比承载”记录。</x:v>
      </x:c>
      <x:c r="AF76" s="90" t="str">
        <x:v>仅因“日主、印比”同时出现，但核心十神无力、无作用路径或被关键因素破坏，不能判“身弱得印比承载”成立。</x:v>
      </x:c>
      <x:c r="AG76" s="68" t="str">
        <x:v>https://zh.wikisource.org/zh-hans/%E6%B7%B5%E6%B5%B7%E5%AD%90%E5%B9%B3 ; https://zh.wikisource.org/wiki/%E6%BB%B4%E5%A4%A9%E9%AB%93%E9%97%A1%E5%BE%AE</x:v>
      </x:c>
      <x:c r="AH76" s="82" t="str">
        <x:v>采用</x:v>
      </x:c>
      <x:c r="AI76" s="82" t="str">
        <x:v>初审</x:v>
      </x:c>
      <x:c r="AJ76" s="87" t="n">
        <x:v>46255</x:v>
      </x:c>
    </x:row>
    <x:row r="77">
      <x:c r="A77" s="72" t="str">
        <x:f>IF(OR(C77="",D77=""),"",B77&amp;"-"&amp;UPPER(C77)&amp;"-"&amp;TEXT(D77,"0000")&amp;"-"&amp;E77)</x:f>
        <x:v>M11-BALANCE-0071-V1.0</x:v>
      </x:c>
      <x:c r="B77" s="74" t="str">
        <x:v>M11</x:v>
      </x:c>
      <x:c r="C77" s="74" t="str">
        <x:v>BALANCE</x:v>
      </x:c>
      <x:c r="D77" s="215" t="n">
        <x:v>71</x:v>
      </x:c>
      <x:c r="E77" s="74" t="str">
        <x:v>V1.0</x:v>
      </x:c>
      <x:c r="F77" s="68" t="str">
        <x:v>财过旺会破坏身财两停</x:v>
      </x:c>
      <x:c r="G77" s="82" t="str">
        <x:v>结构层</x:v>
      </x:c>
      <x:c r="H77" s="82" t="str">
        <x:v>平衡承载型</x:v>
      </x:c>
      <x:c r="I77" s="68" t="str">
        <x:v>身财两停</x:v>
      </x:c>
      <x:c r="J77" s="68" t="str">
        <x:v>日主、财星</x:v>
      </x:c>
      <x:c r="K77" s="68" t="str">
        <x:v>日主承载一般</x:v>
      </x:c>
      <x:c r="L77" s="68" t="str">
        <x:v>财星旺或极旺</x:v>
      </x:c>
      <x:c r="M77" s="68" t="str">
        <x:v>直接或可达的生克制化路径成立</x:v>
      </x:c>
      <x:c r="N77" s="68" t="str">
        <x:v>财明显强于身</x:v>
      </x:c>
      <x:c r="O77" s="68" t="str">
        <x:v>结合M09日主承载判断</x:v>
      </x:c>
      <x:c r="P77" s="68" t="str">
        <x:v>主体、客体、作用路径与力量匹配均达到最低要求</x:v>
      </x:c>
      <x:c r="Q77" s="68" t="str">
        <x:v>相关十神有根、有源、透达、清纯且关键通路稳定</x:v>
      </x:c>
      <x:c r="R77" s="90" t="str">
        <x:v>关键十神被合绊、被制、改性、失效或力量严重失衡</x:v>
      </x:c>
      <x:c r="S77" s="68" t="str">
        <x:v>存在第三十神恢复通路、清除破坏或重新形成平衡</x:v>
      </x:c>
      <x:c r="T77" s="90" t="str">
        <x:v>任一核心十神失效，或不存在真实作用路径</x:v>
      </x:c>
      <x:c r="U77" s="68" t="str">
        <x:v>特殊格局、从化或月令格局另转M14/M15复审</x:v>
      </x:c>
      <x:c r="V77" s="84" t="str">
        <x:v>不成立</x:v>
      </x:c>
      <x:c r="W77" s="84" t="str">
        <x:v>转为财多身弱候选</x:v>
      </x:c>
      <x:c r="X77" s="82" t="str">
        <x:v>否</x:v>
      </x:c>
      <x:c r="Y77" s="68" t="str">
        <x:v>无</x:v>
      </x:c>
      <x:c r="Z77" s="84" t="str">
        <x:v>身财两停_财过旺否决</x:v>
      </x:c>
      <x:c r="AA77" s="84" t="str">
        <x:v>身财两停：当主体、客体、路径与力量匹配满足最低标准时，判“不成立”；是否上升为格局转M14/M15。</x:v>
      </x:c>
      <x:c r="AB77" s="82" t="str">
        <x:v>较高</x:v>
      </x:c>
      <x:c r="AC77" s="82" t="str">
        <x:v>现代综合</x:v>
      </x:c>
      <x:c r="AD77" s="68" t="str">
        <x:v>十神同时出现不等于组合成立。M11须同时验证核心十神有效性、作用路径、力量匹配、日主承载、破坏因素与救应；组合成立也不等于格局成立。</x:v>
      </x:c>
      <x:c r="AE77" s="68" t="str">
        <x:v>日主承载一般；财星旺或极旺；作用路径稳定且无关键破坏，可按“身财两停”记录。</x:v>
      </x:c>
      <x:c r="AF77" s="90" t="str">
        <x:v>仅因“日主、财星”同时出现，但核心十神无力、无作用路径或被关键因素破坏，不能判“身财两停”成立。</x:v>
      </x:c>
      <x:c r="AG77" s="68" t="str">
        <x:v>https://zh.wikisource.org/zh-hans/%E6%B7%B5%E6%B5%B7%E5%AD%90%E5%B9%B3 ; https://zh.wikisource.org/wiki/%E6%BB%B4%E5%A4%A9%E9%AB%93%E9%97%A1%E5%BE%AE</x:v>
      </x:c>
      <x:c r="AH77" s="82" t="str">
        <x:v>采用</x:v>
      </x:c>
      <x:c r="AI77" s="82" t="str">
        <x:v>初审</x:v>
      </x:c>
      <x:c r="AJ77" s="87" t="n">
        <x:v>46255</x:v>
      </x:c>
    </x:row>
    <x:row r="78">
      <x:c r="A78" s="72" t="str">
        <x:f>IF(OR(C78="",D78=""),"",B78&amp;"-"&amp;UPPER(C78)&amp;"-"&amp;TEXT(D78,"0000")&amp;"-"&amp;E78)</x:f>
        <x:v>M11-BALANCE-0072-V1.0</x:v>
      </x:c>
      <x:c r="B78" s="74" t="str">
        <x:v>M11</x:v>
      </x:c>
      <x:c r="C78" s="74" t="str">
        <x:v>BALANCE</x:v>
      </x:c>
      <x:c r="D78" s="215" t="n">
        <x:v>72</x:v>
      </x:c>
      <x:c r="E78" s="74" t="str">
        <x:v>V1.0</x:v>
      </x:c>
      <x:c r="F78" s="68" t="str">
        <x:v>官过旺且无印比救应时两停不成立</x:v>
      </x:c>
      <x:c r="G78" s="82" t="str">
        <x:v>结构层</x:v>
      </x:c>
      <x:c r="H78" s="82" t="str">
        <x:v>平衡承载型</x:v>
      </x:c>
      <x:c r="I78" s="68" t="str">
        <x:v>身官两停</x:v>
      </x:c>
      <x:c r="J78" s="68" t="str">
        <x:v>日主、正官</x:v>
      </x:c>
      <x:c r="K78" s="68" t="str">
        <x:v>日主偏弱</x:v>
      </x:c>
      <x:c r="L78" s="68" t="str">
        <x:v>正官旺并持续制身</x:v>
      </x:c>
      <x:c r="M78" s="68" t="str">
        <x:v>直接或可达的生克制化路径成立</x:v>
      </x:c>
      <x:c r="N78" s="68" t="str">
        <x:v>官明显强于身</x:v>
      </x:c>
      <x:c r="O78" s="68" t="str">
        <x:v>结合M09日主承载判断</x:v>
      </x:c>
      <x:c r="P78" s="68" t="str">
        <x:v>主体、客体、作用路径与力量匹配均达到最低要求</x:v>
      </x:c>
      <x:c r="Q78" s="68" t="str">
        <x:v>相关十神有根、有源、透达、清纯且关键通路稳定</x:v>
      </x:c>
      <x:c r="R78" s="90" t="str">
        <x:v>关键十神被合绊、被制、改性、失效或力量严重失衡</x:v>
      </x:c>
      <x:c r="S78" s="68" t="str">
        <x:v>存在第三十神恢复通路、清除破坏或重新形成平衡</x:v>
      </x:c>
      <x:c r="T78" s="90" t="str">
        <x:v>任一核心十神失效，或不存在真实作用路径</x:v>
      </x:c>
      <x:c r="U78" s="68" t="str">
        <x:v>特殊格局、从化或月令格局另转M14/M15复审</x:v>
      </x:c>
      <x:c r="V78" s="84" t="str">
        <x:v>不成立</x:v>
      </x:c>
      <x:c r="W78" s="84" t="str">
        <x:v>形成局部生化、制化或承载结构</x:v>
      </x:c>
      <x:c r="X78" s="82" t="str">
        <x:v>否</x:v>
      </x:c>
      <x:c r="Y78" s="68" t="str">
        <x:v>对应格局候选转M14</x:v>
      </x:c>
      <x:c r="Z78" s="84" t="str">
        <x:v>身官两停_官过旺否决</x:v>
      </x:c>
      <x:c r="AA78" s="84" t="str">
        <x:v>身官两停：当主体、客体、路径与力量匹配满足最低标准时，判“不成立”；是否上升为格局转M14/M15。</x:v>
      </x:c>
      <x:c r="AB78" s="82" t="str">
        <x:v>较高</x:v>
      </x:c>
      <x:c r="AC78" s="82" t="str">
        <x:v>现代综合</x:v>
      </x:c>
      <x:c r="AD78" s="68" t="str">
        <x:v>十神同时出现不等于组合成立。M11须同时验证核心十神有效性、作用路径、力量匹配、日主承载、破坏因素与救应；组合成立也不等于格局成立。</x:v>
      </x:c>
      <x:c r="AE78" s="68" t="str">
        <x:v>日主偏弱；正官旺并持续制身；作用路径稳定且无关键破坏，可按“身官两停”记录。</x:v>
      </x:c>
      <x:c r="AF78" s="90" t="str">
        <x:v>仅因“日主、正官”同时出现，但核心十神无力、无作用路径或被关键因素破坏，不能判“身官两停”成立。</x:v>
      </x:c>
      <x:c r="AG78" s="68" t="str">
        <x:v>https://zh.wikisource.org/zh-hans/%E6%B7%B5%E6%B5%B7%E5%AD%90%E5%B9%B3 ; https://zh.wikisource.org/wiki/%E6%BB%B4%E5%A4%A9%E9%AB%93%E9%97%A1%E5%BE%AE</x:v>
      </x:c>
      <x:c r="AH78" s="82" t="str">
        <x:v>采用</x:v>
      </x:c>
      <x:c r="AI78" s="82" t="str">
        <x:v>初审</x:v>
      </x:c>
      <x:c r="AJ78" s="87" t="n">
        <x:v>46255</x:v>
      </x:c>
    </x:row>
    <x:row r="79">
      <x:c r="A79" s="72" t="str">
        <x:f>IF(OR(C79="",D79=""),"",B79&amp;"-"&amp;UPPER(C79)&amp;"-"&amp;TEXT(D79,"0000")&amp;"-"&amp;E79)</x:f>
        <x:v>M11-BALANCE-0073-V1.0</x:v>
      </x:c>
      <x:c r="B79" s="74" t="str">
        <x:v>M11</x:v>
      </x:c>
      <x:c r="C79" s="74" t="str">
        <x:v>BALANCE</x:v>
      </x:c>
      <x:c r="D79" s="215" t="n">
        <x:v>73</x:v>
      </x:c>
      <x:c r="E79" s="74" t="str">
        <x:v>V1.0</x:v>
      </x:c>
      <x:c r="F79" s="68" t="str">
        <x:v>杀过旺无制化时两停不成立</x:v>
      </x:c>
      <x:c r="G79" s="82" t="str">
        <x:v>结构层</x:v>
      </x:c>
      <x:c r="H79" s="82" t="str">
        <x:v>平衡承载型</x:v>
      </x:c>
      <x:c r="I79" s="68" t="str">
        <x:v>身杀两停</x:v>
      </x:c>
      <x:c r="J79" s="68" t="str">
        <x:v>日主、七杀</x:v>
      </x:c>
      <x:c r="K79" s="68" t="str">
        <x:v>日主承载不足</x:v>
      </x:c>
      <x:c r="L79" s="68" t="str">
        <x:v>七杀旺且无食制印化</x:v>
      </x:c>
      <x:c r="M79" s="68" t="str">
        <x:v>直接或可达的生克制化路径成立</x:v>
      </x:c>
      <x:c r="N79" s="68" t="str">
        <x:v>相关十神均以M10有效力量为准，且不存在决定性失衡</x:v>
      </x:c>
      <x:c r="O79" s="68" t="str">
        <x:v>结合M09日主承载判断</x:v>
      </x:c>
      <x:c r="P79" s="68" t="str">
        <x:v>主体、客体、作用路径与力量匹配均达到最低要求</x:v>
      </x:c>
      <x:c r="Q79" s="68" t="str">
        <x:v>相关十神有根、有源、透达、清纯且关键通路稳定</x:v>
      </x:c>
      <x:c r="R79" s="90" t="str">
        <x:v>关键十神被合绊、被制、改性、失效或力量严重失衡</x:v>
      </x:c>
      <x:c r="S79" s="68" t="str">
        <x:v>存在第三十神恢复通路、清除破坏或重新形成平衡</x:v>
      </x:c>
      <x:c r="T79" s="90" t="str">
        <x:v>任一核心十神失效，或不存在真实作用路径</x:v>
      </x:c>
      <x:c r="U79" s="68" t="str">
        <x:v>特殊格局、从化或月令格局另转M14/M15复审</x:v>
      </x:c>
      <x:c r="V79" s="84" t="str">
        <x:v>不成立</x:v>
      </x:c>
      <x:c r="W79" s="84" t="str">
        <x:v>转杀旺攻身候选</x:v>
      </x:c>
      <x:c r="X79" s="82" t="str">
        <x:v>否</x:v>
      </x:c>
      <x:c r="Y79" s="68" t="str">
        <x:v>对应格局候选转M14</x:v>
      </x:c>
      <x:c r="Z79" s="84" t="str">
        <x:v>身杀两停_杀过旺否决</x:v>
      </x:c>
      <x:c r="AA79" s="84" t="str">
        <x:v>身杀两停：当主体、客体、路径与力量匹配满足最低标准时，判“不成立”；是否上升为格局转M14/M15。</x:v>
      </x:c>
      <x:c r="AB79" s="82" t="str">
        <x:v>较高</x:v>
      </x:c>
      <x:c r="AC79" s="82" t="str">
        <x:v>现代综合</x:v>
      </x:c>
      <x:c r="AD79" s="68" t="str">
        <x:v>十神同时出现不等于组合成立。M11须同时验证核心十神有效性、作用路径、力量匹配、日主承载、破坏因素与救应；组合成立也不等于格局成立。</x:v>
      </x:c>
      <x:c r="AE79" s="68" t="str">
        <x:v>日主承载不足；七杀旺且无食制印化；作用路径稳定且无关键破坏，可按“身杀两停”记录。</x:v>
      </x:c>
      <x:c r="AF79" s="90" t="str">
        <x:v>仅因“日主、七杀”同时出现，但核心十神无力、无作用路径或被关键因素破坏，不能判“身杀两停”成立。</x:v>
      </x:c>
      <x:c r="AG79" s="68" t="str">
        <x:v>https://zh.wikisource.org/zh-hans/%E6%B7%B5%E6%B5%B7%E5%AD%90%E5%B9%B3 ; https://zh.wikisource.org/wiki/%E6%BB%B4%E5%A4%A9%E9%AB%93%E9%97%A1%E5%BE%AE</x:v>
      </x:c>
      <x:c r="AH79" s="82" t="str">
        <x:v>采用</x:v>
      </x:c>
      <x:c r="AI79" s="82" t="str">
        <x:v>初审</x:v>
      </x:c>
      <x:c r="AJ79" s="87" t="n">
        <x:v>46255</x:v>
      </x:c>
    </x:row>
    <x:row r="80">
      <x:c r="A80" s="72" t="str">
        <x:f>IF(OR(C80="",D80=""),"",B80&amp;"-"&amp;UPPER(C80)&amp;"-"&amp;TEXT(D80,"0000")&amp;"-"&amp;E80)</x:f>
        <x:v>M11-BALANCE-0074-V1.0</x:v>
      </x:c>
      <x:c r="B80" s="74" t="str">
        <x:v>M11</x:v>
      </x:c>
      <x:c r="C80" s="74" t="str">
        <x:v>BALANCE</x:v>
      </x:c>
      <x:c r="D80" s="215" t="n">
        <x:v>74</x:v>
      </x:c>
      <x:c r="E80" s="74" t="str">
        <x:v>V1.0</x:v>
      </x:c>
      <x:c r="F80" s="68" t="str">
        <x:v>两停必须基于有效力量而非数量对半</x:v>
      </x:c>
      <x:c r="G80" s="82" t="str">
        <x:v>结构层</x:v>
      </x:c>
      <x:c r="H80" s="82" t="str">
        <x:v>平衡承载型</x:v>
      </x:c>
      <x:c r="I80" s="68" t="str">
        <x:v>平衡承载通用</x:v>
      </x:c>
      <x:c r="J80" s="68" t="str">
        <x:v>日主、财官食伤印比</x:v>
      </x:c>
      <x:c r="K80" s="68" t="str">
        <x:v>判断任何“身×两停”或“任×”结构</x:v>
      </x:c>
      <x:c r="L80" s="68" t="str">
        <x:v>所有力量以M08/M09/M10有效状态为准</x:v>
      </x:c>
      <x:c r="M80" s="68" t="str">
        <x:v>直接或可达的生克制化路径成立</x:v>
      </x:c>
      <x:c r="N80" s="68" t="str">
        <x:v>相关十神均以M10有效力量为准，且不存在决定性失衡</x:v>
      </x:c>
      <x:c r="O80" s="68" t="str">
        <x:v>结合M09日主承载判断</x:v>
      </x:c>
      <x:c r="P80" s="68" t="str">
        <x:v>比较的是承载和功能，不是字数或五行个数</x:v>
      </x:c>
      <x:c r="Q80" s="68" t="str">
        <x:v>相关十神有根、有源、透达、清纯且关键通路稳定</x:v>
      </x:c>
      <x:c r="R80" s="90" t="str">
        <x:v>关键十神被合绊、被制、改性、失效或力量严重失衡</x:v>
      </x:c>
      <x:c r="S80" s="68" t="str">
        <x:v>存在第三十神恢复通路、清除破坏或重新形成平衡</x:v>
      </x:c>
      <x:c r="T80" s="90" t="str">
        <x:v>任一核心十神失效，或不存在真实作用路径</x:v>
      </x:c>
      <x:c r="U80" s="68" t="str">
        <x:v>特殊格局、从化或月令格局另转M14/M15复审</x:v>
      </x:c>
      <x:c r="V80" s="84" t="str">
        <x:v>待定</x:v>
      </x:c>
      <x:c r="W80" s="84" t="str">
        <x:v>统一平衡判定口径</x:v>
      </x:c>
      <x:c r="X80" s="82" t="str">
        <x:v>否</x:v>
      </x:c>
      <x:c r="Y80" s="68" t="str">
        <x:v>对应格局候选转M14</x:v>
      </x:c>
      <x:c r="Z80" s="84" t="str">
        <x:v>平衡承载_非数量模型</x:v>
      </x:c>
      <x:c r="AA80" s="84" t="str">
        <x:v>平衡承载通用：当主体、客体、路径与力量匹配满足最低标准时，判“待定”；是否上升为格局转M14/M15。</x:v>
      </x:c>
      <x:c r="AB80" s="82" t="str">
        <x:v>较高</x:v>
      </x:c>
      <x:c r="AC80" s="82" t="str">
        <x:v>现代综合</x:v>
      </x:c>
      <x:c r="AD80" s="68" t="str">
        <x:v>十神同时出现不等于组合成立。M11须同时验证核心十神有效性、作用路径、力量匹配、日主承载、破坏因素与救应；组合成立也不等于格局成立。</x:v>
      </x:c>
      <x:c r="AE80" s="68" t="str">
        <x:v>判断任何“身×两停”或“任×”结构；所有力量以M08/M09/M10有效状态为准；作用路径稳定且无关键破坏，可按“平衡承载通用”记录。</x:v>
      </x:c>
      <x:c r="AF80" s="90" t="str">
        <x:v>仅因“日主、财官食伤印比”同时出现，但核心十神无力、无作用路径或被关键因素破坏，不能判“平衡承载通用”成立。</x:v>
      </x:c>
      <x:c r="AG80" s="68" t="str">
        <x:v>https://zh.wikisource.org/zh-hans/%E6%B7%B5%E6%B5%B7%E5%AD%90%E5%B9%B3 ; https://zh.wikisource.org/wiki/%E6%BB%B4%E5%A4%A9%E9%AB%93%E9%97%A1%E5%BE%AE</x:v>
      </x:c>
      <x:c r="AH80" s="82" t="str">
        <x:v>采用</x:v>
      </x:c>
      <x:c r="AI80" s="82" t="str">
        <x:v>初审</x:v>
      </x:c>
      <x:c r="AJ80" s="87" t="n">
        <x:v>46255</x:v>
      </x:c>
    </x:row>
    <x:row r="81">
      <x:c r="A81" s="72" t="str">
        <x:f>IF(OR(C81="",D81=""),"",B81&amp;"-"&amp;UPPER(C81)&amp;"-"&amp;TEXT(D81,"0000")&amp;"-"&amp;E81)</x:f>
        <x:v>M11-PATH-0075-V1.0</x:v>
      </x:c>
      <x:c r="B81" s="74" t="str">
        <x:v>M11</x:v>
      </x:c>
      <x:c r="C81" s="74" t="str">
        <x:v>PATH</x:v>
      </x:c>
      <x:c r="D81" s="215" t="n">
        <x:v>75</x:v>
      </x:c>
      <x:c r="E81" s="74" t="str">
        <x:v>V1.0</x:v>
      </x:c>
      <x:c r="F81" s="68" t="str">
        <x:v>身弱财旺时比劫可通过制财减轻耗身</x:v>
      </x:c>
      <x:c r="G81" s="82" t="str">
        <x:v>结构层</x:v>
      </x:c>
      <x:c r="H81" s="82" t="str">
        <x:v>制化型</x:v>
      </x:c>
      <x:c r="I81" s="68" t="str">
        <x:v>比劫制财护身</x:v>
      </x:c>
      <x:c r="J81" s="68" t="str">
        <x:v>比劫、财星</x:v>
      </x:c>
      <x:c r="K81" s="68" t="str">
        <x:v>日主弱、财星形成明显耗身</x:v>
      </x:c>
      <x:c r="L81" s="68" t="str">
        <x:v>比劫有效且能够克制财星</x:v>
      </x:c>
      <x:c r="M81" s="68" t="str">
        <x:v>直接或可达的生克制化路径成立</x:v>
      </x:c>
      <x:c r="N81" s="68" t="str">
        <x:v>相关十神均以M10有效力量为准，且不存在决定性失衡</x:v>
      </x:c>
      <x:c r="O81" s="68" t="str">
        <x:v>结合M09日主承载判断</x:v>
      </x:c>
      <x:c r="P81" s="68" t="str">
        <x:v>比劫扶身与制财两个作用均真实成立</x:v>
      </x:c>
      <x:c r="Q81" s="68" t="str">
        <x:v>相关十神有根、有源、透达、清纯且关键通路稳定</x:v>
      </x:c>
      <x:c r="R81" s="90" t="str">
        <x:v>关键十神被合绊、被制、改性、失效或力量严重失衡</x:v>
      </x:c>
      <x:c r="S81" s="68" t="str">
        <x:v>存在第三十神恢复通路、清除破坏或重新形成平衡</x:v>
      </x:c>
      <x:c r="T81" s="90" t="str">
        <x:v>任一核心十神失效，或不存在真实作用路径</x:v>
      </x:c>
      <x:c r="U81" s="68" t="str">
        <x:v>特殊格局、从化或月令格局另转M14/M15复审</x:v>
      </x:c>
      <x:c r="V81" s="84" t="str">
        <x:v>基本成立</x:v>
      </x:c>
      <x:c r="W81" s="84" t="str">
        <x:v>扶身并降低财耗</x:v>
      </x:c>
      <x:c r="X81" s="82" t="str">
        <x:v>条件性</x:v>
      </x:c>
      <x:c r="Y81" s="68" t="str">
        <x:v>比劫制财护身候选</x:v>
      </x:c>
      <x:c r="Z81" s="84" t="str">
        <x:v>比劫制财护身_成立条件</x:v>
      </x:c>
      <x:c r="AA81" s="84" t="str">
        <x:v>比劫制财护身：当主体、客体、路径与力量匹配满足最低标准时，判“基本成立”；是否上升为格局转M14/M15。</x:v>
      </x:c>
      <x:c r="AB81" s="82" t="str">
        <x:v>较高</x:v>
      </x:c>
      <x:c r="AC81" s="82" t="str">
        <x:v>现代综合</x:v>
      </x:c>
      <x:c r="AD81" s="68" t="str">
        <x:v>十神同时出现不等于组合成立。M11须同时验证核心十神有效性、作用路径、力量匹配、日主承载、破坏因素与救应；组合成立也不等于格局成立。</x:v>
      </x:c>
      <x:c r="AE81" s="68" t="str">
        <x:v>日主弱、财星形成明显耗身；比劫有效且能够克制财星；作用路径稳定且无关键破坏，可按“比劫制财护身”记录。</x:v>
      </x:c>
      <x:c r="AF81" s="90" t="str">
        <x:v>仅因“比劫、财星”同时出现，但核心十神无力、无作用路径或被关键因素破坏，不能判“比劫制财护身”成立。</x:v>
      </x:c>
      <x:c r="AG81" s="68" t="str">
        <x:v>https://zh.wikisource.org/zh-hans/%E6%B7%B5%E6%B5%B7%E5%AD%90%E5%B9%B3 ; https://zh.wikisource.org/wiki/%E6%BB%B4%E5%A4%A9%E9%AB%93%E9%97%A1%E5%BE%AE</x:v>
      </x:c>
      <x:c r="AH81" s="82" t="str">
        <x:v>采用</x:v>
      </x:c>
      <x:c r="AI81" s="82" t="str">
        <x:v>初审</x:v>
      </x:c>
      <x:c r="AJ81" s="87" t="n">
        <x:v>46255</x:v>
      </x:c>
    </x:row>
    <x:row r="82">
      <x:c r="A82" s="72" t="str">
        <x:f>IF(OR(C82="",D82=""),"",B82&amp;"-"&amp;UPPER(C82)&amp;"-"&amp;TEXT(D82,"0000")&amp;"-"&amp;E82)</x:f>
        <x:v>M11-PATH-0076-V1.0</x:v>
      </x:c>
      <x:c r="B82" s="74" t="str">
        <x:v>M11</x:v>
      </x:c>
      <x:c r="C82" s="74" t="str">
        <x:v>PATH</x:v>
      </x:c>
      <x:c r="D82" s="215" t="n">
        <x:v>76</x:v>
      </x:c>
      <x:c r="E82" s="74" t="str">
        <x:v>V1.0</x:v>
      </x:c>
      <x:c r="F82" s="68" t="str">
        <x:v>比劫过强会由护身转为夺财过度</x:v>
      </x:c>
      <x:c r="G82" s="82" t="str">
        <x:v>结构层</x:v>
      </x:c>
      <x:c r="H82" s="82" t="str">
        <x:v>制化型</x:v>
      </x:c>
      <x:c r="I82" s="68" t="str">
        <x:v>比劫制财护身</x:v>
      </x:c>
      <x:c r="J82" s="68" t="str">
        <x:v>比劫、财星</x:v>
      </x:c>
      <x:c r="K82" s="68" t="str">
        <x:v>比劫旺或极旺</x:v>
      </x:c>
      <x:c r="L82" s="68" t="str">
        <x:v>财星被制至失效</x:v>
      </x:c>
      <x:c r="M82" s="68" t="str">
        <x:v>直接或可达的生克制化路径成立</x:v>
      </x:c>
      <x:c r="N82" s="68" t="str">
        <x:v>比劫明显强于财</x:v>
      </x:c>
      <x:c r="O82" s="68" t="str">
        <x:v>结合M09日主承载判断</x:v>
      </x:c>
      <x:c r="P82" s="68" t="str">
        <x:v>主体、客体、作用路径与力量匹配均达到最低要求</x:v>
      </x:c>
      <x:c r="Q82" s="68" t="str">
        <x:v>相关十神有根、有源、透达、清纯且关键通路稳定</x:v>
      </x:c>
      <x:c r="R82" s="90" t="str">
        <x:v>关键十神被合绊、被制、改性、失效或力量严重失衡</x:v>
      </x:c>
      <x:c r="S82" s="68" t="str">
        <x:v>存在第三十神恢复通路、清除破坏或重新形成平衡</x:v>
      </x:c>
      <x:c r="T82" s="90" t="str">
        <x:v>任一核心十神失效，或不存在真实作用路径</x:v>
      </x:c>
      <x:c r="U82" s="68" t="str">
        <x:v>特殊格局、从化或月令格局另转M14/M15复审</x:v>
      </x:c>
      <x:c r="V82" s="84" t="str">
        <x:v>弱成立</x:v>
      </x:c>
      <x:c r="W82" s="84" t="str">
        <x:v>制财过度</x:v>
      </x:c>
      <x:c r="X82" s="82" t="str">
        <x:v>否</x:v>
      </x:c>
      <x:c r="Y82" s="68" t="str">
        <x:v>对应格局候选转M14</x:v>
      </x:c>
      <x:c r="Z82" s="84" t="str">
        <x:v>比劫制财_过度</x:v>
      </x:c>
      <x:c r="AA82" s="84" t="str">
        <x:v>比劫制财护身：当主体、客体、路径与力量匹配满足最低标准时，判“弱成立”；是否上升为格局转M14/M15。</x:v>
      </x:c>
      <x:c r="AB82" s="82" t="str">
        <x:v>较高</x:v>
      </x:c>
      <x:c r="AC82" s="82" t="str">
        <x:v>现代综合</x:v>
      </x:c>
      <x:c r="AD82" s="68" t="str">
        <x:v>十神同时出现不等于组合成立。M11须同时验证核心十神有效性、作用路径、力量匹配、日主承载、破坏因素与救应；组合成立也不等于格局成立。</x:v>
      </x:c>
      <x:c r="AE82" s="68" t="str">
        <x:v>比劫旺或极旺；财星被制至失效；作用路径稳定且无关键破坏，可按“比劫制财护身”记录。</x:v>
      </x:c>
      <x:c r="AF82" s="90" t="str">
        <x:v>仅因“比劫、财星”同时出现，但核心十神无力、无作用路径或被关键因素破坏，不能判“比劫制财护身”成立。</x:v>
      </x:c>
      <x:c r="AG82" s="68" t="str">
        <x:v>https://zh.wikisource.org/zh-hans/%E6%B7%B5%E6%B5%B7%E5%AD%90%E5%B9%B3 ; https://zh.wikisource.org/wiki/%E6%BB%B4%E5%A4%A9%E9%AB%93%E9%97%A1%E5%BE%AE</x:v>
      </x:c>
      <x:c r="AH82" s="82" t="str">
        <x:v>采用</x:v>
      </x:c>
      <x:c r="AI82" s="82" t="str">
        <x:v>初审</x:v>
      </x:c>
      <x:c r="AJ82" s="87" t="n">
        <x:v>46255</x:v>
      </x:c>
    </x:row>
    <x:row r="83">
      <x:c r="A83" s="72" t="str">
        <x:f>IF(OR(C83="",D83=""),"",B83&amp;"-"&amp;UPPER(C83)&amp;"-"&amp;TEXT(D83,"0000")&amp;"-"&amp;E83)</x:f>
        <x:v>M11-PATH-0077-V1.0</x:v>
      </x:c>
      <x:c r="B83" s="74" t="str">
        <x:v>M11</x:v>
      </x:c>
      <x:c r="C83" s="74" t="str">
        <x:v>PATH</x:v>
      </x:c>
      <x:c r="D83" s="215" t="n">
        <x:v>77</x:v>
      </x:c>
      <x:c r="E83" s="74" t="str">
        <x:v>V1.0</x:v>
      </x:c>
      <x:c r="F83" s="68" t="str">
        <x:v>强比劫或羊刃类承载需有七杀制衡</x:v>
      </x:c>
      <x:c r="G83" s="82" t="str">
        <x:v>结构层</x:v>
      </x:c>
      <x:c r="H83" s="82" t="str">
        <x:v>制化型</x:v>
      </x:c>
      <x:c r="I83" s="68" t="str">
        <x:v>羊刃驾杀</x:v>
      </x:c>
      <x:c r="J83" s="68" t="str">
        <x:v>比劫、七杀</x:v>
      </x:c>
      <x:c r="K83" s="68" t="str">
        <x:v>日主及比劫极强形成强身势</x:v>
      </x:c>
      <x:c r="L83" s="68" t="str">
        <x:v>七杀有效且可制约强身集团</x:v>
      </x:c>
      <x:c r="M83" s="68" t="str">
        <x:v>直接或可达的生克制化路径成立</x:v>
      </x:c>
      <x:c r="N83" s="68" t="str">
        <x:v>相关十神均以M10有效力量为准，且不存在决定性失衡</x:v>
      </x:c>
      <x:c r="O83" s="68" t="str">
        <x:v>结合M09日主承载判断</x:v>
      </x:c>
      <x:c r="P83" s="68" t="str">
        <x:v>身强、杀有权、制衡不过度</x:v>
      </x:c>
      <x:c r="Q83" s="68" t="str">
        <x:v>相关十神有根、有源、透达、清纯且关键通路稳定</x:v>
      </x:c>
      <x:c r="R83" s="90" t="str">
        <x:v>关键十神被合绊、被制、改性、失效或力量严重失衡</x:v>
      </x:c>
      <x:c r="S83" s="68" t="str">
        <x:v>存在第三十神恢复通路、清除破坏或重新形成平衡</x:v>
      </x:c>
      <x:c r="T83" s="90" t="str">
        <x:v>任一核心十神失效，或不存在真实作用路径</x:v>
      </x:c>
      <x:c r="U83" s="68" t="str">
        <x:v>特殊格局、从化或月令格局另转M14/M15复审</x:v>
      </x:c>
      <x:c r="V83" s="84" t="str">
        <x:v>基本成立</x:v>
      </x:c>
      <x:c r="W83" s="84" t="str">
        <x:v>以杀制强身</x:v>
      </x:c>
      <x:c r="X83" s="82" t="str">
        <x:v>条件性</x:v>
      </x:c>
      <x:c r="Y83" s="68" t="str">
        <x:v>羊刃驾杀候选</x:v>
      </x:c>
      <x:c r="Z83" s="84" t="str">
        <x:v>羊刃驾杀_成立条件</x:v>
      </x:c>
      <x:c r="AA83" s="84" t="str">
        <x:v>羊刃驾杀：当主体、客体、路径与力量匹配满足最低标准时，判“基本成立”；是否上升为格局转M14/M15。</x:v>
      </x:c>
      <x:c r="AB83" s="82" t="str">
        <x:v>较高</x:v>
      </x:c>
      <x:c r="AC83" s="82" t="str">
        <x:v>现代综合</x:v>
      </x:c>
      <x:c r="AD83" s="68" t="str">
        <x:v>十神同时出现不等于组合成立。M11须同时验证核心十神有效性、作用路径、力量匹配、日主承载、破坏因素与救应；组合成立也不等于格局成立。</x:v>
      </x:c>
      <x:c r="AE83" s="68" t="str">
        <x:v>日主及比劫极强形成强身势；七杀有效且可制约强身集团；作用路径稳定且无关键破坏，可按“羊刃驾杀”记录。</x:v>
      </x:c>
      <x:c r="AF83" s="90" t="str">
        <x:v>仅因“比劫、七杀”同时出现，但核心十神无力、无作用路径或被关键因素破坏，不能判“羊刃驾杀”成立。</x:v>
      </x:c>
      <x:c r="AG83" s="68" t="str">
        <x:v>https://zh.wikisource.org/zh-hans/%E6%B7%B5%E6%B5%B7%E5%AD%90%E5%B9%B3 ; https://zh.wikisource.org/wiki/%E6%BB%B4%E5%A4%A9%E9%AB%93%E9%97%A1%E5%BE%AE</x:v>
      </x:c>
      <x:c r="AH83" s="82" t="str">
        <x:v>采用</x:v>
      </x:c>
      <x:c r="AI83" s="82" t="str">
        <x:v>初审</x:v>
      </x:c>
      <x:c r="AJ83" s="87" t="n">
        <x:v>46255</x:v>
      </x:c>
    </x:row>
    <x:row r="84">
      <x:c r="A84" s="72" t="str">
        <x:f>IF(OR(C84="",D84=""),"",B84&amp;"-"&amp;UPPER(C84)&amp;"-"&amp;TEXT(D84,"0000")&amp;"-"&amp;E84)</x:f>
        <x:v>M11-PATH-0078-V1.0</x:v>
      </x:c>
      <x:c r="B84" s="74" t="str">
        <x:v>M11</x:v>
      </x:c>
      <x:c r="C84" s="74" t="str">
        <x:v>PATH</x:v>
      </x:c>
      <x:c r="D84" s="215" t="n">
        <x:v>78</x:v>
      </x:c>
      <x:c r="E84" s="74" t="str">
        <x:v>V1.0</x:v>
      </x:c>
      <x:c r="F84" s="68" t="str">
        <x:v>杀弱无根不足以驾强刃</x:v>
      </x:c>
      <x:c r="G84" s="82" t="str">
        <x:v>结构层</x:v>
      </x:c>
      <x:c r="H84" s="82" t="str">
        <x:v>制化型</x:v>
      </x:c>
      <x:c r="I84" s="68" t="str">
        <x:v>羊刃驾杀</x:v>
      </x:c>
      <x:c r="J84" s="68" t="str">
        <x:v>比劫、七杀</x:v>
      </x:c>
      <x:c r="K84" s="68" t="str">
        <x:v>强身比劫成势</x:v>
      </x:c>
      <x:c r="L84" s="68" t="str">
        <x:v>七杀弱或失效</x:v>
      </x:c>
      <x:c r="M84" s="68" t="str">
        <x:v>直接或可达的生克制化路径成立</x:v>
      </x:c>
      <x:c r="N84" s="68" t="str">
        <x:v>相关十神均以M10有效力量为准，且不存在决定性失衡</x:v>
      </x:c>
      <x:c r="O84" s="68" t="str">
        <x:v>结合M09日主承载判断</x:v>
      </x:c>
      <x:c r="P84" s="68" t="str">
        <x:v>主体、客体、作用路径与力量匹配均达到最低要求</x:v>
      </x:c>
      <x:c r="Q84" s="68" t="str">
        <x:v>相关十神有根、有源、透达、清纯且关键通路稳定</x:v>
      </x:c>
      <x:c r="R84" s="90" t="str">
        <x:v>关键十神被合绊、被制、改性、失效或力量严重失衡</x:v>
      </x:c>
      <x:c r="S84" s="68" t="str">
        <x:v>存在第三十神恢复通路、清除破坏或重新形成平衡</x:v>
      </x:c>
      <x:c r="T84" s="90" t="str">
        <x:v>任一核心十神失效，或不存在真实作用路径</x:v>
      </x:c>
      <x:c r="U84" s="68" t="str">
        <x:v>特殊格局、从化或月令格局另转M14/M15复审</x:v>
      </x:c>
      <x:c r="V84" s="84" t="str">
        <x:v>不成立</x:v>
      </x:c>
      <x:c r="W84" s="84" t="str">
        <x:v>杀不足以制强身</x:v>
      </x:c>
      <x:c r="X84" s="82" t="str">
        <x:v>否</x:v>
      </x:c>
      <x:c r="Y84" s="68" t="str">
        <x:v>对应格局候选转M14</x:v>
      </x:c>
      <x:c r="Z84" s="84" t="str">
        <x:v>羊刃驾杀_杀弱</x:v>
      </x:c>
      <x:c r="AA84" s="84" t="str">
        <x:v>羊刃驾杀：当主体、客体、路径与力量匹配满足最低标准时，判“不成立”；是否上升为格局转M14/M15。</x:v>
      </x:c>
      <x:c r="AB84" s="82" t="str">
        <x:v>较高</x:v>
      </x:c>
      <x:c r="AC84" s="82" t="str">
        <x:v>现代综合</x:v>
      </x:c>
      <x:c r="AD84" s="68" t="str">
        <x:v>十神同时出现不等于组合成立。M11须同时验证核心十神有效性、作用路径、力量匹配、日主承载、破坏因素与救应；组合成立也不等于格局成立。</x:v>
      </x:c>
      <x:c r="AE84" s="68" t="str">
        <x:v>强身比劫成势；七杀弱或失效；作用路径稳定且无关键破坏，可按“羊刃驾杀”记录。</x:v>
      </x:c>
      <x:c r="AF84" s="90" t="str">
        <x:v>仅因“比劫、七杀”同时出现，但核心十神无力、无作用路径或被关键因素破坏，不能判“羊刃驾杀”成立。</x:v>
      </x:c>
      <x:c r="AG84" s="68" t="str">
        <x:v>https://zh.wikisource.org/zh-hans/%E6%B7%B5%E6%B5%B7%E5%AD%90%E5%B9%B3 ; https://zh.wikisource.org/wiki/%E6%BB%B4%E5%A4%A9%E9%AB%93%E9%97%A1%E5%BE%AE</x:v>
      </x:c>
      <x:c r="AH84" s="82" t="str">
        <x:v>采用</x:v>
      </x:c>
      <x:c r="AI84" s="82" t="str">
        <x:v>初审</x:v>
      </x:c>
      <x:c r="AJ84" s="87" t="n">
        <x:v>46255</x:v>
      </x:c>
    </x:row>
    <x:row r="85">
      <x:c r="A85" s="72" t="str">
        <x:f>IF(OR(C85="",D85=""),"",B85&amp;"-"&amp;UPPER(C85)&amp;"-"&amp;TEXT(D85,"0000")&amp;"-"&amp;E85)</x:f>
        <x:v>M11-PATH-0079-V1.0</x:v>
      </x:c>
      <x:c r="B85" s="74" t="str">
        <x:v>M11</x:v>
      </x:c>
      <x:c r="C85" s="74" t="str">
        <x:v>PATH</x:v>
      </x:c>
      <x:c r="D85" s="215" t="n">
        <x:v>79</x:v>
      </x:c>
      <x:c r="E85" s="74" t="str">
        <x:v>V1.0</x:v>
      </x:c>
      <x:c r="F85" s="68" t="str">
        <x:v>印星承接官杀可形成通关化压力</x:v>
      </x:c>
      <x:c r="G85" s="82" t="str">
        <x:v>结构层</x:v>
      </x:c>
      <x:c r="H85" s="82" t="str">
        <x:v>制化型</x:v>
      </x:c>
      <x:c r="I85" s="68" t="str">
        <x:v>印化官杀</x:v>
      </x:c>
      <x:c r="J85" s="68" t="str">
        <x:v>印星、官杀</x:v>
      </x:c>
      <x:c r="K85" s="68" t="str">
        <x:v>官杀有效</x:v>
      </x:c>
      <x:c r="L85" s="68" t="str">
        <x:v>印星有效并能承接官杀、继续生身</x:v>
      </x:c>
      <x:c r="M85" s="68" t="str">
        <x:v>直接或可达的生克制化路径成立</x:v>
      </x:c>
      <x:c r="N85" s="68" t="str">
        <x:v>相关十神均以M10有效力量为准，且不存在决定性失衡</x:v>
      </x:c>
      <x:c r="O85" s="68" t="str">
        <x:v>结合M09日主承载判断</x:v>
      </x:c>
      <x:c r="P85" s="68" t="str">
        <x:v>官杀→印→身链路成立</x:v>
      </x:c>
      <x:c r="Q85" s="68" t="str">
        <x:v>相关十神有根、有源、透达、清纯且关键通路稳定</x:v>
      </x:c>
      <x:c r="R85" s="90" t="str">
        <x:v>关键十神被合绊、被制、改性、失效或力量严重失衡</x:v>
      </x:c>
      <x:c r="S85" s="68" t="str">
        <x:v>存在第三十神恢复通路、清除破坏或重新形成平衡</x:v>
      </x:c>
      <x:c r="T85" s="90" t="str">
        <x:v>任一核心十神失效，或不存在真实作用路径</x:v>
      </x:c>
      <x:c r="U85" s="68" t="str">
        <x:v>特殊格局、从化或月令格局另转M14/M15复审</x:v>
      </x:c>
      <x:c r="V85" s="84" t="str">
        <x:v>基本成立</x:v>
      </x:c>
      <x:c r="W85" s="84" t="str">
        <x:v>化解官杀直接制身</x:v>
      </x:c>
      <x:c r="X85" s="82" t="str">
        <x:v>条件性</x:v>
      </x:c>
      <x:c r="Y85" s="68" t="str">
        <x:v>官印/杀印候选</x:v>
      </x:c>
      <x:c r="Z85" s="84" t="str">
        <x:v>印化官杀_成立条件</x:v>
      </x:c>
      <x:c r="AA85" s="84" t="str">
        <x:v>印化官杀：当主体、客体、路径与力量匹配满足最低标准时，判“基本成立”；是否上升为格局转M14/M15。</x:v>
      </x:c>
      <x:c r="AB85" s="82" t="str">
        <x:v>较高</x:v>
      </x:c>
      <x:c r="AC85" s="82" t="str">
        <x:v>现代综合</x:v>
      </x:c>
      <x:c r="AD85" s="68" t="str">
        <x:v>十神同时出现不等于组合成立。M11须同时验证核心十神有效性、作用路径、力量匹配、日主承载、破坏因素与救应；组合成立也不等于格局成立。</x:v>
      </x:c>
      <x:c r="AE85" s="68" t="str">
        <x:v>官杀有效；印星有效并能承接官杀、继续生身；作用路径稳定且无关键破坏，可按“印化官杀”记录。</x:v>
      </x:c>
      <x:c r="AF85" s="90" t="str">
        <x:v>仅因“印星、官杀”同时出现，但核心十神无力、无作用路径或被关键因素破坏，不能判“印化官杀”成立。</x:v>
      </x:c>
      <x:c r="AG85" s="68" t="str">
        <x:v>https://zh.wikisource.org/zh-hans/%E6%B7%B5%E6%B5%B7%E5%AD%90%E5%B9%B3 ; https://zh.wikisource.org/wiki/%E6%BB%B4%E5%A4%A9%E9%AB%93%E9%97%A1%E5%BE%AE</x:v>
      </x:c>
      <x:c r="AH85" s="82" t="str">
        <x:v>采用</x:v>
      </x:c>
      <x:c r="AI85" s="82" t="str">
        <x:v>初审</x:v>
      </x:c>
      <x:c r="AJ85" s="87" t="n">
        <x:v>46255</x:v>
      </x:c>
    </x:row>
    <x:row r="86">
      <x:c r="A86" s="72" t="str">
        <x:f>IF(OR(C86="",D86=""),"",B86&amp;"-"&amp;UPPER(C86)&amp;"-"&amp;TEXT(D86,"0000")&amp;"-"&amp;E86)</x:f>
        <x:v>M11-PATH-0080-V1.0</x:v>
      </x:c>
      <x:c r="B86" s="74" t="str">
        <x:v>M11</x:v>
      </x:c>
      <x:c r="C86" s="74" t="str">
        <x:v>PATH</x:v>
      </x:c>
      <x:c r="D86" s="215" t="n">
        <x:v>80</x:v>
      </x:c>
      <x:c r="E86" s="74" t="str">
        <x:v>V1.0</x:v>
      </x:c>
      <x:c r="F86" s="68" t="str">
        <x:v>财坏印会破坏化官杀</x:v>
      </x:c>
      <x:c r="G86" s="82" t="str">
        <x:v>结构层</x:v>
      </x:c>
      <x:c r="H86" s="82" t="str">
        <x:v>制化型</x:v>
      </x:c>
      <x:c r="I86" s="68" t="str">
        <x:v>印化官杀</x:v>
      </x:c>
      <x:c r="J86" s="68" t="str">
        <x:v>印星、官杀</x:v>
      </x:c>
      <x:c r="K86" s="68" t="str">
        <x:v>印为唯一关键通关</x:v>
      </x:c>
      <x:c r="L86" s="68" t="str">
        <x:v>财星有效制印</x:v>
      </x:c>
      <x:c r="M86" s="68" t="str">
        <x:v>直接或可达的生克制化路径成立</x:v>
      </x:c>
      <x:c r="N86" s="68" t="str">
        <x:v>相关十神均以M10有效力量为准，且不存在决定性失衡</x:v>
      </x:c>
      <x:c r="O86" s="68" t="str">
        <x:v>结合M09日主承载判断</x:v>
      </x:c>
      <x:c r="P86" s="68" t="str">
        <x:v>主体、客体、作用路径与力量匹配均达到最低要求</x:v>
      </x:c>
      <x:c r="Q86" s="68" t="str">
        <x:v>相关十神有根、有源、透达、清纯且关键通路稳定</x:v>
      </x:c>
      <x:c r="R86" s="90" t="str">
        <x:v>印星被财制至无法承接官杀</x:v>
      </x:c>
      <x:c r="S86" s="68" t="str">
        <x:v>存在第三十神恢复通路、清除破坏或重新形成平衡</x:v>
      </x:c>
      <x:c r="T86" s="90" t="str">
        <x:v>任一核心十神失效，或不存在真实作用路径</x:v>
      </x:c>
      <x:c r="U86" s="68" t="str">
        <x:v>特殊格局、从化或月令格局另转M14/M15复审</x:v>
      </x:c>
      <x:c r="V86" s="84" t="str">
        <x:v>不成立</x:v>
      </x:c>
      <x:c r="W86" s="84" t="str">
        <x:v>形成局部生化、制化或承载结构</x:v>
      </x:c>
      <x:c r="X86" s="82" t="str">
        <x:v>否</x:v>
      </x:c>
      <x:c r="Y86" s="68" t="str">
        <x:v>对应格局候选转M14</x:v>
      </x:c>
      <x:c r="Z86" s="84" t="str">
        <x:v>印化官杀_财破</x:v>
      </x:c>
      <x:c r="AA86" s="84" t="str">
        <x:v>印化官杀：当主体、客体、路径与力量匹配满足最低标准时，判“不成立”；是否上升为格局转M14/M15。</x:v>
      </x:c>
      <x:c r="AB86" s="82" t="str">
        <x:v>较高</x:v>
      </x:c>
      <x:c r="AC86" s="82" t="str">
        <x:v>现代综合</x:v>
      </x:c>
      <x:c r="AD86" s="68" t="str">
        <x:v>十神同时出现不等于组合成立。M11须同时验证核心十神有效性、作用路径、力量匹配、日主承载、破坏因素与救应；组合成立也不等于格局成立。</x:v>
      </x:c>
      <x:c r="AE86" s="68" t="str">
        <x:v>印为唯一关键通关；财星有效制印；作用路径稳定且无关键破坏，可按“印化官杀”记录。</x:v>
      </x:c>
      <x:c r="AF86" s="90" t="str">
        <x:v>仅因“印星、官杀”同时出现，但核心十神无力、无作用路径或被关键因素破坏，不能判“印化官杀”成立。</x:v>
      </x:c>
      <x:c r="AG86" s="68" t="str">
        <x:v>https://zh.wikisource.org/zh-hans/%E6%B7%B5%E6%B5%B7%E5%AD%90%E5%B9%B3 ; https://zh.wikisource.org/wiki/%E6%BB%B4%E5%A4%A9%E9%AB%93%E9%97%A1%E5%BE%AE</x:v>
      </x:c>
      <x:c r="AH86" s="82" t="str">
        <x:v>采用</x:v>
      </x:c>
      <x:c r="AI86" s="82" t="str">
        <x:v>初审</x:v>
      </x:c>
      <x:c r="AJ86" s="87" t="n">
        <x:v>46255</x:v>
      </x:c>
    </x:row>
    <x:row r="87">
      <x:c r="A87" s="72" t="str">
        <x:f>IF(OR(C87="",D87=""),"",B87&amp;"-"&amp;UPPER(C87)&amp;"-"&amp;TEXT(D87,"0000")&amp;"-"&amp;E87)</x:f>
        <x:v>M11-PATH-0081-V1.0</x:v>
      </x:c>
      <x:c r="B87" s="74" t="str">
        <x:v>M11</x:v>
      </x:c>
      <x:c r="C87" s="74" t="str">
        <x:v>PATH</x:v>
      </x:c>
      <x:c r="D87" s="215" t="n">
        <x:v>81</x:v>
      </x:c>
      <x:c r="E87" s="74" t="str">
        <x:v>V1.0</x:v>
      </x:c>
      <x:c r="F87" s="68" t="str">
        <x:v>身旺食伤有效且输出顺畅时可形成泄秀</x:v>
      </x:c>
      <x:c r="G87" s="82" t="str">
        <x:v>结构层</x:v>
      </x:c>
      <x:c r="H87" s="82" t="str">
        <x:v>制化型</x:v>
      </x:c>
      <x:c r="I87" s="68" t="str">
        <x:v>食伤泄秀</x:v>
      </x:c>
      <x:c r="J87" s="68" t="str">
        <x:v>日主、食伤</x:v>
      </x:c>
      <x:c r="K87" s="68" t="str">
        <x:v>日主旺或极旺</x:v>
      </x:c>
      <x:c r="L87" s="68" t="str">
        <x:v>食伤有力且不被印星强制</x:v>
      </x:c>
      <x:c r="M87" s="68" t="str">
        <x:v>直接或可达的生克制化路径成立</x:v>
      </x:c>
      <x:c r="N87" s="68" t="str">
        <x:v>相关十神均以M10有效力量为准，且不存在决定性失衡</x:v>
      </x:c>
      <x:c r="O87" s="68" t="str">
        <x:v>结合M09日主承载判断</x:v>
      </x:c>
      <x:c r="P87" s="68" t="str">
        <x:v>有足够身源可泄、食伤能形成稳定输出</x:v>
      </x:c>
      <x:c r="Q87" s="68" t="str">
        <x:v>相关十神有根、有源、透达、清纯且关键通路稳定</x:v>
      </x:c>
      <x:c r="R87" s="90" t="str">
        <x:v>关键十神被合绊、被制、改性、失效或力量严重失衡</x:v>
      </x:c>
      <x:c r="S87" s="68" t="str">
        <x:v>存在第三十神恢复通路、清除破坏或重新形成平衡</x:v>
      </x:c>
      <x:c r="T87" s="90" t="str">
        <x:v>任一核心十神失效，或不存在真实作用路径</x:v>
      </x:c>
      <x:c r="U87" s="68" t="str">
        <x:v>特殊格局、从化或月令格局另转M14/M15复审</x:v>
      </x:c>
      <x:c r="V87" s="84" t="str">
        <x:v>基本成立</x:v>
      </x:c>
      <x:c r="W87" s="84" t="str">
        <x:v>泄旺身并导向财星或外部输出</x:v>
      </x:c>
      <x:c r="X87" s="82" t="str">
        <x:v>条件性</x:v>
      </x:c>
      <x:c r="Y87" s="68" t="str">
        <x:v>食伤泄秀候选</x:v>
      </x:c>
      <x:c r="Z87" s="84" t="str">
        <x:v>食伤泄秀_成立条件</x:v>
      </x:c>
      <x:c r="AA87" s="84" t="str">
        <x:v>食伤泄秀：当主体、客体、路径与力量匹配满足最低标准时，判“基本成立”；是否上升为格局转M14/M15。</x:v>
      </x:c>
      <x:c r="AB87" s="82" t="str">
        <x:v>较高</x:v>
      </x:c>
      <x:c r="AC87" s="82" t="str">
        <x:v>现代综合</x:v>
      </x:c>
      <x:c r="AD87" s="68" t="str">
        <x:v>十神同时出现不等于组合成立。M11须同时验证核心十神有效性、作用路径、力量匹配、日主承载、破坏因素与救应；组合成立也不等于格局成立。</x:v>
      </x:c>
      <x:c r="AE87" s="68" t="str">
        <x:v>日主旺或极旺；食伤有力且不被印星强制；作用路径稳定且无关键破坏，可按“食伤泄秀”记录。</x:v>
      </x:c>
      <x:c r="AF87" s="90" t="str">
        <x:v>仅因“日主、食伤”同时出现，但核心十神无力、无作用路径或被关键因素破坏，不能判“食伤泄秀”成立。</x:v>
      </x:c>
      <x:c r="AG87" s="68" t="str">
        <x:v>https://zh.wikisource.org/zh-hans/%E6%B7%B5%E6%B5%B7%E5%AD%90%E5%B9%B3 ; https://zh.wikisource.org/wiki/%E6%BB%B4%E5%A4%A9%E9%AB%93%E9%97%A1%E5%BE%AE</x:v>
      </x:c>
      <x:c r="AH87" s="82" t="str">
        <x:v>采用</x:v>
      </x:c>
      <x:c r="AI87" s="82" t="str">
        <x:v>初审</x:v>
      </x:c>
      <x:c r="AJ87" s="87" t="n">
        <x:v>46255</x:v>
      </x:c>
    </x:row>
    <x:row r="88">
      <x:c r="A88" s="72" t="str">
        <x:f>IF(OR(C88="",D88=""),"",B88&amp;"-"&amp;UPPER(C88)&amp;"-"&amp;TEXT(D88,"0000")&amp;"-"&amp;E88)</x:f>
        <x:v>M11-PATH-0082-V1.0</x:v>
      </x:c>
      <x:c r="B88" s="74" t="str">
        <x:v>M11</x:v>
      </x:c>
      <x:c r="C88" s="74" t="str">
        <x:v>PATH</x:v>
      </x:c>
      <x:c r="D88" s="215" t="n">
        <x:v>82</x:v>
      </x:c>
      <x:c r="E88" s="74" t="str">
        <x:v>V1.0</x:v>
      </x:c>
      <x:c r="F88" s="68" t="str">
        <x:v>身弱不具备稳定泄秀条件</x:v>
      </x:c>
      <x:c r="G88" s="82" t="str">
        <x:v>结构层</x:v>
      </x:c>
      <x:c r="H88" s="82" t="str">
        <x:v>制化型</x:v>
      </x:c>
      <x:c r="I88" s="68" t="str">
        <x:v>食伤泄秀</x:v>
      </x:c>
      <x:c r="J88" s="68" t="str">
        <x:v>日主、食伤</x:v>
      </x:c>
      <x:c r="K88" s="68" t="str">
        <x:v>日主弱或极弱</x:v>
      </x:c>
      <x:c r="L88" s="68" t="str">
        <x:v>食伤又旺</x:v>
      </x:c>
      <x:c r="M88" s="68" t="str">
        <x:v>直接或可达的生克制化路径成立</x:v>
      </x:c>
      <x:c r="N88" s="68" t="str">
        <x:v>相关十神均以M10有效力量为准，且不存在决定性失衡</x:v>
      </x:c>
      <x:c r="O88" s="68" t="str">
        <x:v>泄身会进一步削弱承载</x:v>
      </x:c>
      <x:c r="P88" s="68" t="str">
        <x:v>主体、客体、作用路径与力量匹配均达到最低要求</x:v>
      </x:c>
      <x:c r="Q88" s="68" t="str">
        <x:v>相关十神有根、有源、透达、清纯且关键通路稳定</x:v>
      </x:c>
      <x:c r="R88" s="90" t="str">
        <x:v>关键十神被合绊、被制、改性、失效或力量严重失衡</x:v>
      </x:c>
      <x:c r="S88" s="68" t="str">
        <x:v>存在第三十神恢复通路、清除破坏或重新形成平衡</x:v>
      </x:c>
      <x:c r="T88" s="90" t="str">
        <x:v>任一核心十神失效，或不存在真实作用路径</x:v>
      </x:c>
      <x:c r="U88" s="68" t="str">
        <x:v>特殊格局、从化或月令格局另转M14/M15复审</x:v>
      </x:c>
      <x:c r="V88" s="84" t="str">
        <x:v>不成立</x:v>
      </x:c>
      <x:c r="W88" s="84" t="str">
        <x:v>转为食伤过泄候选</x:v>
      </x:c>
      <x:c r="X88" s="82" t="str">
        <x:v>否</x:v>
      </x:c>
      <x:c r="Y88" s="68" t="str">
        <x:v>对应格局候选转M14</x:v>
      </x:c>
      <x:c r="Z88" s="84" t="str">
        <x:v>食伤泄秀_身弱否决</x:v>
      </x:c>
      <x:c r="AA88" s="84" t="str">
        <x:v>食伤泄秀：当主体、客体、路径与力量匹配满足最低标准时，判“不成立”；是否上升为格局转M14/M15。</x:v>
      </x:c>
      <x:c r="AB88" s="82" t="str">
        <x:v>较高</x:v>
      </x:c>
      <x:c r="AC88" s="82" t="str">
        <x:v>现代综合</x:v>
      </x:c>
      <x:c r="AD88" s="68" t="str">
        <x:v>十神同时出现不等于组合成立。M11须同时验证核心十神有效性、作用路径、力量匹配、日主承载、破坏因素与救应；组合成立也不等于格局成立。</x:v>
      </x:c>
      <x:c r="AE88" s="68" t="str">
        <x:v>日主弱或极弱；食伤又旺；作用路径稳定且无关键破坏，可按“食伤泄秀”记录。</x:v>
      </x:c>
      <x:c r="AF88" s="90" t="str">
        <x:v>仅因“日主、食伤”同时出现，但核心十神无力、无作用路径或被关键因素破坏，不能判“食伤泄秀”成立。</x:v>
      </x:c>
      <x:c r="AG88" s="68" t="str">
        <x:v>https://zh.wikisource.org/zh-hans/%E6%B7%B5%E6%B5%B7%E5%AD%90%E5%B9%B3 ; https://zh.wikisource.org/wiki/%E6%BB%B4%E5%A4%A9%E9%AB%93%E9%97%A1%E5%BE%AE</x:v>
      </x:c>
      <x:c r="AH88" s="82" t="str">
        <x:v>采用</x:v>
      </x:c>
      <x:c r="AI88" s="82" t="str">
        <x:v>初审</x:v>
      </x:c>
      <x:c r="AJ88" s="87" t="n">
        <x:v>46255</x:v>
      </x:c>
    </x:row>
    <x:row r="89">
      <x:c r="A89" s="72" t="str">
        <x:f>IF(OR(C89="",D89=""),"",B89&amp;"-"&amp;UPPER(C89)&amp;"-"&amp;TEXT(D89,"0000")&amp;"-"&amp;E89)</x:f>
        <x:v>M11-CONFLICT-0083-V1.0</x:v>
      </x:c>
      <x:c r="B89" s="74" t="str">
        <x:v>M11</x:v>
      </x:c>
      <x:c r="C89" s="74" t="str">
        <x:v>CONFLICT</x:v>
      </x:c>
      <x:c r="D89" s="215" t="n">
        <x:v>83</x:v>
      </x:c>
      <x:c r="E89" s="74" t="str">
        <x:v>V1.0</x:v>
      </x:c>
      <x:c r="F89" s="68" t="str">
        <x:v>伤官与正官均有效且形成直接克制才构成冲突</x:v>
      </x:c>
      <x:c r="G89" s="82" t="str">
        <x:v>结构层</x:v>
      </x:c>
      <x:c r="H89" s="82" t="str">
        <x:v>冲突病态型</x:v>
      </x:c>
      <x:c r="I89" s="68" t="str">
        <x:v>伤官见官</x:v>
      </x:c>
      <x:c r="J89" s="68" t="str">
        <x:v>伤官、正官</x:v>
      </x:c>
      <x:c r="K89" s="68" t="str">
        <x:v>伤官有效</x:v>
      </x:c>
      <x:c r="L89" s="68" t="str">
        <x:v>正官有效</x:v>
      </x:c>
      <x:c r="M89" s="68" t="str">
        <x:v>伤官可直接克官</x:v>
      </x:c>
      <x:c r="N89" s="68" t="str">
        <x:v>相关十神均以M10有效力量为准，且不存在决定性失衡</x:v>
      </x:c>
      <x:c r="O89" s="68" t="str">
        <x:v>结合M09日主承载判断</x:v>
      </x:c>
      <x:c r="P89" s="68" t="str">
        <x:v>伤官、正官、克制路径三者同时成立</x:v>
      </x:c>
      <x:c r="Q89" s="68" t="str">
        <x:v>相关十神有根、有源、透达、清纯且关键通路稳定</x:v>
      </x:c>
      <x:c r="R89" s="90" t="str">
        <x:v>关键十神被合绊、被制、改性、失效或力量严重失衡</x:v>
      </x:c>
      <x:c r="S89" s="68" t="str">
        <x:v>存在第三十神恢复通路、清除破坏或重新形成平衡</x:v>
      </x:c>
      <x:c r="T89" s="90" t="str">
        <x:v>任一核心十神失效，或不存在真实作用路径</x:v>
      </x:c>
      <x:c r="U89" s="68" t="str">
        <x:v>特殊格局、从化或月令格局另转M14/M15复审</x:v>
      </x:c>
      <x:c r="V89" s="84" t="str">
        <x:v>基本成立</x:v>
      </x:c>
      <x:c r="W89" s="84" t="str">
        <x:v>官星功能受损或冲突</x:v>
      </x:c>
      <x:c r="X89" s="82" t="str">
        <x:v>条件性</x:v>
      </x:c>
      <x:c r="Y89" s="68" t="str">
        <x:v>冲突结构转M16</x:v>
      </x:c>
      <x:c r="Z89" s="84" t="str">
        <x:v>伤官见官_成立条件</x:v>
      </x:c>
      <x:c r="AA89" s="84" t="str">
        <x:v>伤官见官：当主体、客体、路径与力量匹配满足最低标准时，判“基本成立”；是否上升为格局转M14/M15。</x:v>
      </x:c>
      <x:c r="AB89" s="82" t="str">
        <x:v>较高</x:v>
      </x:c>
      <x:c r="AC89" s="82" t="str">
        <x:v>现代综合</x:v>
      </x:c>
      <x:c r="AD89" s="68" t="str">
        <x:v>十神同时出现不等于组合成立。M11须同时验证核心十神有效性、作用路径、力量匹配、日主承载、破坏因素与救应；组合成立也不等于格局成立。</x:v>
      </x:c>
      <x:c r="AE89" s="68" t="str">
        <x:v>伤官有效；正官有效；作用路径稳定且无关键破坏，可按“伤官见官”记录。</x:v>
      </x:c>
      <x:c r="AF89" s="90" t="str">
        <x:v>仅因“伤官、正官”同时出现，但核心十神无力、无作用路径或被关键因素破坏，不能判“伤官见官”成立。</x:v>
      </x:c>
      <x:c r="AG89" s="68" t="str">
        <x:v>https://zh.wikisource.org/zh-hans/%E6%B7%B5%E6%B5%B7%E5%AD%90%E5%B9%B3 ; https://zh.wikisource.org/wiki/%E6%BB%B4%E5%A4%A9%E9%AB%93%E9%97%A1%E5%BE%AE</x:v>
      </x:c>
      <x:c r="AH89" s="82" t="str">
        <x:v>采用</x:v>
      </x:c>
      <x:c r="AI89" s="82" t="str">
        <x:v>初审</x:v>
      </x:c>
      <x:c r="AJ89" s="87" t="n">
        <x:v>46255</x:v>
      </x:c>
    </x:row>
    <x:row r="90">
      <x:c r="A90" s="72" t="str">
        <x:f>IF(OR(C90="",D90=""),"",B90&amp;"-"&amp;UPPER(C90)&amp;"-"&amp;TEXT(D90,"0000")&amp;"-"&amp;E90)</x:f>
        <x:v>M11-CONFLICT-0084-V1.0</x:v>
      </x:c>
      <x:c r="B90" s="74" t="str">
        <x:v>M11</x:v>
      </x:c>
      <x:c r="C90" s="74" t="str">
        <x:v>CONFLICT</x:v>
      </x:c>
      <x:c r="D90" s="215" t="n">
        <x:v>84</x:v>
      </x:c>
      <x:c r="E90" s="74" t="str">
        <x:v>V1.0</x:v>
      </x:c>
      <x:c r="F90" s="68" t="str">
        <x:v>印制伤官可降低伤官见官冲突</x:v>
      </x:c>
      <x:c r="G90" s="82" t="str">
        <x:v>结构层</x:v>
      </x:c>
      <x:c r="H90" s="82" t="str">
        <x:v>冲突病态型</x:v>
      </x:c>
      <x:c r="I90" s="68" t="str">
        <x:v>伤官见官</x:v>
      </x:c>
      <x:c r="J90" s="68" t="str">
        <x:v>伤官、正官、印星</x:v>
      </x:c>
      <x:c r="K90" s="68" t="str">
        <x:v>伤官克官已成立</x:v>
      </x:c>
      <x:c r="L90" s="68" t="str">
        <x:v>印星有效制伤</x:v>
      </x:c>
      <x:c r="M90" s="68" t="str">
        <x:v>直接或可达的生克制化路径成立</x:v>
      </x:c>
      <x:c r="N90" s="68" t="str">
        <x:v>相关十神均以M10有效力量为准，且不存在决定性失衡</x:v>
      </x:c>
      <x:c r="O90" s="68" t="str">
        <x:v>结合M09日主承载判断</x:v>
      </x:c>
      <x:c r="P90" s="68" t="str">
        <x:v>主体、客体、作用路径与力量匹配均达到最低要求</x:v>
      </x:c>
      <x:c r="Q90" s="68" t="str">
        <x:v>相关十神有根、有源、透达、清纯且关键通路稳定</x:v>
      </x:c>
      <x:c r="R90" s="90" t="str">
        <x:v>关键十神被合绊、被制、改性、失效或力量严重失衡</x:v>
      </x:c>
      <x:c r="S90" s="68" t="str">
        <x:v>印星制伤后官星功能恢复</x:v>
      </x:c>
      <x:c r="T90" s="90" t="str">
        <x:v>任一核心十神失效，或不存在真实作用路径</x:v>
      </x:c>
      <x:c r="U90" s="68" t="str">
        <x:v>特殊格局、从化或月令格局另转M14/M15复审</x:v>
      </x:c>
      <x:c r="V90" s="84" t="str">
        <x:v>弱成立</x:v>
      </x:c>
      <x:c r="W90" s="84" t="str">
        <x:v>冲突被部分化解</x:v>
      </x:c>
      <x:c r="X90" s="82" t="str">
        <x:v>条件性</x:v>
      </x:c>
      <x:c r="Y90" s="68" t="str">
        <x:v>对应格局候选转M14</x:v>
      </x:c>
      <x:c r="Z90" s="84" t="str">
        <x:v>伤官见官_印救</x:v>
      </x:c>
      <x:c r="AA90" s="84" t="str">
        <x:v>伤官见官：当主体、客体、路径与力量匹配满足最低标准时，判“弱成立”；是否上升为格局转M14/M15。</x:v>
      </x:c>
      <x:c r="AB90" s="82" t="str">
        <x:v>较高</x:v>
      </x:c>
      <x:c r="AC90" s="82" t="str">
        <x:v>现代综合</x:v>
      </x:c>
      <x:c r="AD90" s="68" t="str">
        <x:v>十神同时出现不等于组合成立。M11须同时验证核心十神有效性、作用路径、力量匹配、日主承载、破坏因素与救应；组合成立也不等于格局成立。</x:v>
      </x:c>
      <x:c r="AE90" s="68" t="str">
        <x:v>伤官克官已成立；印星有效制伤；作用路径稳定且无关键破坏，可按“伤官见官”记录。</x:v>
      </x:c>
      <x:c r="AF90" s="90" t="str">
        <x:v>仅因“伤官、正官、印星”同时出现，但核心十神无力、无作用路径或被关键因素破坏，不能判“伤官见官”成立。</x:v>
      </x:c>
      <x:c r="AG90" s="68" t="str">
        <x:v>https://zh.wikisource.org/zh-hans/%E6%B7%B5%E6%B5%B7%E5%AD%90%E5%B9%B3 ; https://zh.wikisource.org/wiki/%E6%BB%B4%E5%A4%A9%E9%AB%93%E9%97%A1%E5%BE%AE</x:v>
      </x:c>
      <x:c r="AH90" s="82" t="str">
        <x:v>采用</x:v>
      </x:c>
      <x:c r="AI90" s="82" t="str">
        <x:v>初审</x:v>
      </x:c>
      <x:c r="AJ90" s="87" t="n">
        <x:v>46255</x:v>
      </x:c>
    </x:row>
    <x:row r="91">
      <x:c r="A91" s="72" t="str">
        <x:f>IF(OR(C91="",D91=""),"",B91&amp;"-"&amp;UPPER(C91)&amp;"-"&amp;TEXT(D91,"0000")&amp;"-"&amp;E91)</x:f>
        <x:v>M11-CONFLICT-0085-V1.0</x:v>
      </x:c>
      <x:c r="B91" s="74" t="str">
        <x:v>M11</x:v>
      </x:c>
      <x:c r="C91" s="74" t="str">
        <x:v>CONFLICT</x:v>
      </x:c>
      <x:c r="D91" s="215" t="n">
        <x:v>85</x:v>
      </x:c>
      <x:c r="E91" s="74" t="str">
        <x:v>V1.0</x:v>
      </x:c>
      <x:c r="F91" s="68" t="str">
        <x:v>财通伤官生官路径可改变直接冲突</x:v>
      </x:c>
      <x:c r="G91" s="82" t="str">
        <x:v>结构层</x:v>
      </x:c>
      <x:c r="H91" s="82" t="str">
        <x:v>冲突病态型</x:v>
      </x:c>
      <x:c r="I91" s="68" t="str">
        <x:v>伤官见官</x:v>
      </x:c>
      <x:c r="J91" s="68" t="str">
        <x:v>伤官、正官、财星</x:v>
      </x:c>
      <x:c r="K91" s="68" t="str">
        <x:v>伤官可生财</x:v>
      </x:c>
      <x:c r="L91" s="68" t="str">
        <x:v>财星再生官且链路有效</x:v>
      </x:c>
      <x:c r="M91" s="68" t="str">
        <x:v>直接或可达的生克制化路径成立</x:v>
      </x:c>
      <x:c r="N91" s="68" t="str">
        <x:v>相关十神均以M10有效力量为准，且不存在决定性失衡</x:v>
      </x:c>
      <x:c r="O91" s="68" t="str">
        <x:v>结合M09日主承载判断</x:v>
      </x:c>
      <x:c r="P91" s="68" t="str">
        <x:v>主体、客体、作用路径与力量匹配均达到最低要求</x:v>
      </x:c>
      <x:c r="Q91" s="68" t="str">
        <x:v>相关十神有根、有源、透达、清纯且关键通路稳定</x:v>
      </x:c>
      <x:c r="R91" s="90" t="str">
        <x:v>关键十神被合绊、被制、改性、失效或力量严重失衡</x:v>
      </x:c>
      <x:c r="S91" s="68" t="str">
        <x:v>伤→财→官形成通关，直接克官强度下降</x:v>
      </x:c>
      <x:c r="T91" s="90" t="str">
        <x:v>任一核心十神失效，或不存在真实作用路径</x:v>
      </x:c>
      <x:c r="U91" s="68" t="str">
        <x:v>特殊格局、从化或月令格局另转M14/M15复审</x:v>
      </x:c>
      <x:c r="V91" s="84" t="str">
        <x:v>弱成立</x:v>
      </x:c>
      <x:c r="W91" s="84" t="str">
        <x:v>冲突转化为生化链</x:v>
      </x:c>
      <x:c r="X91" s="82" t="str">
        <x:v>条件性</x:v>
      </x:c>
      <x:c r="Y91" s="68" t="str">
        <x:v>对应格局候选转M14</x:v>
      </x:c>
      <x:c r="Z91" s="84" t="str">
        <x:v>伤官见官_财通关</x:v>
      </x:c>
      <x:c r="AA91" s="84" t="str">
        <x:v>伤官见官：当主体、客体、路径与力量匹配满足最低标准时，判“弱成立”；是否上升为格局转M14/M15。</x:v>
      </x:c>
      <x:c r="AB91" s="82" t="str">
        <x:v>较高</x:v>
      </x:c>
      <x:c r="AC91" s="82" t="str">
        <x:v>现代综合</x:v>
      </x:c>
      <x:c r="AD91" s="68" t="str">
        <x:v>十神同时出现不等于组合成立。M11须同时验证核心十神有效性、作用路径、力量匹配、日主承载、破坏因素与救应；组合成立也不等于格局成立。</x:v>
      </x:c>
      <x:c r="AE91" s="68" t="str">
        <x:v>伤官可生财；财星再生官且链路有效；作用路径稳定且无关键破坏，可按“伤官见官”记录。</x:v>
      </x:c>
      <x:c r="AF91" s="90" t="str">
        <x:v>仅因“伤官、正官、财星”同时出现，但核心十神无力、无作用路径或被关键因素破坏，不能判“伤官见官”成立。</x:v>
      </x:c>
      <x:c r="AG91" s="68" t="str">
        <x:v>https://zh.wikisource.org/zh-hans/%E6%B7%B5%E6%B5%B7%E5%AD%90%E5%B9%B3 ; https://zh.wikisource.org/wiki/%E6%BB%B4%E5%A4%A9%E9%AB%93%E9%97%A1%E5%BE%AE</x:v>
      </x:c>
      <x:c r="AH91" s="82" t="str">
        <x:v>采用</x:v>
      </x:c>
      <x:c r="AI91" s="82" t="str">
        <x:v>初审</x:v>
      </x:c>
      <x:c r="AJ91" s="87" t="n">
        <x:v>46255</x:v>
      </x:c>
    </x:row>
    <x:row r="92">
      <x:c r="A92" s="72" t="str">
        <x:f>IF(OR(C92="",D92=""),"",B92&amp;"-"&amp;UPPER(C92)&amp;"-"&amp;TEXT(D92,"0000")&amp;"-"&amp;E92)</x:f>
        <x:v>M11-CONFLICT-0086-V1.0</x:v>
      </x:c>
      <x:c r="B92" s="74" t="str">
        <x:v>M11</x:v>
      </x:c>
      <x:c r="C92" s="74" t="str">
        <x:v>CONFLICT</x:v>
      </x:c>
      <x:c r="D92" s="215" t="n">
        <x:v>86</x:v>
      </x:c>
      <x:c r="E92" s="74" t="str">
        <x:v>V1.0</x:v>
      </x:c>
      <x:c r="F92" s="68" t="str">
        <x:v>偏印必须真实克制关键食神才成立</x:v>
      </x:c>
      <x:c r="G92" s="82" t="str">
        <x:v>结构层</x:v>
      </x:c>
      <x:c r="H92" s="82" t="str">
        <x:v>冲突病态型</x:v>
      </x:c>
      <x:c r="I92" s="68" t="str">
        <x:v>枭神夺食</x:v>
      </x:c>
      <x:c r="J92" s="68" t="str">
        <x:v>偏印、食神</x:v>
      </x:c>
      <x:c r="K92" s="68" t="str">
        <x:v>偏印有效</x:v>
      </x:c>
      <x:c r="L92" s="68" t="str">
        <x:v>食神有效且承担关键输出或制杀功能</x:v>
      </x:c>
      <x:c r="M92" s="68" t="str">
        <x:v>偏印可直接克食神</x:v>
      </x:c>
      <x:c r="N92" s="68" t="str">
        <x:v>相关十神均以M10有效力量为准，且不存在决定性失衡</x:v>
      </x:c>
      <x:c r="O92" s="68" t="str">
        <x:v>结合M09日主承载判断</x:v>
      </x:c>
      <x:c r="P92" s="68" t="str">
        <x:v>枭有力、食有力、克制路径成立</x:v>
      </x:c>
      <x:c r="Q92" s="68" t="str">
        <x:v>相关十神有根、有源、透达、清纯且关键通路稳定</x:v>
      </x:c>
      <x:c r="R92" s="90" t="str">
        <x:v>关键十神被合绊、被制、改性、失效或力量严重失衡</x:v>
      </x:c>
      <x:c r="S92" s="68" t="str">
        <x:v>存在第三十神恢复通路、清除破坏或重新形成平衡</x:v>
      </x:c>
      <x:c r="T92" s="90" t="str">
        <x:v>任一核心十神失效，或不存在真实作用路径</x:v>
      </x:c>
      <x:c r="U92" s="68" t="str">
        <x:v>特殊格局、从化或月令格局另转M14/M15复审</x:v>
      </x:c>
      <x:c r="V92" s="84" t="str">
        <x:v>基本成立</x:v>
      </x:c>
      <x:c r="W92" s="84" t="str">
        <x:v>食神功能受损</x:v>
      </x:c>
      <x:c r="X92" s="82" t="str">
        <x:v>条件性</x:v>
      </x:c>
      <x:c r="Y92" s="68" t="str">
        <x:v>冲突结构转M16</x:v>
      </x:c>
      <x:c r="Z92" s="84" t="str">
        <x:v>枭神夺食_成立条件</x:v>
      </x:c>
      <x:c r="AA92" s="84" t="str">
        <x:v>枭神夺食：当主体、客体、路径与力量匹配满足最低标准时，判“基本成立”；是否上升为格局转M14/M15。</x:v>
      </x:c>
      <x:c r="AB92" s="82" t="str">
        <x:v>较高</x:v>
      </x:c>
      <x:c r="AC92" s="82" t="str">
        <x:v>现代综合</x:v>
      </x:c>
      <x:c r="AD92" s="68" t="str">
        <x:v>十神同时出现不等于组合成立。M11须同时验证核心十神有效性、作用路径、力量匹配、日主承载、破坏因素与救应；组合成立也不等于格局成立。</x:v>
      </x:c>
      <x:c r="AE92" s="68" t="str">
        <x:v>偏印有效；食神有效且承担关键输出或制杀功能；作用路径稳定且无关键破坏，可按“枭神夺食”记录。</x:v>
      </x:c>
      <x:c r="AF92" s="90" t="str">
        <x:v>仅因“偏印、食神”同时出现，但核心十神无力、无作用路径或被关键因素破坏，不能判“枭神夺食”成立。</x:v>
      </x:c>
      <x:c r="AG92" s="68" t="str">
        <x:v>https://zh.wikisource.org/zh-hans/%E6%B7%B5%E6%B5%B7%E5%AD%90%E5%B9%B3 ; https://zh.wikisource.org/wiki/%E6%BB%B4%E5%A4%A9%E9%AB%93%E9%97%A1%E5%BE%AE</x:v>
      </x:c>
      <x:c r="AH92" s="82" t="str">
        <x:v>采用</x:v>
      </x:c>
      <x:c r="AI92" s="82" t="str">
        <x:v>初审</x:v>
      </x:c>
      <x:c r="AJ92" s="87" t="n">
        <x:v>46255</x:v>
      </x:c>
    </x:row>
    <x:row r="93">
      <x:c r="A93" s="72" t="str">
        <x:f>IF(OR(C93="",D93=""),"",B93&amp;"-"&amp;UPPER(C93)&amp;"-"&amp;TEXT(D93,"0000")&amp;"-"&amp;E93)</x:f>
        <x:v>M11-CONFLICT-0087-V1.0</x:v>
      </x:c>
      <x:c r="B93" s="74" t="str">
        <x:v>M11</x:v>
      </x:c>
      <x:c r="C93" s="74" t="str">
        <x:v>CONFLICT</x:v>
      </x:c>
      <x:c r="D93" s="215" t="n">
        <x:v>87</x:v>
      </x:c>
      <x:c r="E93" s="74" t="str">
        <x:v>V1.0</x:v>
      </x:c>
      <x:c r="F93" s="68" t="str">
        <x:v>财制枭可救食</x:v>
      </x:c>
      <x:c r="G93" s="82" t="str">
        <x:v>结构层</x:v>
      </x:c>
      <x:c r="H93" s="82" t="str">
        <x:v>冲突病态型</x:v>
      </x:c>
      <x:c r="I93" s="68" t="str">
        <x:v>枭神夺食</x:v>
      </x:c>
      <x:c r="J93" s="68" t="str">
        <x:v>偏印、食神、财星</x:v>
      </x:c>
      <x:c r="K93" s="68" t="str">
        <x:v>偏印正在制食神</x:v>
      </x:c>
      <x:c r="L93" s="68" t="str">
        <x:v>财星有效制偏印</x:v>
      </x:c>
      <x:c r="M93" s="68" t="str">
        <x:v>直接或可达的生克制化路径成立</x:v>
      </x:c>
      <x:c r="N93" s="68" t="str">
        <x:v>相关十神均以M10有效力量为准，且不存在决定性失衡</x:v>
      </x:c>
      <x:c r="O93" s="68" t="str">
        <x:v>结合M09日主承载判断</x:v>
      </x:c>
      <x:c r="P93" s="68" t="str">
        <x:v>主体、客体、作用路径与力量匹配均达到最低要求</x:v>
      </x:c>
      <x:c r="Q93" s="68" t="str">
        <x:v>相关十神有根、有源、透达、清纯且关键通路稳定</x:v>
      </x:c>
      <x:c r="R93" s="90" t="str">
        <x:v>关键十神被合绊、被制、改性、失效或力量严重失衡</x:v>
      </x:c>
      <x:c r="S93" s="68" t="str">
        <x:v>财制枭并恢复食神功能</x:v>
      </x:c>
      <x:c r="T93" s="90" t="str">
        <x:v>任一核心十神失效，或不存在真实作用路径</x:v>
      </x:c>
      <x:c r="U93" s="68" t="str">
        <x:v>特殊格局、从化或月令格局另转M14/M15复审</x:v>
      </x:c>
      <x:c r="V93" s="84" t="str">
        <x:v>弱成立</x:v>
      </x:c>
      <x:c r="W93" s="84" t="str">
        <x:v>枭夺食被救</x:v>
      </x:c>
      <x:c r="X93" s="82" t="str">
        <x:v>条件性</x:v>
      </x:c>
      <x:c r="Y93" s="68" t="str">
        <x:v>对应格局候选转M14</x:v>
      </x:c>
      <x:c r="Z93" s="84" t="str">
        <x:v>枭神夺食_财救</x:v>
      </x:c>
      <x:c r="AA93" s="84" t="str">
        <x:v>枭神夺食：当主体、客体、路径与力量匹配满足最低标准时，判“弱成立”；是否上升为格局转M14/M15。</x:v>
      </x:c>
      <x:c r="AB93" s="82" t="str">
        <x:v>较高</x:v>
      </x:c>
      <x:c r="AC93" s="82" t="str">
        <x:v>现代综合</x:v>
      </x:c>
      <x:c r="AD93" s="68" t="str">
        <x:v>十神同时出现不等于组合成立。M11须同时验证核心十神有效性、作用路径、力量匹配、日主承载、破坏因素与救应；组合成立也不等于格局成立。</x:v>
      </x:c>
      <x:c r="AE93" s="68" t="str">
        <x:v>偏印正在制食神；财星有效制偏印；作用路径稳定且无关键破坏，可按“枭神夺食”记录。</x:v>
      </x:c>
      <x:c r="AF93" s="90" t="str">
        <x:v>仅因“偏印、食神、财星”同时出现，但核心十神无力、无作用路径或被关键因素破坏，不能判“枭神夺食”成立。</x:v>
      </x:c>
      <x:c r="AG93" s="68" t="str">
        <x:v>https://zh.wikisource.org/zh-hans/%E6%B7%B5%E6%B5%B7%E5%AD%90%E5%B9%B3 ; https://zh.wikisource.org/wiki/%E6%BB%B4%E5%A4%A9%E9%AB%93%E9%97%A1%E5%BE%AE</x:v>
      </x:c>
      <x:c r="AH93" s="82" t="str">
        <x:v>采用</x:v>
      </x:c>
      <x:c r="AI93" s="82" t="str">
        <x:v>初审</x:v>
      </x:c>
      <x:c r="AJ93" s="87" t="n">
        <x:v>46255</x:v>
      </x:c>
    </x:row>
    <x:row r="94">
      <x:c r="A94" s="72" t="str">
        <x:f>IF(OR(C94="",D94=""),"",B94&amp;"-"&amp;UPPER(C94)&amp;"-"&amp;TEXT(D94,"0000")&amp;"-"&amp;E94)</x:f>
        <x:v>M11-CONFLICT-0088-V1.0</x:v>
      </x:c>
      <x:c r="B94" s="74" t="str">
        <x:v>M11</x:v>
      </x:c>
      <x:c r="C94" s="74" t="str">
        <x:v>CONFLICT</x:v>
      </x:c>
      <x:c r="D94" s="215" t="n">
        <x:v>88</x:v>
      </x:c>
      <x:c r="E94" s="74" t="str">
        <x:v>V1.0</x:v>
      </x:c>
      <x:c r="F94" s="68" t="str">
        <x:v>比劫对财星形成实质强制才构成夺财结构</x:v>
      </x:c>
      <x:c r="G94" s="82" t="str">
        <x:v>结构层</x:v>
      </x:c>
      <x:c r="H94" s="82" t="str">
        <x:v>冲突病态型</x:v>
      </x:c>
      <x:c r="I94" s="68" t="str">
        <x:v>比劫夺财</x:v>
      </x:c>
      <x:c r="J94" s="68" t="str">
        <x:v>比劫、财星</x:v>
      </x:c>
      <x:c r="K94" s="68" t="str">
        <x:v>比劫有效且有克财能力</x:v>
      </x:c>
      <x:c r="L94" s="68" t="str">
        <x:v>财星有效并被比劫直接制约</x:v>
      </x:c>
      <x:c r="M94" s="68" t="str">
        <x:v>直接或可达的生克制化路径成立</x:v>
      </x:c>
      <x:c r="N94" s="68" t="str">
        <x:v>相关十神均以M10有效力量为准，且不存在决定性失衡</x:v>
      </x:c>
      <x:c r="O94" s="68" t="str">
        <x:v>结合M09日主承载判断</x:v>
      </x:c>
      <x:c r="P94" s="68" t="str">
        <x:v>比劫与财均有效、克制路径成立</x:v>
      </x:c>
      <x:c r="Q94" s="68" t="str">
        <x:v>相关十神有根、有源、透达、清纯且关键通路稳定</x:v>
      </x:c>
      <x:c r="R94" s="90" t="str">
        <x:v>关键十神被合绊、被制、改性、失效或力量严重失衡</x:v>
      </x:c>
      <x:c r="S94" s="68" t="str">
        <x:v>存在第三十神恢复通路、清除破坏或重新形成平衡</x:v>
      </x:c>
      <x:c r="T94" s="90" t="str">
        <x:v>任一核心十神失效，或不存在真实作用路径</x:v>
      </x:c>
      <x:c r="U94" s="68" t="str">
        <x:v>特殊格局、从化或月令格局另转M14/M15复审</x:v>
      </x:c>
      <x:c r="V94" s="84" t="str">
        <x:v>基本成立</x:v>
      </x:c>
      <x:c r="W94" s="84" t="str">
        <x:v>财星功能受损</x:v>
      </x:c>
      <x:c r="X94" s="82" t="str">
        <x:v>条件性</x:v>
      </x:c>
      <x:c r="Y94" s="68" t="str">
        <x:v>冲突结构转M16</x:v>
      </x:c>
      <x:c r="Z94" s="84" t="str">
        <x:v>比劫夺财_成立条件</x:v>
      </x:c>
      <x:c r="AA94" s="84" t="str">
        <x:v>比劫夺财：当主体、客体、路径与力量匹配满足最低标准时，判“基本成立”；是否上升为格局转M14/M15。</x:v>
      </x:c>
      <x:c r="AB94" s="82" t="str">
        <x:v>较高</x:v>
      </x:c>
      <x:c r="AC94" s="82" t="str">
        <x:v>现代综合</x:v>
      </x:c>
      <x:c r="AD94" s="68" t="str">
        <x:v>十神同时出现不等于组合成立。M11须同时验证核心十神有效性、作用路径、力量匹配、日主承载、破坏因素与救应；组合成立也不等于格局成立。</x:v>
      </x:c>
      <x:c r="AE94" s="68" t="str">
        <x:v>比劫有效且有克财能力；财星有效并被比劫直接制约；作用路径稳定且无关键破坏，可按“比劫夺财”记录。</x:v>
      </x:c>
      <x:c r="AF94" s="90" t="str">
        <x:v>仅因“比劫、财星”同时出现，但核心十神无力、无作用路径或被关键因素破坏，不能判“比劫夺财”成立。</x:v>
      </x:c>
      <x:c r="AG94" s="68" t="str">
        <x:v>https://zh.wikisource.org/zh-hans/%E6%B7%B5%E6%B5%B7%E5%AD%90%E5%B9%B3 ; https://zh.wikisource.org/wiki/%E6%BB%B4%E5%A4%A9%E9%AB%93%E9%97%A1%E5%BE%AE</x:v>
      </x:c>
      <x:c r="AH94" s="82" t="str">
        <x:v>采用</x:v>
      </x:c>
      <x:c r="AI94" s="82" t="str">
        <x:v>初审</x:v>
      </x:c>
      <x:c r="AJ94" s="87" t="n">
        <x:v>46255</x:v>
      </x:c>
    </x:row>
    <x:row r="95">
      <x:c r="A95" s="72" t="str">
        <x:f>IF(OR(C95="",D95=""),"",B95&amp;"-"&amp;UPPER(C95)&amp;"-"&amp;TEXT(D95,"0000")&amp;"-"&amp;E95)</x:f>
        <x:v>M11-CONFLICT-0089-V1.0</x:v>
      </x:c>
      <x:c r="B95" s="74" t="str">
        <x:v>M11</x:v>
      </x:c>
      <x:c r="C95" s="74" t="str">
        <x:v>CONFLICT</x:v>
      </x:c>
      <x:c r="D95" s="215" t="n">
        <x:v>89</x:v>
      </x:c>
      <x:c r="E95" s="74" t="str">
        <x:v>V1.0</x:v>
      </x:c>
      <x:c r="F95" s="68" t="str">
        <x:v>财星强制关键印星才构成财坏印</x:v>
      </x:c>
      <x:c r="G95" s="82" t="str">
        <x:v>结构层</x:v>
      </x:c>
      <x:c r="H95" s="82" t="str">
        <x:v>冲突病态型</x:v>
      </x:c>
      <x:c r="I95" s="68" t="str">
        <x:v>财坏印</x:v>
      </x:c>
      <x:c r="J95" s="68" t="str">
        <x:v>财星、印星</x:v>
      </x:c>
      <x:c r="K95" s="68" t="str">
        <x:v>财星有效</x:v>
      </x:c>
      <x:c r="L95" s="68" t="str">
        <x:v>印星有效且承担生身、化杀或配印关键功能</x:v>
      </x:c>
      <x:c r="M95" s="68" t="str">
        <x:v>直接或可达的生克制化路径成立</x:v>
      </x:c>
      <x:c r="N95" s="68" t="str">
        <x:v>相关十神均以M10有效力量为准，且不存在决定性失衡</x:v>
      </x:c>
      <x:c r="O95" s="68" t="str">
        <x:v>结合M09日主承载判断</x:v>
      </x:c>
      <x:c r="P95" s="68" t="str">
        <x:v>财克印路径成立且印功能明显下降</x:v>
      </x:c>
      <x:c r="Q95" s="68" t="str">
        <x:v>相关十神有根、有源、透达、清纯且关键通路稳定</x:v>
      </x:c>
      <x:c r="R95" s="90" t="str">
        <x:v>关键十神被合绊、被制、改性、失效或力量严重失衡</x:v>
      </x:c>
      <x:c r="S95" s="68" t="str">
        <x:v>存在第三十神恢复通路、清除破坏或重新形成平衡</x:v>
      </x:c>
      <x:c r="T95" s="90" t="str">
        <x:v>任一核心十神失效，或不存在真实作用路径</x:v>
      </x:c>
      <x:c r="U95" s="68" t="str">
        <x:v>特殊格局、从化或月令格局另转M14/M15复审</x:v>
      </x:c>
      <x:c r="V95" s="84" t="str">
        <x:v>基本成立</x:v>
      </x:c>
      <x:c r="W95" s="84" t="str">
        <x:v>关键印星功能受损</x:v>
      </x:c>
      <x:c r="X95" s="82" t="str">
        <x:v>条件性</x:v>
      </x:c>
      <x:c r="Y95" s="68" t="str">
        <x:v>冲突结构转M16</x:v>
      </x:c>
      <x:c r="Z95" s="84" t="str">
        <x:v>财坏印_成立条件</x:v>
      </x:c>
      <x:c r="AA95" s="84" t="str">
        <x:v>财坏印：当主体、客体、路径与力量匹配满足最低标准时，判“基本成立”；是否上升为格局转M14/M15。</x:v>
      </x:c>
      <x:c r="AB95" s="82" t="str">
        <x:v>较高</x:v>
      </x:c>
      <x:c r="AC95" s="82" t="str">
        <x:v>现代综合</x:v>
      </x:c>
      <x:c r="AD95" s="68" t="str">
        <x:v>十神同时出现不等于组合成立。M11须同时验证核心十神有效性、作用路径、力量匹配、日主承载、破坏因素与救应；组合成立也不等于格局成立。</x:v>
      </x:c>
      <x:c r="AE95" s="68" t="str">
        <x:v>财星有效；印星有效且承担生身、化杀或配印关键功能；作用路径稳定且无关键破坏，可按“财坏印”记录。</x:v>
      </x:c>
      <x:c r="AF95" s="90" t="str">
        <x:v>仅因“财星、印星”同时出现，但核心十神无力、无作用路径或被关键因素破坏，不能判“财坏印”成立。</x:v>
      </x:c>
      <x:c r="AG95" s="68" t="str">
        <x:v>https://zh.wikisource.org/zh-hans/%E6%B7%B5%E6%B5%B7%E5%AD%90%E5%B9%B3 ; https://zh.wikisource.org/wiki/%E6%BB%B4%E5%A4%A9%E9%AB%93%E9%97%A1%E5%BE%AE</x:v>
      </x:c>
      <x:c r="AH95" s="82" t="str">
        <x:v>采用</x:v>
      </x:c>
      <x:c r="AI95" s="82" t="str">
        <x:v>初审</x:v>
      </x:c>
      <x:c r="AJ95" s="87" t="n">
        <x:v>46255</x:v>
      </x:c>
    </x:row>
    <x:row r="96">
      <x:c r="A96" s="72" t="str">
        <x:f>IF(OR(C96="",D96=""),"",B96&amp;"-"&amp;UPPER(C96)&amp;"-"&amp;TEXT(D96,"0000")&amp;"-"&amp;E96)</x:f>
        <x:v>M11-CONFLICT-0090-V1.0</x:v>
      </x:c>
      <x:c r="B96" s="74" t="str">
        <x:v>M11</x:v>
      </x:c>
      <x:c r="C96" s="74" t="str">
        <x:v>CONFLICT</x:v>
      </x:c>
      <x:c r="D96" s="215" t="n">
        <x:v>90</x:v>
      </x:c>
      <x:c r="E96" s="74" t="str">
        <x:v>V1.0</x:v>
      </x:c>
      <x:c r="F96" s="68" t="str">
        <x:v>官杀同时有效且主从不清才判混杂</x:v>
      </x:c>
      <x:c r="G96" s="82" t="str">
        <x:v>结构层</x:v>
      </x:c>
      <x:c r="H96" s="82" t="str">
        <x:v>冲突病态型</x:v>
      </x:c>
      <x:c r="I96" s="68" t="str">
        <x:v>官杀混杂</x:v>
      </x:c>
      <x:c r="J96" s="68" t="str">
        <x:v>正官、七杀</x:v>
      </x:c>
      <x:c r="K96" s="68" t="str">
        <x:v>正官有效</x:v>
      </x:c>
      <x:c r="L96" s="68" t="str">
        <x:v>七杀有效</x:v>
      </x:c>
      <x:c r="M96" s="68" t="str">
        <x:v>直接或可达的生克制化路径成立</x:v>
      </x:c>
      <x:c r="N96" s="68" t="str">
        <x:v>官杀均有根有力且不存在明显主从</x:v>
      </x:c>
      <x:c r="O96" s="68" t="str">
        <x:v>结合M09日主承载判断</x:v>
      </x:c>
      <x:c r="P96" s="68" t="str">
        <x:v>官杀双有效、双参与制身且主从不明</x:v>
      </x:c>
      <x:c r="Q96" s="68" t="str">
        <x:v>相关十神有根、有源、透达、清纯且关键通路稳定</x:v>
      </x:c>
      <x:c r="R96" s="90" t="str">
        <x:v>关键十神被合绊、被制、改性、失效或力量严重失衡</x:v>
      </x:c>
      <x:c r="S96" s="68" t="str">
        <x:v>存在第三十神恢复通路、清除破坏或重新形成平衡</x:v>
      </x:c>
      <x:c r="T96" s="90" t="str">
        <x:v>任一核心十神失效，或不存在真实作用路径</x:v>
      </x:c>
      <x:c r="U96" s="68" t="str">
        <x:v>特殊格局、从化或月令格局另转M14/M15复审</x:v>
      </x:c>
      <x:c r="V96" s="84" t="str">
        <x:v>基本成立</x:v>
      </x:c>
      <x:c r="W96" s="84" t="str">
        <x:v>制身路径复杂、清纯度下降</x:v>
      </x:c>
      <x:c r="X96" s="82" t="str">
        <x:v>条件性</x:v>
      </x:c>
      <x:c r="Y96" s="68" t="str">
        <x:v>官杀混杂候选</x:v>
      </x:c>
      <x:c r="Z96" s="84" t="str">
        <x:v>官杀混杂_成立条件</x:v>
      </x:c>
      <x:c r="AA96" s="84" t="str">
        <x:v>官杀混杂：当主体、客体、路径与力量匹配满足最低标准时，判“基本成立”；是否上升为格局转M14/M15。</x:v>
      </x:c>
      <x:c r="AB96" s="82" t="str">
        <x:v>较高</x:v>
      </x:c>
      <x:c r="AC96" s="82" t="str">
        <x:v>现代综合</x:v>
      </x:c>
      <x:c r="AD96" s="68" t="str">
        <x:v>十神同时出现不等于组合成立。M11须同时验证核心十神有效性、作用路径、力量匹配、日主承载、破坏因素与救应；组合成立也不等于格局成立。</x:v>
      </x:c>
      <x:c r="AE96" s="68" t="str">
        <x:v>正官有效；七杀有效；作用路径稳定且无关键破坏，可按“官杀混杂”记录。</x:v>
      </x:c>
      <x:c r="AF96" s="90" t="str">
        <x:v>仅因“正官、七杀”同时出现，但核心十神无力、无作用路径或被关键因素破坏，不能判“官杀混杂”成立。</x:v>
      </x:c>
      <x:c r="AG96" s="68" t="str">
        <x:v>https://zh.wikisource.org/zh-hans/%E6%B7%B5%E6%B5%B7%E5%AD%90%E5%B9%B3 ; https://zh.wikisource.org/wiki/%E6%BB%B4%E5%A4%A9%E9%AB%93%E9%97%A1%E5%BE%AE</x:v>
      </x:c>
      <x:c r="AH96" s="82" t="str">
        <x:v>采用</x:v>
      </x:c>
      <x:c r="AI96" s="82" t="str">
        <x:v>初审</x:v>
      </x:c>
      <x:c r="AJ96" s="87" t="n">
        <x:v>46255</x:v>
      </x:c>
    </x:row>
    <x:row r="97">
      <x:c r="A97" s="72" t="str">
        <x:f>IF(OR(C97="",D97=""),"",B97&amp;"-"&amp;UPPER(C97)&amp;"-"&amp;TEXT(D97,"0000")&amp;"-"&amp;E97)</x:f>
        <x:v>M11-CONFLICT-0091-V1.0</x:v>
      </x:c>
      <x:c r="B97" s="74" t="str">
        <x:v>M11</x:v>
      </x:c>
      <x:c r="C97" s="74" t="str">
        <x:v>CONFLICT</x:v>
      </x:c>
      <x:c r="D97" s="215" t="n">
        <x:v>91</x:v>
      </x:c>
      <x:c r="E97" s="74" t="str">
        <x:v>V1.0</x:v>
      </x:c>
      <x:c r="F97" s="68" t="str">
        <x:v>一方弱而从强方时可不按严重混杂</x:v>
      </x:c>
      <x:c r="G97" s="82" t="str">
        <x:v>结构层</x:v>
      </x:c>
      <x:c r="H97" s="82" t="str">
        <x:v>冲突病态型</x:v>
      </x:c>
      <x:c r="I97" s="68" t="str">
        <x:v>官杀混杂</x:v>
      </x:c>
      <x:c r="J97" s="68" t="str">
        <x:v>正官、七杀</x:v>
      </x:c>
      <x:c r="K97" s="68" t="str">
        <x:v>官杀并见</x:v>
      </x:c>
      <x:c r="L97" s="68" t="str">
        <x:v>其中一方明显弱、无根或失效</x:v>
      </x:c>
      <x:c r="M97" s="68" t="str">
        <x:v>直接或可达的生克制化路径成立</x:v>
      </x:c>
      <x:c r="N97" s="68" t="str">
        <x:v>主从关系清晰</x:v>
      </x:c>
      <x:c r="O97" s="68" t="str">
        <x:v>结合M09日主承载判断</x:v>
      </x:c>
      <x:c r="P97" s="68" t="str">
        <x:v>主体、客体、作用路径与力量匹配均达到最低要求</x:v>
      </x:c>
      <x:c r="Q97" s="68" t="str">
        <x:v>相关十神有根、有源、透达、清纯且关键通路稳定</x:v>
      </x:c>
      <x:c r="R97" s="90" t="str">
        <x:v>关键十神被合绊、被制、改性、失效或力量严重失衡</x:v>
      </x:c>
      <x:c r="S97" s="68" t="str">
        <x:v>存在第三十神恢复通路、清除破坏或重新形成平衡</x:v>
      </x:c>
      <x:c r="T97" s="90" t="str">
        <x:v>任一核心十神失效，或不存在真实作用路径</x:v>
      </x:c>
      <x:c r="U97" s="68" t="str">
        <x:v>特殊格局、从化或月令格局另转M14/M15复审</x:v>
      </x:c>
      <x:c r="V97" s="84" t="str">
        <x:v>弱成立</x:v>
      </x:c>
      <x:c r="W97" s="84" t="str">
        <x:v>保留有杂但降低混杂等级</x:v>
      </x:c>
      <x:c r="X97" s="82" t="str">
        <x:v>否</x:v>
      </x:c>
      <x:c r="Y97" s="68" t="str">
        <x:v>对应格局候选转M14</x:v>
      </x:c>
      <x:c r="Z97" s="84" t="str">
        <x:v>官杀混杂_主从清晰</x:v>
      </x:c>
      <x:c r="AA97" s="84" t="str">
        <x:v>官杀混杂：当主体、客体、路径与力量匹配满足最低标准时，判“弱成立”；是否上升为格局转M14/M15。</x:v>
      </x:c>
      <x:c r="AB97" s="82" t="str">
        <x:v>较高</x:v>
      </x:c>
      <x:c r="AC97" s="82" t="str">
        <x:v>现代综合</x:v>
      </x:c>
      <x:c r="AD97" s="68" t="str">
        <x:v>十神同时出现不等于组合成立。M11须同时验证核心十神有效性、作用路径、力量匹配、日主承载、破坏因素与救应；组合成立也不等于格局成立。</x:v>
      </x:c>
      <x:c r="AE97" s="68" t="str">
        <x:v>官杀并见；其中一方明显弱、无根或失效；作用路径稳定且无关键破坏，可按“官杀混杂”记录。</x:v>
      </x:c>
      <x:c r="AF97" s="90" t="str">
        <x:v>仅因“正官、七杀”同时出现，但核心十神无力、无作用路径或被关键因素破坏，不能判“官杀混杂”成立。</x:v>
      </x:c>
      <x:c r="AG97" s="68" t="str">
        <x:v>https://zh.wikisource.org/zh-hans/%E6%B7%B5%E6%B5%B7%E5%AD%90%E5%B9%B3 ; https://zh.wikisource.org/wiki/%E6%BB%B4%E5%A4%A9%E9%AB%93%E9%97%A1%E5%BE%AE</x:v>
      </x:c>
      <x:c r="AH97" s="82" t="str">
        <x:v>采用</x:v>
      </x:c>
      <x:c r="AI97" s="82" t="str">
        <x:v>初审</x:v>
      </x:c>
      <x:c r="AJ97" s="87" t="n">
        <x:v>46255</x:v>
      </x:c>
    </x:row>
    <x:row r="98">
      <x:c r="A98" s="72" t="str">
        <x:f>IF(OR(C98="",D98=""),"",B98&amp;"-"&amp;UPPER(C98)&amp;"-"&amp;TEXT(D98,"0000")&amp;"-"&amp;E98)</x:f>
        <x:v>M11-CONFLICT-0092-V1.0</x:v>
      </x:c>
      <x:c r="B98" s="74" t="str">
        <x:v>M11</x:v>
      </x:c>
      <x:c r="C98" s="74" t="str">
        <x:v>CONFLICT</x:v>
      </x:c>
      <x:c r="D98" s="215" t="n">
        <x:v>92</x:v>
      </x:c>
      <x:c r="E98" s="74" t="str">
        <x:v>V1.0</x:v>
      </x:c>
      <x:c r="F98" s="68" t="str">
        <x:v>合去或制去一方可形成清化</x:v>
      </x:c>
      <x:c r="G98" s="82" t="str">
        <x:v>结构层</x:v>
      </x:c>
      <x:c r="H98" s="82" t="str">
        <x:v>冲突病态型</x:v>
      </x:c>
      <x:c r="I98" s="68" t="str">
        <x:v>官杀混杂</x:v>
      </x:c>
      <x:c r="J98" s="68" t="str">
        <x:v>正官、七杀、合制因素</x:v>
      </x:c>
      <x:c r="K98" s="68" t="str">
        <x:v>官杀并见</x:v>
      </x:c>
      <x:c r="L98" s="68" t="str">
        <x:v>其中一方被有效合住、制去或改性</x:v>
      </x:c>
      <x:c r="M98" s="68" t="str">
        <x:v>直接或可达的生克制化路径成立</x:v>
      </x:c>
      <x:c r="N98" s="68" t="str">
        <x:v>相关十神均以M10有效力量为准，且不存在决定性失衡</x:v>
      </x:c>
      <x:c r="O98" s="68" t="str">
        <x:v>结合M09日主承载判断</x:v>
      </x:c>
      <x:c r="P98" s="68" t="str">
        <x:v>主体、客体、作用路径与力量匹配均达到最低要求</x:v>
      </x:c>
      <x:c r="Q98" s="68" t="str">
        <x:v>相关十神有根、有源、透达、清纯且关键通路稳定</x:v>
      </x:c>
      <x:c r="R98" s="90" t="str">
        <x:v>关键十神被合绊、被制、改性、失效或力量严重失衡</x:v>
      </x:c>
      <x:c r="S98" s="68" t="str">
        <x:v>去官留杀或去杀留官后主导性清晰</x:v>
      </x:c>
      <x:c r="T98" s="90" t="str">
        <x:v>任一核心十神失效，或不存在真实作用路径</x:v>
      </x:c>
      <x:c r="U98" s="68" t="str">
        <x:v>特殊格局、从化或月令格局另转M14/M15复审</x:v>
      </x:c>
      <x:c r="V98" s="84" t="str">
        <x:v>弱成立</x:v>
      </x:c>
      <x:c r="W98" s="84" t="str">
        <x:v>官杀混杂被清化</x:v>
      </x:c>
      <x:c r="X98" s="82" t="str">
        <x:v>条件性</x:v>
      </x:c>
      <x:c r="Y98" s="68" t="str">
        <x:v>对应格局候选转M14</x:v>
      </x:c>
      <x:c r="Z98" s="84" t="str">
        <x:v>官杀混杂_清化</x:v>
      </x:c>
      <x:c r="AA98" s="84" t="str">
        <x:v>官杀混杂：当主体、客体、路径与力量匹配满足最低标准时，判“弱成立”；是否上升为格局转M14/M15。</x:v>
      </x:c>
      <x:c r="AB98" s="82" t="str">
        <x:v>较高</x:v>
      </x:c>
      <x:c r="AC98" s="82" t="str">
        <x:v>现代综合</x:v>
      </x:c>
      <x:c r="AD98" s="68" t="str">
        <x:v>十神同时出现不等于组合成立。M11须同时验证核心十神有效性、作用路径、力量匹配、日主承载、破坏因素与救应；组合成立也不等于格局成立。</x:v>
      </x:c>
      <x:c r="AE98" s="68" t="str">
        <x:v>官杀并见；其中一方被有效合住、制去或改性；作用路径稳定且无关键破坏，可按“官杀混杂”记录。</x:v>
      </x:c>
      <x:c r="AF98" s="90" t="str">
        <x:v>仅因“正官、七杀、合制因素”同时出现，但核心十神无力、无作用路径或被关键因素破坏，不能判“官杀混杂”成立。</x:v>
      </x:c>
      <x:c r="AG98" s="68" t="str">
        <x:v>https://zh.wikisource.org/zh-hans/%E6%B7%B5%E6%B5%B7%E5%AD%90%E5%B9%B3 ; https://zh.wikisource.org/wiki/%E6%BB%B4%E5%A4%A9%E9%AB%93%E9%97%A1%E5%BE%AE</x:v>
      </x:c>
      <x:c r="AH98" s="82" t="str">
        <x:v>采用</x:v>
      </x:c>
      <x:c r="AI98" s="82" t="str">
        <x:v>初审</x:v>
      </x:c>
      <x:c r="AJ98" s="87" t="n">
        <x:v>46255</x:v>
      </x:c>
    </x:row>
    <x:row r="99">
      <x:c r="A99" s="72" t="str">
        <x:f>IF(OR(C99="",D99=""),"",B99&amp;"-"&amp;UPPER(C99)&amp;"-"&amp;TEXT(D99,"0000")&amp;"-"&amp;E99)</x:f>
        <x:v>M11-CONFLICT-0093-V1.0</x:v>
      </x:c>
      <x:c r="B99" s="74" t="str">
        <x:v>M11</x:v>
      </x:c>
      <x:c r="C99" s="74" t="str">
        <x:v>CONFLICT</x:v>
      </x:c>
      <x:c r="D99" s="215" t="n">
        <x:v>93</x:v>
      </x:c>
      <x:c r="E99" s="74" t="str">
        <x:v>V1.0</x:v>
      </x:c>
      <x:c r="F99" s="68" t="str">
        <x:v>食伤均有效且主从不清才判明显混杂</x:v>
      </x:c>
      <x:c r="G99" s="82" t="str">
        <x:v>结构层</x:v>
      </x:c>
      <x:c r="H99" s="82" t="str">
        <x:v>冲突病态型</x:v>
      </x:c>
      <x:c r="I99" s="68" t="str">
        <x:v>食伤混杂</x:v>
      </x:c>
      <x:c r="J99" s="68" t="str">
        <x:v>食神、伤官</x:v>
      </x:c>
      <x:c r="K99" s="68" t="str">
        <x:v>食神有效</x:v>
      </x:c>
      <x:c r="L99" s="68" t="str">
        <x:v>伤官有效</x:v>
      </x:c>
      <x:c r="M99" s="68" t="str">
        <x:v>直接或可达的生克制化路径成立</x:v>
      </x:c>
      <x:c r="N99" s="68" t="str">
        <x:v>两者均达到可主导输出的水平</x:v>
      </x:c>
      <x:c r="O99" s="68" t="str">
        <x:v>结合M09日主承载判断</x:v>
      </x:c>
      <x:c r="P99" s="68" t="str">
        <x:v>主体、客体、作用路径与力量匹配均达到最低要求</x:v>
      </x:c>
      <x:c r="Q99" s="68" t="str">
        <x:v>相关十神有根、有源、透达、清纯且关键通路稳定</x:v>
      </x:c>
      <x:c r="R99" s="90" t="str">
        <x:v>关键十神被合绊、被制、改性、失效或力量严重失衡</x:v>
      </x:c>
      <x:c r="S99" s="68" t="str">
        <x:v>存在第三十神恢复通路、清除破坏或重新形成平衡</x:v>
      </x:c>
      <x:c r="T99" s="90" t="str">
        <x:v>任一核心十神失效，或不存在真实作用路径</x:v>
      </x:c>
      <x:c r="U99" s="68" t="str">
        <x:v>特殊格局、从化或月令格局另转M14/M15复审</x:v>
      </x:c>
      <x:c r="V99" s="84" t="str">
        <x:v>基本成立</x:v>
      </x:c>
      <x:c r="W99" s="84" t="str">
        <x:v>输出模式混杂、功能方向不一</x:v>
      </x:c>
      <x:c r="X99" s="82" t="str">
        <x:v>条件性</x:v>
      </x:c>
      <x:c r="Y99" s="68" t="str">
        <x:v>对应格局候选转M14</x:v>
      </x:c>
      <x:c r="Z99" s="84" t="str">
        <x:v>食伤混杂_成立</x:v>
      </x:c>
      <x:c r="AA99" s="84" t="str">
        <x:v>食伤混杂：当主体、客体、路径与力量匹配满足最低标准时，判“基本成立”；是否上升为格局转M14/M15。</x:v>
      </x:c>
      <x:c r="AB99" s="82" t="str">
        <x:v>较高</x:v>
      </x:c>
      <x:c r="AC99" s="82" t="str">
        <x:v>现代综合</x:v>
      </x:c>
      <x:c r="AD99" s="68" t="str">
        <x:v>十神同时出现不等于组合成立。M11须同时验证核心十神有效性、作用路径、力量匹配、日主承载、破坏因素与救应；组合成立也不等于格局成立。</x:v>
      </x:c>
      <x:c r="AE99" s="68" t="str">
        <x:v>食神有效；伤官有效；作用路径稳定且无关键破坏，可按“食伤混杂”记录。</x:v>
      </x:c>
      <x:c r="AF99" s="90" t="str">
        <x:v>仅因“食神、伤官”同时出现，但核心十神无力、无作用路径或被关键因素破坏，不能判“食伤混杂”成立。</x:v>
      </x:c>
      <x:c r="AG99" s="68" t="str">
        <x:v>https://zh.wikisource.org/zh-hans/%E6%B7%B5%E6%B5%B7%E5%AD%90%E5%B9%B3 ; https://zh.wikisource.org/wiki/%E6%BB%B4%E5%A4%A9%E9%AB%93%E9%97%A1%E5%BE%AE</x:v>
      </x:c>
      <x:c r="AH99" s="82" t="str">
        <x:v>采用</x:v>
      </x:c>
      <x:c r="AI99" s="82" t="str">
        <x:v>初审</x:v>
      </x:c>
      <x:c r="AJ99" s="87" t="n">
        <x:v>46255</x:v>
      </x:c>
    </x:row>
    <x:row r="100">
      <x:c r="A100" s="72" t="str">
        <x:f>IF(OR(C100="",D100=""),"",B100&amp;"-"&amp;UPPER(C100)&amp;"-"&amp;TEXT(D100,"0000")&amp;"-"&amp;E100)</x:f>
        <x:v>M11-CONFLICT-0094-V1.0</x:v>
      </x:c>
      <x:c r="B100" s="74" t="str">
        <x:v>M11</x:v>
      </x:c>
      <x:c r="C100" s="74" t="str">
        <x:v>CONFLICT</x:v>
      </x:c>
      <x:c r="D100" s="215" t="n">
        <x:v>94</x:v>
      </x:c>
      <x:c r="E100" s="74" t="str">
        <x:v>V1.0</x:v>
      </x:c>
      <x:c r="F100" s="68" t="str">
        <x:v>正偏印均有效且功能主从不清时形成混杂</x:v>
      </x:c>
      <x:c r="G100" s="82" t="str">
        <x:v>结构层</x:v>
      </x:c>
      <x:c r="H100" s="82" t="str">
        <x:v>冲突病态型</x:v>
      </x:c>
      <x:c r="I100" s="68" t="str">
        <x:v>印枭混杂</x:v>
      </x:c>
      <x:c r="J100" s="68" t="str">
        <x:v>正印、偏印</x:v>
      </x:c>
      <x:c r="K100" s="68" t="str">
        <x:v>正印有效</x:v>
      </x:c>
      <x:c r="L100" s="68" t="str">
        <x:v>偏印有效</x:v>
      </x:c>
      <x:c r="M100" s="68" t="str">
        <x:v>直接或可达的生克制化路径成立</x:v>
      </x:c>
      <x:c r="N100" s="68" t="str">
        <x:v>两者均有力且共同参与生身/制食伤</x:v>
      </x:c>
      <x:c r="O100" s="68" t="str">
        <x:v>结合M09日主承载判断</x:v>
      </x:c>
      <x:c r="P100" s="68" t="str">
        <x:v>主体、客体、作用路径与力量匹配均达到最低要求</x:v>
      </x:c>
      <x:c r="Q100" s="68" t="str">
        <x:v>相关十神有根、有源、透达、清纯且关键通路稳定</x:v>
      </x:c>
      <x:c r="R100" s="90" t="str">
        <x:v>关键十神被合绊、被制、改性、失效或力量严重失衡</x:v>
      </x:c>
      <x:c r="S100" s="68" t="str">
        <x:v>存在第三十神恢复通路、清除破坏或重新形成平衡</x:v>
      </x:c>
      <x:c r="T100" s="90" t="str">
        <x:v>任一核心十神失效，或不存在真实作用路径</x:v>
      </x:c>
      <x:c r="U100" s="68" t="str">
        <x:v>特殊格局、从化或月令格局另转M14/M15复审</x:v>
      </x:c>
      <x:c r="V100" s="84" t="str">
        <x:v>基本成立</x:v>
      </x:c>
      <x:c r="W100" s="84" t="str">
        <x:v>印星功能主次混杂</x:v>
      </x:c>
      <x:c r="X100" s="82" t="str">
        <x:v>条件性</x:v>
      </x:c>
      <x:c r="Y100" s="68" t="str">
        <x:v>对应格局候选转M14</x:v>
      </x:c>
      <x:c r="Z100" s="84" t="str">
        <x:v>印枭混杂_成立</x:v>
      </x:c>
      <x:c r="AA100" s="84" t="str">
        <x:v>印枭混杂：当主体、客体、路径与力量匹配满足最低标准时，判“基本成立”；是否上升为格局转M14/M15。</x:v>
      </x:c>
      <x:c r="AB100" s="82" t="str">
        <x:v>较高</x:v>
      </x:c>
      <x:c r="AC100" s="82" t="str">
        <x:v>现代综合</x:v>
      </x:c>
      <x:c r="AD100" s="68" t="str">
        <x:v>十神同时出现不等于组合成立。M11须同时验证核心十神有效性、作用路径、力量匹配、日主承载、破坏因素与救应；组合成立也不等于格局成立。</x:v>
      </x:c>
      <x:c r="AE100" s="68" t="str">
        <x:v>正印有效；偏印有效；作用路径稳定且无关键破坏，可按“印枭混杂”记录。</x:v>
      </x:c>
      <x:c r="AF100" s="90" t="str">
        <x:v>仅因“正印、偏印”同时出现，但核心十神无力、无作用路径或被关键因素破坏，不能判“印枭混杂”成立。</x:v>
      </x:c>
      <x:c r="AG100" s="68" t="str">
        <x:v>https://zh.wikisource.org/zh-hans/%E6%B7%B5%E6%B5%B7%E5%AD%90%E5%B9%B3 ; https://zh.wikisource.org/wiki/%E6%BB%B4%E5%A4%A9%E9%AB%93%E9%97%A1%E5%BE%AE</x:v>
      </x:c>
      <x:c r="AH100" s="82" t="str">
        <x:v>采用</x:v>
      </x:c>
      <x:c r="AI100" s="82" t="str">
        <x:v>初审</x:v>
      </x:c>
      <x:c r="AJ100" s="87" t="n">
        <x:v>46255</x:v>
      </x:c>
    </x:row>
    <x:row r="101">
      <x:c r="A101" s="72" t="str">
        <x:f>IF(OR(C101="",D101=""),"",B101&amp;"-"&amp;UPPER(C101)&amp;"-"&amp;TEXT(D101,"0000")&amp;"-"&amp;E101)</x:f>
        <x:v>M11-CONFLICT-0095-V1.0</x:v>
      </x:c>
      <x:c r="B101" s="74" t="str">
        <x:v>M11</x:v>
      </x:c>
      <x:c r="C101" s="74" t="str">
        <x:v>CONFLICT</x:v>
      </x:c>
      <x:c r="D101" s="215" t="n">
        <x:v>95</x:v>
      </x:c>
      <x:c r="E101" s="74" t="str">
        <x:v>V1.0</x:v>
      </x:c>
      <x:c r="F101" s="68" t="str">
        <x:v>食伤将七杀制至明显失去平衡功能时成立</x:v>
      </x:c>
      <x:c r="G101" s="82" t="str">
        <x:v>结构层</x:v>
      </x:c>
      <x:c r="H101" s="82" t="str">
        <x:v>冲突病态型</x:v>
      </x:c>
      <x:c r="I101" s="68" t="str">
        <x:v>制杀太过</x:v>
      </x:c>
      <x:c r="J101" s="68" t="str">
        <x:v>食伤、七杀</x:v>
      </x:c>
      <x:c r="K101" s="68" t="str">
        <x:v>食伤旺强并持续制杀</x:v>
      </x:c>
      <x:c r="L101" s="68" t="str">
        <x:v>七杀由有用压力降至残弱或失效</x:v>
      </x:c>
      <x:c r="M101" s="68" t="str">
        <x:v>直接或可达的生克制化路径成立</x:v>
      </x:c>
      <x:c r="N101" s="68" t="str">
        <x:v>食伤明显强于七杀</x:v>
      </x:c>
      <x:c r="O101" s="68" t="str">
        <x:v>结合M09日主承载判断</x:v>
      </x:c>
      <x:c r="P101" s="68" t="str">
        <x:v>主体、客体、作用路径与力量匹配均达到最低要求</x:v>
      </x:c>
      <x:c r="Q101" s="68" t="str">
        <x:v>相关十神有根、有源、透达、清纯且关键通路稳定</x:v>
      </x:c>
      <x:c r="R101" s="90" t="str">
        <x:v>关键十神被合绊、被制、改性、失效或力量严重失衡</x:v>
      </x:c>
      <x:c r="S101" s="68" t="str">
        <x:v>存在第三十神恢复通路、清除破坏或重新形成平衡</x:v>
      </x:c>
      <x:c r="T101" s="90" t="str">
        <x:v>任一核心十神失效，或不存在真实作用路径</x:v>
      </x:c>
      <x:c r="U101" s="68" t="str">
        <x:v>特殊格局、从化或月令格局另转M14/M15复审</x:v>
      </x:c>
      <x:c r="V101" s="84" t="str">
        <x:v>基本成立</x:v>
      </x:c>
      <x:c r="W101" s="84" t="str">
        <x:v>制化过度，杀失去制衡功能</x:v>
      </x:c>
      <x:c r="X101" s="82" t="str">
        <x:v>条件性</x:v>
      </x:c>
      <x:c r="Y101" s="68" t="str">
        <x:v>对应格局候选转M14</x:v>
      </x:c>
      <x:c r="Z101" s="84" t="str">
        <x:v>制杀太过_成立</x:v>
      </x:c>
      <x:c r="AA101" s="84" t="str">
        <x:v>制杀太过：当主体、客体、路径与力量匹配满足最低标准时，判“基本成立”；是否上升为格局转M14/M15。</x:v>
      </x:c>
      <x:c r="AB101" s="82" t="str">
        <x:v>较高</x:v>
      </x:c>
      <x:c r="AC101" s="82" t="str">
        <x:v>现代综合</x:v>
      </x:c>
      <x:c r="AD101" s="68" t="str">
        <x:v>十神同时出现不等于组合成立。M11须同时验证核心十神有效性、作用路径、力量匹配、日主承载、破坏因素与救应；组合成立也不等于格局成立。</x:v>
      </x:c>
      <x:c r="AE101" s="68" t="str">
        <x:v>食伤旺强并持续制杀；七杀由有用压力降至残弱或失效；作用路径稳定且无关键破坏，可按“制杀太过”记录。</x:v>
      </x:c>
      <x:c r="AF101" s="90" t="str">
        <x:v>仅因“食伤、七杀”同时出现，但核心十神无力、无作用路径或被关键因素破坏，不能判“制杀太过”成立。</x:v>
      </x:c>
      <x:c r="AG101" s="68" t="str">
        <x:v>https://zh.wikisource.org/zh-hans/%E6%B7%B5%E6%B5%B7%E5%AD%90%E5%B9%B3 ; https://zh.wikisource.org/wiki/%E6%BB%B4%E5%A4%A9%E9%AB%93%E9%97%A1%E5%BE%AE</x:v>
      </x:c>
      <x:c r="AH101" s="82" t="str">
        <x:v>采用</x:v>
      </x:c>
      <x:c r="AI101" s="82" t="str">
        <x:v>初审</x:v>
      </x:c>
      <x:c r="AJ101" s="87" t="n">
        <x:v>46255</x:v>
      </x:c>
    </x:row>
    <x:row r="102">
      <x:c r="A102" s="72" t="str">
        <x:f>IF(OR(C102="",D102=""),"",B102&amp;"-"&amp;UPPER(C102)&amp;"-"&amp;TEXT(D102,"0000")&amp;"-"&amp;E102)</x:f>
        <x:v>M11-CONFLICT-0096-V1.0</x:v>
      </x:c>
      <x:c r="B102" s="74" t="str">
        <x:v>M11</x:v>
      </x:c>
      <x:c r="C102" s="74" t="str">
        <x:v>CONFLICT</x:v>
      </x:c>
      <x:c r="D102" s="215" t="n">
        <x:v>96</x:v>
      </x:c>
      <x:c r="E102" s="74" t="str">
        <x:v>V1.0</x:v>
      </x:c>
      <x:c r="F102" s="68" t="str">
        <x:v>杀旺而印弱无法承接时成立</x:v>
      </x:c>
      <x:c r="G102" s="82" t="str">
        <x:v>结构层</x:v>
      </x:c>
      <x:c r="H102" s="82" t="str">
        <x:v>冲突病态型</x:v>
      </x:c>
      <x:c r="I102" s="68" t="str">
        <x:v>化杀不及</x:v>
      </x:c>
      <x:c r="J102" s="68" t="str">
        <x:v>七杀、印星</x:v>
      </x:c>
      <x:c r="K102" s="68" t="str">
        <x:v>七杀旺强</x:v>
      </x:c>
      <x:c r="L102" s="68" t="str">
        <x:v>印星虽存在但力量不足或受制</x:v>
      </x:c>
      <x:c r="M102" s="68" t="str">
        <x:v>直接或可达的生克制化路径成立</x:v>
      </x:c>
      <x:c r="N102" s="68" t="str">
        <x:v>杀明显强于印</x:v>
      </x:c>
      <x:c r="O102" s="68" t="str">
        <x:v>结合M09日主承载判断</x:v>
      </x:c>
      <x:c r="P102" s="68" t="str">
        <x:v>主体、客体、作用路径与力量匹配均达到最低要求</x:v>
      </x:c>
      <x:c r="Q102" s="68" t="str">
        <x:v>相关十神有根、有源、透达、清纯且关键通路稳定</x:v>
      </x:c>
      <x:c r="R102" s="90" t="str">
        <x:v>关键十神被合绊、被制、改性、失效或力量严重失衡</x:v>
      </x:c>
      <x:c r="S102" s="68" t="str">
        <x:v>存在第三十神恢复通路、清除破坏或重新形成平衡</x:v>
      </x:c>
      <x:c r="T102" s="90" t="str">
        <x:v>任一核心十神失效，或不存在真实作用路径</x:v>
      </x:c>
      <x:c r="U102" s="68" t="str">
        <x:v>特殊格局、从化或月令格局另转M14/M15复审</x:v>
      </x:c>
      <x:c r="V102" s="84" t="str">
        <x:v>基本成立</x:v>
      </x:c>
      <x:c r="W102" s="84" t="str">
        <x:v>杀压仍直接落在日主</x:v>
      </x:c>
      <x:c r="X102" s="82" t="str">
        <x:v>条件性</x:v>
      </x:c>
      <x:c r="Y102" s="68" t="str">
        <x:v>对应格局候选转M14</x:v>
      </x:c>
      <x:c r="Z102" s="84" t="str">
        <x:v>化杀不及_成立</x:v>
      </x:c>
      <x:c r="AA102" s="84" t="str">
        <x:v>化杀不及：当主体、客体、路径与力量匹配满足最低标准时，判“基本成立”；是否上升为格局转M14/M15。</x:v>
      </x:c>
      <x:c r="AB102" s="82" t="str">
        <x:v>较高</x:v>
      </x:c>
      <x:c r="AC102" s="82" t="str">
        <x:v>现代综合</x:v>
      </x:c>
      <x:c r="AD102" s="68" t="str">
        <x:v>十神同时出现不等于组合成立。M11须同时验证核心十神有效性、作用路径、力量匹配、日主承载、破坏因素与救应；组合成立也不等于格局成立。</x:v>
      </x:c>
      <x:c r="AE102" s="68" t="str">
        <x:v>七杀旺强；印星虽存在但力量不足或受制；作用路径稳定且无关键破坏，可按“化杀不及”记录。</x:v>
      </x:c>
      <x:c r="AF102" s="90" t="str">
        <x:v>仅因“七杀、印星”同时出现，但核心十神无力、无作用路径或被关键因素破坏，不能判“化杀不及”成立。</x:v>
      </x:c>
      <x:c r="AG102" s="68" t="str">
        <x:v>https://zh.wikisource.org/zh-hans/%E6%B7%B5%E6%B5%B7%E5%AD%90%E5%B9%B3 ; https://zh.wikisource.org/wiki/%E6%BB%B4%E5%A4%A9%E9%AB%93%E9%97%A1%E5%BE%AE</x:v>
      </x:c>
      <x:c r="AH102" s="82" t="str">
        <x:v>采用</x:v>
      </x:c>
      <x:c r="AI102" s="82" t="str">
        <x:v>初审</x:v>
      </x:c>
      <x:c r="AJ102" s="87" t="n">
        <x:v>46255</x:v>
      </x:c>
    </x:row>
    <x:row r="103">
      <x:c r="A103" s="72" t="str">
        <x:f>IF(OR(C103="",D103=""),"",B103&amp;"-"&amp;UPPER(C103)&amp;"-"&amp;TEXT(D103,"0000")&amp;"-"&amp;E103)</x:f>
        <x:v>M11-CONFLICT-0097-V1.0</x:v>
      </x:c>
      <x:c r="B103" s="74" t="str">
        <x:v>M11</x:v>
      </x:c>
      <x:c r="C103" s="74" t="str">
        <x:v>CONFLICT</x:v>
      </x:c>
      <x:c r="D103" s="215" t="n">
        <x:v>97</x:v>
      </x:c>
      <x:c r="E103" s="74" t="str">
        <x:v>V1.0</x:v>
      </x:c>
      <x:c r="F103" s="68" t="str">
        <x:v>财旺且日主承载明显不足时成立</x:v>
      </x:c>
      <x:c r="G103" s="82" t="str">
        <x:v>结构层</x:v>
      </x:c>
      <x:c r="H103" s="82" t="str">
        <x:v>冲突病态型</x:v>
      </x:c>
      <x:c r="I103" s="68" t="str">
        <x:v>财多身弱</x:v>
      </x:c>
      <x:c r="J103" s="68" t="str">
        <x:v>财星、日主</x:v>
      </x:c>
      <x:c r="K103" s="68" t="str">
        <x:v>财星旺或极旺</x:v>
      </x:c>
      <x:c r="L103" s="68" t="str">
        <x:v>M09日主弱或极弱</x:v>
      </x:c>
      <x:c r="M103" s="68" t="str">
        <x:v>直接或可达的生克制化路径成立</x:v>
      </x:c>
      <x:c r="N103" s="68" t="str">
        <x:v>相关十神均以M10有效力量为准，且不存在决定性失衡</x:v>
      </x:c>
      <x:c r="O103" s="68" t="str">
        <x:v>结合M09日主承载判断</x:v>
      </x:c>
      <x:c r="P103" s="68" t="str">
        <x:v>财耗真实存在且印比不足以承载</x:v>
      </x:c>
      <x:c r="Q103" s="68" t="str">
        <x:v>相关十神有根、有源、透达、清纯且关键通路稳定</x:v>
      </x:c>
      <x:c r="R103" s="90" t="str">
        <x:v>关键十神被合绊、被制、改性、失效或力量严重失衡</x:v>
      </x:c>
      <x:c r="S103" s="68" t="str">
        <x:v>存在第三十神恢复通路、清除破坏或重新形成平衡</x:v>
      </x:c>
      <x:c r="T103" s="90" t="str">
        <x:v>任一核心十神失效，或不存在真实作用路径</x:v>
      </x:c>
      <x:c r="U103" s="68" t="str">
        <x:v>特殊格局、从化或月令格局另转M14/M15复审</x:v>
      </x:c>
      <x:c r="V103" s="84" t="str">
        <x:v>明显成立</x:v>
      </x:c>
      <x:c r="W103" s="84" t="str">
        <x:v>财耗超过日主承载</x:v>
      </x:c>
      <x:c r="X103" s="82" t="str">
        <x:v>条件性</x:v>
      </x:c>
      <x:c r="Y103" s="68" t="str">
        <x:v>对应格局候选转M14</x:v>
      </x:c>
      <x:c r="Z103" s="84" t="str">
        <x:v>财多身弱_成立</x:v>
      </x:c>
      <x:c r="AA103" s="84" t="str">
        <x:v>财多身弱：当主体、客体、路径与力量匹配满足最低标准时，判“明显成立”；是否上升为格局转M14/M15。</x:v>
      </x:c>
      <x:c r="AB103" s="82" t="str">
        <x:v>较高</x:v>
      </x:c>
      <x:c r="AC103" s="82" t="str">
        <x:v>现代综合</x:v>
      </x:c>
      <x:c r="AD103" s="68" t="str">
        <x:v>十神同时出现不等于组合成立。M11须同时验证核心十神有效性、作用路径、力量匹配、日主承载、破坏因素与救应；组合成立也不等于格局成立。</x:v>
      </x:c>
      <x:c r="AE103" s="68" t="str">
        <x:v>财星旺或极旺；M09日主弱或极弱；作用路径稳定且无关键破坏，可按“财多身弱”记录。</x:v>
      </x:c>
      <x:c r="AF103" s="90" t="str">
        <x:v>仅因“财星、日主”同时出现，但核心十神无力、无作用路径或被关键因素破坏，不能判“财多身弱”成立。</x:v>
      </x:c>
      <x:c r="AG103" s="68" t="str">
        <x:v>https://zh.wikisource.org/zh-hans/%E6%B7%B5%E6%B5%B7%E5%AD%90%E5%B9%B3 ; https://zh.wikisource.org/wiki/%E6%BB%B4%E5%A4%A9%E9%AB%93%E9%97%A1%E5%BE%AE</x:v>
      </x:c>
      <x:c r="AH103" s="82" t="str">
        <x:v>采用</x:v>
      </x:c>
      <x:c r="AI103" s="82" t="str">
        <x:v>初审</x:v>
      </x:c>
      <x:c r="AJ103" s="87" t="n">
        <x:v>46255</x:v>
      </x:c>
    </x:row>
    <x:row r="104">
      <x:c r="A104" s="72" t="str">
        <x:f>IF(OR(C104="",D104=""),"",B104&amp;"-"&amp;UPPER(C104)&amp;"-"&amp;TEXT(D104,"0000")&amp;"-"&amp;E104)</x:f>
        <x:v>M11-CONFLICT-0098-V1.0</x:v>
      </x:c>
      <x:c r="B104" s="74" t="str">
        <x:v>M11</x:v>
      </x:c>
      <x:c r="C104" s="74" t="str">
        <x:v>CONFLICT</x:v>
      </x:c>
      <x:c r="D104" s="215" t="n">
        <x:v>98</x:v>
      </x:c>
      <x:c r="E104" s="74" t="str">
        <x:v>V1.0</x:v>
      </x:c>
      <x:c r="F104" s="68" t="str">
        <x:v>印过旺并阻碍必要输出时才形成身滞候选</x:v>
      </x:c>
      <x:c r="G104" s="82" t="str">
        <x:v>结构层</x:v>
      </x:c>
      <x:c r="H104" s="82" t="str">
        <x:v>冲突病态型</x:v>
      </x:c>
      <x:c r="I104" s="68" t="str">
        <x:v>印多身滞</x:v>
      </x:c>
      <x:c r="J104" s="68" t="str">
        <x:v>印星、日主、食伤</x:v>
      </x:c>
      <x:c r="K104" s="68" t="str">
        <x:v>印星旺或极旺且持续生身</x:v>
      </x:c>
      <x:c r="L104" s="68" t="str">
        <x:v>日主已旺，食伤又被印制或输出不足</x:v>
      </x:c>
      <x:c r="M104" s="68" t="str">
        <x:v>直接或可达的生克制化路径成立</x:v>
      </x:c>
      <x:c r="N104" s="68" t="str">
        <x:v>相关十神均以M10有效力量为准，且不存在决定性失衡</x:v>
      </x:c>
      <x:c r="O104" s="68" t="str">
        <x:v>结合M09日主承载判断</x:v>
      </x:c>
      <x:c r="P104" s="68" t="str">
        <x:v>身势过强且流通受阻</x:v>
      </x:c>
      <x:c r="Q104" s="68" t="str">
        <x:v>相关十神有根、有源、透达、清纯且关键通路稳定</x:v>
      </x:c>
      <x:c r="R104" s="90" t="str">
        <x:v>关键十神被合绊、被制、改性、失效或力量严重失衡</x:v>
      </x:c>
      <x:c r="S104" s="68" t="str">
        <x:v>存在第三十神恢复通路、清除破坏或重新形成平衡</x:v>
      </x:c>
      <x:c r="T104" s="90" t="str">
        <x:v>任一核心十神失效，或不存在真实作用路径</x:v>
      </x:c>
      <x:c r="U104" s="68" t="str">
        <x:v>特殊格局、从化或月令格局另转M14/M15复审</x:v>
      </x:c>
      <x:c r="V104" s="84" t="str">
        <x:v>基本成立</x:v>
      </x:c>
      <x:c r="W104" s="84" t="str">
        <x:v>生扶过度、输出受阻</x:v>
      </x:c>
      <x:c r="X104" s="82" t="str">
        <x:v>条件性</x:v>
      </x:c>
      <x:c r="Y104" s="68" t="str">
        <x:v>对应格局候选转M14</x:v>
      </x:c>
      <x:c r="Z104" s="84" t="str">
        <x:v>印多身滞_成立</x:v>
      </x:c>
      <x:c r="AA104" s="84" t="str">
        <x:v>印多身滞：当主体、客体、路径与力量匹配满足最低标准时，判“基本成立”；是否上升为格局转M14/M15。</x:v>
      </x:c>
      <x:c r="AB104" s="82" t="str">
        <x:v>较高</x:v>
      </x:c>
      <x:c r="AC104" s="82" t="str">
        <x:v>现代综合</x:v>
      </x:c>
      <x:c r="AD104" s="68" t="str">
        <x:v>十神同时出现不等于组合成立。M11须同时验证核心十神有效性、作用路径、力量匹配、日主承载、破坏因素与救应；组合成立也不等于格局成立。</x:v>
      </x:c>
      <x:c r="AE104" s="68" t="str">
        <x:v>印星旺或极旺且持续生身；日主已旺，食伤又被印制或输出不足；作用路径稳定且无关键破坏，可按“印多身滞”记录。</x:v>
      </x:c>
      <x:c r="AF104" s="90" t="str">
        <x:v>仅因“印星、日主、食伤”同时出现，但核心十神无力、无作用路径或被关键因素破坏，不能判“印多身滞”成立。</x:v>
      </x:c>
      <x:c r="AG104" s="68" t="str">
        <x:v>https://zh.wikisource.org/zh-hans/%E6%B7%B5%E6%B5%B7%E5%AD%90%E5%B9%B3 ; https://zh.wikisource.org/wiki/%E6%BB%B4%E5%A4%A9%E9%AB%93%E9%97%A1%E5%BE%AE</x:v>
      </x:c>
      <x:c r="AH104" s="82" t="str">
        <x:v>采用</x:v>
      </x:c>
      <x:c r="AI104" s="82" t="str">
        <x:v>初审</x:v>
      </x:c>
      <x:c r="AJ104" s="87" t="n">
        <x:v>46255</x:v>
      </x:c>
    </x:row>
    <x:row r="105">
      <x:c r="A105" s="72" t="str">
        <x:f>IF(OR(C105="",D105=""),"",B105&amp;"-"&amp;UPPER(C105)&amp;"-"&amp;TEXT(D105,"0000")&amp;"-"&amp;E105)</x:f>
        <x:v>M11-CONFLICT-0099-V1.0</x:v>
      </x:c>
      <x:c r="B105" s="74" t="str">
        <x:v>M11</x:v>
      </x:c>
      <x:c r="C105" s="74" t="str">
        <x:v>CONFLICT</x:v>
      </x:c>
      <x:c r="D105" s="215" t="n">
        <x:v>99</x:v>
      </x:c>
      <x:c r="E105" s="74" t="str">
        <x:v>V1.0</x:v>
      </x:c>
      <x:c r="F105" s="68" t="str">
        <x:v>两条制化路线争夺同一核心节点时需做容量裁决</x:v>
      </x:c>
      <x:c r="G105" s="82" t="str">
        <x:v>结构层</x:v>
      </x:c>
      <x:c r="H105" s="82" t="str">
        <x:v>冲突病态型</x:v>
      </x:c>
      <x:c r="I105" s="68" t="str">
        <x:v>制化两立</x:v>
      </x:c>
      <x:c r="J105" s="68" t="str">
        <x:v>食伤、印星、官杀</x:v>
      </x:c>
      <x:c r="K105" s="68" t="str">
        <x:v>食制杀与印化杀等路线同时成立候选</x:v>
      </x:c>
      <x:c r="L105" s="68" t="str">
        <x:v>同一官杀力量被多路调用</x:v>
      </x:c>
      <x:c r="M105" s="68" t="str">
        <x:v>直接或可达的生克制化路径成立</x:v>
      </x:c>
      <x:c r="N105" s="68" t="str">
        <x:v>相关十神均以M10有效力量为准，且不存在决定性失衡</x:v>
      </x:c>
      <x:c r="O105" s="68" t="str">
        <x:v>结合M09日主承载判断</x:v>
      </x:c>
      <x:c r="P105" s="68" t="str">
        <x:v>至少两条路线真实存在</x:v>
      </x:c>
      <x:c r="Q105" s="68" t="str">
        <x:v>相关十神有根、有源、透达、清纯且关键通路稳定</x:v>
      </x:c>
      <x:c r="R105" s="90" t="str">
        <x:v>关键十神被合绊、被制、改性、失效或力量严重失衡</x:v>
      </x:c>
      <x:c r="S105" s="68" t="str">
        <x:v>存在第三十神恢复通路、清除破坏或重新形成平衡</x:v>
      </x:c>
      <x:c r="T105" s="90" t="str">
        <x:v>任一核心十神失效，或不存在真实作用路径</x:v>
      </x:c>
      <x:c r="U105" s="68" t="str">
        <x:v>特殊格局、从化或月令格局另转M14/M15复审</x:v>
      </x:c>
      <x:c r="V105" s="84" t="str">
        <x:v>基本成立</x:v>
      </x:c>
      <x:c r="W105" s="84" t="str">
        <x:v>形成制化竞争，需M18裁决</x:v>
      </x:c>
      <x:c r="X105" s="82" t="str">
        <x:v>条件性</x:v>
      </x:c>
      <x:c r="Y105" s="68" t="str">
        <x:v>对应格局候选转M14</x:v>
      </x:c>
      <x:c r="Z105" s="84" t="str">
        <x:v>制化两立_成立</x:v>
      </x:c>
      <x:c r="AA105" s="84" t="str">
        <x:v>制化两立：当主体、客体、路径与力量匹配满足最低标准时，判“基本成立”；是否上升为格局转M14/M15。</x:v>
      </x:c>
      <x:c r="AB105" s="82" t="str">
        <x:v>较高</x:v>
      </x:c>
      <x:c r="AC105" s="82" t="str">
        <x:v>现代综合</x:v>
      </x:c>
      <x:c r="AD105" s="68" t="str">
        <x:v>十神同时出现不等于组合成立。M11须同时验证核心十神有效性、作用路径、力量匹配、日主承载、破坏因素与救应；组合成立也不等于格局成立。</x:v>
      </x:c>
      <x:c r="AE105" s="68" t="str">
        <x:v>食制杀与印化杀等路线同时成立候选；同一官杀力量被多路调用；作用路径稳定且无关键破坏，可按“制化两立”记录。</x:v>
      </x:c>
      <x:c r="AF105" s="90" t="str">
        <x:v>仅因“食伤、印星、官杀”同时出现，但核心十神无力、无作用路径或被关键因素破坏，不能判“制化两立”成立。</x:v>
      </x:c>
      <x:c r="AG105" s="68" t="str">
        <x:v>https://zh.wikisource.org/zh-hans/%E6%B7%B5%E6%B5%B7%E5%AD%90%E5%B9%B3 ; https://zh.wikisource.org/wiki/%E6%BB%B4%E5%A4%A9%E9%AB%93%E9%97%A1%E5%BE%AE</x:v>
      </x:c>
      <x:c r="AH105" s="82" t="str">
        <x:v>采用</x:v>
      </x:c>
      <x:c r="AI105" s="82" t="str">
        <x:v>初审</x:v>
      </x:c>
      <x:c r="AJ105" s="87" t="n">
        <x:v>46255</x:v>
      </x:c>
    </x:row>
    <x:row r="106">
      <x:c r="A106" s="214" t="str">
        <x:f>IF(OR(C106="",D106=""),"",B106&amp;"-"&amp;UPPER(C106)&amp;"-"&amp;TEXT(D106,"0000")&amp;"-"&amp;E106)</x:f>
        <x:v>M11-CONFLICT-0100-V1.0</x:v>
      </x:c>
      <x:c r="B106" s="214" t="str">
        <x:v>M11</x:v>
      </x:c>
      <x:c r="C106" s="214" t="str">
        <x:v>CONFLICT</x:v>
      </x:c>
      <x:c r="D106" s="216" t="n">
        <x:v>100</x:v>
      </x:c>
      <x:c r="E106" s="214" t="str">
        <x:v>V1.0</x:v>
      </x:c>
      <x:c r="F106" s="214" t="str">
        <x:v>多个病态组合同时成立时不得简单叠加吉凶</x:v>
      </x:c>
      <x:c r="G106" s="214" t="str">
        <x:v>结构层</x:v>
      </x:c>
      <x:c r="H106" s="214" t="str">
        <x:v>冲突病态型</x:v>
      </x:c>
      <x:c r="I106" s="214" t="str">
        <x:v>复合冲突</x:v>
      </x:c>
      <x:c r="J106" s="214" t="str">
        <x:v>多个十神</x:v>
      </x:c>
      <x:c r="K106" s="214" t="str">
        <x:v>两个以上冲突组合均达到基本成立</x:v>
      </x:c>
      <x:c r="L106" s="214" t="str">
        <x:v>共享节点或相互救应关系复杂</x:v>
      </x:c>
      <x:c r="M106" s="214" t="str">
        <x:v>直接或可达的生克制化路径成立</x:v>
      </x:c>
      <x:c r="N106" s="214" t="str">
        <x:v>相关十神均以M10有效力量为准，且不存在决定性失衡</x:v>
      </x:c>
      <x:c r="O106" s="214" t="str">
        <x:v>结合M09日主承载判断</x:v>
      </x:c>
      <x:c r="P106" s="214" t="str">
        <x:v>逐组合保留后进入M16/M18综合</x:v>
      </x:c>
      <x:c r="Q106" s="214" t="str">
        <x:v>相关十神有根、有源、透达、清纯且关键通路稳定</x:v>
      </x:c>
      <x:c r="R106" s="214" t="str">
        <x:v>关键十神被合绊、被制、改性、失效或力量严重失衡</x:v>
      </x:c>
      <x:c r="S106" s="214" t="str">
        <x:v>存在第三十神恢复通路、清除破坏或重新形成平衡</x:v>
      </x:c>
      <x:c r="T106" s="214" t="str">
        <x:v>任一核心十神失效，或不存在真实作用路径</x:v>
      </x:c>
      <x:c r="U106" s="214" t="str">
        <x:v>特殊格局、从化或月令格局另转M14/M15复审</x:v>
      </x:c>
      <x:c r="V106" s="214" t="str">
        <x:v>基本成立</x:v>
      </x:c>
      <x:c r="W106" s="214" t="str">
        <x:v>标记复合病态结构</x:v>
      </x:c>
      <x:c r="X106" s="214" t="str">
        <x:v>否</x:v>
      </x:c>
      <x:c r="Y106" s="214" t="str">
        <x:v>无</x:v>
      </x:c>
      <x:c r="Z106" s="214" t="str">
        <x:v>复合冲突_转综合</x:v>
      </x:c>
      <x:c r="AA106" s="214" t="str">
        <x:v>复合冲突：当主体、客体、路径与力量匹配满足最低标准时，判“基本成立”；是否上升为格局转M14/M15。</x:v>
      </x:c>
      <x:c r="AB106" s="214" t="str">
        <x:v>较高</x:v>
      </x:c>
      <x:c r="AC106" s="214" t="str">
        <x:v>现代综合</x:v>
      </x:c>
      <x:c r="AD106" s="214" t="str">
        <x:v>十神同时出现不等于组合成立。M11须同时验证核心十神有效性、作用路径、力量匹配、日主承载、破坏因素与救应；组合成立也不等于格局成立。</x:v>
      </x:c>
      <x:c r="AE106" s="214" t="str">
        <x:v>两个以上冲突组合均达到基本成立；共享节点或相互救应关系复杂；作用路径稳定且无关键破坏，可按“复合冲突”记录。</x:v>
      </x:c>
      <x:c r="AF106" s="214" t="str">
        <x:v>仅因“多个十神”同时出现，但核心十神无力、无作用路径或被关键因素破坏，不能判“复合冲突”成立。</x:v>
      </x:c>
      <x:c r="AG106" s="214" t="str">
        <x:v>https://zh.wikisource.org/zh-hans/%E6%B7%B5%E6%B5%B7%E5%AD%90%E5%B9%B3 ; https://zh.wikisource.org/wiki/%E6%BB%B4%E5%A4%A9%E9%AB%93%E9%97%A1%E5%BE%AE</x:v>
      </x:c>
      <x:c r="AH106" s="214" t="str">
        <x:v>采用</x:v>
      </x:c>
      <x:c r="AI106" s="214" t="str">
        <x:v>初审</x:v>
      </x:c>
      <x:c r="AJ106" s="217" t="n">
        <x:v>46255</x:v>
      </x:c>
    </x:row>
    <x:row r="107">
      <x:c r="A107" s="214" t="str">
        <x:f>IF(OR(C107="",D107=""),"",B107&amp;"-"&amp;UPPER(C107)&amp;"-"&amp;TEXT(D107,"0000")&amp;"-"&amp;E107)</x:f>
        <x:v>M11-BOUND-0101-V1.0</x:v>
      </x:c>
      <x:c r="B107" s="214" t="str">
        <x:v>M11</x:v>
      </x:c>
      <x:c r="C107" s="214" t="str">
        <x:v>BOUND</x:v>
      </x:c>
      <x:c r="D107" s="216" t="n">
        <x:v>101</x:v>
      </x:c>
      <x:c r="E107" s="214" t="str">
        <x:v>V1.0</x:v>
      </x:c>
      <x:c r="F107" s="214" t="str">
        <x:v>组合名称不得替代实际功能判断</x:v>
      </x:c>
      <x:c r="G107" s="214" t="str">
        <x:v>结构层</x:v>
      </x:c>
      <x:c r="H107" s="214" t="str">
        <x:v>其他</x:v>
      </x:c>
      <x:c r="I107" s="214" t="str">
        <x:v>十神组合边界</x:v>
      </x:c>
      <x:c r="J107" s="214" t="str">
        <x:v>多个十神</x:v>
      </x:c>
      <x:c r="K107" s="214" t="str">
        <x:v>某传统组合名称被识别</x:v>
      </x:c>
      <x:c r="L107" s="214" t="str">
        <x:v>仍需检查其真实生、制、化、泄、护或通关功能</x:v>
      </x:c>
      <x:c r="M107" s="214" t="str">
        <x:v>直接或可达的生克制化路径成立</x:v>
      </x:c>
      <x:c r="N107" s="214" t="str">
        <x:v>相关十神均以M10有效力量为准，且不存在决定性失衡</x:v>
      </x:c>
      <x:c r="O107" s="214" t="str">
        <x:v>结合M09日主承载判断</x:v>
      </x:c>
      <x:c r="P107" s="214" t="str">
        <x:v>主体、客体、作用路径与力量匹配均达到最低要求</x:v>
      </x:c>
      <x:c r="Q107" s="214" t="str">
        <x:v>相关十神有根、有源、透达、清纯且关键通路稳定</x:v>
      </x:c>
      <x:c r="R107" s="214" t="str">
        <x:v>关键十神被合绊、被制、改性、失效或力量严重失衡</x:v>
      </x:c>
      <x:c r="S107" s="214" t="str">
        <x:v>存在第三十神恢复通路、清除破坏或重新形成平衡</x:v>
      </x:c>
      <x:c r="T107" s="214" t="str">
        <x:v>任一核心十神失效，或不存在真实作用路径</x:v>
      </x:c>
      <x:c r="U107" s="214" t="str">
        <x:v>特殊格局、从化或月令格局另转M14/M15复审</x:v>
      </x:c>
      <x:c r="V107" s="214" t="str">
        <x:v>待定</x:v>
      </x:c>
      <x:c r="W107" s="214" t="str">
        <x:v>治理命名与功能分离</x:v>
      </x:c>
      <x:c r="X107" s="214" t="str">
        <x:v>否</x:v>
      </x:c>
      <x:c r="Y107" s="214" t="str">
        <x:v>无</x:v>
      </x:c>
      <x:c r="Z107" s="214" t="str">
        <x:v>组合命名边界</x:v>
      </x:c>
      <x:c r="AA107" s="214" t="str">
        <x:v>十神组合边界：当主体、客体、路径与力量匹配满足最低标准时，判“待定”；是否上升为格局转M14/M15。</x:v>
      </x:c>
      <x:c r="AB107" s="214" t="str">
        <x:v>较高</x:v>
      </x:c>
      <x:c r="AC107" s="214" t="str">
        <x:v>现代综合</x:v>
      </x:c>
      <x:c r="AD107" s="214" t="str">
        <x:v>十神同时出现不等于组合成立。M11须同时验证核心十神有效性、作用路径、力量匹配、日主承载、破坏因素与救应；组合成立也不等于格局成立。</x:v>
      </x:c>
      <x:c r="AE107" s="214" t="str">
        <x:v>某传统组合名称被识别；仍需检查其真实生、制、化、泄、护或通关功能；作用路径稳定且无关键破坏，可按“十神组合边界”记录。</x:v>
      </x:c>
      <x:c r="AF107" s="214" t="str">
        <x:v>仅因“多个十神”同时出现，但核心十神无力、无作用路径或被关键因素破坏，不能判“十神组合边界”成立。</x:v>
      </x:c>
      <x:c r="AG107" s="214" t="str">
        <x:v>https://zh.wikisource.org/zh-hans/%E6%B7%B5%E6%B5%B7%E5%AD%90%E5%B9%B3 ; https://zh.wikisource.org/wiki/%E6%BB%B4%E5%A4%A9%E9%AB%93%E9%97%A1%E5%BE%AE</x:v>
      </x:c>
      <x:c r="AH107" s="214" t="str">
        <x:v>采用</x:v>
      </x:c>
      <x:c r="AI107" s="214" t="str">
        <x:v>初审</x:v>
      </x:c>
      <x:c r="AJ107" s="217" t="n">
        <x:v>46255</x:v>
      </x:c>
    </x:row>
    <x:row r="108">
      <x:c r="A108" s="214" t="str">
        <x:f>IF(OR(C108="",D108=""),"",B108&amp;"-"&amp;UPPER(C108)&amp;"-"&amp;TEXT(D108,"0000")&amp;"-"&amp;E108)</x:f>
        <x:v>M11-BOUND-0102-V1.0</x:v>
      </x:c>
      <x:c r="B108" s="214" t="str">
        <x:v>M11</x:v>
      </x:c>
      <x:c r="C108" s="214" t="str">
        <x:v>BOUND</x:v>
      </x:c>
      <x:c r="D108" s="216" t="n">
        <x:v>102</x:v>
      </x:c>
      <x:c r="E108" s="214" t="str">
        <x:v>V1.0</x:v>
      </x:c>
      <x:c r="F108" s="214" t="str">
        <x:v>位置远近只影响路径强弱不作绝对否决</x:v>
      </x:c>
      <x:c r="G108" s="214" t="str">
        <x:v>结构层</x:v>
      </x:c>
      <x:c r="H108" s="214" t="str">
        <x:v>其他</x:v>
      </x:c>
      <x:c r="I108" s="214" t="str">
        <x:v>十神组合边界</x:v>
      </x:c>
      <x:c r="J108" s="214" t="str">
        <x:v>多个十神</x:v>
      </x:c>
      <x:c r="K108" s="214" t="str">
        <x:v>核心十神隔位或遥隔</x:v>
      </x:c>
      <x:c r="L108" s="214" t="str">
        <x:v>仍存在透干、地支通路或中介连接</x:v>
      </x:c>
      <x:c r="M108" s="214" t="str">
        <x:v>远距降低直接性，但不自动否决</x:v>
      </x:c>
      <x:c r="N108" s="214" t="str">
        <x:v>相关十神均以M10有效力量为准，且不存在决定性失衡</x:v>
      </x:c>
      <x:c r="O108" s="214" t="str">
        <x:v>结合M09日主承载判断</x:v>
      </x:c>
      <x:c r="P108" s="214" t="str">
        <x:v>主体、客体、作用路径与力量匹配均达到最低要求</x:v>
      </x:c>
      <x:c r="Q108" s="214" t="str">
        <x:v>相关十神有根、有源、透达、清纯且关键通路稳定</x:v>
      </x:c>
      <x:c r="R108" s="214" t="str">
        <x:v>关键十神被合绊、被制、改性、失效或力量严重失衡</x:v>
      </x:c>
      <x:c r="S108" s="214" t="str">
        <x:v>存在第三十神恢复通路、清除破坏或重新形成平衡</x:v>
      </x:c>
      <x:c r="T108" s="214" t="str">
        <x:v>任一核心十神失效，或不存在真实作用路径</x:v>
      </x:c>
      <x:c r="U108" s="214" t="str">
        <x:v>特殊格局、从化或月令格局另转M14/M15复审</x:v>
      </x:c>
      <x:c r="V108" s="214" t="str">
        <x:v>待定</x:v>
      </x:c>
      <x:c r="W108" s="214" t="str">
        <x:v>形成局部生化、制化或承载结构</x:v>
      </x:c>
      <x:c r="X108" s="214" t="str">
        <x:v>否</x:v>
      </x:c>
      <x:c r="Y108" s="214" t="str">
        <x:v>对应格局候选转M14</x:v>
      </x:c>
      <x:c r="Z108" s="214" t="str">
        <x:v>组合位置边界</x:v>
      </x:c>
      <x:c r="AA108" s="214" t="str">
        <x:v>十神组合边界：当主体、客体、路径与力量匹配满足最低标准时，判“待定”；是否上升为格局转M14/M15。</x:v>
      </x:c>
      <x:c r="AB108" s="214" t="str">
        <x:v>较高</x:v>
      </x:c>
      <x:c r="AC108" s="214" t="str">
        <x:v>现代综合</x:v>
      </x:c>
      <x:c r="AD108" s="214" t="str">
        <x:v>十神同时出现不等于组合成立。M11须同时验证核心十神有效性、作用路径、力量匹配、日主承载、破坏因素与救应；组合成立也不等于格局成立。</x:v>
      </x:c>
      <x:c r="AE108" s="214" t="str">
        <x:v>核心十神隔位或遥隔；仍存在透干、地支通路或中介连接；作用路径稳定且无关键破坏，可按“十神组合边界”记录。</x:v>
      </x:c>
      <x:c r="AF108" s="214" t="str">
        <x:v>仅因“多个十神”同时出现，但核心十神无力、无作用路径或被关键因素破坏，不能判“十神组合边界”成立。</x:v>
      </x:c>
      <x:c r="AG108" s="214" t="str">
        <x:v>https://zh.wikisource.org/zh-hans/%E6%B7%B5%E6%B5%B7%E5%AD%90%E5%B9%B3 ; https://zh.wikisource.org/wiki/%E6%BB%B4%E5%A4%A9%E9%AB%93%E9%97%A1%E5%BE%AE</x:v>
      </x:c>
      <x:c r="AH108" s="214" t="str">
        <x:v>采用</x:v>
      </x:c>
      <x:c r="AI108" s="214" t="str">
        <x:v>初审</x:v>
      </x:c>
      <x:c r="AJ108" s="217" t="n">
        <x:v>46255</x:v>
      </x:c>
    </x:row>
    <x:row r="109">
      <x:c r="A109" s="214" t="str">
        <x:f>IF(OR(C109="",D109=""),"",B109&amp;"-"&amp;UPPER(C109)&amp;"-"&amp;TEXT(D109,"0000")&amp;"-"&amp;E109)</x:f>
        <x:v>M11-BOUND-0103-V1.0</x:v>
      </x:c>
      <x:c r="B109" s="214" t="str">
        <x:v>M11</x:v>
      </x:c>
      <x:c r="C109" s="214" t="str">
        <x:v>BOUND</x:v>
      </x:c>
      <x:c r="D109" s="216" t="n">
        <x:v>103</x:v>
      </x:c>
      <x:c r="E109" s="214" t="str">
        <x:v>V1.0</x:v>
      </x:c>
      <x:c r="F109" s="214" t="str">
        <x:v>藏干组合需要更严格验证透达和可调用性</x:v>
      </x:c>
      <x:c r="G109" s="214" t="str">
        <x:v>结构层</x:v>
      </x:c>
      <x:c r="H109" s="214" t="str">
        <x:v>其他</x:v>
      </x:c>
      <x:c r="I109" s="214" t="str">
        <x:v>十神组合边界</x:v>
      </x:c>
      <x:c r="J109" s="214" t="str">
        <x:v>多个十神</x:v>
      </x:c>
      <x:c r="K109" s="214" t="str">
        <x:v>核心十神主要藏支不透</x:v>
      </x:c>
      <x:c r="L109" s="214" t="str">
        <x:v>M08/M10显示其仍有效</x:v>
      </x:c>
      <x:c r="M109" s="214" t="str">
        <x:v>直接或可达的生克制化路径成立</x:v>
      </x:c>
      <x:c r="N109" s="214" t="str">
        <x:v>相关十神均以M10有效力量为准，且不存在决定性失衡</x:v>
      </x:c>
      <x:c r="O109" s="214" t="str">
        <x:v>结合M09日主承载判断</x:v>
      </x:c>
      <x:c r="P109" s="214" t="str">
        <x:v>隐性十神必须有足够有效性和作用通路</x:v>
      </x:c>
      <x:c r="Q109" s="214" t="str">
        <x:v>相关十神有根、有源、透达、清纯且关键通路稳定</x:v>
      </x:c>
      <x:c r="R109" s="214" t="str">
        <x:v>关键十神被合绊、被制、改性、失效或力量严重失衡</x:v>
      </x:c>
      <x:c r="S109" s="214" t="str">
        <x:v>存在第三十神恢复通路、清除破坏或重新形成平衡</x:v>
      </x:c>
      <x:c r="T109" s="214" t="str">
        <x:v>任一核心十神失效，或不存在真实作用路径</x:v>
      </x:c>
      <x:c r="U109" s="214" t="str">
        <x:v>特殊格局、从化或月令格局另转M14/M15复审</x:v>
      </x:c>
      <x:c r="V109" s="214" t="str">
        <x:v>弱成立</x:v>
      </x:c>
      <x:c r="W109" s="214" t="str">
        <x:v>形成局部生化、制化或承载结构</x:v>
      </x:c>
      <x:c r="X109" s="214" t="str">
        <x:v>条件性</x:v>
      </x:c>
      <x:c r="Y109" s="214" t="str">
        <x:v>对应格局候选转M14</x:v>
      </x:c>
      <x:c r="Z109" s="214" t="str">
        <x:v>藏干组合边界</x:v>
      </x:c>
      <x:c r="AA109" s="214" t="str">
        <x:v>十神组合边界：当主体、客体、路径与力量匹配满足最低标准时，判“弱成立”；是否上升为格局转M14/M15。</x:v>
      </x:c>
      <x:c r="AB109" s="214" t="str">
        <x:v>较高</x:v>
      </x:c>
      <x:c r="AC109" s="214" t="str">
        <x:v>现代综合</x:v>
      </x:c>
      <x:c r="AD109" s="214" t="str">
        <x:v>十神同时出现不等于组合成立。M11须同时验证核心十神有效性、作用路径、力量匹配、日主承载、破坏因素与救应；组合成立也不等于格局成立。</x:v>
      </x:c>
      <x:c r="AE109" s="214" t="str">
        <x:v>核心十神主要藏支不透；M08/M10显示其仍有效；作用路径稳定且无关键破坏，可按“十神组合边界”记录。</x:v>
      </x:c>
      <x:c r="AF109" s="214" t="str">
        <x:v>仅因“多个十神”同时出现，但核心十神无力、无作用路径或被关键因素破坏，不能判“十神组合边界”成立。</x:v>
      </x:c>
      <x:c r="AG109" s="214" t="str">
        <x:v>https://zh.wikisource.org/zh-hans/%E6%B7%B5%E6%B5%B7%E5%AD%90%E5%B9%B3 ; https://zh.wikisource.org/wiki/%E6%BB%B4%E5%A4%A9%E9%AB%93%E9%97%A1%E5%BE%AE</x:v>
      </x:c>
      <x:c r="AH109" s="214" t="str">
        <x:v>采用</x:v>
      </x:c>
      <x:c r="AI109" s="214" t="str">
        <x:v>初审</x:v>
      </x:c>
      <x:c r="AJ109" s="217" t="n">
        <x:v>46255</x:v>
      </x:c>
    </x:row>
    <x:row r="110">
      <x:c r="A110" s="214" t="str">
        <x:f>IF(OR(C110="",D110=""),"",B110&amp;"-"&amp;UPPER(C110)&amp;"-"&amp;TEXT(D110,"0000")&amp;"-"&amp;E110)</x:f>
        <x:v>M11-BOUND-0104-V1.0</x:v>
      </x:c>
      <x:c r="B110" s="214" t="str">
        <x:v>M11</x:v>
      </x:c>
      <x:c r="C110" s="214" t="str">
        <x:v>BOUND</x:v>
      </x:c>
      <x:c r="D110" s="216" t="n">
        <x:v>104</x:v>
      </x:c>
      <x:c r="E110" s="214" t="str">
        <x:v>V1.0</x:v>
      </x:c>
      <x:c r="F110" s="214" t="str">
        <x:v>同一十神可参加多个组合但不得重复全额计力</x:v>
      </x:c>
      <x:c r="G110" s="214" t="str">
        <x:v>结构层</x:v>
      </x:c>
      <x:c r="H110" s="214" t="str">
        <x:v>其他</x:v>
      </x:c>
      <x:c r="I110" s="214" t="str">
        <x:v>十神组合边界</x:v>
      </x:c>
      <x:c r="J110" s="214" t="str">
        <x:v>多个十神</x:v>
      </x:c>
      <x:c r="K110" s="214" t="str">
        <x:v>一个核心十神节点连接多个组合</x:v>
      </x:c>
      <x:c r="L110" s="214" t="str">
        <x:v>需分配其有效力量容量</x:v>
      </x:c>
      <x:c r="M110" s="214" t="str">
        <x:v>直接或可达的生克制化路径成立</x:v>
      </x:c>
      <x:c r="N110" s="214" t="str">
        <x:v>相关十神均以M10有效力量为准，且不存在决定性失衡</x:v>
      </x:c>
      <x:c r="O110" s="214" t="str">
        <x:v>结合M09日主承载判断</x:v>
      </x:c>
      <x:c r="P110" s="214" t="str">
        <x:v>各组合共享节点时记录容量竞争</x:v>
      </x:c>
      <x:c r="Q110" s="214" t="str">
        <x:v>相关十神有根、有源、透达、清纯且关键通路稳定</x:v>
      </x:c>
      <x:c r="R110" s="214" t="str">
        <x:v>关键十神被合绊、被制、改性、失效或力量严重失衡</x:v>
      </x:c>
      <x:c r="S110" s="214" t="str">
        <x:v>存在第三十神恢复通路、清除破坏或重新形成平衡</x:v>
      </x:c>
      <x:c r="T110" s="214" t="str">
        <x:v>任一核心十神失效，或不存在真实作用路径</x:v>
      </x:c>
      <x:c r="U110" s="214" t="str">
        <x:v>特殊格局、从化或月令格局另转M14/M15复审</x:v>
      </x:c>
      <x:c r="V110" s="214" t="str">
        <x:v>待定</x:v>
      </x:c>
      <x:c r="W110" s="214" t="str">
        <x:v>形成局部生化、制化或承载结构</x:v>
      </x:c>
      <x:c r="X110" s="214" t="str">
        <x:v>否</x:v>
      </x:c>
      <x:c r="Y110" s="214" t="str">
        <x:v>对应格局候选转M14</x:v>
      </x:c>
      <x:c r="Z110" s="214" t="str">
        <x:v>组合共享节点边界</x:v>
      </x:c>
      <x:c r="AA110" s="214" t="str">
        <x:v>十神组合边界：当主体、客体、路径与力量匹配满足最低标准时，判“待定”；是否上升为格局转M14/M15。</x:v>
      </x:c>
      <x:c r="AB110" s="214" t="str">
        <x:v>较高</x:v>
      </x:c>
      <x:c r="AC110" s="214" t="str">
        <x:v>现代综合</x:v>
      </x:c>
      <x:c r="AD110" s="214" t="str">
        <x:v>十神同时出现不等于组合成立。M11须同时验证核心十神有效性、作用路径、力量匹配、日主承载、破坏因素与救应；组合成立也不等于格局成立。</x:v>
      </x:c>
      <x:c r="AE110" s="214" t="str">
        <x:v>一个核心十神节点连接多个组合；需分配其有效力量容量；作用路径稳定且无关键破坏，可按“十神组合边界”记录。</x:v>
      </x:c>
      <x:c r="AF110" s="214" t="str">
        <x:v>仅因“多个十神”同时出现，但核心十神无力、无作用路径或被关键因素破坏，不能判“十神组合边界”成立。</x:v>
      </x:c>
      <x:c r="AG110" s="214" t="str">
        <x:v>https://zh.wikisource.org/zh-hans/%E6%B7%B5%E6%B5%B7%E5%AD%90%E5%B9%B3 ; https://zh.wikisource.org/wiki/%E6%BB%B4%E5%A4%A9%E9%AB%93%E9%97%A1%E5%BE%AE</x:v>
      </x:c>
      <x:c r="AH110" s="214" t="str">
        <x:v>采用</x:v>
      </x:c>
      <x:c r="AI110" s="214" t="str">
        <x:v>初审</x:v>
      </x:c>
      <x:c r="AJ110" s="217" t="n">
        <x:v>46255</x:v>
      </x:c>
    </x:row>
    <x:row r="111">
      <x:c r="A111" s="214" t="str">
        <x:f>IF(OR(C111="",D111=""),"",B111&amp;"-"&amp;UPPER(C111)&amp;"-"&amp;TEXT(D111,"0000")&amp;"-"&amp;E111)</x:f>
        <x:v>M11-BOUND-0105-V1.0</x:v>
      </x:c>
      <x:c r="B111" s="214" t="str">
        <x:v>M11</x:v>
      </x:c>
      <x:c r="C111" s="214" t="str">
        <x:v>BOUND</x:v>
      </x:c>
      <x:c r="D111" s="216" t="n">
        <x:v>105</x:v>
      </x:c>
      <x:c r="E111" s="214" t="str">
        <x:v>V1.0</x:v>
      </x:c>
      <x:c r="F111" s="214" t="str">
        <x:v>原局组合与岁运补成组合必须分开</x:v>
      </x:c>
      <x:c r="G111" s="214" t="str">
        <x:v>结构层</x:v>
      </x:c>
      <x:c r="H111" s="214" t="str">
        <x:v>其他</x:v>
      </x:c>
      <x:c r="I111" s="214" t="str">
        <x:v>十神组合边界</x:v>
      </x:c>
      <x:c r="J111" s="214" t="str">
        <x:v>多个十神</x:v>
      </x:c>
      <x:c r="K111" s="214" t="str">
        <x:v>原局尚缺某组合核心十神或关键路径</x:v>
      </x:c>
      <x:c r="L111" s="214" t="str">
        <x:v>未来岁运可能补足</x:v>
      </x:c>
      <x:c r="M111" s="214" t="str">
        <x:v>直接或可达的生克制化路径成立</x:v>
      </x:c>
      <x:c r="N111" s="214" t="str">
        <x:v>相关十神均以M10有效力量为准，且不存在决定性失衡</x:v>
      </x:c>
      <x:c r="O111" s="214" t="str">
        <x:v>结合M09日主承载判断</x:v>
      </x:c>
      <x:c r="P111" s="214" t="str">
        <x:v>主体、客体、作用路径与力量匹配均达到最低要求</x:v>
      </x:c>
      <x:c r="Q111" s="214" t="str">
        <x:v>相关十神有根、有源、透达、清纯且关键通路稳定</x:v>
      </x:c>
      <x:c r="R111" s="214" t="str">
        <x:v>关键十神被合绊、被制、改性、失效或力量严重失衡</x:v>
      </x:c>
      <x:c r="S111" s="214" t="str">
        <x:v>存在第三十神恢复通路、清除破坏或重新形成平衡</x:v>
      </x:c>
      <x:c r="T111" s="214" t="str">
        <x:v>任一核心十神失效，或不存在真实作用路径</x:v>
      </x:c>
      <x:c r="U111" s="214" t="str">
        <x:v>岁运补成转动态作用引擎</x:v>
      </x:c>
      <x:c r="V111" s="214" t="str">
        <x:v>不成立</x:v>
      </x:c>
      <x:c r="W111" s="214" t="str">
        <x:v>原局不提前认定</x:v>
      </x:c>
      <x:c r="X111" s="214" t="str">
        <x:v>否</x:v>
      </x:c>
      <x:c r="Y111" s="214" t="str">
        <x:v>对应格局候选转M14</x:v>
      </x:c>
      <x:c r="Z111" s="214" t="str">
        <x:v>组合静动态边界</x:v>
      </x:c>
      <x:c r="AA111" s="214" t="str">
        <x:v>十神组合边界：当主体、客体、路径与力量匹配满足最低标准时，判“不成立”；是否上升为格局转M14/M15。</x:v>
      </x:c>
      <x:c r="AB111" s="214" t="str">
        <x:v>较高</x:v>
      </x:c>
      <x:c r="AC111" s="214" t="str">
        <x:v>现代综合</x:v>
      </x:c>
      <x:c r="AD111" s="214" t="str">
        <x:v>十神同时出现不等于组合成立。M11须同时验证核心十神有效性、作用路径、力量匹配、日主承载、破坏因素与救应；组合成立也不等于格局成立。</x:v>
      </x:c>
      <x:c r="AE111" s="214" t="str">
        <x:v>原局尚缺某组合核心十神或关键路径；未来岁运可能补足；作用路径稳定且无关键破坏，可按“十神组合边界”记录。</x:v>
      </x:c>
      <x:c r="AF111" s="214" t="str">
        <x:v>仅因“多个十神”同时出现，但核心十神无力、无作用路径或被关键因素破坏，不能判“十神组合边界”成立。</x:v>
      </x:c>
      <x:c r="AG111" s="214" t="str">
        <x:v>https://zh.wikisource.org/zh-hans/%E6%B7%B5%E6%B5%B7%E5%AD%90%E5%B9%B3 ; https://zh.wikisource.org/wiki/%E6%BB%B4%E5%A4%A9%E9%AB%93%E9%97%A1%E5%BE%AE</x:v>
      </x:c>
      <x:c r="AH111" s="214" t="str">
        <x:v>采用</x:v>
      </x:c>
      <x:c r="AI111" s="214" t="str">
        <x:v>初审</x:v>
      </x:c>
      <x:c r="AJ111" s="217" t="n">
        <x:v>46255</x:v>
      </x:c>
    </x:row>
    <x:row r="112">
      <x:c r="A112" s="214" t="str">
        <x:f>IF(OR(C112="",D112=""),"",B112&amp;"-"&amp;UPPER(C112)&amp;"-"&amp;TEXT(D112,"0000")&amp;"-"&amp;E112)</x:f>
        <x:v>M11-BOUND-0106-V1.0</x:v>
      </x:c>
      <x:c r="B112" s="214" t="str">
        <x:v>M11</x:v>
      </x:c>
      <x:c r="C112" s="214" t="str">
        <x:v>BOUND</x:v>
      </x:c>
      <x:c r="D112" s="216" t="n">
        <x:v>106</x:v>
      </x:c>
      <x:c r="E112" s="214" t="str">
        <x:v>V1.0</x:v>
      </x:c>
      <x:c r="F112" s="214" t="str">
        <x:v>组合成立不得直接推出吉凶与具体事件</x:v>
      </x:c>
      <x:c r="G112" s="214" t="str">
        <x:v>结构层</x:v>
      </x:c>
      <x:c r="H112" s="214" t="str">
        <x:v>其他</x:v>
      </x:c>
      <x:c r="I112" s="214" t="str">
        <x:v>十神组合边界</x:v>
      </x:c>
      <x:c r="J112" s="214" t="str">
        <x:v>多个十神</x:v>
      </x:c>
      <x:c r="K112" s="214" t="str">
        <x:v>任一组合达到基本成立以上</x:v>
      </x:c>
      <x:c r="L112" s="214" t="str">
        <x:v>现实价值仍需M14—M18及上层模型判断</x:v>
      </x:c>
      <x:c r="M112" s="214" t="str">
        <x:v>直接或可达的生克制化路径成立</x:v>
      </x:c>
      <x:c r="N112" s="214" t="str">
        <x:v>相关十神均以M10有效力量为准，且不存在决定性失衡</x:v>
      </x:c>
      <x:c r="O112" s="214" t="str">
        <x:v>结合M09日主承载判断</x:v>
      </x:c>
      <x:c r="P112" s="214" t="str">
        <x:v>主体、客体、作用路径与力量匹配均达到最低要求</x:v>
      </x:c>
      <x:c r="Q112" s="214" t="str">
        <x:v>相关十神有根、有源、透达、清纯且关键通路稳定</x:v>
      </x:c>
      <x:c r="R112" s="214" t="str">
        <x:v>关键十神被合绊、被制、改性、失效或力量严重失衡</x:v>
      </x:c>
      <x:c r="S112" s="214" t="str">
        <x:v>存在第三十神恢复通路、清除破坏或重新形成平衡</x:v>
      </x:c>
      <x:c r="T112" s="214" t="str">
        <x:v>任一核心十神失效，或不存在真实作用路径</x:v>
      </x:c>
      <x:c r="U112" s="214" t="str">
        <x:v>特殊格局、从化或月令格局另转M14/M15复审</x:v>
      </x:c>
      <x:c r="V112" s="214" t="str">
        <x:v>待定</x:v>
      </x:c>
      <x:c r="W112" s="214" t="str">
        <x:v>保持结构层边界</x:v>
      </x:c>
      <x:c r="X112" s="214" t="str">
        <x:v>待定</x:v>
      </x:c>
      <x:c r="Y112" s="214" t="str">
        <x:v>对应格局候选转M14</x:v>
      </x:c>
      <x:c r="Z112" s="214" t="str">
        <x:v>组合事件边界</x:v>
      </x:c>
      <x:c r="AA112" s="214" t="str">
        <x:v>十神组合边界：当主体、客体、路径与力量匹配满足最低标准时，判“待定”；是否上升为格局转M14/M15。</x:v>
      </x:c>
      <x:c r="AB112" s="214" t="str">
        <x:v>较高</x:v>
      </x:c>
      <x:c r="AC112" s="214" t="str">
        <x:v>现代综合</x:v>
      </x:c>
      <x:c r="AD112" s="214" t="str">
        <x:v>十神同时出现不等于组合成立。M11须同时验证核心十神有效性、作用路径、力量匹配、日主承载、破坏因素与救应；组合成立也不等于格局成立。</x:v>
      </x:c>
      <x:c r="AE112" s="214" t="str">
        <x:v>任一组合达到基本成立以上；现实价值仍需M14—M18及上层模型判断；作用路径稳定且无关键破坏，可按“十神组合边界”记录。</x:v>
      </x:c>
      <x:c r="AF112" s="214" t="str">
        <x:v>仅因“多个十神”同时出现，但核心十神无力、无作用路径或被关键因素破坏，不能判“十神组合边界”成立。</x:v>
      </x:c>
      <x:c r="AG112" s="214" t="str">
        <x:v>https://zh.wikisource.org/zh-hans/%E6%B7%B5%E6%B5%B7%E5%AD%90%E5%B9%B3 ; https://zh.wikisource.org/wiki/%E6%BB%B4%E5%A4%A9%E9%AB%93%E9%97%A1%E5%BE%AE</x:v>
      </x:c>
      <x:c r="AH112" s="214" t="str">
        <x:v>采用</x:v>
      </x:c>
      <x:c r="AI112" s="214" t="str">
        <x:v>初审</x:v>
      </x:c>
      <x:c r="AJ112" s="217" t="n">
        <x:v>46255</x:v>
      </x:c>
    </x:row>
    <x:row r="113">
      <x:c r="A113" s="214" t="str">
        <x:f>IF(OR(C113="",D113=""),"",B113&amp;"-"&amp;UPPER(C113)&amp;"-"&amp;TEXT(D113,"0000")&amp;"-"&amp;E113)</x:f>
        <x:v>M11-BOUND-0107-V1.0</x:v>
      </x:c>
      <x:c r="B113" s="214" t="str">
        <x:v>M11</x:v>
      </x:c>
      <x:c r="C113" s="214" t="str">
        <x:v>BOUND</x:v>
      </x:c>
      <x:c r="D113" s="216" t="n">
        <x:v>107</x:v>
      </x:c>
      <x:c r="E113" s="214" t="str">
        <x:v>V1.0</x:v>
      </x:c>
      <x:c r="F113" s="214" t="str">
        <x:v>病态组合也可能有救应不能只看名称</x:v>
      </x:c>
      <x:c r="G113" s="214" t="str">
        <x:v>结构层</x:v>
      </x:c>
      <x:c r="H113" s="214" t="str">
        <x:v>其他</x:v>
      </x:c>
      <x:c r="I113" s="214" t="str">
        <x:v>十神组合边界</x:v>
      </x:c>
      <x:c r="J113" s="214" t="str">
        <x:v>多个十神</x:v>
      </x:c>
      <x:c r="K113" s="214" t="str">
        <x:v>伤官见官、枭夺食、官杀混杂等被识别</x:v>
      </x:c>
      <x:c r="L113" s="214" t="str">
        <x:v>存在印、财、合制或主从清化等救应</x:v>
      </x:c>
      <x:c r="M113" s="214" t="str">
        <x:v>直接或可达的生克制化路径成立</x:v>
      </x:c>
      <x:c r="N113" s="214" t="str">
        <x:v>相关十神均以M10有效力量为准，且不存在决定性失衡</x:v>
      </x:c>
      <x:c r="O113" s="214" t="str">
        <x:v>结合M09日主承载判断</x:v>
      </x:c>
      <x:c r="P113" s="214" t="str">
        <x:v>同时输出病态强度与救应有效性</x:v>
      </x:c>
      <x:c r="Q113" s="214" t="str">
        <x:v>相关十神有根、有源、透达、清纯且关键通路稳定</x:v>
      </x:c>
      <x:c r="R113" s="214" t="str">
        <x:v>关键十神被合绊、被制、改性、失效或力量严重失衡</x:v>
      </x:c>
      <x:c r="S113" s="214" t="str">
        <x:v>存在第三十神恢复通路、清除破坏或重新形成平衡</x:v>
      </x:c>
      <x:c r="T113" s="214" t="str">
        <x:v>任一核心十神失效，或不存在真实作用路径</x:v>
      </x:c>
      <x:c r="U113" s="214" t="str">
        <x:v>特殊格局、从化或月令格局另转M14/M15复审</x:v>
      </x:c>
      <x:c r="V113" s="214" t="str">
        <x:v>待定</x:v>
      </x:c>
      <x:c r="W113" s="214" t="str">
        <x:v>形成局部生化、制化或承载结构</x:v>
      </x:c>
      <x:c r="X113" s="214" t="str">
        <x:v>条件性</x:v>
      </x:c>
      <x:c r="Y113" s="214" t="str">
        <x:v>对应格局候选转M14</x:v>
      </x:c>
      <x:c r="Z113" s="214" t="str">
        <x:v>病态组合救应边界</x:v>
      </x:c>
      <x:c r="AA113" s="214" t="str">
        <x:v>十神组合边界：当主体、客体、路径与力量匹配满足最低标准时，判“待定”；是否上升为格局转M14/M15。</x:v>
      </x:c>
      <x:c r="AB113" s="214" t="str">
        <x:v>较高</x:v>
      </x:c>
      <x:c r="AC113" s="214" t="str">
        <x:v>现代综合</x:v>
      </x:c>
      <x:c r="AD113" s="214" t="str">
        <x:v>十神同时出现不等于组合成立。M11须同时验证核心十神有效性、作用路径、力量匹配、日主承载、破坏因素与救应；组合成立也不等于格局成立。</x:v>
      </x:c>
      <x:c r="AE113" s="214" t="str">
        <x:v>伤官见官、枭夺食、官杀混杂等被识别；存在印、财、合制或主从清化等救应；作用路径稳定且无关键破坏，可按“十神组合边界”记录。</x:v>
      </x:c>
      <x:c r="AF113" s="214" t="str">
        <x:v>仅因“多个十神”同时出现，但核心十神无力、无作用路径或被关键因素破坏，不能判“十神组合边界”成立。</x:v>
      </x:c>
      <x:c r="AG113" s="214" t="str">
        <x:v>https://zh.wikisource.org/zh-hans/%E6%B7%B5%E6%B5%B7%E5%AD%90%E5%B9%B3 ; https://zh.wikisource.org/wiki/%E6%BB%B4%E5%A4%A9%E9%AB%93%E9%97%A1%E5%BE%AE</x:v>
      </x:c>
      <x:c r="AH113" s="214" t="str">
        <x:v>采用</x:v>
      </x:c>
      <x:c r="AI113" s="214" t="str">
        <x:v>初审</x:v>
      </x:c>
      <x:c r="AJ113" s="217" t="n">
        <x:v>46255</x:v>
      </x:c>
    </x:row>
    <x:row r="114">
      <x:c r="A114" s="214" t="str">
        <x:f>IF(OR(C114="",D114=""),"",B114&amp;"-"&amp;UPPER(C114)&amp;"-"&amp;TEXT(D114,"0000")&amp;"-"&amp;E114)</x:f>
        <x:v>M11-BOUND-0108-V1.0</x:v>
      </x:c>
      <x:c r="B114" s="214" t="str">
        <x:v>M11</x:v>
      </x:c>
      <x:c r="C114" s="214" t="str">
        <x:v>BOUND</x:v>
      </x:c>
      <x:c r="D114" s="216" t="n">
        <x:v>108</x:v>
      </x:c>
      <x:c r="E114" s="214" t="str">
        <x:v>V1.0</x:v>
      </x:c>
      <x:c r="F114" s="214" t="str">
        <x:v>传统口诀必须条件化落地</x:v>
      </x:c>
      <x:c r="G114" s="214" t="str">
        <x:v>结构层</x:v>
      </x:c>
      <x:c r="H114" s="214" t="str">
        <x:v>其他</x:v>
      </x:c>
      <x:c r="I114" s="214" t="str">
        <x:v>十神组合边界</x:v>
      </x:c>
      <x:c r="J114" s="214" t="str">
        <x:v>多个十神</x:v>
      </x:c>
      <x:c r="K114" s="214" t="str">
        <x:v>古籍存在“见某即某”式口诀</x:v>
      </x:c>
      <x:c r="L114" s="214" t="str">
        <x:v>现代规则库需还原其适用前提、强弱与例外</x:v>
      </x:c>
      <x:c r="M114" s="214" t="str">
        <x:v>直接或可达的生克制化路径成立</x:v>
      </x:c>
      <x:c r="N114" s="214" t="str">
        <x:v>相关十神均以M10有效力量为准，且不存在决定性失衡</x:v>
      </x:c>
      <x:c r="O114" s="214" t="str">
        <x:v>结合M09日主承载判断</x:v>
      </x:c>
      <x:c r="P114" s="214" t="str">
        <x:v>主体、客体、作用路径与力量匹配均达到最低要求</x:v>
      </x:c>
      <x:c r="Q114" s="214" t="str">
        <x:v>相关十神有根、有源、透达、清纯且关键通路稳定</x:v>
      </x:c>
      <x:c r="R114" s="214" t="str">
        <x:v>关键十神被合绊、被制、改性、失效或力量严重失衡</x:v>
      </x:c>
      <x:c r="S114" s="214" t="str">
        <x:v>存在第三十神恢复通路、清除破坏或重新形成平衡</x:v>
      </x:c>
      <x:c r="T114" s="214" t="str">
        <x:v>任一核心十神失效，或不存在真实作用路径</x:v>
      </x:c>
      <x:c r="U114" s="214" t="str">
        <x:v>特殊格局、从化或月令格局另转M14/M15复审</x:v>
      </x:c>
      <x:c r="V114" s="214" t="str">
        <x:v>基本成立</x:v>
      </x:c>
      <x:c r="W114" s="214" t="str">
        <x:v>将口诀转成条件规则</x:v>
      </x:c>
      <x:c r="X114" s="214" t="str">
        <x:v>条件性</x:v>
      </x:c>
      <x:c r="Y114" s="214" t="str">
        <x:v>对应格局候选转M14</x:v>
      </x:c>
      <x:c r="Z114" s="214" t="str">
        <x:v>口诀条件化治理</x:v>
      </x:c>
      <x:c r="AA114" s="214" t="str">
        <x:v>十神组合边界：当主体、客体、路径与力量匹配满足最低标准时，判“基本成立”；是否上升为格局转M14/M15。</x:v>
      </x:c>
      <x:c r="AB114" s="214" t="str">
        <x:v>中等</x:v>
      </x:c>
      <x:c r="AC114" s="214" t="str">
        <x:v>现代综合</x:v>
      </x:c>
      <x:c r="AD114" s="214" t="str">
        <x:v>十神同时出现不等于组合成立。M11须同时验证核心十神有效性、作用路径、力量匹配、日主承载、破坏因素与救应；组合成立也不等于格局成立。</x:v>
      </x:c>
      <x:c r="AE114" s="214" t="str">
        <x:v>古籍存在“见某即某”式口诀；现代规则库需还原其适用前提、强弱与例外；作用路径稳定且无关键破坏，可按“十神组合边界”记录。</x:v>
      </x:c>
      <x:c r="AF114" s="214" t="str">
        <x:v>仅因“多个十神”同时出现，但核心十神无力、无作用路径或被关键因素破坏，不能判“十神组合边界”成立。</x:v>
      </x:c>
      <x:c r="AG114" s="214" t="str">
        <x:v>https://zh.wikisource.org/zh-hans/%E6%B7%B5%E6%B5%B7%E5%AD%90%E5%B9%B3 ; https://zh.wikisource.org/wiki/%E6%BB%B4%E5%A4%A9%E9%AB%93%E9%97%A1%E5%BE%AE</x:v>
      </x:c>
      <x:c r="AH114" s="214" t="str">
        <x:v>待验证</x:v>
      </x:c>
      <x:c r="AI114" s="214" t="str">
        <x:v>初审</x:v>
      </x:c>
      <x:c r="AJ114" s="217" t="n">
        <x:v>46255</x:v>
      </x:c>
    </x:row>
    <x:row r="115">
      <x:c r="A115" s="214" t="str">
        <x:f>IF(OR(C115="",D115=""),"",B115&amp;"-"&amp;UPPER(C115)&amp;"-"&amp;TEXT(D115,"0000")&amp;"-"&amp;E115)</x:f>
        <x:v>M11-BOUND-0109-V1.0</x:v>
      </x:c>
      <x:c r="B115" s="214" t="str">
        <x:v>M11</x:v>
      </x:c>
      <x:c r="C115" s="214" t="str">
        <x:v>BOUND</x:v>
      </x:c>
      <x:c r="D115" s="216" t="n">
        <x:v>109</x:v>
      </x:c>
      <x:c r="E115" s="214" t="str">
        <x:v>V1.0</x:v>
      </x:c>
      <x:c r="F115" s="214" t="str">
        <x:v>流派分歧组合进入M21治理</x:v>
      </x:c>
      <x:c r="G115" s="214" t="str">
        <x:v>结构层</x:v>
      </x:c>
      <x:c r="H115" s="214" t="str">
        <x:v>其他</x:v>
      </x:c>
      <x:c r="I115" s="214" t="str">
        <x:v>十神组合边界</x:v>
      </x:c>
      <x:c r="J115" s="214" t="str">
        <x:v>多个十神</x:v>
      </x:c>
      <x:c r="K115" s="214" t="str">
        <x:v>某组合的成立门槛、位置权重或吉凶解释存在显著流派差异</x:v>
      </x:c>
      <x:c r="L115" s="214" t="str">
        <x:v>不能形成稳定跨流派共识</x:v>
      </x:c>
      <x:c r="M115" s="214" t="str">
        <x:v>直接或可达的生克制化路径成立</x:v>
      </x:c>
      <x:c r="N115" s="214" t="str">
        <x:v>相关十神均以M10有效力量为准，且不存在决定性失衡</x:v>
      </x:c>
      <x:c r="O115" s="214" t="str">
        <x:v>结合M09日主承载判断</x:v>
      </x:c>
      <x:c r="P115" s="214" t="str">
        <x:v>主体、客体、作用路径与力量匹配均达到最低要求</x:v>
      </x:c>
      <x:c r="Q115" s="214" t="str">
        <x:v>相关十神有根、有源、透达、清纯且关键通路稳定</x:v>
      </x:c>
      <x:c r="R115" s="214" t="str">
        <x:v>关键十神被合绊、被制、改性、失效或力量严重失衡</x:v>
      </x:c>
      <x:c r="S115" s="214" t="str">
        <x:v>存在第三十神恢复通路、清除破坏或重新形成平衡</x:v>
      </x:c>
      <x:c r="T115" s="214" t="str">
        <x:v>任一核心十神失效，或不存在真实作用路径</x:v>
      </x:c>
      <x:c r="U115" s="214" t="str">
        <x:v>在M21登记争议、采用口径和反证</x:v>
      </x:c>
      <x:c r="V115" s="214" t="str">
        <x:v>待定</x:v>
      </x:c>
      <x:c r="W115" s="214" t="str">
        <x:v>形成局部生化、制化或承载结构</x:v>
      </x:c>
      <x:c r="X115" s="214" t="str">
        <x:v>条件性</x:v>
      </x:c>
      <x:c r="Y115" s="214" t="str">
        <x:v>对应格局候选转M14</x:v>
      </x:c>
      <x:c r="Z115" s="214" t="str">
        <x:v>组合流派治理</x:v>
      </x:c>
      <x:c r="AA115" s="214" t="str">
        <x:v>十神组合边界：当主体、客体、路径与力量匹配满足最低标准时，判“待定”；是否上升为格局转M14/M15。</x:v>
      </x:c>
      <x:c r="AB115" s="214" t="str">
        <x:v>中等</x:v>
      </x:c>
      <x:c r="AC115" s="214" t="str">
        <x:v>现代综合</x:v>
      </x:c>
      <x:c r="AD115" s="214" t="str">
        <x:v>十神同时出现不等于组合成立。M11须同时验证核心十神有效性、作用路径、力量匹配、日主承载、破坏因素与救应；组合成立也不等于格局成立。</x:v>
      </x:c>
      <x:c r="AE115" s="214" t="str">
        <x:v>某组合的成立门槛、位置权重或吉凶解释存在显著流派差异；不能形成稳定跨流派共识；作用路径稳定且无关键破坏，可按“十神组合边界”记录。</x:v>
      </x:c>
      <x:c r="AF115" s="214" t="str">
        <x:v>仅因“多个十神”同时出现，但核心十神无力、无作用路径或被关键因素破坏，不能判“十神组合边界”成立。</x:v>
      </x:c>
      <x:c r="AG115" s="214" t="str">
        <x:v>https://zh.wikisource.org/zh-hans/%E6%B7%B5%E6%B5%B7%E5%AD%90%E5%B9%B3 ; https://zh.wikisource.org/wiki/%E6%BB%B4%E5%A4%A9%E9%AB%93%E9%97%A1%E5%BE%AE</x:v>
      </x:c>
      <x:c r="AH115" s="214" t="str">
        <x:v>待验证</x:v>
      </x:c>
      <x:c r="AI115" s="214" t="str">
        <x:v>初审</x:v>
      </x:c>
      <x:c r="AJ115" s="217" t="n">
        <x:v>46255</x:v>
      </x:c>
    </x:row>
    <x:row r="116">
      <x:c r="A116" s="214" t="str">
        <x:f>IF(OR(C116="",D116=""),"",B116&amp;"-"&amp;UPPER(C116)&amp;"-"&amp;TEXT(D116,"0000")&amp;"-"&amp;E116)</x:f>
        <x:v>M11-BOUND-0110-V1.0</x:v>
      </x:c>
      <x:c r="B116" s="214" t="str">
        <x:v>M11</x:v>
      </x:c>
      <x:c r="C116" s="214" t="str">
        <x:v>BOUND</x:v>
      </x:c>
      <x:c r="D116" s="216" t="n">
        <x:v>110</x:v>
      </x:c>
      <x:c r="E116" s="214" t="str">
        <x:v>V1.0</x:v>
      </x:c>
      <x:c r="F116" s="214" t="str">
        <x:v>M11标准输出必须给出成立等级与否决理由</x:v>
      </x:c>
      <x:c r="G116" s="214" t="str">
        <x:v>结构层</x:v>
      </x:c>
      <x:c r="H116" s="214" t="str">
        <x:v>其他</x:v>
      </x:c>
      <x:c r="I116" s="214" t="str">
        <x:v>十神组合边界</x:v>
      </x:c>
      <x:c r="J116" s="214" t="str">
        <x:v>多个十神</x:v>
      </x:c>
      <x:c r="K116" s="214" t="str">
        <x:v>M11完成所有候选组合评估</x:v>
      </x:c>
      <x:c r="L116" s="214" t="str">
        <x:v>每个候选均需要明确为何成立、为何降级或为何不成立</x:v>
      </x:c>
      <x:c r="M116" s="214" t="str">
        <x:v>直接或可达的生克制化路径成立</x:v>
      </x:c>
      <x:c r="N116" s="214" t="str">
        <x:v>相关十神均以M10有效力量为准，且不存在决定性失衡</x:v>
      </x:c>
      <x:c r="O116" s="214" t="str">
        <x:v>结合M09日主承载判断</x:v>
      </x:c>
      <x:c r="P116" s="214" t="str">
        <x:v>成立条件、破坏、救应、否决和日主承载均有记录</x:v>
      </x:c>
      <x:c r="Q116" s="214" t="str">
        <x:v>相关十神有根、有源、透达、清纯且关键通路稳定</x:v>
      </x:c>
      <x:c r="R116" s="214" t="str">
        <x:v>关键十神被合绊、被制、改性、失效或力量严重失衡</x:v>
      </x:c>
      <x:c r="S116" s="214" t="str">
        <x:v>存在第三十神恢复通路、清除破坏或重新形成平衡</x:v>
      </x:c>
      <x:c r="T116" s="214" t="str">
        <x:v>任一核心十神失效，或不存在真实作用路径</x:v>
      </x:c>
      <x:c r="U116" s="214" t="str">
        <x:v>特殊格局、从化或月令格局另转M14/M15复审</x:v>
      </x:c>
      <x:c r="V116" s="214" t="str">
        <x:v>待定</x:v>
      </x:c>
      <x:c r="W116" s="214" t="str">
        <x:v>形成可审计组合输出</x:v>
      </x:c>
      <x:c r="X116" s="214" t="str">
        <x:v>待定</x:v>
      </x:c>
      <x:c r="Y116" s="214" t="str">
        <x:v>对应格局候选转M14</x:v>
      </x:c>
      <x:c r="Z116" s="214" t="str">
        <x:v>组合标准输出</x:v>
      </x:c>
      <x:c r="AA116" s="214" t="str">
        <x:v>M11最终输出：组合名称、核心十神、作用路径、力量匹配、日主承载、成立等级、实际功能、主要破坏、救应、否决理由、格局候选资格和置信度。</x:v>
      </x:c>
      <x:c r="AB116" s="214" t="str">
        <x:v>较高</x:v>
      </x:c>
      <x:c r="AC116" s="214" t="str">
        <x:v>现代综合</x:v>
      </x:c>
      <x:c r="AD116" s="214" t="str">
        <x:v>十神同时出现不等于组合成立。M11须同时验证核心十神有效性、作用路径、力量匹配、日主承载、破坏因素与救应；组合成立也不等于格局成立。</x:v>
      </x:c>
      <x:c r="AE116" s="214" t="str">
        <x:v>M11完成所有候选组合评估；每个候选均需要明确为何成立、为何降级或为何不成立；作用路径稳定且无关键破坏，可按“十神组合边界”记录。</x:v>
      </x:c>
      <x:c r="AF116" s="214" t="str">
        <x:v>仅因“多个十神”同时出现，但核心十神无力、无作用路径或被关键因素破坏，不能判“十神组合边界”成立。</x:v>
      </x:c>
      <x:c r="AG116" s="214" t="str">
        <x:v>https://zh.wikisource.org/zh-hans/%E6%B7%B5%E6%B5%B7%E5%AD%90%E5%B9%B3 ; https://zh.wikisource.org/wiki/%E6%BB%B4%E5%A4%A9%E9%AB%93%E9%97%A1%E5%BE%AE</x:v>
      </x:c>
      <x:c r="AH116" s="214" t="str">
        <x:v>采用</x:v>
      </x:c>
      <x:c r="AI116" s="214" t="str">
        <x:v>初审</x:v>
      </x:c>
      <x:c r="AJ116" s="217" t="n">
        <x:v>46255</x:v>
      </x:c>
    </x:row>
  </x:sheetData>
  <x:mergeCells>
    <x:mergeCell ref="A1:O1"/>
    <x:mergeCell ref="A2:O2"/>
    <x:mergeCell ref="A3:O3"/>
    <x:mergeCell ref="A4:O4"/>
  </x:mergeCells>
  <x:conditionalFormatting sqref="A6:A105">
    <x:cfRule type="expression" dxfId="9" priority="1">
      <x:formula>AND(A6&lt;&gt;"",COUNTIF($A$6:$A$105,A6)&gt;1)</x:formula>
    </x:cfRule>
  </x:conditionalFormatting>
  <x:dataValidations count="20">
    <x:dataValidation type="list" sqref="E6:E105">
      <x:formula1>'99_下拉选项'!$BG$4:$BG$12</x:formula1>
    </x:dataValidation>
    <x:dataValidation type="list" sqref="G6:G105">
      <x:formula1>'99_下拉选项'!$F$4:$F$7</x:formula1>
    </x:dataValidation>
    <x:dataValidation type="list" sqref="H6:H105">
      <x:formula1>'99_下拉选项'!$AQ$4:$AQ$8</x:formula1>
    </x:dataValidation>
    <x:dataValidation type="list" sqref="V6:V105">
      <x:formula1>'99_下拉选项'!$V$4:$V$9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'99_下拉选项'!$BG$4:$BG$14</x:formula1>
    </x:dataValidation>
    <x:dataValidation type="list" sqref="E7:E116">
      <x:formula1>'99_下拉选项'!$BG$4:$BG$16</x:formula1>
    </x:dataValidation>
    <x:dataValidation type="list" sqref="G7:G116">
      <x:formula1>'99_下拉选项'!$F$4:$F$7</x:formula1>
    </x:dataValidation>
    <x:dataValidation type="list" sqref="H7:H116">
      <x:formula1>'99_下拉选项'!$AQ$4:$AQ$8</x:formula1>
    </x:dataValidation>
    <x:dataValidation type="list" sqref="V7:V116">
      <x:formula1>'99_下拉选项'!$V$4:$V$9</x:formula1>
    </x:dataValidation>
    <x:dataValidation type="list" sqref="X7:X116">
      <x:formula1>'99_下拉选项'!$X$4:$X$7</x:formula1>
    </x:dataValidation>
    <x:dataValidation type="list" sqref="AB7:AB116">
      <x:formula1>'99_下拉选项'!$Q$4:$Q$8</x:formula1>
    </x:dataValidation>
    <x:dataValidation type="list" sqref="AC7:AC116">
      <x:formula1>'99_下拉选项'!$R$4:$R$11</x:formula1>
    </x:dataValidation>
    <x:dataValidation type="list" sqref="AH7:AH116">
      <x:formula1>'99_下拉选项'!$S$4:$S$9</x:formula1>
    </x:dataValidation>
    <x:dataValidation type="list" sqref="AI7:AI116">
      <x:formula1>'99_下拉选项'!$T$4:$T$8</x:formula1>
    </x:dataValidation>
  </x:dataValidations>
  <x:pageMargins left="0.7" right="0.7" top="0.75" bottom="0.75" header="0.3" footer="0.3"/>
  <x:tableParts count="1">
    <x:tablePart xmlns:r="http://schemas.openxmlformats.org/officeDocument/2006/relationships" r:id="R7aaf961586694677"/>
  </x:tableParts>
</x:worksheet>
</file>

<file path=xl/worksheets/sheet1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16"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M12｜五行与十神流通路径规则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把五行和十神关系表达为起点—桥梁—终点路径，定位缺桥、桥弱、两强相战、寒凝燥枯与终点不能承载等卡点。</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前置依赖：M06/M08/M10/M11　｜　主要输出：主要流通路径、卡点与通关候选　｜　直接下游：M13/M16/M17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路径类型</x:v>
      </x:c>
      <x:c r="I5" s="61" t="str">
        <x:v>起点</x:v>
      </x:c>
      <x:c r="J5" s="61" t="str">
        <x:v>中间桥梁</x:v>
      </x:c>
      <x:c r="K5" s="61" t="str">
        <x:v>终点</x:v>
      </x:c>
      <x:c r="L5" s="61" t="str">
        <x:v>起点强度</x:v>
      </x:c>
      <x:c r="M5" s="61" t="str">
        <x:v>桥梁强度</x:v>
      </x:c>
      <x:c r="N5" s="61" t="str">
        <x:v>桥梁状态</x:v>
      </x:c>
      <x:c r="O5" s="61" t="str">
        <x:v>终点承载</x:v>
      </x:c>
      <x:c r="P5" s="61" t="str">
        <x:v>连续性</x:v>
      </x:c>
      <x:c r="Q5" s="61" t="str">
        <x:v>流通状态</x:v>
      </x:c>
      <x:c r="R5" s="61" t="str">
        <x:v>卡点类型</x:v>
      </x:c>
      <x:c r="S5" s="61" t="str">
        <x:v>卡点位置</x:v>
      </x:c>
      <x:c r="T5" s="61" t="str">
        <x:v>卡点原因</x:v>
      </x:c>
      <x:c r="U5" s="61" t="str">
        <x:v>通关五行</x:v>
      </x:c>
      <x:c r="V5" s="61" t="str">
        <x:v>通关条件</x:v>
      </x:c>
      <x:c r="W5" s="61" t="str">
        <x:v>通关副作用</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M12-DEMO-9999-V0.1</x:v>
      </x:c>
      <x:c r="B6" s="76" t="str">
        <x:v>M12</x:v>
      </x:c>
      <x:c r="C6" s="76" t="str">
        <x:v>DEMO</x:v>
      </x:c>
      <x:c r="D6" s="78" t="n">
        <x:v>9999</x:v>
      </x:c>
      <x:c r="E6" s="76" t="str">
        <x:v>V0.1</x:v>
      </x:c>
      <x:c r="F6" s="76" t="str">
        <x:v>两强相战需寻找有效桥梁</x:v>
      </x:c>
      <x:c r="G6" s="76" t="str">
        <x:v>结构层</x:v>
      </x:c>
      <x:c r="H6" s="76" t="str">
        <x:v>五行生化路径</x:v>
      </x:c>
      <x:c r="I6" s="76" t="str">
        <x:v>金</x:v>
      </x:c>
      <x:c r="J6" s="76" t="str">
        <x:v>水</x:v>
      </x:c>
      <x:c r="K6" s="76" t="str">
        <x:v>木</x:v>
      </x:c>
      <x:c r="L6" s="76" t="str">
        <x:v>旺</x:v>
      </x:c>
      <x:c r="M6" s="76" t="str">
        <x:v>弱</x:v>
      </x:c>
      <x:c r="N6" s="76" t="str">
        <x:v>水弱或受土制</x:v>
      </x:c>
      <x:c r="O6" s="76" t="str">
        <x:v>木有根但受金克</x:v>
      </x:c>
      <x:c r="P6" s="76" t="str">
        <x:v>中断</x:v>
      </x:c>
      <x:c r="Q6" s="76" t="str">
        <x:v>明显阻断</x:v>
      </x:c>
      <x:c r="R6" s="76" t="str">
        <x:v>桥梁太弱</x:v>
      </x:c>
      <x:c r="S6" s="76" t="str">
        <x:v>水</x:v>
      </x:c>
      <x:c r="T6" s="76" t="str">
        <x:v>金木对战，水不足以泄金生木</x:v>
      </x:c>
      <x:c r="U6" s="76" t="str">
        <x:v>水</x:v>
      </x:c>
      <x:c r="V6" s="76" t="str">
        <x:v>水须有根有源且不被强土阻断</x:v>
      </x:c>
      <x:c r="W6" s="76" t="str">
        <x:v>水过强可能寒湿或进一步削弱火</x:v>
      </x:c>
      <x:c r="X6" s="76" t="str">
        <x:v>M08有效旺衰完成</x:v>
      </x:c>
      <x:c r="Y6" s="76" t="str">
        <x:v>确认金、木均形成实际对战</x:v>
      </x:c>
      <x:c r="Z6" s="76" t="str">
        <x:v>水得令、有根并能连续生木</x:v>
      </x:c>
      <x:c r="AA6" s="76" t="str">
        <x:v>水无根、受强土克或寒凝不流</x:v>
      </x:c>
      <x:c r="AB6" s="76" t="str">
        <x:v>缺水不等于一定需要补水；若金木并未构成主矛盾则不立此规则</x:v>
      </x:c>
      <x:c r="AC6" s="76" t="str">
        <x:v>若火可制金并承担更优病药功能，水不一定是首选</x:v>
      </x:c>
      <x:c r="AD6" s="76" t="str">
        <x:v>流通卡点</x:v>
      </x:c>
      <x:c r="AE6" s="76" t="str">
        <x:v>主要卡点位于水：其不足使金木之间缺少有效泄化桥梁；是否以水通关仍需审查寒湿与格局副作用。</x:v>
      </x:c>
      <x:c r="AF6" s="76" t="str">
        <x:v>中等</x:v>
      </x:c>
      <x:c r="AG6" s="76" t="str">
        <x:v>现代综合</x:v>
      </x:c>
      <x:c r="AH6" s="76" t="str">
        <x:v>流通判断关注有效路径，不以五行齐全与否替代。</x:v>
      </x:c>
      <x:c r="AI6" s="76" t="str">
        <x:v>金木两强相战，水有条件成为桥梁。</x:v>
      </x:c>
      <x:c r="AJ6" s="76" t="str">
        <x:v>仅因八字缺水便认定水是通关用神。</x:v>
      </x:c>
      <x:c r="AK6" s="76" t="str">
        <x:v>示例</x:v>
      </x:c>
      <x:c r="AL6" s="76" t="str">
        <x:v>未审核</x:v>
      </x:c>
      <x:c r="AM6" s="86" t="n">
        <x:v>46254</x:v>
      </x:c>
    </x:row>
    <x:row r="7">
      <x:c r="A7" s="72" t="str">
        <x:f>IF(OR(C7="",D7=""),"",B7&amp;"-"&amp;UPPER(C7)&amp;"-"&amp;TEXT(D7,"0000")&amp;"-"&amp;E7)</x:f>
        <x:v>M12-GEN-0001-V1.0</x:v>
      </x:c>
      <x:c r="B7" s="74" t="str">
        <x:v>M12</x:v>
      </x:c>
      <x:c r="C7" s="74" t="str">
        <x:v>GEN</x:v>
      </x:c>
      <x:c r="D7" s="215" t="n">
        <x:v>1</x:v>
      </x:c>
      <x:c r="E7" s="74" t="str">
        <x:v>V1.0</x:v>
      </x:c>
      <x:c r="F7" s="68" t="str">
        <x:v>所有流通判断统一使用起点—桥梁—终点模型</x:v>
      </x:c>
      <x:c r="G7" s="82" t="str">
        <x:v>结构层</x:v>
      </x:c>
      <x:c r="H7" s="68" t="str">
        <x:v>五行生化路径</x:v>
      </x:c>
      <x:c r="I7" s="68" t="str">
        <x:v>待定</x:v>
      </x:c>
      <x:c r="J7" s="68" t="str">
        <x:v>待定</x:v>
      </x:c>
      <x:c r="K7" s="68" t="str">
        <x:v>待定</x:v>
      </x:c>
      <x:c r="L7" s="82" t="str">
        <x:v>待定</x:v>
      </x:c>
      <x:c r="M7" s="82" t="str">
        <x:v>待定</x:v>
      </x:c>
      <x:c r="N7" s="68" t="str">
        <x:v>待定</x:v>
      </x:c>
      <x:c r="O7" s="68" t="str">
        <x:v>待定</x:v>
      </x:c>
      <x:c r="P7" s="68" t="str">
        <x:v>待定</x:v>
      </x:c>
      <x:c r="Q7" s="82" t="str">
        <x:v>待定</x:v>
      </x:c>
      <x:c r="R7" s="82" t="str">
        <x:v>其他</x:v>
      </x:c>
      <x:c r="S7" s="68" t="str">
        <x:v>待定</x:v>
      </x:c>
      <x:c r="T7" s="68" t="str">
        <x:v>流通结论需要至少明确力量从何处出发、经过什么节点、最终由谁承接</x:v>
      </x:c>
      <x:c r="U7" s="68" t="str">
        <x:v>待定</x:v>
      </x:c>
      <x:c r="V7" s="68" t="str">
        <x:v>待定</x:v>
      </x:c>
      <x:c r="W7" s="90" t="str">
        <x:v>需检查对调候、格局、日主承载及其他通路的副作用</x:v>
      </x:c>
      <x:c r="X7" s="68" t="str">
        <x:v>M06关系效应、M08五行有效旺衰、M10十神功能与M11组合判断已完成</x:v>
      </x:c>
      <x:c r="Y7" s="68" t="str">
        <x:v>起点、桥梁、终点均按有效力量与实际作用路径判断</x:v>
      </x:c>
      <x:c r="Z7" s="68" t="str">
        <x:v>桥梁有根有源、透达、位置可达且不存在关键制约</x:v>
      </x:c>
      <x:c r="AA7" s="68" t="str">
        <x:v>桥梁失令、无根、受克、合绊、改性或同时被多路调用</x:v>
      </x:c>
      <x:c r="AB7" s="90" t="str">
        <x:v>不得仅因五行缺失、数量少或关系名称直接认定卡点或通关用神</x:v>
      </x:c>
      <x:c r="AC7" s="68" t="str">
        <x:v>若存在更短、更强或副作用更小的替代路径，应并列比较后再裁定</x:v>
      </x:c>
      <x:c r="AD7" s="84" t="str">
        <x:v>流通三节点模型</x:v>
      </x:c>
      <x:c r="AE7" s="84" t="str">
        <x:v>所有流通判断统一使用起点—桥梁—终点模型：按起点—桥梁—终点检查有效力量、连续性与承载；卡点为“其他”时，仅生成通关候选，不直接定用神。</x:v>
      </x:c>
      <x:c r="AF7" s="82" t="str">
        <x:v>较高</x:v>
      </x:c>
      <x:c r="AG7" s="82" t="str">
        <x:v>现代综合</x:v>
      </x:c>
      <x:c r="AH7" s="68" t="str">
        <x:v>流通判断以五行有效力量、生克顺序与十神功能为核心；古典依据可参照《滴天髓》《渊海子平》。 https://zh.wikisource.org/wiki/%E6%BB%B4%E5%A4%A9%E9%AB%93%E9%97%A1%E5%BE%AE https://zh.wikisource.org/zh-hans/%E6%B7%B5%E6%B5%B7%E5%AD%90%E5%B9%B3</x:v>
      </x:c>
      <x:c r="AI7" s="68" t="str">
        <x:v>当“流通结论需要至少明确力量从何处出发、经过什么节点、最终由谁承接”真实成立，且桥梁具备有效力量和连续作用条件时，可按“所有流通判断统一使用起点—桥梁—终点模型”记录。</x:v>
      </x:c>
      <x:c r="AJ7" s="90" t="str">
        <x:v>仅见表面缺失或五行相克，但未证明“流通结论需要至少明确力量从何处出发、经过什么节点、最终由谁承接”形成实际阻断时，不得套用“所有流通判断统一使用起点—桥梁—终点模型”。</x:v>
      </x:c>
      <x:c r="AK7" s="82" t="str">
        <x:v>采用</x:v>
      </x:c>
      <x:c r="AL7" s="82" t="str">
        <x:v>初审</x:v>
      </x:c>
      <x:c r="AM7" s="87" t="n">
        <x:v>46255</x:v>
      </x:c>
    </x:row>
    <x:row r="8">
      <x:c r="A8" s="72" t="str">
        <x:f>IF(OR(C8="",D8=""),"",B8&amp;"-"&amp;UPPER(C8)&amp;"-"&amp;TEXT(D8,"0000")&amp;"-"&amp;E8)</x:f>
        <x:v>M12-GEN-0002-V1.0</x:v>
      </x:c>
      <x:c r="B8" s="74" t="str">
        <x:v>M12</x:v>
      </x:c>
      <x:c r="C8" s="74" t="str">
        <x:v>GEN</x:v>
      </x:c>
      <x:c r="D8" s="215" t="n">
        <x:v>2</x:v>
      </x:c>
      <x:c r="E8" s="74" t="str">
        <x:v>V1.0</x:v>
      </x:c>
      <x:c r="F8" s="68" t="str">
        <x:v>五行齐全不等于流通通畅</x:v>
      </x:c>
      <x:c r="G8" s="82" t="str">
        <x:v>结构层</x:v>
      </x:c>
      <x:c r="H8" s="68" t="str">
        <x:v>五行生化路径</x:v>
      </x:c>
      <x:c r="I8" s="68" t="str">
        <x:v>待定</x:v>
      </x:c>
      <x:c r="J8" s="68" t="str">
        <x:v>待定</x:v>
      </x:c>
      <x:c r="K8" s="68" t="str">
        <x:v>待定</x:v>
      </x:c>
      <x:c r="L8" s="82" t="str">
        <x:v>待定</x:v>
      </x:c>
      <x:c r="M8" s="82" t="str">
        <x:v>待定</x:v>
      </x:c>
      <x:c r="N8" s="68" t="str">
        <x:v>待定</x:v>
      </x:c>
      <x:c r="O8" s="68" t="str">
        <x:v>待定</x:v>
      </x:c>
      <x:c r="P8" s="68" t="str">
        <x:v>待定</x:v>
      </x:c>
      <x:c r="Q8" s="82" t="str">
        <x:v>待定</x:v>
      </x:c>
      <x:c r="R8" s="82" t="str">
        <x:v>其他</x:v>
      </x:c>
      <x:c r="S8" s="68" t="str">
        <x:v>待定</x:v>
      </x:c>
      <x:c r="T8" s="68" t="str">
        <x:v>五行虽齐，但桥梁可能失效、路径被克或终点无法承载</x:v>
      </x:c>
      <x:c r="U8" s="68" t="str">
        <x:v>待定</x:v>
      </x:c>
      <x:c r="V8" s="68" t="str">
        <x:v>待定</x:v>
      </x:c>
      <x:c r="W8" s="90" t="str">
        <x:v>需检查对调候、格局、日主承载及其他通路的副作用</x:v>
      </x:c>
      <x:c r="X8" s="68" t="str">
        <x:v>M06关系效应、M08五行有效旺衰、M10十神功能与M11组合判断已完成</x:v>
      </x:c>
      <x:c r="Y8" s="68" t="str">
        <x:v>起点、桥梁、终点均按有效力量与实际作用路径判断</x:v>
      </x:c>
      <x:c r="Z8" s="68" t="str">
        <x:v>桥梁有根有源、透达、位置可达且不存在关键制约</x:v>
      </x:c>
      <x:c r="AA8" s="68" t="str">
        <x:v>桥梁失令、无根、受克、合绊、改性或同时被多路调用</x:v>
      </x:c>
      <x:c r="AB8" s="90" t="str">
        <x:v>不得仅因五行缺失、数量少或关系名称直接认定卡点或通关用神</x:v>
      </x:c>
      <x:c r="AC8" s="68" t="str">
        <x:v>若存在更短、更强或副作用更小的替代路径，应并列比较后再裁定</x:v>
      </x:c>
      <x:c r="AD8" s="84" t="str">
        <x:v>五行齐全非充分条件</x:v>
      </x:c>
      <x:c r="AE8" s="84" t="str">
        <x:v>五行齐全不等于流通通畅：按起点—桥梁—终点检查有效力量、连续性与承载；卡点为“其他”时，仅生成通关候选，不直接定用神。</x:v>
      </x:c>
      <x:c r="AF8" s="82" t="str">
        <x:v>较高</x:v>
      </x:c>
      <x:c r="AG8" s="82" t="str">
        <x:v>现代综合</x:v>
      </x:c>
      <x:c r="AH8" s="68" t="str">
        <x:v>流通判断以五行有效力量、生克顺序与十神功能为核心；古典依据可参照《滴天髓》《渊海子平》。 https://zh.wikisource.org/wiki/%E6%BB%B4%E5%A4%A9%E9%AB%93%E9%97%A1%E5%BE%AE https://zh.wikisource.org/zh-hans/%E6%B7%B5%E6%B5%B7%E5%AD%90%E5%B9%B3</x:v>
      </x:c>
      <x:c r="AI8" s="68" t="str">
        <x:v>当“五行虽齐，但桥梁可能失效、路径被克或终点无法承载”真实成立，且桥梁具备有效力量和连续作用条件时，可按“五行齐全不等于流通通畅”记录。</x:v>
      </x:c>
      <x:c r="AJ8" s="90" t="str">
        <x:v>仅见表面缺失或五行相克，但未证明“五行虽齐，但桥梁可能失效、路径被克或终点无法承载”形成实际阻断时，不得套用“五行齐全不等于流通通畅”。</x:v>
      </x:c>
      <x:c r="AK8" s="82" t="str">
        <x:v>采用</x:v>
      </x:c>
      <x:c r="AL8" s="82" t="str">
        <x:v>初审</x:v>
      </x:c>
      <x:c r="AM8" s="87" t="n">
        <x:v>46255</x:v>
      </x:c>
    </x:row>
    <x:row r="9">
      <x:c r="A9" s="72" t="str">
        <x:f>IF(OR(C9="",D9=""),"",B9&amp;"-"&amp;UPPER(C9)&amp;"-"&amp;TEXT(D9,"0000")&amp;"-"&amp;E9)</x:f>
        <x:v>M12-GEN-0003-V1.0</x:v>
      </x:c>
      <x:c r="B9" s="74" t="str">
        <x:v>M12</x:v>
      </x:c>
      <x:c r="C9" s="74" t="str">
        <x:v>GEN</x:v>
      </x:c>
      <x:c r="D9" s="215" t="n">
        <x:v>3</x:v>
      </x:c>
      <x:c r="E9" s="74" t="str">
        <x:v>V1.0</x:v>
      </x:c>
      <x:c r="F9" s="68" t="str">
        <x:v>五行缺失不等于必然形成卡点</x:v>
      </x:c>
      <x:c r="G9" s="82" t="str">
        <x:v>结构层</x:v>
      </x:c>
      <x:c r="H9" s="68" t="str">
        <x:v>五行生化路径</x:v>
      </x:c>
      <x:c r="I9" s="68" t="str">
        <x:v>待定</x:v>
      </x:c>
      <x:c r="J9" s="68" t="str">
        <x:v>待定</x:v>
      </x:c>
      <x:c r="K9" s="68" t="str">
        <x:v>待定</x:v>
      </x:c>
      <x:c r="L9" s="82" t="str">
        <x:v>待定</x:v>
      </x:c>
      <x:c r="M9" s="82" t="str">
        <x:v>待定</x:v>
      </x:c>
      <x:c r="N9" s="68" t="str">
        <x:v>待定</x:v>
      </x:c>
      <x:c r="O9" s="68" t="str">
        <x:v>待定</x:v>
      </x:c>
      <x:c r="P9" s="68" t="str">
        <x:v>待定</x:v>
      </x:c>
      <x:c r="Q9" s="82" t="str">
        <x:v>待定</x:v>
      </x:c>
      <x:c r="R9" s="82" t="str">
        <x:v>缺桥</x:v>
      </x:c>
      <x:c r="S9" s="68" t="str">
        <x:v>待定</x:v>
      </x:c>
      <x:c r="T9" s="68" t="str">
        <x:v>缺失五行并非当前主路径必要桥梁，或存在其他有效路径</x:v>
      </x:c>
      <x:c r="U9" s="68" t="str">
        <x:v>待定</x:v>
      </x:c>
      <x:c r="V9" s="68" t="str">
        <x:v>待定</x:v>
      </x:c>
      <x:c r="W9" s="90" t="str">
        <x:v>需检查对调候、格局、日主承载及其他通路的副作用</x:v>
      </x:c>
      <x:c r="X9" s="68" t="str">
        <x:v>M06关系效应、M08五行有效旺衰、M10十神功能与M11组合判断已完成</x:v>
      </x:c>
      <x:c r="Y9" s="68" t="str">
        <x:v>起点、桥梁、终点均按有效力量与实际作用路径判断</x:v>
      </x:c>
      <x:c r="Z9" s="68" t="str">
        <x:v>桥梁有根有源、透达、位置可达且不存在关键制约</x:v>
      </x:c>
      <x:c r="AA9" s="68" t="str">
        <x:v>桥梁失令、无根、受克、合绊、改性或同时被多路调用</x:v>
      </x:c>
      <x:c r="AB9" s="90" t="str">
        <x:v>不得仅因五行缺失、数量少或关系名称直接认定卡点或通关用神</x:v>
      </x:c>
      <x:c r="AC9" s="68" t="str">
        <x:v>若存在更短、更强或副作用更小的替代路径，应并列比较后再裁定</x:v>
      </x:c>
      <x:c r="AD9" s="84" t="str">
        <x:v>五行缺失非卡点充分条件</x:v>
      </x:c>
      <x:c r="AE9" s="84" t="str">
        <x:v>五行缺失不等于必然形成卡点：按起点—桥梁—终点检查有效力量、连续性与承载；卡点为“缺桥”时，仅生成通关候选，不直接定用神。</x:v>
      </x:c>
      <x:c r="AF9" s="82" t="str">
        <x:v>较高</x:v>
      </x:c>
      <x:c r="AG9" s="82" t="str">
        <x:v>现代综合</x:v>
      </x:c>
      <x:c r="AH9" s="68" t="str">
        <x:v>流通判断以五行有效力量、生克顺序与十神功能为核心；古典依据可参照《滴天髓》《渊海子平》。 https://zh.wikisource.org/wiki/%E6%BB%B4%E5%A4%A9%E9%AB%93%E9%97%A1%E5%BE%AE https://zh.wikisource.org/zh-hans/%E6%B7%B5%E6%B5%B7%E5%AD%90%E5%B9%B3</x:v>
      </x:c>
      <x:c r="AI9" s="68" t="str">
        <x:v>当“缺失五行并非当前主路径必要桥梁，或存在其他有效路径”真实成立，且桥梁具备有效力量和连续作用条件时，可按“五行缺失不等于必然形成卡点”记录。</x:v>
      </x:c>
      <x:c r="AJ9" s="90" t="str">
        <x:v>仅见表面缺失或五行相克，但未证明“缺失五行并非当前主路径必要桥梁，或存在其他有效路径”形成实际阻断时，不得套用“五行缺失不等于必然形成卡点”。</x:v>
      </x:c>
      <x:c r="AK9" s="82" t="str">
        <x:v>采用</x:v>
      </x:c>
      <x:c r="AL9" s="82" t="str">
        <x:v>初审</x:v>
      </x:c>
      <x:c r="AM9" s="87" t="n">
        <x:v>46255</x:v>
      </x:c>
    </x:row>
    <x:row r="10">
      <x:c r="A10" s="72" t="str">
        <x:f>IF(OR(C10="",D10=""),"",B10&amp;"-"&amp;UPPER(C10)&amp;"-"&amp;TEXT(D10,"0000")&amp;"-"&amp;E10)</x:f>
        <x:v>M12-GEN-0004-V1.0</x:v>
      </x:c>
      <x:c r="B10" s="74" t="str">
        <x:v>M12</x:v>
      </x:c>
      <x:c r="C10" s="74" t="str">
        <x:v>GEN</x:v>
      </x:c>
      <x:c r="D10" s="215" t="n">
        <x:v>4</x:v>
      </x:c>
      <x:c r="E10" s="74" t="str">
        <x:v>V1.0</x:v>
      </x:c>
      <x:c r="F10" s="68" t="str">
        <x:v>流通只读取有效力量而不读取名义存在</x:v>
      </x:c>
      <x:c r="G10" s="82" t="str">
        <x:v>结构层</x:v>
      </x:c>
      <x:c r="H10" s="68" t="str">
        <x:v>五行生化路径</x:v>
      </x:c>
      <x:c r="I10" s="68" t="str">
        <x:v>待定</x:v>
      </x:c>
      <x:c r="J10" s="68" t="str">
        <x:v>待定</x:v>
      </x:c>
      <x:c r="K10" s="68" t="str">
        <x:v>待定</x:v>
      </x:c>
      <x:c r="L10" s="82" t="str">
        <x:v>待定</x:v>
      </x:c>
      <x:c r="M10" s="82" t="str">
        <x:v>待定</x:v>
      </x:c>
      <x:c r="N10" s="68" t="str">
        <x:v>待定</x:v>
      </x:c>
      <x:c r="O10" s="68" t="str">
        <x:v>待定</x:v>
      </x:c>
      <x:c r="P10" s="68" t="str">
        <x:v>待定</x:v>
      </x:c>
      <x:c r="Q10" s="82" t="str">
        <x:v>局部阻塞</x:v>
      </x:c>
      <x:c r="R10" s="82" t="str">
        <x:v>桥梁太弱</x:v>
      </x:c>
      <x:c r="S10" s="68" t="str">
        <x:v>待定</x:v>
      </x:c>
      <x:c r="T10" s="68" t="str">
        <x:v>某五行虽有字但M08已判失效、受限或改性</x:v>
      </x:c>
      <x:c r="U10" s="68" t="str">
        <x:v>待定</x:v>
      </x:c>
      <x:c r="V10" s="68" t="str">
        <x:v>待定</x:v>
      </x:c>
      <x:c r="W10" s="90" t="str">
        <x:v>需检查对调候、格局、日主承载及其他通路的副作用</x:v>
      </x:c>
      <x:c r="X10" s="68" t="str">
        <x:v>M06关系效应、M08五行有效旺衰、M10十神功能与M11组合判断已完成</x:v>
      </x:c>
      <x:c r="Y10" s="68" t="str">
        <x:v>起点、桥梁、终点均按有效力量与实际作用路径判断</x:v>
      </x:c>
      <x:c r="Z10" s="68" t="str">
        <x:v>桥梁有根有源、透达、位置可达且不存在关键制约</x:v>
      </x:c>
      <x:c r="AA10" s="68" t="str">
        <x:v>桥梁失令、无根、受克、合绊、改性或同时被多路调用</x:v>
      </x:c>
      <x:c r="AB10" s="90" t="str">
        <x:v>不得仅因五行缺失、数量少或关系名称直接认定卡点或通关用神</x:v>
      </x:c>
      <x:c r="AC10" s="68" t="str">
        <x:v>若存在更短、更强或副作用更小的替代路径，应并列比较后再裁定</x:v>
      </x:c>
      <x:c r="AD10" s="84" t="str">
        <x:v>有效力量优先</x:v>
      </x:c>
      <x:c r="AE10" s="84" t="str">
        <x:v>流通只读取有效力量而不读取名义存在：按起点—桥梁—终点检查有效力量、连续性与承载；卡点为“桥梁太弱”时，仅生成通关候选，不直接定用神。</x:v>
      </x:c>
      <x:c r="AF10" s="82" t="str">
        <x:v>较高</x:v>
      </x:c>
      <x:c r="AG10" s="82" t="str">
        <x:v>现代综合</x:v>
      </x:c>
      <x:c r="AH10" s="68" t="str">
        <x:v>流通判断以五行有效力量、生克顺序与十神功能为核心；古典依据可参照《滴天髓》《渊海子平》。 https://zh.wikisource.org/wiki/%E6%BB%B4%E5%A4%A9%E9%AB%93%E9%97%A1%E5%BE%AE https://zh.wikisource.org/zh-hans/%E6%B7%B5%E6%B5%B7%E5%AD%90%E5%B9%B3</x:v>
      </x:c>
      <x:c r="AI10" s="68" t="str">
        <x:v>当“某五行虽有字但M08已判失效、受限或改性”真实成立，且桥梁具备有效力量和连续作用条件时，可按“流通只读取有效力量而不读取名义存在”记录。</x:v>
      </x:c>
      <x:c r="AJ10" s="90" t="str">
        <x:v>仅见表面缺失或五行相克，但未证明“某五行虽有字但M08已判失效、受限或改性”形成实际阻断时，不得套用“流通只读取有效力量而不读取名义存在”。</x:v>
      </x:c>
      <x:c r="AK10" s="82" t="str">
        <x:v>采用</x:v>
      </x:c>
      <x:c r="AL10" s="82" t="str">
        <x:v>初审</x:v>
      </x:c>
      <x:c r="AM10" s="87" t="n">
        <x:v>46255</x:v>
      </x:c>
    </x:row>
    <x:row r="11">
      <x:c r="A11" s="72" t="str">
        <x:f>IF(OR(C11="",D11=""),"",B11&amp;"-"&amp;UPPER(C11)&amp;"-"&amp;TEXT(D11,"0000")&amp;"-"&amp;E11)</x:f>
        <x:v>M12-GEN-0005-V1.0</x:v>
      </x:c>
      <x:c r="B11" s="74" t="str">
        <x:v>M12</x:v>
      </x:c>
      <x:c r="C11" s="74" t="str">
        <x:v>GEN</x:v>
      </x:c>
      <x:c r="D11" s="215" t="n">
        <x:v>5</x:v>
      </x:c>
      <x:c r="E11" s="74" t="str">
        <x:v>V1.0</x:v>
      </x:c>
      <x:c r="F11" s="68" t="str">
        <x:v>路径长度增加会降低末端有效传递</x:v>
      </x:c>
      <x:c r="G11" s="82" t="str">
        <x:v>结构层</x:v>
      </x:c>
      <x:c r="H11" s="68" t="str">
        <x:v>五行生化路径</x:v>
      </x:c>
      <x:c r="I11" s="68" t="str">
        <x:v>待定</x:v>
      </x:c>
      <x:c r="J11" s="68" t="str">
        <x:v>待定</x:v>
      </x:c>
      <x:c r="K11" s="68" t="str">
        <x:v>待定</x:v>
      </x:c>
      <x:c r="L11" s="82" t="str">
        <x:v>待定</x:v>
      </x:c>
      <x:c r="M11" s="82" t="str">
        <x:v>待定</x:v>
      </x:c>
      <x:c r="N11" s="68" t="str">
        <x:v>待定</x:v>
      </x:c>
      <x:c r="O11" s="68" t="str">
        <x:v>待定</x:v>
      </x:c>
      <x:c r="P11" s="68" t="str">
        <x:v>待定</x:v>
      </x:c>
      <x:c r="Q11" s="82" t="str">
        <x:v>局部阻塞</x:v>
      </x:c>
      <x:c r="R11" s="82" t="str">
        <x:v>链路过长</x:v>
      </x:c>
      <x:c r="S11" s="68" t="str">
        <x:v>待定</x:v>
      </x:c>
      <x:c r="T11" s="68" t="str">
        <x:v>力量需要跨越多个连续生化节点，且每层存在耗散与容量限制</x:v>
      </x:c>
      <x:c r="U11" s="68" t="str">
        <x:v>待定</x:v>
      </x:c>
      <x:c r="V11" s="68" t="str">
        <x:v>待定</x:v>
      </x:c>
      <x:c r="W11" s="90" t="str">
        <x:v>需检查对调候、格局、日主承载及其他通路的副作用</x:v>
      </x:c>
      <x:c r="X11" s="68" t="str">
        <x:v>M06关系效应、M08五行有效旺衰、M10十神功能与M11组合判断已完成</x:v>
      </x:c>
      <x:c r="Y11" s="68" t="str">
        <x:v>起点、桥梁、终点均按有效力量与实际作用路径判断</x:v>
      </x:c>
      <x:c r="Z11" s="68" t="str">
        <x:v>桥梁有根有源、透达、位置可达且不存在关键制约</x:v>
      </x:c>
      <x:c r="AA11" s="68" t="str">
        <x:v>桥梁失令、无根、受克、合绊、改性或同时被多路调用</x:v>
      </x:c>
      <x:c r="AB11" s="90" t="str">
        <x:v>不得仅因五行缺失、数量少或关系名称直接认定卡点或通关用神</x:v>
      </x:c>
      <x:c r="AC11" s="68" t="str">
        <x:v>若存在更短、更强或副作用更小的替代路径，应并列比较后再裁定</x:v>
      </x:c>
      <x:c r="AD11" s="84" t="str">
        <x:v>链路长度衰减</x:v>
      </x:c>
      <x:c r="AE11" s="84" t="str">
        <x:v>路径长度增加会降低末端有效传递：按起点—桥梁—终点检查有效力量、连续性与承载；卡点为“链路过长”时，仅生成通关候选，不直接定用神。</x:v>
      </x:c>
      <x:c r="AF11" s="82" t="str">
        <x:v>较高</x:v>
      </x:c>
      <x:c r="AG11" s="82" t="str">
        <x:v>现代综合</x:v>
      </x:c>
      <x:c r="AH11" s="68" t="str">
        <x:v>流通判断以五行有效力量、生克顺序与十神功能为核心；古典依据可参照《滴天髓》《渊海子平》。 https://zh.wikisource.org/wiki/%E6%BB%B4%E5%A4%A9%E9%AB%93%E9%97%A1%E5%BE%AE https://zh.wikisource.org/zh-hans/%E6%B7%B5%E6%B5%B7%E5%AD%90%E5%B9%B3</x:v>
      </x:c>
      <x:c r="AI11" s="68" t="str">
        <x:v>当“力量需要跨越多个连续生化节点，且每层存在耗散与容量限制”真实成立，且桥梁具备有效力量和连续作用条件时，可按“路径长度增加会降低末端有效传递”记录。</x:v>
      </x:c>
      <x:c r="AJ11" s="90" t="str">
        <x:v>仅见表面缺失或五行相克，但未证明“力量需要跨越多个连续生化节点，且每层存在耗散与容量限制”形成实际阻断时，不得套用“路径长度增加会降低末端有效传递”。</x:v>
      </x:c>
      <x:c r="AK11" s="82" t="str">
        <x:v>采用</x:v>
      </x:c>
      <x:c r="AL11" s="82" t="str">
        <x:v>初审</x:v>
      </x:c>
      <x:c r="AM11" s="87" t="n">
        <x:v>46255</x:v>
      </x:c>
    </x:row>
    <x:row r="12">
      <x:c r="A12" s="72" t="str">
        <x:f>IF(OR(C12="",D12=""),"",B12&amp;"-"&amp;UPPER(C12)&amp;"-"&amp;TEXT(D12,"0000")&amp;"-"&amp;E12)</x:f>
        <x:v>M12-GEN-0006-V1.0</x:v>
      </x:c>
      <x:c r="B12" s="74" t="str">
        <x:v>M12</x:v>
      </x:c>
      <x:c r="C12" s="74" t="str">
        <x:v>GEN</x:v>
      </x:c>
      <x:c r="D12" s="215" t="n">
        <x:v>6</x:v>
      </x:c>
      <x:c r="E12" s="74" t="str">
        <x:v>V1.0</x:v>
      </x:c>
      <x:c r="F12" s="68" t="str">
        <x:v>同一节点参与多条路径必须进行容量去重</x:v>
      </x:c>
      <x:c r="G12" s="82" t="str">
        <x:v>结构层</x:v>
      </x:c>
      <x:c r="H12" s="68" t="str">
        <x:v>五行生化路径</x:v>
      </x:c>
      <x:c r="I12" s="68" t="str">
        <x:v>待定</x:v>
      </x:c>
      <x:c r="J12" s="68" t="str">
        <x:v>待定</x:v>
      </x:c>
      <x:c r="K12" s="68" t="str">
        <x:v>待定</x:v>
      </x:c>
      <x:c r="L12" s="82" t="str">
        <x:v>待定</x:v>
      </x:c>
      <x:c r="M12" s="82" t="str">
        <x:v>待定</x:v>
      </x:c>
      <x:c r="N12" s="68" t="str">
        <x:v>待定</x:v>
      </x:c>
      <x:c r="O12" s="68" t="str">
        <x:v>待定</x:v>
      </x:c>
      <x:c r="P12" s="68" t="str">
        <x:v>待定</x:v>
      </x:c>
      <x:c r="Q12" s="82" t="str">
        <x:v>待定</x:v>
      </x:c>
      <x:c r="R12" s="82" t="str">
        <x:v>其他</x:v>
      </x:c>
      <x:c r="S12" s="68" t="str">
        <x:v>待定</x:v>
      </x:c>
      <x:c r="T12" s="68" t="str">
        <x:v>同一五行或十神被多个起点、终点或组合同时调用</x:v>
      </x:c>
      <x:c r="U12" s="68" t="str">
        <x:v>待定</x:v>
      </x:c>
      <x:c r="V12" s="68" t="str">
        <x:v>待定</x:v>
      </x:c>
      <x:c r="W12" s="90" t="str">
        <x:v>需检查对调候、格局、日主承载及其他通路的副作用</x:v>
      </x:c>
      <x:c r="X12" s="68" t="str">
        <x:v>M06关系效应、M08五行有效旺衰、M10十神功能与M11组合判断已完成</x:v>
      </x:c>
      <x:c r="Y12" s="68" t="str">
        <x:v>起点、桥梁、终点均按有效力量与实际作用路径判断</x:v>
      </x:c>
      <x:c r="Z12" s="68" t="str">
        <x:v>桥梁有根有源、透达、位置可达且不存在关键制约</x:v>
      </x:c>
      <x:c r="AA12" s="68" t="str">
        <x:v>桥梁失令、无根、受克、合绊、改性或同时被多路调用</x:v>
      </x:c>
      <x:c r="AB12" s="90" t="str">
        <x:v>不得仅因五行缺失、数量少或关系名称直接认定卡点或通关用神</x:v>
      </x:c>
      <x:c r="AC12" s="68" t="str">
        <x:v>若存在更短、更强或副作用更小的替代路径，应并列比较后再裁定</x:v>
      </x:c>
      <x:c r="AD12" s="84" t="str">
        <x:v>路径容量去重</x:v>
      </x:c>
      <x:c r="AE12" s="84" t="str">
        <x:v>同一节点参与多条路径必须进行容量去重：按起点—桥梁—终点检查有效力量、连续性与承载；卡点为“其他”时，仅生成通关候选，不直接定用神。</x:v>
      </x:c>
      <x:c r="AF12" s="82" t="str">
        <x:v>较高</x:v>
      </x:c>
      <x:c r="AG12" s="82" t="str">
        <x:v>现代综合</x:v>
      </x:c>
      <x:c r="AH12" s="68" t="str">
        <x:v>流通判断以五行有效力量、生克顺序与十神功能为核心；古典依据可参照《滴天髓》《渊海子平》。 https://zh.wikisource.org/wiki/%E6%BB%B4%E5%A4%A9%E9%AB%93%E9%97%A1%E5%BE%AE https://zh.wikisource.org/zh-hans/%E6%B7%B5%E6%B5%B7%E5%AD%90%E5%B9%B3</x:v>
      </x:c>
      <x:c r="AI12" s="68" t="str">
        <x:v>当“同一五行或十神被多个起点、终点或组合同时调用”真实成立，且桥梁具备有效力量和连续作用条件时，可按“同一节点参与多条路径必须进行容量去重”记录。</x:v>
      </x:c>
      <x:c r="AJ12" s="90" t="str">
        <x:v>仅见表面缺失或五行相克，但未证明“同一五行或十神被多个起点、终点或组合同时调用”形成实际阻断时，不得套用“同一节点参与多条路径必须进行容量去重”。</x:v>
      </x:c>
      <x:c r="AK12" s="82" t="str">
        <x:v>采用</x:v>
      </x:c>
      <x:c r="AL12" s="82" t="str">
        <x:v>初审</x:v>
      </x:c>
      <x:c r="AM12" s="87" t="n">
        <x:v>46255</x:v>
      </x:c>
    </x:row>
    <x:row r="13">
      <x:c r="A13" s="72" t="str">
        <x:f>IF(OR(C13="",D13=""),"",B13&amp;"-"&amp;UPPER(C13)&amp;"-"&amp;TEXT(D13,"0000")&amp;"-"&amp;E13)</x:f>
        <x:v>M12-GEN-0007-V1.0</x:v>
      </x:c>
      <x:c r="B13" s="74" t="str">
        <x:v>M12</x:v>
      </x:c>
      <x:c r="C13" s="74" t="str">
        <x:v>GEN</x:v>
      </x:c>
      <x:c r="D13" s="215" t="n">
        <x:v>7</x:v>
      </x:c>
      <x:c r="E13" s="74" t="str">
        <x:v>V1.0</x:v>
      </x:c>
      <x:c r="F13" s="68" t="str">
        <x:v>流通路径应优先保留更短更稳定的主路径</x:v>
      </x:c>
      <x:c r="G13" s="82" t="str">
        <x:v>结构层</x:v>
      </x:c>
      <x:c r="H13" s="68" t="str">
        <x:v>五行生化路径</x:v>
      </x:c>
      <x:c r="I13" s="68" t="str">
        <x:v>待定</x:v>
      </x:c>
      <x:c r="J13" s="68" t="str">
        <x:v>待定</x:v>
      </x:c>
      <x:c r="K13" s="68" t="str">
        <x:v>待定</x:v>
      </x:c>
      <x:c r="L13" s="82" t="str">
        <x:v>待定</x:v>
      </x:c>
      <x:c r="M13" s="82" t="str">
        <x:v>待定</x:v>
      </x:c>
      <x:c r="N13" s="68" t="str">
        <x:v>待定</x:v>
      </x:c>
      <x:c r="O13" s="68" t="str">
        <x:v>待定</x:v>
      </x:c>
      <x:c r="P13" s="68" t="str">
        <x:v>待定</x:v>
      </x:c>
      <x:c r="Q13" s="82" t="str">
        <x:v>基本通畅</x:v>
      </x:c>
      <x:c r="R13" s="82" t="str">
        <x:v>其他</x:v>
      </x:c>
      <x:c r="S13" s="68" t="str">
        <x:v>待定</x:v>
      </x:c>
      <x:c r="T13" s="68" t="str">
        <x:v>存在两条以上可达路径，但长度、桥梁强度和副作用差异明显</x:v>
      </x:c>
      <x:c r="U13" s="68" t="str">
        <x:v>待定</x:v>
      </x:c>
      <x:c r="V13" s="68" t="str">
        <x:v>待定</x:v>
      </x:c>
      <x:c r="W13" s="90" t="str">
        <x:v>需检查对调候、格局、日主承载及其他通路的副作用</x:v>
      </x:c>
      <x:c r="X13" s="68" t="str">
        <x:v>M06关系效应、M08五行有效旺衰、M10十神功能与M11组合判断已完成</x:v>
      </x:c>
      <x:c r="Y13" s="68" t="str">
        <x:v>起点、桥梁、终点均按有效力量与实际作用路径判断</x:v>
      </x:c>
      <x:c r="Z13" s="68" t="str">
        <x:v>桥梁有根有源、透达、位置可达且不存在关键制约</x:v>
      </x:c>
      <x:c r="AA13" s="68" t="str">
        <x:v>桥梁失令、无根、受克、合绊、改性或同时被多路调用</x:v>
      </x:c>
      <x:c r="AB13" s="90" t="str">
        <x:v>不得仅因五行缺失、数量少或关系名称直接认定卡点或通关用神</x:v>
      </x:c>
      <x:c r="AC13" s="68" t="str">
        <x:v>若存在更短、更强或副作用更小的替代路径，应并列比较后再裁定</x:v>
      </x:c>
      <x:c r="AD13" s="84" t="str">
        <x:v>主路径优选</x:v>
      </x:c>
      <x:c r="AE13" s="84" t="str">
        <x:v>流通路径应优先保留更短更稳定的主路径：按起点—桥梁—终点检查有效力量、连续性与承载；卡点为“其他”时，仅生成通关候选，不直接定用神。</x:v>
      </x:c>
      <x:c r="AF13" s="82" t="str">
        <x:v>较高</x:v>
      </x:c>
      <x:c r="AG13" s="82" t="str">
        <x:v>现代综合</x:v>
      </x:c>
      <x:c r="AH13" s="68" t="str">
        <x:v>流通判断以五行有效力量、生克顺序与十神功能为核心；古典依据可参照《滴天髓》《渊海子平》。 https://zh.wikisource.org/wiki/%E6%BB%B4%E5%A4%A9%E9%AB%93%E9%97%A1%E5%BE%AE https://zh.wikisource.org/zh-hans/%E6%B7%B5%E6%B5%B7%E5%AD%90%E5%B9%B3</x:v>
      </x:c>
      <x:c r="AI13" s="68" t="str">
        <x:v>当“存在两条以上可达路径，但长度、桥梁强度和副作用差异明显”真实成立，且桥梁具备有效力量和连续作用条件时，可按“流通路径应优先保留更短更稳定的主路径”记录。</x:v>
      </x:c>
      <x:c r="AJ13" s="90" t="str">
        <x:v>仅见表面缺失或五行相克，但未证明“存在两条以上可达路径，但长度、桥梁强度和副作用差异明显”形成实际阻断时，不得套用“流通路径应优先保留更短更稳定的主路径”。</x:v>
      </x:c>
      <x:c r="AK13" s="82" t="str">
        <x:v>采用</x:v>
      </x:c>
      <x:c r="AL13" s="82" t="str">
        <x:v>初审</x:v>
      </x:c>
      <x:c r="AM13" s="87" t="n">
        <x:v>46255</x:v>
      </x:c>
    </x:row>
    <x:row r="14">
      <x:c r="A14" s="72" t="str">
        <x:f>IF(OR(C14="",D14=""),"",B14&amp;"-"&amp;UPPER(C14)&amp;"-"&amp;TEXT(D14,"0000")&amp;"-"&amp;E14)</x:f>
        <x:v>M12-GEN-0008-V1.0</x:v>
      </x:c>
      <x:c r="B14" s="74" t="str">
        <x:v>M12</x:v>
      </x:c>
      <x:c r="C14" s="74" t="str">
        <x:v>GEN</x:v>
      </x:c>
      <x:c r="D14" s="215" t="n">
        <x:v>8</x:v>
      </x:c>
      <x:c r="E14" s="74" t="str">
        <x:v>V1.0</x:v>
      </x:c>
      <x:c r="F14" s="68" t="str">
        <x:v>局部通畅不等于全局通畅</x:v>
      </x:c>
      <x:c r="G14" s="82" t="str">
        <x:v>结构层</x:v>
      </x:c>
      <x:c r="H14" s="68" t="str">
        <x:v>五行生化路径</x:v>
      </x:c>
      <x:c r="I14" s="68" t="str">
        <x:v>待定</x:v>
      </x:c>
      <x:c r="J14" s="68" t="str">
        <x:v>待定</x:v>
      </x:c>
      <x:c r="K14" s="68" t="str">
        <x:v>待定</x:v>
      </x:c>
      <x:c r="L14" s="82" t="str">
        <x:v>待定</x:v>
      </x:c>
      <x:c r="M14" s="82" t="str">
        <x:v>待定</x:v>
      </x:c>
      <x:c r="N14" s="68" t="str">
        <x:v>待定</x:v>
      </x:c>
      <x:c r="O14" s="68" t="str">
        <x:v>待定</x:v>
      </x:c>
      <x:c r="P14" s="68" t="str">
        <x:v>待定</x:v>
      </x:c>
      <x:c r="Q14" s="82" t="str">
        <x:v>局部阻塞</x:v>
      </x:c>
      <x:c r="R14" s="82" t="str">
        <x:v>其他</x:v>
      </x:c>
      <x:c r="S14" s="68" t="str">
        <x:v>待定</x:v>
      </x:c>
      <x:c r="T14" s="68" t="str">
        <x:v>一条生化链顺畅但另一处仍存在两强相战、壅塞或终点失衡</x:v>
      </x:c>
      <x:c r="U14" s="68" t="str">
        <x:v>待定</x:v>
      </x:c>
      <x:c r="V14" s="68" t="str">
        <x:v>待定</x:v>
      </x:c>
      <x:c r="W14" s="90" t="str">
        <x:v>需检查对调候、格局、日主承载及其他通路的副作用</x:v>
      </x:c>
      <x:c r="X14" s="68" t="str">
        <x:v>M06关系效应、M08五行有效旺衰、M10十神功能与M11组合判断已完成</x:v>
      </x:c>
      <x:c r="Y14" s="68" t="str">
        <x:v>起点、桥梁、终点均按有效力量与实际作用路径判断</x:v>
      </x:c>
      <x:c r="Z14" s="68" t="str">
        <x:v>桥梁有根有源、透达、位置可达且不存在关键制约</x:v>
      </x:c>
      <x:c r="AA14" s="68" t="str">
        <x:v>桥梁失令、无根、受克、合绊、改性或同时被多路调用</x:v>
      </x:c>
      <x:c r="AB14" s="90" t="str">
        <x:v>不得仅因五行缺失、数量少或关系名称直接认定卡点或通关用神</x:v>
      </x:c>
      <x:c r="AC14" s="68" t="str">
        <x:v>若存在更短、更强或副作用更小的替代路径，应并列比较后再裁定</x:v>
      </x:c>
      <x:c r="AD14" s="84" t="str">
        <x:v>局部全局分离</x:v>
      </x:c>
      <x:c r="AE14" s="84" t="str">
        <x:v>局部通畅不等于全局通畅：按起点—桥梁—终点检查有效力量、连续性与承载；卡点为“其他”时，仅生成通关候选，不直接定用神。</x:v>
      </x:c>
      <x:c r="AF14" s="82" t="str">
        <x:v>较高</x:v>
      </x:c>
      <x:c r="AG14" s="82" t="str">
        <x:v>现代综合</x:v>
      </x:c>
      <x:c r="AH14" s="68" t="str">
        <x:v>流通判断以五行有效力量、生克顺序与十神功能为核心；古典依据可参照《滴天髓》《渊海子平》。 https://zh.wikisource.org/wiki/%E6%BB%B4%E5%A4%A9%E9%AB%93%E9%97%A1%E5%BE%AE https://zh.wikisource.org/zh-hans/%E6%B7%B5%E6%B5%B7%E5%AD%90%E5%B9%B3</x:v>
      </x:c>
      <x:c r="AI14" s="68" t="str">
        <x:v>当“一条生化链顺畅但另一处仍存在两强相战、壅塞或终点失衡”真实成立，且桥梁具备有效力量和连续作用条件时，可按“局部通畅不等于全局通畅”记录。</x:v>
      </x:c>
      <x:c r="AJ14" s="90" t="str">
        <x:v>仅见表面缺失或五行相克，但未证明“一条生化链顺畅但另一处仍存在两强相战、壅塞或终点失衡”形成实际阻断时，不得套用“局部通畅不等于全局通畅”。</x:v>
      </x:c>
      <x:c r="AK14" s="82" t="str">
        <x:v>采用</x:v>
      </x:c>
      <x:c r="AL14" s="82" t="str">
        <x:v>初审</x:v>
      </x:c>
      <x:c r="AM14" s="87" t="n">
        <x:v>46255</x:v>
      </x:c>
    </x:row>
    <x:row r="15">
      <x:c r="A15" s="72" t="str">
        <x:f>IF(OR(C15="",D15=""),"",B15&amp;"-"&amp;UPPER(C15)&amp;"-"&amp;TEXT(D15,"0000")&amp;"-"&amp;E15)</x:f>
        <x:v>M12-GEN-0009-V1.0</x:v>
      </x:c>
      <x:c r="B15" s="74" t="str">
        <x:v>M12</x:v>
      </x:c>
      <x:c r="C15" s="74" t="str">
        <x:v>GEN</x:v>
      </x:c>
      <x:c r="D15" s="215" t="n">
        <x:v>9</x:v>
      </x:c>
      <x:c r="E15" s="74" t="str">
        <x:v>V1.0</x:v>
      </x:c>
      <x:c r="F15" s="68" t="str">
        <x:v>流通状态必须区分通畅、基本通畅、局部阻塞、明显阻断和无有效路径</x:v>
      </x:c>
      <x:c r="G15" s="82" t="str">
        <x:v>结构层</x:v>
      </x:c>
      <x:c r="H15" s="68" t="str">
        <x:v>五行生化路径</x:v>
      </x:c>
      <x:c r="I15" s="68" t="str">
        <x:v>待定</x:v>
      </x:c>
      <x:c r="J15" s="68" t="str">
        <x:v>待定</x:v>
      </x:c>
      <x:c r="K15" s="68" t="str">
        <x:v>待定</x:v>
      </x:c>
      <x:c r="L15" s="82" t="str">
        <x:v>待定</x:v>
      </x:c>
      <x:c r="M15" s="82" t="str">
        <x:v>待定</x:v>
      </x:c>
      <x:c r="N15" s="68" t="str">
        <x:v>待定</x:v>
      </x:c>
      <x:c r="O15" s="68" t="str">
        <x:v>待定</x:v>
      </x:c>
      <x:c r="P15" s="68" t="str">
        <x:v>待定</x:v>
      </x:c>
      <x:c r="Q15" s="82" t="str">
        <x:v>待定</x:v>
      </x:c>
      <x:c r="R15" s="82" t="str">
        <x:v>其他</x:v>
      </x:c>
      <x:c r="S15" s="68" t="str">
        <x:v>待定</x:v>
      </x:c>
      <x:c r="T15" s="68" t="str">
        <x:v>路径有效程度存在层级差异，不能只用通或不通二分</x:v>
      </x:c>
      <x:c r="U15" s="68" t="str">
        <x:v>待定</x:v>
      </x:c>
      <x:c r="V15" s="68" t="str">
        <x:v>待定</x:v>
      </x:c>
      <x:c r="W15" s="90" t="str">
        <x:v>需检查对调候、格局、日主承载及其他通路的副作用</x:v>
      </x:c>
      <x:c r="X15" s="68" t="str">
        <x:v>M06关系效应、M08五行有效旺衰、M10十神功能与M11组合判断已完成</x:v>
      </x:c>
      <x:c r="Y15" s="68" t="str">
        <x:v>起点、桥梁、终点均按有效力量与实际作用路径判断</x:v>
      </x:c>
      <x:c r="Z15" s="68" t="str">
        <x:v>桥梁有根有源、透达、位置可达且不存在关键制约</x:v>
      </x:c>
      <x:c r="AA15" s="68" t="str">
        <x:v>桥梁失令、无根、受克、合绊、改性或同时被多路调用</x:v>
      </x:c>
      <x:c r="AB15" s="90" t="str">
        <x:v>不得仅因五行缺失、数量少或关系名称直接认定卡点或通关用神</x:v>
      </x:c>
      <x:c r="AC15" s="68" t="str">
        <x:v>若存在更短、更强或副作用更小的替代路径，应并列比较后再裁定</x:v>
      </x:c>
      <x:c r="AD15" s="84" t="str">
        <x:v>流通五级状态</x:v>
      </x:c>
      <x:c r="AE15" s="84" t="str">
        <x:v>流通状态必须区分通畅、基本通畅、局部阻塞、明显阻断和无有效路径：按起点—桥梁—终点检查有效力量、连续性与承载；卡点为“其他”时，仅生成通关候选，不直接定用神。</x:v>
      </x:c>
      <x:c r="AF15" s="82" t="str">
        <x:v>较高</x:v>
      </x:c>
      <x:c r="AG15" s="82" t="str">
        <x:v>现代综合</x:v>
      </x:c>
      <x:c r="AH15" s="68" t="str">
        <x:v>流通判断以五行有效力量、生克顺序与十神功能为核心；古典依据可参照《滴天髓》《渊海子平》。 https://zh.wikisource.org/wiki/%E6%BB%B4%E5%A4%A9%E9%AB%93%E9%97%A1%E5%BE%AE https://zh.wikisource.org/zh-hans/%E6%B7%B5%E6%B5%B7%E5%AD%90%E5%B9%B3</x:v>
      </x:c>
      <x:c r="AI15" s="68" t="str">
        <x:v>当“路径有效程度存在层级差异，不能只用通或不通二分”真实成立，且桥梁具备有效力量和连续作用条件时，可按“流通状态必须区分通畅、基本通畅、局部阻塞、明显阻断和无有效路径”记录。</x:v>
      </x:c>
      <x:c r="AJ15" s="90" t="str">
        <x:v>仅见表面缺失或五行相克，但未证明“路径有效程度存在层级差异，不能只用通或不通二分”形成实际阻断时，不得套用“流通状态必须区分通畅、基本通畅、局部阻塞、明显阻断和无有效路径”。</x:v>
      </x:c>
      <x:c r="AK15" s="82" t="str">
        <x:v>采用</x:v>
      </x:c>
      <x:c r="AL15" s="82" t="str">
        <x:v>初审</x:v>
      </x:c>
      <x:c r="AM15" s="87" t="n">
        <x:v>46255</x:v>
      </x:c>
    </x:row>
    <x:row r="16">
      <x:c r="A16" s="72" t="str">
        <x:f>IF(OR(C16="",D16=""),"",B16&amp;"-"&amp;UPPER(C16)&amp;"-"&amp;TEXT(D16,"0000")&amp;"-"&amp;E16)</x:f>
        <x:v>M12-GEN-0010-V1.0</x:v>
      </x:c>
      <x:c r="B16" s="74" t="str">
        <x:v>M12</x:v>
      </x:c>
      <x:c r="C16" s="74" t="str">
        <x:v>GEN</x:v>
      </x:c>
      <x:c r="D16" s="215" t="n">
        <x:v>10</x:v>
      </x:c>
      <x:c r="E16" s="74" t="str">
        <x:v>V1.0</x:v>
      </x:c>
      <x:c r="F16" s="68" t="str">
        <x:v>通关候选不等于喜神或用神</x:v>
      </x:c>
      <x:c r="G16" s="82" t="str">
        <x:v>结构层</x:v>
      </x:c>
      <x:c r="H16" s="68" t="str">
        <x:v>五行生化路径</x:v>
      </x:c>
      <x:c r="I16" s="68" t="str">
        <x:v>待定</x:v>
      </x:c>
      <x:c r="J16" s="68" t="str">
        <x:v>待定</x:v>
      </x:c>
      <x:c r="K16" s="68" t="str">
        <x:v>待定</x:v>
      </x:c>
      <x:c r="L16" s="82" t="str">
        <x:v>待定</x:v>
      </x:c>
      <x:c r="M16" s="82" t="str">
        <x:v>待定</x:v>
      </x:c>
      <x:c r="N16" s="68" t="str">
        <x:v>待定</x:v>
      </x:c>
      <x:c r="O16" s="68" t="str">
        <x:v>待定</x:v>
      </x:c>
      <x:c r="P16" s="68" t="str">
        <x:v>待定</x:v>
      </x:c>
      <x:c r="Q16" s="82" t="str">
        <x:v>待定</x:v>
      </x:c>
      <x:c r="R16" s="82" t="str">
        <x:v>其他</x:v>
      </x:c>
      <x:c r="S16" s="68" t="str">
        <x:v>待定</x:v>
      </x:c>
      <x:c r="T16" s="68" t="str">
        <x:v>某五行能够连接两端，但可能带来寒湿、燥烈、破格或日主承载副作用</x:v>
      </x:c>
      <x:c r="U16" s="68" t="str">
        <x:v>待定</x:v>
      </x:c>
      <x:c r="V16" s="68" t="str">
        <x:v>待定</x:v>
      </x:c>
      <x:c r="W16" s="90" t="str">
        <x:v>必须转M13/M16/M17检查调候、病药、格局和扶抑副作用</x:v>
      </x:c>
      <x:c r="X16" s="68" t="str">
        <x:v>M06关系效应、M08五行有效旺衰、M10十神功能与M11组合判断已完成</x:v>
      </x:c>
      <x:c r="Y16" s="68" t="str">
        <x:v>起点、桥梁、终点均按有效力量与实际作用路径判断</x:v>
      </x:c>
      <x:c r="Z16" s="68" t="str">
        <x:v>桥梁有根有源、透达、位置可达且不存在关键制约</x:v>
      </x:c>
      <x:c r="AA16" s="68" t="str">
        <x:v>桥梁失令、无根、受克、合绊、改性或同时被多路调用</x:v>
      </x:c>
      <x:c r="AB16" s="90" t="str">
        <x:v>不得仅因五行缺失、数量少或关系名称直接认定卡点或通关用神</x:v>
      </x:c>
      <x:c r="AC16" s="68" t="str">
        <x:v>若存在更短、更强或副作用更小的替代路径，应并列比较后再裁定</x:v>
      </x:c>
      <x:c r="AD16" s="84" t="str">
        <x:v>通关与喜忌分离</x:v>
      </x:c>
      <x:c r="AE16" s="84" t="str">
        <x:v>通关候选不等于喜神或用神：按起点—桥梁—终点检查有效力量、连续性与承载；卡点为“其他”时，仅生成通关候选，不直接定用神。</x:v>
      </x:c>
      <x:c r="AF16" s="82" t="str">
        <x:v>较高</x:v>
      </x:c>
      <x:c r="AG16" s="82" t="str">
        <x:v>现代综合</x:v>
      </x:c>
      <x:c r="AH16" s="68" t="str">
        <x:v>流通判断以五行有效力量、生克顺序与十神功能为核心；古典依据可参照《滴天髓》《渊海子平》。 https://zh.wikisource.org/wiki/%E6%BB%B4%E5%A4%A9%E9%AB%93%E9%97%A1%E5%BE%AE https://zh.wikisource.org/zh-hans/%E6%B7%B5%E6%B5%B7%E5%AD%90%E5%B9%B3</x:v>
      </x:c>
      <x:c r="AI16" s="68" t="str">
        <x:v>当“某五行能够连接两端，但可能带来寒湿、燥烈、破格或日主承载副作用”真实成立，且桥梁具备有效力量和连续作用条件时，可按“通关候选不等于喜神或用神”记录。</x:v>
      </x:c>
      <x:c r="AJ16" s="90" t="str">
        <x:v>仅见表面缺失或五行相克，但未证明“某五行能够连接两端，但可能带来寒湿、燥烈、破格或日主承载副作用”形成实际阻断时，不得套用“通关候选不等于喜神或用神”。</x:v>
      </x:c>
      <x:c r="AK16" s="82" t="str">
        <x:v>采用</x:v>
      </x:c>
      <x:c r="AL16" s="82" t="str">
        <x:v>初审</x:v>
      </x:c>
      <x:c r="AM16" s="87" t="n">
        <x:v>46255</x:v>
      </x:c>
    </x:row>
    <x:row r="17">
      <x:c r="A17" s="72" t="str">
        <x:f>IF(OR(C17="",D17=""),"",B17&amp;"-"&amp;UPPER(C17)&amp;"-"&amp;TEXT(D17,"0000")&amp;"-"&amp;E17)</x:f>
        <x:v>M12-SOURCE-0011-V1.0</x:v>
      </x:c>
      <x:c r="B17" s="74" t="str">
        <x:v>M12</x:v>
      </x:c>
      <x:c r="C17" s="74" t="str">
        <x:v>SOURCE</x:v>
      </x:c>
      <x:c r="D17" s="215" t="n">
        <x:v>11</x:v>
      </x:c>
      <x:c r="E17" s="74" t="str">
        <x:v>V1.0</x:v>
      </x:c>
      <x:c r="F17" s="68" t="str">
        <x:v>强源头必须有可持续输出路径</x:v>
      </x:c>
      <x:c r="G17" s="82" t="str">
        <x:v>结构层</x:v>
      </x:c>
      <x:c r="H17" s="68" t="str">
        <x:v>五行生化路径</x:v>
      </x:c>
      <x:c r="I17" s="68" t="str">
        <x:v>任一旺强五行</x:v>
      </x:c>
      <x:c r="J17" s="68" t="str">
        <x:v>其所生五行</x:v>
      </x:c>
      <x:c r="K17" s="68" t="str">
        <x:v>下游五行</x:v>
      </x:c>
      <x:c r="L17" s="82" t="str">
        <x:v>旺</x:v>
      </x:c>
      <x:c r="M17" s="82" t="str">
        <x:v>待定</x:v>
      </x:c>
      <x:c r="N17" s="68" t="str">
        <x:v>待定</x:v>
      </x:c>
      <x:c r="O17" s="68" t="str">
        <x:v>待定</x:v>
      </x:c>
      <x:c r="P17" s="68" t="str">
        <x:v>待定</x:v>
      </x:c>
      <x:c r="Q17" s="82" t="str">
        <x:v>局部阻塞</x:v>
      </x:c>
      <x:c r="R17" s="82" t="str">
        <x:v>源头过旺无泄</x:v>
      </x:c>
      <x:c r="S17" s="68" t="str">
        <x:v>起点</x:v>
      </x:c>
      <x:c r="T17" s="68" t="str">
        <x:v>源头旺强但没有有效泄出或转化通道</x:v>
      </x:c>
      <x:c r="U17" s="68" t="str">
        <x:v>源头所生五行</x:v>
      </x:c>
      <x:c r="V17" s="68" t="str">
        <x:v>桥梁必须真实有效且终点能够承接</x:v>
      </x:c>
      <x:c r="W17" s="90" t="str">
        <x:v>需检查对调候、格局、日主承载及其他通路的副作用</x:v>
      </x:c>
      <x:c r="X17" s="68" t="str">
        <x:v>M06关系效应、M08五行有效旺衰、M10十神功能与M11组合判断已完成</x:v>
      </x:c>
      <x:c r="Y17" s="68" t="str">
        <x:v>起点、桥梁、终点均按有效力量与实际作用路径判断</x:v>
      </x:c>
      <x:c r="Z17" s="68" t="str">
        <x:v>桥梁有根有源、透达、位置可达且不存在关键制约</x:v>
      </x:c>
      <x:c r="AA17" s="68" t="str">
        <x:v>桥梁失令、无根、受克、合绊、改性或同时被多路调用</x:v>
      </x:c>
      <x:c r="AB17" s="90" t="str">
        <x:v>不得仅因五行缺失、数量少或关系名称直接认定卡点或通关用神</x:v>
      </x:c>
      <x:c r="AC17" s="68" t="str">
        <x:v>若存在更短、更强或副作用更小的替代路径，应并列比较后再裁定</x:v>
      </x:c>
      <x:c r="AD17" s="84" t="str">
        <x:v>M12_SOURCE_流通判定</x:v>
      </x:c>
      <x:c r="AE17" s="84" t="str">
        <x:v>强源头必须有可持续输出路径：按起点—桥梁—终点检查有效力量、连续性与承载；卡点为“源头过旺无泄”时，仅生成通关候选，不直接定用神。</x:v>
      </x:c>
      <x:c r="AF17" s="82" t="str">
        <x:v>较高</x:v>
      </x:c>
      <x:c r="AG17" s="82" t="str">
        <x:v>现代综合</x:v>
      </x:c>
      <x:c r="AH17" s="68" t="str">
        <x:v>流通判断以五行有效力量、生克顺序与十神功能为核心；古典依据可参照《滴天髓》《渊海子平》。 https://zh.wikisource.org/wiki/%E6%BB%B4%E5%A4%A9%E9%AB%93%E9%97%A1%E5%BE%AE https://zh.wikisource.org/zh-hans/%E6%B7%B5%E6%B5%B7%E5%AD%90%E5%B9%B3</x:v>
      </x:c>
      <x:c r="AI17" s="68" t="str">
        <x:v>当“源头旺强但没有有效泄出或转化通道”真实成立，且桥梁具备有效力量和连续作用条件时，可按“强源头必须有可持续输出路径”记录。</x:v>
      </x:c>
      <x:c r="AJ17" s="90" t="str">
        <x:v>仅见表面缺失或五行相克，但未证明“源头旺强但没有有效泄出或转化通道”形成实际阻断时，不得套用“强源头必须有可持续输出路径”。</x:v>
      </x:c>
      <x:c r="AK17" s="82" t="str">
        <x:v>采用</x:v>
      </x:c>
      <x:c r="AL17" s="82" t="str">
        <x:v>初审</x:v>
      </x:c>
      <x:c r="AM17" s="87" t="n">
        <x:v>46255</x:v>
      </x:c>
    </x:row>
    <x:row r="18">
      <x:c r="A18" s="72" t="str">
        <x:f>IF(OR(C18="",D18=""),"",B18&amp;"-"&amp;UPPER(C18)&amp;"-"&amp;TEXT(D18,"0000")&amp;"-"&amp;E18)</x:f>
        <x:v>M12-SOURCE-0012-V1.0</x:v>
      </x:c>
      <x:c r="B18" s="74" t="str">
        <x:v>M12</x:v>
      </x:c>
      <x:c r="C18" s="74" t="str">
        <x:v>SOURCE</x:v>
      </x:c>
      <x:c r="D18" s="215" t="n">
        <x:v>12</x:v>
      </x:c>
      <x:c r="E18" s="74" t="str">
        <x:v>V1.0</x:v>
      </x:c>
      <x:c r="F18" s="68" t="str">
        <x:v>极旺源头无泄时优先标记壅塞风险</x:v>
      </x:c>
      <x:c r="G18" s="82" t="str">
        <x:v>结构层</x:v>
      </x:c>
      <x:c r="H18" s="68" t="str">
        <x:v>五行生化路径</x:v>
      </x:c>
      <x:c r="I18" s="68" t="str">
        <x:v>任一极旺五行</x:v>
      </x:c>
      <x:c r="J18" s="68" t="str">
        <x:v>其所生五行</x:v>
      </x:c>
      <x:c r="K18" s="68" t="str">
        <x:v>下游五行</x:v>
      </x:c>
      <x:c r="L18" s="82" t="str">
        <x:v>极旺</x:v>
      </x:c>
      <x:c r="M18" s="82" t="str">
        <x:v>待定</x:v>
      </x:c>
      <x:c r="N18" s="68" t="str">
        <x:v>待定</x:v>
      </x:c>
      <x:c r="O18" s="68" t="str">
        <x:v>待定</x:v>
      </x:c>
      <x:c r="P18" s="68" t="str">
        <x:v>待定</x:v>
      </x:c>
      <x:c r="Q18" s="82" t="str">
        <x:v>明显阻断</x:v>
      </x:c>
      <x:c r="R18" s="82" t="str">
        <x:v>源头过旺无泄</x:v>
      </x:c>
      <x:c r="S18" s="68" t="str">
        <x:v>起点</x:v>
      </x:c>
      <x:c r="T18" s="68" t="str">
        <x:v>源头极旺且下游桥梁弱、失效或完全缺失</x:v>
      </x:c>
      <x:c r="U18" s="68" t="str">
        <x:v>待定</x:v>
      </x:c>
      <x:c r="V18" s="68" t="str">
        <x:v>待定</x:v>
      </x:c>
      <x:c r="W18" s="90" t="str">
        <x:v>需检查对调候、格局、日主承载及其他通路的副作用</x:v>
      </x:c>
      <x:c r="X18" s="68" t="str">
        <x:v>M06关系效应、M08五行有效旺衰、M10十神功能与M11组合判断已完成</x:v>
      </x:c>
      <x:c r="Y18" s="68" t="str">
        <x:v>起点、桥梁、终点均按有效力量与实际作用路径判断</x:v>
      </x:c>
      <x:c r="Z18" s="68" t="str">
        <x:v>桥梁有根有源、透达、位置可达且不存在关键制约</x:v>
      </x:c>
      <x:c r="AA18" s="68" t="str">
        <x:v>桥梁失令、无根、受克、合绊、改性或同时被多路调用</x:v>
      </x:c>
      <x:c r="AB18" s="90" t="str">
        <x:v>不得仅因五行缺失、数量少或关系名称直接认定卡点或通关用神</x:v>
      </x:c>
      <x:c r="AC18" s="68" t="str">
        <x:v>若存在更短、更强或副作用更小的替代路径，应并列比较后再裁定</x:v>
      </x:c>
      <x:c r="AD18" s="84" t="str">
        <x:v>M12_SOURCE_流通判定</x:v>
      </x:c>
      <x:c r="AE18" s="84" t="str">
        <x:v>极旺源头无泄时优先标记壅塞风险：按起点—桥梁—终点检查有效力量、连续性与承载；卡点为“源头过旺无泄”时，仅生成通关候选，不直接定用神。</x:v>
      </x:c>
      <x:c r="AF18" s="82" t="str">
        <x:v>较高</x:v>
      </x:c>
      <x:c r="AG18" s="82" t="str">
        <x:v>现代综合</x:v>
      </x:c>
      <x:c r="AH18" s="68" t="str">
        <x:v>流通判断以五行有效力量、生克顺序与十神功能为核心；古典依据可参照《滴天髓》《渊海子平》。 https://zh.wikisource.org/wiki/%E6%BB%B4%E5%A4%A9%E9%AB%93%E9%97%A1%E5%BE%AE https://zh.wikisource.org/zh-hans/%E6%B7%B5%E6%B5%B7%E5%AD%90%E5%B9%B3</x:v>
      </x:c>
      <x:c r="AI18" s="68" t="str">
        <x:v>当“源头极旺且下游桥梁弱、失效或完全缺失”真实成立，且桥梁具备有效力量和连续作用条件时，可按“极旺源头无泄时优先标记壅塞风险”记录。</x:v>
      </x:c>
      <x:c r="AJ18" s="90" t="str">
        <x:v>仅见表面缺失或五行相克，但未证明“源头极旺且下游桥梁弱、失效或完全缺失”形成实际阻断时，不得套用“极旺源头无泄时优先标记壅塞风险”。</x:v>
      </x:c>
      <x:c r="AK18" s="82" t="str">
        <x:v>采用</x:v>
      </x:c>
      <x:c r="AL18" s="82" t="str">
        <x:v>初审</x:v>
      </x:c>
      <x:c r="AM18" s="87" t="n">
        <x:v>46255</x:v>
      </x:c>
    </x:row>
    <x:row r="19">
      <x:c r="A19" s="72" t="str">
        <x:f>IF(OR(C19="",D19=""),"",B19&amp;"-"&amp;UPPER(C19)&amp;"-"&amp;TEXT(D19,"0000")&amp;"-"&amp;E19)</x:f>
        <x:v>M12-SOURCE-0013-V1.0</x:v>
      </x:c>
      <x:c r="B19" s="74" t="str">
        <x:v>M12</x:v>
      </x:c>
      <x:c r="C19" s="74" t="str">
        <x:v>SOURCE</x:v>
      </x:c>
      <x:c r="D19" s="215" t="n">
        <x:v>13</x:v>
      </x:c>
      <x:c r="E19" s="74" t="str">
        <x:v>V1.0</x:v>
      </x:c>
      <x:c r="F19" s="68" t="str">
        <x:v>弱源头不足以支撑长链流通</x:v>
      </x:c>
      <x:c r="G19" s="82" t="str">
        <x:v>结构层</x:v>
      </x:c>
      <x:c r="H19" s="68" t="str">
        <x:v>五行生化路径</x:v>
      </x:c>
      <x:c r="I19" s="68" t="str">
        <x:v>任一弱五行</x:v>
      </x:c>
      <x:c r="J19" s="68" t="str">
        <x:v>第一桥梁</x:v>
      </x:c>
      <x:c r="K19" s="68" t="str">
        <x:v>两层以上终点</x:v>
      </x:c>
      <x:c r="L19" s="82" t="str">
        <x:v>弱</x:v>
      </x:c>
      <x:c r="M19" s="82" t="str">
        <x:v>待定</x:v>
      </x:c>
      <x:c r="N19" s="68" t="str">
        <x:v>待定</x:v>
      </x:c>
      <x:c r="O19" s="68" t="str">
        <x:v>待定</x:v>
      </x:c>
      <x:c r="P19" s="68" t="str">
        <x:v>待定</x:v>
      </x:c>
      <x:c r="Q19" s="82" t="str">
        <x:v>局部阻塞</x:v>
      </x:c>
      <x:c r="R19" s="82" t="str">
        <x:v>链路过长</x:v>
      </x:c>
      <x:c r="S19" s="68" t="str">
        <x:v>起点</x:v>
      </x:c>
      <x:c r="T19" s="68" t="str">
        <x:v>源头自身有效力量不足，无法持续供应后续多层生化</x:v>
      </x:c>
      <x:c r="U19" s="68" t="str">
        <x:v>待定</x:v>
      </x:c>
      <x:c r="V19" s="68" t="str">
        <x:v>待定</x:v>
      </x:c>
      <x:c r="W19" s="90" t="str">
        <x:v>需检查对调候、格局、日主承载及其他通路的副作用</x:v>
      </x:c>
      <x:c r="X19" s="68" t="str">
        <x:v>M06关系效应、M08五行有效旺衰、M10十神功能与M11组合判断已完成</x:v>
      </x:c>
      <x:c r="Y19" s="68" t="str">
        <x:v>起点、桥梁、终点均按有效力量与实际作用路径判断</x:v>
      </x:c>
      <x:c r="Z19" s="68" t="str">
        <x:v>桥梁有根有源、透达、位置可达且不存在关键制约</x:v>
      </x:c>
      <x:c r="AA19" s="68" t="str">
        <x:v>桥梁失令、无根、受克、合绊、改性或同时被多路调用</x:v>
      </x:c>
      <x:c r="AB19" s="90" t="str">
        <x:v>不得仅因五行缺失、数量少或关系名称直接认定卡点或通关用神</x:v>
      </x:c>
      <x:c r="AC19" s="68" t="str">
        <x:v>若存在更短、更强或副作用更小的替代路径，应并列比较后再裁定</x:v>
      </x:c>
      <x:c r="AD19" s="84" t="str">
        <x:v>M12_SOURCE_流通判定</x:v>
      </x:c>
      <x:c r="AE19" s="84" t="str">
        <x:v>弱源头不足以支撑长链流通：按起点—桥梁—终点检查有效力量、连续性与承载；卡点为“链路过长”时，仅生成通关候选，不直接定用神。</x:v>
      </x:c>
      <x:c r="AF19" s="82" t="str">
        <x:v>较高</x:v>
      </x:c>
      <x:c r="AG19" s="82" t="str">
        <x:v>现代综合</x:v>
      </x:c>
      <x:c r="AH19" s="68" t="str">
        <x:v>流通判断以五行有效力量、生克顺序与十神功能为核心；古典依据可参照《滴天髓》《渊海子平》。 https://zh.wikisource.org/wiki/%E6%BB%B4%E5%A4%A9%E9%AB%93%E9%97%A1%E5%BE%AE https://zh.wikisource.org/zh-hans/%E6%B7%B5%E6%B5%B7%E5%AD%90%E5%B9%B3</x:v>
      </x:c>
      <x:c r="AI19" s="68" t="str">
        <x:v>当“源头自身有效力量不足，无法持续供应后续多层生化”真实成立，且桥梁具备有效力量和连续作用条件时，可按“弱源头不足以支撑长链流通”记录。</x:v>
      </x:c>
      <x:c r="AJ19" s="90" t="str">
        <x:v>仅见表面缺失或五行相克，但未证明“源头自身有效力量不足，无法持续供应后续多层生化”形成实际阻断时，不得套用“弱源头不足以支撑长链流通”。</x:v>
      </x:c>
      <x:c r="AK19" s="82" t="str">
        <x:v>采用</x:v>
      </x:c>
      <x:c r="AL19" s="82" t="str">
        <x:v>初审</x:v>
      </x:c>
      <x:c r="AM19" s="87" t="n">
        <x:v>46255</x:v>
      </x:c>
    </x:row>
    <x:row r="20">
      <x:c r="A20" s="72" t="str">
        <x:f>IF(OR(C20="",D20=""),"",B20&amp;"-"&amp;UPPER(C20)&amp;"-"&amp;TEXT(D20,"0000")&amp;"-"&amp;E20)</x:f>
        <x:v>M12-SOURCE-0014-V1.0</x:v>
      </x:c>
      <x:c r="B20" s="74" t="str">
        <x:v>M12</x:v>
      </x:c>
      <x:c r="C20" s="74" t="str">
        <x:v>SOURCE</x:v>
      </x:c>
      <x:c r="D20" s="215" t="n">
        <x:v>14</x:v>
      </x:c>
      <x:c r="E20" s="74" t="str">
        <x:v>V1.0</x:v>
      </x:c>
      <x:c r="F20" s="68" t="str">
        <x:v>名义源头失效时不得建立流通链</x:v>
      </x:c>
      <x:c r="G20" s="82" t="str">
        <x:v>结构层</x:v>
      </x:c>
      <x:c r="H20" s="68" t="str">
        <x:v>五行生化路径</x:v>
      </x:c>
      <x:c r="I20" s="68" t="str">
        <x:v>名义存在但失效的五行</x:v>
      </x:c>
      <x:c r="J20" s="68" t="str">
        <x:v>下一五行</x:v>
      </x:c>
      <x:c r="K20" s="68" t="str">
        <x:v>终点</x:v>
      </x:c>
      <x:c r="L20" s="82" t="str">
        <x:v>极弱</x:v>
      </x:c>
      <x:c r="M20" s="82" t="str">
        <x:v>待定</x:v>
      </x:c>
      <x:c r="N20" s="68" t="str">
        <x:v>待定</x:v>
      </x:c>
      <x:c r="O20" s="68" t="str">
        <x:v>待定</x:v>
      </x:c>
      <x:c r="P20" s="68" t="str">
        <x:v>待定</x:v>
      </x:c>
      <x:c r="Q20" s="82" t="str">
        <x:v>无有效路径</x:v>
      </x:c>
      <x:c r="R20" s="82" t="str">
        <x:v>其他</x:v>
      </x:c>
      <x:c r="S20" s="68" t="str">
        <x:v>起点</x:v>
      </x:c>
      <x:c r="T20" s="68" t="str">
        <x:v>起点已被合化、强制或M08判为无实际可调用力量</x:v>
      </x:c>
      <x:c r="U20" s="68" t="str">
        <x:v>待定</x:v>
      </x:c>
      <x:c r="V20" s="68" t="str">
        <x:v>待定</x:v>
      </x:c>
      <x:c r="W20" s="90" t="str">
        <x:v>需检查对调候、格局、日主承载及其他通路的副作用</x:v>
      </x:c>
      <x:c r="X20" s="68" t="str">
        <x:v>M06关系效应、M08五行有效旺衰、M10十神功能与M11组合判断已完成</x:v>
      </x:c>
      <x:c r="Y20" s="68" t="str">
        <x:v>起点、桥梁、终点均按有效力量与实际作用路径判断</x:v>
      </x:c>
      <x:c r="Z20" s="68" t="str">
        <x:v>桥梁有根有源、透达、位置可达且不存在关键制约</x:v>
      </x:c>
      <x:c r="AA20" s="68" t="str">
        <x:v>桥梁失令、无根、受克、合绊、改性或同时被多路调用</x:v>
      </x:c>
      <x:c r="AB20" s="90" t="str">
        <x:v>不得仅因五行缺失、数量少或关系名称直接认定卡点或通关用神</x:v>
      </x:c>
      <x:c r="AC20" s="68" t="str">
        <x:v>若存在更短、更强或副作用更小的替代路径，应并列比较后再裁定</x:v>
      </x:c>
      <x:c r="AD20" s="84" t="str">
        <x:v>M12_SOURCE_流通判定</x:v>
      </x:c>
      <x:c r="AE20" s="84" t="str">
        <x:v>名义源头失效时不得建立流通链：按起点—桥梁—终点检查有效力量、连续性与承载；卡点为“其他”时，仅生成通关候选，不直接定用神。</x:v>
      </x:c>
      <x:c r="AF20" s="82" t="str">
        <x:v>较高</x:v>
      </x:c>
      <x:c r="AG20" s="82" t="str">
        <x:v>现代综合</x:v>
      </x:c>
      <x:c r="AH20" s="68" t="str">
        <x:v>流通判断以五行有效力量、生克顺序与十神功能为核心；古典依据可参照《滴天髓》《渊海子平》。 https://zh.wikisource.org/wiki/%E6%BB%B4%E5%A4%A9%E9%AB%93%E9%97%A1%E5%BE%AE https://zh.wikisource.org/zh-hans/%E6%B7%B5%E6%B5%B7%E5%AD%90%E5%B9%B3</x:v>
      </x:c>
      <x:c r="AI20" s="68" t="str">
        <x:v>当“起点已被合化、强制或M08判为无实际可调用力量”真实成立，且桥梁具备有效力量和连续作用条件时，可按“名义源头失效时不得建立流通链”记录。</x:v>
      </x:c>
      <x:c r="AJ20" s="90" t="str">
        <x:v>仅见表面缺失或五行相克，但未证明“起点已被合化、强制或M08判为无实际可调用力量”形成实际阻断时，不得套用“名义源头失效时不得建立流通链”。</x:v>
      </x:c>
      <x:c r="AK20" s="82" t="str">
        <x:v>采用</x:v>
      </x:c>
      <x:c r="AL20" s="82" t="str">
        <x:v>初审</x:v>
      </x:c>
      <x:c r="AM20" s="87" t="n">
        <x:v>46255</x:v>
      </x:c>
    </x:row>
    <x:row r="21">
      <x:c r="A21" s="72" t="str">
        <x:f>IF(OR(C21="",D21=""),"",B21&amp;"-"&amp;UPPER(C21)&amp;"-"&amp;TEXT(D21,"0000")&amp;"-"&amp;E21)</x:f>
        <x:v>M12-SOURCE-0015-V1.0</x:v>
      </x:c>
      <x:c r="B21" s="74" t="str">
        <x:v>M12</x:v>
      </x:c>
      <x:c r="C21" s="74" t="str">
        <x:v>SOURCE</x:v>
      </x:c>
      <x:c r="D21" s="215" t="n">
        <x:v>15</x:v>
      </x:c>
      <x:c r="E21" s="74" t="str">
        <x:v>V1.0</x:v>
      </x:c>
      <x:c r="F21" s="68" t="str">
        <x:v>源头被合绊会降低向下游输出效率</x:v>
      </x:c>
      <x:c r="G21" s="82" t="str">
        <x:v>结构层</x:v>
      </x:c>
      <x:c r="H21" s="68" t="str">
        <x:v>五行生化路径</x:v>
      </x:c>
      <x:c r="I21" s="68" t="str">
        <x:v>受合绊五行</x:v>
      </x:c>
      <x:c r="J21" s="68" t="str">
        <x:v>其所生五行</x:v>
      </x:c>
      <x:c r="K21" s="68" t="str">
        <x:v>终点</x:v>
      </x:c>
      <x:c r="L21" s="82" t="str">
        <x:v>中和</x:v>
      </x:c>
      <x:c r="M21" s="82" t="str">
        <x:v>待定</x:v>
      </x:c>
      <x:c r="N21" s="68" t="str">
        <x:v>桥梁有效</x:v>
      </x:c>
      <x:c r="O21" s="68" t="str">
        <x:v>待定</x:v>
      </x:c>
      <x:c r="P21" s="68" t="str">
        <x:v>待定</x:v>
      </x:c>
      <x:c r="Q21" s="82" t="str">
        <x:v>局部阻塞</x:v>
      </x:c>
      <x:c r="R21" s="82" t="str">
        <x:v>其他</x:v>
      </x:c>
      <x:c r="S21" s="68" t="str">
        <x:v>起点</x:v>
      </x:c>
      <x:c r="T21" s="68" t="str">
        <x:v>起点自身功能受合绊，无法按原始力量全额输出</x:v>
      </x:c>
      <x:c r="U21" s="68" t="str">
        <x:v>待定</x:v>
      </x:c>
      <x:c r="V21" s="68" t="str">
        <x:v>待定</x:v>
      </x:c>
      <x:c r="W21" s="90" t="str">
        <x:v>需检查对调候、格局、日主承载及其他通路的副作用</x:v>
      </x:c>
      <x:c r="X21" s="68" t="str">
        <x:v>M06关系效应、M08五行有效旺衰、M10十神功能与M11组合判断已完成</x:v>
      </x:c>
      <x:c r="Y21" s="68" t="str">
        <x:v>起点、桥梁、终点均按有效力量与实际作用路径判断</x:v>
      </x:c>
      <x:c r="Z21" s="68" t="str">
        <x:v>桥梁有根有源、透达、位置可达且不存在关键制约</x:v>
      </x:c>
      <x:c r="AA21" s="68" t="str">
        <x:v>桥梁失令、无根、受克、合绊、改性或同时被多路调用</x:v>
      </x:c>
      <x:c r="AB21" s="90" t="str">
        <x:v>不得仅因五行缺失、数量少或关系名称直接认定卡点或通关用神</x:v>
      </x:c>
      <x:c r="AC21" s="68" t="str">
        <x:v>若存在更短、更强或副作用更小的替代路径，应并列比较后再裁定</x:v>
      </x:c>
      <x:c r="AD21" s="84" t="str">
        <x:v>M12_SOURCE_流通判定</x:v>
      </x:c>
      <x:c r="AE21" s="84" t="str">
        <x:v>源头被合绊会降低向下游输出效率：按起点—桥梁—终点检查有效力量、连续性与承载；卡点为“其他”时，仅生成通关候选，不直接定用神。</x:v>
      </x:c>
      <x:c r="AF21" s="82" t="str">
        <x:v>较高</x:v>
      </x:c>
      <x:c r="AG21" s="82" t="str">
        <x:v>现代综合</x:v>
      </x:c>
      <x:c r="AH21" s="68" t="str">
        <x:v>流通判断以五行有效力量、生克顺序与十神功能为核心；古典依据可参照《滴天髓》《渊海子平》。 https://zh.wikisource.org/wiki/%E6%BB%B4%E5%A4%A9%E9%AB%93%E9%97%A1%E5%BE%AE https://zh.wikisource.org/zh-hans/%E6%B7%B5%E6%B5%B7%E5%AD%90%E5%B9%B3</x:v>
      </x:c>
      <x:c r="AI21" s="68" t="str">
        <x:v>当“起点自身功能受合绊，无法按原始力量全额输出”真实成立，且桥梁具备有效力量和连续作用条件时，可按“源头被合绊会降低向下游输出效率”记录。</x:v>
      </x:c>
      <x:c r="AJ21" s="90" t="str">
        <x:v>仅见表面缺失或五行相克，但未证明“起点自身功能受合绊，无法按原始力量全额输出”形成实际阻断时，不得套用“源头被合绊会降低向下游输出效率”。</x:v>
      </x:c>
      <x:c r="AK21" s="82" t="str">
        <x:v>采用</x:v>
      </x:c>
      <x:c r="AL21" s="82" t="str">
        <x:v>初审</x:v>
      </x:c>
      <x:c r="AM21" s="87" t="n">
        <x:v>46255</x:v>
      </x:c>
    </x:row>
    <x:row r="22">
      <x:c r="A22" s="72" t="str">
        <x:f>IF(OR(C22="",D22=""),"",B22&amp;"-"&amp;UPPER(C22)&amp;"-"&amp;TEXT(D22,"0000")&amp;"-"&amp;E22)</x:f>
        <x:v>M12-SOURCE-0016-V1.0</x:v>
      </x:c>
      <x:c r="B22" s="74" t="str">
        <x:v>M12</x:v>
      </x:c>
      <x:c r="C22" s="74" t="str">
        <x:v>SOURCE</x:v>
      </x:c>
      <x:c r="D22" s="215" t="n">
        <x:v>16</x:v>
      </x:c>
      <x:c r="E22" s="74" t="str">
        <x:v>V1.0</x:v>
      </x:c>
      <x:c r="F22" s="68" t="str">
        <x:v>源头被强克时需先判断是否仍有余力输出</x:v>
      </x:c>
      <x:c r="G22" s="82" t="str">
        <x:v>结构层</x:v>
      </x:c>
      <x:c r="H22" s="68" t="str">
        <x:v>五行生化路径</x:v>
      </x:c>
      <x:c r="I22" s="68" t="str">
        <x:v>受强克五行</x:v>
      </x:c>
      <x:c r="J22" s="68" t="str">
        <x:v>其所生五行</x:v>
      </x:c>
      <x:c r="K22" s="68" t="str">
        <x:v>终点</x:v>
      </x:c>
      <x:c r="L22" s="82" t="str">
        <x:v>待定</x:v>
      </x:c>
      <x:c r="M22" s="82" t="str">
        <x:v>待定</x:v>
      </x:c>
      <x:c r="N22" s="68" t="str">
        <x:v>待定</x:v>
      </x:c>
      <x:c r="O22" s="68" t="str">
        <x:v>待定</x:v>
      </x:c>
      <x:c r="P22" s="68" t="str">
        <x:v>待定</x:v>
      </x:c>
      <x:c r="Q22" s="82" t="str">
        <x:v>局部阻塞</x:v>
      </x:c>
      <x:c r="R22" s="82" t="str">
        <x:v>其他</x:v>
      </x:c>
      <x:c r="S22" s="68" t="str">
        <x:v>起点</x:v>
      </x:c>
      <x:c r="T22" s="68" t="str">
        <x:v>起点有效力量被显著制约，生扶下游能力下降</x:v>
      </x:c>
      <x:c r="U22" s="68" t="str">
        <x:v>待定</x:v>
      </x:c>
      <x:c r="V22" s="68" t="str">
        <x:v>待定</x:v>
      </x:c>
      <x:c r="W22" s="90" t="str">
        <x:v>需检查对调候、格局、日主承载及其他通路的副作用</x:v>
      </x:c>
      <x:c r="X22" s="68" t="str">
        <x:v>M06关系效应、M08五行有效旺衰、M10十神功能与M11组合判断已完成</x:v>
      </x:c>
      <x:c r="Y22" s="68" t="str">
        <x:v>起点、桥梁、终点均按有效力量与实际作用路径判断</x:v>
      </x:c>
      <x:c r="Z22" s="68" t="str">
        <x:v>桥梁有根有源、透达、位置可达且不存在关键制约</x:v>
      </x:c>
      <x:c r="AA22" s="68" t="str">
        <x:v>桥梁失令、无根、受克、合绊、改性或同时被多路调用</x:v>
      </x:c>
      <x:c r="AB22" s="90" t="str">
        <x:v>不得仅因五行缺失、数量少或关系名称直接认定卡点或通关用神</x:v>
      </x:c>
      <x:c r="AC22" s="68" t="str">
        <x:v>若存在更短、更强或副作用更小的替代路径，应并列比较后再裁定</x:v>
      </x:c>
      <x:c r="AD22" s="84" t="str">
        <x:v>M12_SOURCE_流通判定</x:v>
      </x:c>
      <x:c r="AE22" s="84" t="str">
        <x:v>源头被强克时需先判断是否仍有余力输出：按起点—桥梁—终点检查有效力量、连续性与承载；卡点为“其他”时，仅生成通关候选，不直接定用神。</x:v>
      </x:c>
      <x:c r="AF22" s="82" t="str">
        <x:v>较高</x:v>
      </x:c>
      <x:c r="AG22" s="82" t="str">
        <x:v>现代综合</x:v>
      </x:c>
      <x:c r="AH22" s="68" t="str">
        <x:v>流通判断以五行有效力量、生克顺序与十神功能为核心；古典依据可参照《滴天髓》《渊海子平》。 https://zh.wikisource.org/wiki/%E6%BB%B4%E5%A4%A9%E9%AB%93%E9%97%A1%E5%BE%AE https://zh.wikisource.org/zh-hans/%E6%B7%B5%E6%B5%B7%E5%AD%90%E5%B9%B3</x:v>
      </x:c>
      <x:c r="AI22" s="68" t="str">
        <x:v>当“起点有效力量被显著制约，生扶下游能力下降”真实成立，且桥梁具备有效力量和连续作用条件时，可按“源头被强克时需先判断是否仍有余力输出”记录。</x:v>
      </x:c>
      <x:c r="AJ22" s="90" t="str">
        <x:v>仅见表面缺失或五行相克，但未证明“起点有效力量被显著制约，生扶下游能力下降”形成实际阻断时，不得套用“源头被强克时需先判断是否仍有余力输出”。</x:v>
      </x:c>
      <x:c r="AK22" s="82" t="str">
        <x:v>采用</x:v>
      </x:c>
      <x:c r="AL22" s="82" t="str">
        <x:v>初审</x:v>
      </x:c>
      <x:c r="AM22" s="87" t="n">
        <x:v>46255</x:v>
      </x:c>
    </x:row>
    <x:row r="23">
      <x:c r="A23" s="72" t="str">
        <x:f>IF(OR(C23="",D23=""),"",B23&amp;"-"&amp;UPPER(C23)&amp;"-"&amp;TEXT(D23,"0000")&amp;"-"&amp;E23)</x:f>
        <x:v>M12-SOURCE-0017-V1.0</x:v>
      </x:c>
      <x:c r="B23" s="74" t="str">
        <x:v>M12</x:v>
      </x:c>
      <x:c r="C23" s="74" t="str">
        <x:v>SOURCE</x:v>
      </x:c>
      <x:c r="D23" s="215" t="n">
        <x:v>17</x:v>
      </x:c>
      <x:c r="E23" s="74" t="str">
        <x:v>V1.0</x:v>
      </x:c>
      <x:c r="F23" s="68" t="str">
        <x:v>多个独立源头可提高同一桥梁的供给稳定性</x:v>
      </x:c>
      <x:c r="G23" s="82" t="str">
        <x:v>结构层</x:v>
      </x:c>
      <x:c r="H23" s="68" t="str">
        <x:v>五行生化路径</x:v>
      </x:c>
      <x:c r="I23" s="68" t="str">
        <x:v>多个同类或相生源头</x:v>
      </x:c>
      <x:c r="J23" s="68" t="str">
        <x:v>共同桥梁</x:v>
      </x:c>
      <x:c r="K23" s="68" t="str">
        <x:v>终点</x:v>
      </x:c>
      <x:c r="L23" s="82" t="str">
        <x:v>中和偏旺</x:v>
      </x:c>
      <x:c r="M23" s="82" t="str">
        <x:v>中和</x:v>
      </x:c>
      <x:c r="N23" s="68" t="str">
        <x:v>受多源支持</x:v>
      </x:c>
      <x:c r="O23" s="68" t="str">
        <x:v>待定</x:v>
      </x:c>
      <x:c r="P23" s="68" t="str">
        <x:v>待定</x:v>
      </x:c>
      <x:c r="Q23" s="82" t="str">
        <x:v>基本通畅</x:v>
      </x:c>
      <x:c r="R23" s="82" t="str">
        <x:v>其他</x:v>
      </x:c>
      <x:c r="S23" s="68" t="str">
        <x:v>待定</x:v>
      </x:c>
      <x:c r="T23" s="68" t="str">
        <x:v>桥梁同时获得多个独立有效源头供给</x:v>
      </x:c>
      <x:c r="U23" s="68" t="str">
        <x:v>待定</x:v>
      </x:c>
      <x:c r="V23" s="68" t="str">
        <x:v>待定</x:v>
      </x:c>
      <x:c r="W23" s="90" t="str">
        <x:v>需检查对调候、格局、日主承载及其他通路的副作用</x:v>
      </x:c>
      <x:c r="X23" s="68" t="str">
        <x:v>M06关系效应、M08五行有效旺衰、M10十神功能与M11组合判断已完成</x:v>
      </x:c>
      <x:c r="Y23" s="68" t="str">
        <x:v>起点、桥梁、终点均按有效力量与实际作用路径判断</x:v>
      </x:c>
      <x:c r="Z23" s="68" t="str">
        <x:v>桥梁有根有源、透达、位置可达且不存在关键制约</x:v>
      </x:c>
      <x:c r="AA23" s="68" t="str">
        <x:v>桥梁失令、无根、受克、合绊、改性或同时被多路调用</x:v>
      </x:c>
      <x:c r="AB23" s="90" t="str">
        <x:v>不得仅因五行缺失、数量少或关系名称直接认定卡点或通关用神</x:v>
      </x:c>
      <x:c r="AC23" s="68" t="str">
        <x:v>若存在更短、更强或副作用更小的替代路径，应并列比较后再裁定</x:v>
      </x:c>
      <x:c r="AD23" s="84" t="str">
        <x:v>多源供给增强</x:v>
      </x:c>
      <x:c r="AE23" s="84" t="str">
        <x:v>多个独立源头可提高同一桥梁的供给稳定性：按起点—桥梁—终点检查有效力量、连续性与承载；卡点为“其他”时，仅生成通关候选，不直接定用神。</x:v>
      </x:c>
      <x:c r="AF23" s="82" t="str">
        <x:v>较高</x:v>
      </x:c>
      <x:c r="AG23" s="82" t="str">
        <x:v>现代综合</x:v>
      </x:c>
      <x:c r="AH23" s="68" t="str">
        <x:v>流通判断以五行有效力量、生克顺序与十神功能为核心；古典依据可参照《滴天髓》《渊海子平》。 https://zh.wikisource.org/wiki/%E6%BB%B4%E5%A4%A9%E9%AB%93%E9%97%A1%E5%BE%AE https://zh.wikisource.org/zh-hans/%E6%B7%B5%E6%B5%B7%E5%AD%90%E5%B9%B3</x:v>
      </x:c>
      <x:c r="AI23" s="68" t="str">
        <x:v>当“桥梁同时获得多个独立有效源头供给”真实成立，且桥梁具备有效力量和连续作用条件时，可按“多个独立源头可提高同一桥梁的供给稳定性”记录。</x:v>
      </x:c>
      <x:c r="AJ23" s="90" t="str">
        <x:v>仅见表面缺失或五行相克，但未证明“桥梁同时获得多个独立有效源头供给”形成实际阻断时，不得套用“多个独立源头可提高同一桥梁的供给稳定性”。</x:v>
      </x:c>
      <x:c r="AK23" s="82" t="str">
        <x:v>采用</x:v>
      </x:c>
      <x:c r="AL23" s="82" t="str">
        <x:v>初审</x:v>
      </x:c>
      <x:c r="AM23" s="87" t="n">
        <x:v>46255</x:v>
      </x:c>
    </x:row>
    <x:row r="24">
      <x:c r="A24" s="72" t="str">
        <x:f>IF(OR(C24="",D24=""),"",B24&amp;"-"&amp;UPPER(C24)&amp;"-"&amp;TEXT(D24,"0000")&amp;"-"&amp;E24)</x:f>
        <x:v>M12-SOURCE-0018-V1.0</x:v>
      </x:c>
      <x:c r="B24" s="74" t="str">
        <x:v>M12</x:v>
      </x:c>
      <x:c r="C24" s="74" t="str">
        <x:v>SOURCE</x:v>
      </x:c>
      <x:c r="D24" s="215" t="n">
        <x:v>18</x:v>
      </x:c>
      <x:c r="E24" s="74" t="str">
        <x:v>V1.0</x:v>
      </x:c>
      <x:c r="F24" s="68" t="str">
        <x:v>源头过多但集中向单一弱桥梁时会形成入口拥堵</x:v>
      </x:c>
      <x:c r="G24" s="82" t="str">
        <x:v>结构层</x:v>
      </x:c>
      <x:c r="H24" s="68" t="str">
        <x:v>五行生化路径</x:v>
      </x:c>
      <x:c r="I24" s="68" t="str">
        <x:v>多个旺强源头</x:v>
      </x:c>
      <x:c r="J24" s="68" t="str">
        <x:v>单一弱桥梁</x:v>
      </x:c>
      <x:c r="K24" s="68" t="str">
        <x:v>终点</x:v>
      </x:c>
      <x:c r="L24" s="82" t="str">
        <x:v>旺</x:v>
      </x:c>
      <x:c r="M24" s="82" t="str">
        <x:v>弱</x:v>
      </x:c>
      <x:c r="N24" s="68" t="str">
        <x:v>供给超载</x:v>
      </x:c>
      <x:c r="O24" s="68" t="str">
        <x:v>待定</x:v>
      </x:c>
      <x:c r="P24" s="68" t="str">
        <x:v>待定</x:v>
      </x:c>
      <x:c r="Q24" s="82" t="str">
        <x:v>明显阻断</x:v>
      </x:c>
      <x:c r="R24" s="82" t="str">
        <x:v>桥梁太弱</x:v>
      </x:c>
      <x:c r="S24" s="68" t="str">
        <x:v>桥梁</x:v>
      </x:c>
      <x:c r="T24" s="68" t="str">
        <x:v>上游输入能力显著高于桥梁传递能力</x:v>
      </x:c>
      <x:c r="U24" s="68" t="str">
        <x:v>待定</x:v>
      </x:c>
      <x:c r="V24" s="68" t="str">
        <x:v>待定</x:v>
      </x:c>
      <x:c r="W24" s="90" t="str">
        <x:v>需检查对调候、格局、日主承载及其他通路的副作用</x:v>
      </x:c>
      <x:c r="X24" s="68" t="str">
        <x:v>M06关系效应、M08五行有效旺衰、M10十神功能与M11组合判断已完成</x:v>
      </x:c>
      <x:c r="Y24" s="68" t="str">
        <x:v>起点、桥梁、终点均按有效力量与实际作用路径判断</x:v>
      </x:c>
      <x:c r="Z24" s="68" t="str">
        <x:v>桥梁有根有源、透达、位置可达且不存在关键制约</x:v>
      </x:c>
      <x:c r="AA24" s="68" t="str">
        <x:v>桥梁失令、无根、受克、合绊、改性或同时被多路调用</x:v>
      </x:c>
      <x:c r="AB24" s="90" t="str">
        <x:v>不得仅因五行缺失、数量少或关系名称直接认定卡点或通关用神</x:v>
      </x:c>
      <x:c r="AC24" s="68" t="str">
        <x:v>若存在更短、更强或副作用更小的替代路径，应并列比较后再裁定</x:v>
      </x:c>
      <x:c r="AD24" s="84" t="str">
        <x:v>M12_SOURCE_流通判定</x:v>
      </x:c>
      <x:c r="AE24" s="84" t="str">
        <x:v>源头过多但集中向单一弱桥梁时会形成入口拥堵：按起点—桥梁—终点检查有效力量、连续性与承载；卡点为“桥梁太弱”时，仅生成通关候选，不直接定用神。</x:v>
      </x:c>
      <x:c r="AF24" s="82" t="str">
        <x:v>较高</x:v>
      </x:c>
      <x:c r="AG24" s="82" t="str">
        <x:v>现代综合</x:v>
      </x:c>
      <x:c r="AH24" s="68" t="str">
        <x:v>流通判断以五行有效力量、生克顺序与十神功能为核心；古典依据可参照《滴天髓》《渊海子平》。 https://zh.wikisource.org/wiki/%E6%BB%B4%E5%A4%A9%E9%AB%93%E9%97%A1%E5%BE%AE https://zh.wikisource.org/zh-hans/%E6%B7%B5%E6%B5%B7%E5%AD%90%E5%B9%B3</x:v>
      </x:c>
      <x:c r="AI24" s="68" t="str">
        <x:v>当“上游输入能力显著高于桥梁传递能力”真实成立，且桥梁具备有效力量和连续作用条件时，可按“源头过多但集中向单一弱桥梁时会形成入口拥堵”记录。</x:v>
      </x:c>
      <x:c r="AJ24" s="90" t="str">
        <x:v>仅见表面缺失或五行相克，但未证明“上游输入能力显著高于桥梁传递能力”形成实际阻断时，不得套用“源头过多但集中向单一弱桥梁时会形成入口拥堵”。</x:v>
      </x:c>
      <x:c r="AK24" s="82" t="str">
        <x:v>采用</x:v>
      </x:c>
      <x:c r="AL24" s="82" t="str">
        <x:v>初审</x:v>
      </x:c>
      <x:c r="AM24" s="87" t="n">
        <x:v>46255</x:v>
      </x:c>
    </x:row>
    <x:row r="25">
      <x:c r="A25" s="72" t="str">
        <x:f>IF(OR(C25="",D25=""),"",B25&amp;"-"&amp;UPPER(C25)&amp;"-"&amp;TEXT(D25,"0000")&amp;"-"&amp;E25)</x:f>
        <x:v>M12-BRIDGE-0019-V1.0</x:v>
      </x:c>
      <x:c r="B25" s="74" t="str">
        <x:v>M12</x:v>
      </x:c>
      <x:c r="C25" s="74" t="str">
        <x:v>BRIDGE</x:v>
      </x:c>
      <x:c r="D25" s="215" t="n">
        <x:v>19</x:v>
      </x:c>
      <x:c r="E25" s="74" t="str">
        <x:v>V1.0</x:v>
      </x:c>
      <x:c r="F25" s="68" t="str">
        <x:v>桥梁必须自身有效才能承担通关</x:v>
      </x:c>
      <x:c r="G25" s="82" t="str">
        <x:v>结构层</x:v>
      </x:c>
      <x:c r="H25" s="68" t="str">
        <x:v>五行生化路径</x:v>
      </x:c>
      <x:c r="I25" s="68" t="str">
        <x:v>上游五行</x:v>
      </x:c>
      <x:c r="J25" s="68" t="str">
        <x:v>候选桥梁</x:v>
      </x:c>
      <x:c r="K25" s="68" t="str">
        <x:v>下游五行</x:v>
      </x:c>
      <x:c r="L25" s="82" t="str">
        <x:v>待定</x:v>
      </x:c>
      <x:c r="M25" s="82" t="str">
        <x:v>中和</x:v>
      </x:c>
      <x:c r="N25" s="68" t="str">
        <x:v>有效可调用</x:v>
      </x:c>
      <x:c r="O25" s="68" t="str">
        <x:v>待定</x:v>
      </x:c>
      <x:c r="P25" s="68" t="str">
        <x:v>待定</x:v>
      </x:c>
      <x:c r="Q25" s="82" t="str">
        <x:v>局部阻塞</x:v>
      </x:c>
      <x:c r="R25" s="82" t="str">
        <x:v>桥梁太弱</x:v>
      </x:c>
      <x:c r="S25" s="68" t="str">
        <x:v>桥梁</x:v>
      </x:c>
      <x:c r="T25" s="68" t="str">
        <x:v>桥梁只有名义存在但无根无源或已失效</x:v>
      </x:c>
      <x:c r="U25" s="68" t="str">
        <x:v>待定</x:v>
      </x:c>
      <x:c r="V25" s="68" t="str">
        <x:v>待定</x:v>
      </x:c>
      <x:c r="W25" s="90" t="str">
        <x:v>需检查对调候、格局、日主承载及其他通路的副作用</x:v>
      </x:c>
      <x:c r="X25" s="68" t="str">
        <x:v>M06关系效应、M08五行有效旺衰、M10十神功能与M11组合判断已完成</x:v>
      </x:c>
      <x:c r="Y25" s="68" t="str">
        <x:v>起点、桥梁、终点均按有效力量与实际作用路径判断</x:v>
      </x:c>
      <x:c r="Z25" s="68" t="str">
        <x:v>桥梁有根有源、透达、位置可达且不存在关键制约</x:v>
      </x:c>
      <x:c r="AA25" s="68" t="str">
        <x:v>桥梁失令、无根、受克、合绊、改性或同时被多路调用</x:v>
      </x:c>
      <x:c r="AB25" s="90" t="str">
        <x:v>不得仅因五行缺失、数量少或关系名称直接认定卡点或通关用神</x:v>
      </x:c>
      <x:c r="AC25" s="68" t="str">
        <x:v>若存在更短、更强或副作用更小的替代路径，应并列比较后再裁定</x:v>
      </x:c>
      <x:c r="AD25" s="84" t="str">
        <x:v>M12_BRIDGE_流通判定</x:v>
      </x:c>
      <x:c r="AE25" s="84" t="str">
        <x:v>桥梁必须自身有效才能承担通关：按起点—桥梁—终点检查有效力量、连续性与承载；卡点为“桥梁太弱”时，仅生成通关候选，不直接定用神。</x:v>
      </x:c>
      <x:c r="AF25" s="82" t="str">
        <x:v>较高</x:v>
      </x:c>
      <x:c r="AG25" s="82" t="str">
        <x:v>现代综合</x:v>
      </x:c>
      <x:c r="AH25" s="68" t="str">
        <x:v>流通判断以五行有效力量、生克顺序与十神功能为核心；古典依据可参照《滴天髓》《渊海子平》。 https://zh.wikisource.org/wiki/%E6%BB%B4%E5%A4%A9%E9%AB%93%E9%97%A1%E5%BE%AE https://zh.wikisource.org/zh-hans/%E6%B7%B5%E6%B5%B7%E5%AD%90%E5%B9%B3</x:v>
      </x:c>
      <x:c r="AI25" s="68" t="str">
        <x:v>当“桥梁只有名义存在但无根无源或已失效”真实成立，且桥梁具备有效力量和连续作用条件时，可按“桥梁必须自身有效才能承担通关”记录。</x:v>
      </x:c>
      <x:c r="AJ25" s="90" t="str">
        <x:v>仅见表面缺失或五行相克，但未证明“桥梁只有名义存在但无根无源或已失效”形成实际阻断时，不得套用“桥梁必须自身有效才能承担通关”。</x:v>
      </x:c>
      <x:c r="AK25" s="82" t="str">
        <x:v>采用</x:v>
      </x:c>
      <x:c r="AL25" s="82" t="str">
        <x:v>初审</x:v>
      </x:c>
      <x:c r="AM25" s="87" t="n">
        <x:v>46255</x:v>
      </x:c>
    </x:row>
    <x:row r="26">
      <x:c r="A26" s="72" t="str">
        <x:f>IF(OR(C26="",D26=""),"",B26&amp;"-"&amp;UPPER(C26)&amp;"-"&amp;TEXT(D26,"0000")&amp;"-"&amp;E26)</x:f>
        <x:v>M12-BRIDGE-0020-V1.0</x:v>
      </x:c>
      <x:c r="B26" s="74" t="str">
        <x:v>M12</x:v>
      </x:c>
      <x:c r="C26" s="74" t="str">
        <x:v>BRIDGE</x:v>
      </x:c>
      <x:c r="D26" s="215" t="n">
        <x:v>20</x:v>
      </x:c>
      <x:c r="E26" s="74" t="str">
        <x:v>V1.0</x:v>
      </x:c>
      <x:c r="F26" s="68" t="str">
        <x:v>桥梁达到中和以上通常具备稳定传递能力</x:v>
      </x:c>
      <x:c r="G26" s="82" t="str">
        <x:v>结构层</x:v>
      </x:c>
      <x:c r="H26" s="68" t="str">
        <x:v>五行生化路径</x:v>
      </x:c>
      <x:c r="I26" s="68" t="str">
        <x:v>上游五行</x:v>
      </x:c>
      <x:c r="J26" s="68" t="str">
        <x:v>候选桥梁</x:v>
      </x:c>
      <x:c r="K26" s="68" t="str">
        <x:v>下游五行</x:v>
      </x:c>
      <x:c r="L26" s="82" t="str">
        <x:v>待定</x:v>
      </x:c>
      <x:c r="M26" s="82" t="str">
        <x:v>中和偏旺</x:v>
      </x:c>
      <x:c r="N26" s="68" t="str">
        <x:v>稳定有效</x:v>
      </x:c>
      <x:c r="O26" s="68" t="str">
        <x:v>待定</x:v>
      </x:c>
      <x:c r="P26" s="68" t="str">
        <x:v>待定</x:v>
      </x:c>
      <x:c r="Q26" s="82" t="str">
        <x:v>通畅</x:v>
      </x:c>
      <x:c r="R26" s="82" t="str">
        <x:v>其他</x:v>
      </x:c>
      <x:c r="S26" s="68" t="str">
        <x:v>待定</x:v>
      </x:c>
      <x:c r="T26" s="68" t="str">
        <x:v>桥梁有效力量足以承接上游并继续作用下游</x:v>
      </x:c>
      <x:c r="U26" s="68" t="str">
        <x:v>待定</x:v>
      </x:c>
      <x:c r="V26" s="68" t="str">
        <x:v>待定</x:v>
      </x:c>
      <x:c r="W26" s="90" t="str">
        <x:v>需检查对调候、格局、日主承载及其他通路的副作用</x:v>
      </x:c>
      <x:c r="X26" s="68" t="str">
        <x:v>M06关系效应、M08五行有效旺衰、M10十神功能与M11组合判断已完成</x:v>
      </x:c>
      <x:c r="Y26" s="68" t="str">
        <x:v>起点、桥梁、终点均按有效力量与实际作用路径判断</x:v>
      </x:c>
      <x:c r="Z26" s="68" t="str">
        <x:v>桥梁有根有源、透达、位置可达且不存在关键制约</x:v>
      </x:c>
      <x:c r="AA26" s="68" t="str">
        <x:v>桥梁失令、无根、受克、合绊、改性或同时被多路调用</x:v>
      </x:c>
      <x:c r="AB26" s="90" t="str">
        <x:v>不得仅因五行缺失、数量少或关系名称直接认定卡点或通关用神</x:v>
      </x:c>
      <x:c r="AC26" s="68" t="str">
        <x:v>若存在更短、更强或副作用更小的替代路径，应并列比较后再裁定</x:v>
      </x:c>
      <x:c r="AD26" s="84" t="str">
        <x:v>桥梁稳定</x:v>
      </x:c>
      <x:c r="AE26" s="84" t="str">
        <x:v>桥梁达到中和以上通常具备稳定传递能力：按起点—桥梁—终点检查有效力量、连续性与承载；卡点为“其他”时，仅生成通关候选，不直接定用神。</x:v>
      </x:c>
      <x:c r="AF26" s="82" t="str">
        <x:v>较高</x:v>
      </x:c>
      <x:c r="AG26" s="82" t="str">
        <x:v>现代综合</x:v>
      </x:c>
      <x:c r="AH26" s="68" t="str">
        <x:v>流通判断以五行有效力量、生克顺序与十神功能为核心；古典依据可参照《滴天髓》《渊海子平》。 https://zh.wikisource.org/wiki/%E6%BB%B4%E5%A4%A9%E9%AB%93%E9%97%A1%E5%BE%AE https://zh.wikisource.org/zh-hans/%E6%B7%B5%E6%B5%B7%E5%AD%90%E5%B9%B3</x:v>
      </x:c>
      <x:c r="AI26" s="68" t="str">
        <x:v>当“桥梁有效力量足以承接上游并继续作用下游”真实成立，且桥梁具备有效力量和连续作用条件时，可按“桥梁达到中和以上通常具备稳定传递能力”记录。</x:v>
      </x:c>
      <x:c r="AJ26" s="90" t="str">
        <x:v>仅见表面缺失或五行相克，但未证明“桥梁有效力量足以承接上游并继续作用下游”形成实际阻断时，不得套用“桥梁达到中和以上通常具备稳定传递能力”。</x:v>
      </x:c>
      <x:c r="AK26" s="82" t="str">
        <x:v>采用</x:v>
      </x:c>
      <x:c r="AL26" s="82" t="str">
        <x:v>初审</x:v>
      </x:c>
      <x:c r="AM26" s="87" t="n">
        <x:v>46255</x:v>
      </x:c>
    </x:row>
    <x:row r="27">
      <x:c r="A27" s="72" t="str">
        <x:f>IF(OR(C27="",D27=""),"",B27&amp;"-"&amp;UPPER(C27)&amp;"-"&amp;TEXT(D27,"0000")&amp;"-"&amp;E27)</x:f>
        <x:v>M12-BRIDGE-0021-V1.0</x:v>
      </x:c>
      <x:c r="B27" s="74" t="str">
        <x:v>M12</x:v>
      </x:c>
      <x:c r="C27" s="74" t="str">
        <x:v>BRIDGE</x:v>
      </x:c>
      <x:c r="D27" s="215" t="n">
        <x:v>21</x:v>
      </x:c>
      <x:c r="E27" s="74" t="str">
        <x:v>V1.0</x:v>
      </x:c>
      <x:c r="F27" s="68" t="str">
        <x:v>桥梁仅微弱存在时只能形成弱通路</x:v>
      </x:c>
      <x:c r="G27" s="82" t="str">
        <x:v>结构层</x:v>
      </x:c>
      <x:c r="H27" s="68" t="str">
        <x:v>五行生化路径</x:v>
      </x:c>
      <x:c r="I27" s="68" t="str">
        <x:v>上游五行</x:v>
      </x:c>
      <x:c r="J27" s="68" t="str">
        <x:v>弱桥梁</x:v>
      </x:c>
      <x:c r="K27" s="68" t="str">
        <x:v>下游五行</x:v>
      </x:c>
      <x:c r="L27" s="82" t="str">
        <x:v>待定</x:v>
      </x:c>
      <x:c r="M27" s="82" t="str">
        <x:v>弱</x:v>
      </x:c>
      <x:c r="N27" s="68" t="str">
        <x:v>有但承载有限</x:v>
      </x:c>
      <x:c r="O27" s="68" t="str">
        <x:v>待定</x:v>
      </x:c>
      <x:c r="P27" s="68" t="str">
        <x:v>待定</x:v>
      </x:c>
      <x:c r="Q27" s="82" t="str">
        <x:v>局部阻塞</x:v>
      </x:c>
      <x:c r="R27" s="82" t="str">
        <x:v>桥梁太弱</x:v>
      </x:c>
      <x:c r="S27" s="68" t="str">
        <x:v>桥梁</x:v>
      </x:c>
      <x:c r="T27" s="68" t="str">
        <x:v>桥梁存在但有效力量不足以持续传递</x:v>
      </x:c>
      <x:c r="U27" s="68" t="str">
        <x:v>待定</x:v>
      </x:c>
      <x:c r="V27" s="68" t="str">
        <x:v>待定</x:v>
      </x:c>
      <x:c r="W27" s="90" t="str">
        <x:v>需检查对调候、格局、日主承载及其他通路的副作用</x:v>
      </x:c>
      <x:c r="X27" s="68" t="str">
        <x:v>M06关系效应、M08五行有效旺衰、M10十神功能与M11组合判断已完成</x:v>
      </x:c>
      <x:c r="Y27" s="68" t="str">
        <x:v>起点、桥梁、终点均按有效力量与实际作用路径判断</x:v>
      </x:c>
      <x:c r="Z27" s="68" t="str">
        <x:v>桥梁有根有源、透达、位置可达且不存在关键制约</x:v>
      </x:c>
      <x:c r="AA27" s="68" t="str">
        <x:v>桥梁失令、无根、受克、合绊、改性或同时被多路调用</x:v>
      </x:c>
      <x:c r="AB27" s="90" t="str">
        <x:v>不得仅因五行缺失、数量少或关系名称直接认定卡点或通关用神</x:v>
      </x:c>
      <x:c r="AC27" s="68" t="str">
        <x:v>若存在更短、更强或副作用更小的替代路径，应并列比较后再裁定</x:v>
      </x:c>
      <x:c r="AD27" s="84" t="str">
        <x:v>M12_BRIDGE_流通判定</x:v>
      </x:c>
      <x:c r="AE27" s="84" t="str">
        <x:v>桥梁仅微弱存在时只能形成弱通路：按起点—桥梁—终点检查有效力量、连续性与承载；卡点为“桥梁太弱”时，仅生成通关候选，不直接定用神。</x:v>
      </x:c>
      <x:c r="AF27" s="82" t="str">
        <x:v>较高</x:v>
      </x:c>
      <x:c r="AG27" s="82" t="str">
        <x:v>现代综合</x:v>
      </x:c>
      <x:c r="AH27" s="68" t="str">
        <x:v>流通判断以五行有效力量、生克顺序与十神功能为核心；古典依据可参照《滴天髓》《渊海子平》。 https://zh.wikisource.org/wiki/%E6%BB%B4%E5%A4%A9%E9%AB%93%E9%97%A1%E5%BE%AE https://zh.wikisource.org/zh-hans/%E6%B7%B5%E6%B5%B7%E5%AD%90%E5%B9%B3</x:v>
      </x:c>
      <x:c r="AI27" s="68" t="str">
        <x:v>当“桥梁存在但有效力量不足以持续传递”真实成立，且桥梁具备有效力量和连续作用条件时，可按“桥梁仅微弱存在时只能形成弱通路”记录。</x:v>
      </x:c>
      <x:c r="AJ27" s="90" t="str">
        <x:v>仅见表面缺失或五行相克，但未证明“桥梁存在但有效力量不足以持续传递”形成实际阻断时，不得套用“桥梁仅微弱存在时只能形成弱通路”。</x:v>
      </x:c>
      <x:c r="AK27" s="82" t="str">
        <x:v>采用</x:v>
      </x:c>
      <x:c r="AL27" s="82" t="str">
        <x:v>初审</x:v>
      </x:c>
      <x:c r="AM27" s="87" t="n">
        <x:v>46255</x:v>
      </x:c>
    </x:row>
    <x:row r="28">
      <x:c r="A28" s="72" t="str">
        <x:f>IF(OR(C28="",D28=""),"",B28&amp;"-"&amp;UPPER(C28)&amp;"-"&amp;TEXT(D28,"0000")&amp;"-"&amp;E28)</x:f>
        <x:v>M12-BRIDGE-0022-V1.0</x:v>
      </x:c>
      <x:c r="B28" s="74" t="str">
        <x:v>M12</x:v>
      </x:c>
      <x:c r="C28" s="74" t="str">
        <x:v>BRIDGE</x:v>
      </x:c>
      <x:c r="D28" s="215" t="n">
        <x:v>22</x:v>
      </x:c>
      <x:c r="E28" s="74" t="str">
        <x:v>V1.0</x:v>
      </x:c>
      <x:c r="F28" s="68" t="str">
        <x:v>桥梁被直接强克时流通效率下降</x:v>
      </x:c>
      <x:c r="G28" s="82" t="str">
        <x:v>结构层</x:v>
      </x:c>
      <x:c r="H28" s="68" t="str">
        <x:v>五行生化路径</x:v>
      </x:c>
      <x:c r="I28" s="68" t="str">
        <x:v>上游五行</x:v>
      </x:c>
      <x:c r="J28" s="68" t="str">
        <x:v>被克桥梁</x:v>
      </x:c>
      <x:c r="K28" s="68" t="str">
        <x:v>下游五行</x:v>
      </x:c>
      <x:c r="L28" s="82" t="str">
        <x:v>待定</x:v>
      </x:c>
      <x:c r="M28" s="82" t="str">
        <x:v>中和</x:v>
      </x:c>
      <x:c r="N28" s="68" t="str">
        <x:v>受强克</x:v>
      </x:c>
      <x:c r="O28" s="68" t="str">
        <x:v>待定</x:v>
      </x:c>
      <x:c r="P28" s="68" t="str">
        <x:v>待定</x:v>
      </x:c>
      <x:c r="Q28" s="82" t="str">
        <x:v>明显阻断</x:v>
      </x:c>
      <x:c r="R28" s="82" t="str">
        <x:v>桥梁被克</x:v>
      </x:c>
      <x:c r="S28" s="68" t="str">
        <x:v>桥梁</x:v>
      </x:c>
      <x:c r="T28" s="68" t="str">
        <x:v>桥梁承担传递时同时受到强制，实际可调用力量不足</x:v>
      </x:c>
      <x:c r="U28" s="68" t="str">
        <x:v>待定</x:v>
      </x:c>
      <x:c r="V28" s="68" t="str">
        <x:v>待定</x:v>
      </x:c>
      <x:c r="W28" s="90" t="str">
        <x:v>需检查对调候、格局、日主承载及其他通路的副作用</x:v>
      </x:c>
      <x:c r="X28" s="68" t="str">
        <x:v>M06关系效应、M08五行有效旺衰、M10十神功能与M11组合判断已完成</x:v>
      </x:c>
      <x:c r="Y28" s="68" t="str">
        <x:v>起点、桥梁、终点均按有效力量与实际作用路径判断</x:v>
      </x:c>
      <x:c r="Z28" s="68" t="str">
        <x:v>桥梁有根有源、透达、位置可达且不存在关键制约</x:v>
      </x:c>
      <x:c r="AA28" s="68" t="str">
        <x:v>桥梁失令、无根、受克、合绊、改性或同时被多路调用</x:v>
      </x:c>
      <x:c r="AB28" s="90" t="str">
        <x:v>不得仅因五行缺失、数量少或关系名称直接认定卡点或通关用神</x:v>
      </x:c>
      <x:c r="AC28" s="68" t="str">
        <x:v>若存在更短、更强或副作用更小的替代路径，应并列比较后再裁定</x:v>
      </x:c>
      <x:c r="AD28" s="84" t="str">
        <x:v>M12_BRIDGE_流通判定</x:v>
      </x:c>
      <x:c r="AE28" s="84" t="str">
        <x:v>桥梁被直接强克时流通效率下降：按起点—桥梁—终点检查有效力量、连续性与承载；卡点为“桥梁被克”时，仅生成通关候选，不直接定用神。</x:v>
      </x:c>
      <x:c r="AF28" s="82" t="str">
        <x:v>较高</x:v>
      </x:c>
      <x:c r="AG28" s="82" t="str">
        <x:v>现代综合</x:v>
      </x:c>
      <x:c r="AH28" s="68" t="str">
        <x:v>流通判断以五行有效力量、生克顺序与十神功能为核心；古典依据可参照《滴天髓》《渊海子平》。 https://zh.wikisource.org/wiki/%E6%BB%B4%E5%A4%A9%E9%AB%93%E9%97%A1%E5%BE%AE https://zh.wikisource.org/zh-hans/%E6%B7%B5%E6%B5%B7%E5%AD%90%E5%B9%B3</x:v>
      </x:c>
      <x:c r="AI28" s="68" t="str">
        <x:v>当“桥梁承担传递时同时受到强制，实际可调用力量不足”真实成立，且桥梁具备有效力量和连续作用条件时，可按“桥梁被直接强克时流通效率下降”记录。</x:v>
      </x:c>
      <x:c r="AJ28" s="90" t="str">
        <x:v>仅见表面缺失或五行相克，但未证明“桥梁承担传递时同时受到强制，实际可调用力量不足”形成实际阻断时，不得套用“桥梁被直接强克时流通效率下降”。</x:v>
      </x:c>
      <x:c r="AK28" s="82" t="str">
        <x:v>采用</x:v>
      </x:c>
      <x:c r="AL28" s="82" t="str">
        <x:v>初审</x:v>
      </x:c>
      <x:c r="AM28" s="87" t="n">
        <x:v>46255</x:v>
      </x:c>
    </x:row>
    <x:row r="29">
      <x:c r="A29" s="72" t="str">
        <x:f>IF(OR(C29="",D29=""),"",B29&amp;"-"&amp;UPPER(C29)&amp;"-"&amp;TEXT(D29,"0000")&amp;"-"&amp;E29)</x:f>
        <x:v>M12-BRIDGE-0023-V1.0</x:v>
      </x:c>
      <x:c r="B29" s="74" t="str">
        <x:v>M12</x:v>
      </x:c>
      <x:c r="C29" s="74" t="str">
        <x:v>BRIDGE</x:v>
      </x:c>
      <x:c r="D29" s="215" t="n">
        <x:v>23</x:v>
      </x:c>
      <x:c r="E29" s="74" t="str">
        <x:v>V1.0</x:v>
      </x:c>
      <x:c r="F29" s="68" t="str">
        <x:v>桥梁被合绊但未失效时属于受限通路</x:v>
      </x:c>
      <x:c r="G29" s="82" t="str">
        <x:v>结构层</x:v>
      </x:c>
      <x:c r="H29" s="68" t="str">
        <x:v>五行生化路径</x:v>
      </x:c>
      <x:c r="I29" s="68" t="str">
        <x:v>上游五行</x:v>
      </x:c>
      <x:c r="J29" s="68" t="str">
        <x:v>被合绊桥梁</x:v>
      </x:c>
      <x:c r="K29" s="68" t="str">
        <x:v>下游五行</x:v>
      </x:c>
      <x:c r="L29" s="82" t="str">
        <x:v>待定</x:v>
      </x:c>
      <x:c r="M29" s="82" t="str">
        <x:v>中和</x:v>
      </x:c>
      <x:c r="N29" s="68" t="str">
        <x:v>合绊受限</x:v>
      </x:c>
      <x:c r="O29" s="68" t="str">
        <x:v>待定</x:v>
      </x:c>
      <x:c r="P29" s="68" t="str">
        <x:v>待定</x:v>
      </x:c>
      <x:c r="Q29" s="82" t="str">
        <x:v>局部阻塞</x:v>
      </x:c>
      <x:c r="R29" s="82" t="str">
        <x:v>桥梁被合绊</x:v>
      </x:c>
      <x:c r="S29" s="68" t="str">
        <x:v>桥梁</x:v>
      </x:c>
      <x:c r="T29" s="68" t="str">
        <x:v>桥梁被牵制，仍存在但不能全额承担传递</x:v>
      </x:c>
      <x:c r="U29" s="68" t="str">
        <x:v>待定</x:v>
      </x:c>
      <x:c r="V29" s="68" t="str">
        <x:v>待定</x:v>
      </x:c>
      <x:c r="W29" s="90" t="str">
        <x:v>需检查对调候、格局、日主承载及其他通路的副作用</x:v>
      </x:c>
      <x:c r="X29" s="68" t="str">
        <x:v>M06关系效应、M08五行有效旺衰、M10十神功能与M11组合判断已完成</x:v>
      </x:c>
      <x:c r="Y29" s="68" t="str">
        <x:v>起点、桥梁、终点均按有效力量与实际作用路径判断</x:v>
      </x:c>
      <x:c r="Z29" s="68" t="str">
        <x:v>桥梁有根有源、透达、位置可达且不存在关键制约</x:v>
      </x:c>
      <x:c r="AA29" s="68" t="str">
        <x:v>桥梁失令、无根、受克、合绊、改性或同时被多路调用</x:v>
      </x:c>
      <x:c r="AB29" s="90" t="str">
        <x:v>不得仅因五行缺失、数量少或关系名称直接认定卡点或通关用神</x:v>
      </x:c>
      <x:c r="AC29" s="68" t="str">
        <x:v>若存在更短、更强或副作用更小的替代路径，应并列比较后再裁定</x:v>
      </x:c>
      <x:c r="AD29" s="84" t="str">
        <x:v>M12_BRIDGE_流通判定</x:v>
      </x:c>
      <x:c r="AE29" s="84" t="str">
        <x:v>桥梁被合绊但未失效时属于受限通路：按起点—桥梁—终点检查有效力量、连续性与承载；卡点为“桥梁被合绊”时，仅生成通关候选，不直接定用神。</x:v>
      </x:c>
      <x:c r="AF29" s="82" t="str">
        <x:v>较高</x:v>
      </x:c>
      <x:c r="AG29" s="82" t="str">
        <x:v>现代综合</x:v>
      </x:c>
      <x:c r="AH29" s="68" t="str">
        <x:v>流通判断以五行有效力量、生克顺序与十神功能为核心；古典依据可参照《滴天髓》《渊海子平》。 https://zh.wikisource.org/wiki/%E6%BB%B4%E5%A4%A9%E9%AB%93%E9%97%A1%E5%BE%AE https://zh.wikisource.org/zh-hans/%E6%B7%B5%E6%B5%B7%E5%AD%90%E5%B9%B3</x:v>
      </x:c>
      <x:c r="AI29" s="68" t="str">
        <x:v>当“桥梁被牵制，仍存在但不能全额承担传递”真实成立，且桥梁具备有效力量和连续作用条件时，可按“桥梁被合绊但未失效时属于受限通路”记录。</x:v>
      </x:c>
      <x:c r="AJ29" s="90" t="str">
        <x:v>仅见表面缺失或五行相克，但未证明“桥梁被牵制，仍存在但不能全额承担传递”形成实际阻断时，不得套用“桥梁被合绊但未失效时属于受限通路”。</x:v>
      </x:c>
      <x:c r="AK29" s="82" t="str">
        <x:v>采用</x:v>
      </x:c>
      <x:c r="AL29" s="82" t="str">
        <x:v>初审</x:v>
      </x:c>
      <x:c r="AM29" s="87" t="n">
        <x:v>46255</x:v>
      </x:c>
    </x:row>
    <x:row r="30">
      <x:c r="A30" s="72" t="str">
        <x:f>IF(OR(C30="",D30=""),"",B30&amp;"-"&amp;UPPER(C30)&amp;"-"&amp;TEXT(D30,"0000")&amp;"-"&amp;E30)</x:f>
        <x:v>M12-BRIDGE-0024-V1.0</x:v>
      </x:c>
      <x:c r="B30" s="74" t="str">
        <x:v>M12</x:v>
      </x:c>
      <x:c r="C30" s="74" t="str">
        <x:v>BRIDGE</x:v>
      </x:c>
      <x:c r="D30" s="215" t="n">
        <x:v>24</x:v>
      </x:c>
      <x:c r="E30" s="74" t="str">
        <x:v>V1.0</x:v>
      </x:c>
      <x:c r="F30" s="68" t="str">
        <x:v>桥梁实质合化后必须按新五行重建路径</x:v>
      </x:c>
      <x:c r="G30" s="82" t="str">
        <x:v>结构层</x:v>
      </x:c>
      <x:c r="H30" s="68" t="str">
        <x:v>五行生化路径</x:v>
      </x:c>
      <x:c r="I30" s="68" t="str">
        <x:v>原上游</x:v>
      </x:c>
      <x:c r="J30" s="68" t="str">
        <x:v>发生合化的桥梁</x:v>
      </x:c>
      <x:c r="K30" s="68" t="str">
        <x:v>原终点</x:v>
      </x:c>
      <x:c r="L30" s="82" t="str">
        <x:v>待定</x:v>
      </x:c>
      <x:c r="M30" s="82" t="str">
        <x:v>待定</x:v>
      </x:c>
      <x:c r="N30" s="68" t="str">
        <x:v>五行性质已改性</x:v>
      </x:c>
      <x:c r="O30" s="68" t="str">
        <x:v>待定</x:v>
      </x:c>
      <x:c r="P30" s="68" t="str">
        <x:v>待定</x:v>
      </x:c>
      <x:c r="Q30" s="82" t="str">
        <x:v>无有效路径</x:v>
      </x:c>
      <x:c r="R30" s="82" t="str">
        <x:v>其他</x:v>
      </x:c>
      <x:c r="S30" s="68" t="str">
        <x:v>桥梁</x:v>
      </x:c>
      <x:c r="T30" s="68" t="str">
        <x:v>桥梁原五行功能已发生实质改变，旧路径不再成立</x:v>
      </x:c>
      <x:c r="U30" s="68" t="str">
        <x:v>按合化后五行重算</x:v>
      </x:c>
      <x:c r="V30" s="68" t="str">
        <x:v>M06已确认实质合化</x:v>
      </x:c>
      <x:c r="W30" s="90" t="str">
        <x:v>需检查对调候、格局、日主承载及其他通路的副作用</x:v>
      </x:c>
      <x:c r="X30" s="68" t="str">
        <x:v>M06关系效应、M08五行有效旺衰、M10十神功能与M11组合判断已完成</x:v>
      </x:c>
      <x:c r="Y30" s="68" t="str">
        <x:v>起点、桥梁、终点均按有效力量与实际作用路径判断</x:v>
      </x:c>
      <x:c r="Z30" s="68" t="str">
        <x:v>桥梁有根有源、透达、位置可达且不存在关键制约</x:v>
      </x:c>
      <x:c r="AA30" s="68" t="str">
        <x:v>桥梁失令、无根、受克、合绊、改性或同时被多路调用</x:v>
      </x:c>
      <x:c r="AB30" s="90" t="str">
        <x:v>不得仅因五行缺失、数量少或关系名称直接认定卡点或通关用神</x:v>
      </x:c>
      <x:c r="AC30" s="68" t="str">
        <x:v>若存在更短、更强或副作用更小的替代路径，应并列比较后再裁定</x:v>
      </x:c>
      <x:c r="AD30" s="84" t="str">
        <x:v>M12_BRIDGE_流通判定</x:v>
      </x:c>
      <x:c r="AE30" s="84" t="str">
        <x:v>桥梁实质合化后必须按新五行重建路径：按起点—桥梁—终点检查有效力量、连续性与承载；卡点为“其他”时，仅生成通关候选，不直接定用神。</x:v>
      </x:c>
      <x:c r="AF30" s="82" t="str">
        <x:v>较高</x:v>
      </x:c>
      <x:c r="AG30" s="82" t="str">
        <x:v>现代综合</x:v>
      </x:c>
      <x:c r="AH30" s="68" t="str">
        <x:v>流通判断以五行有效力量、生克顺序与十神功能为核心；古典依据可参照《滴天髓》《渊海子平》。 https://zh.wikisource.org/wiki/%E6%BB%B4%E5%A4%A9%E9%AB%93%E9%97%A1%E5%BE%AE https://zh.wikisource.org/zh-hans/%E6%B7%B5%E6%B5%B7%E5%AD%90%E5%B9%B3</x:v>
      </x:c>
      <x:c r="AI30" s="68" t="str">
        <x:v>当“桥梁原五行功能已发生实质改变，旧路径不再成立”真实成立，且桥梁具备有效力量和连续作用条件时，可按“桥梁实质合化后必须按新五行重建路径”记录。</x:v>
      </x:c>
      <x:c r="AJ30" s="90" t="str">
        <x:v>仅见表面缺失或五行相克，但未证明“桥梁原五行功能已发生实质改变，旧路径不再成立”形成实际阻断时，不得套用“桥梁实质合化后必须按新五行重建路径”。</x:v>
      </x:c>
      <x:c r="AK30" s="82" t="str">
        <x:v>采用</x:v>
      </x:c>
      <x:c r="AL30" s="82" t="str">
        <x:v>初审</x:v>
      </x:c>
      <x:c r="AM30" s="87" t="n">
        <x:v>46255</x:v>
      </x:c>
    </x:row>
    <x:row r="31">
      <x:c r="A31" s="72" t="str">
        <x:f>IF(OR(C31="",D31=""),"",B31&amp;"-"&amp;UPPER(C31)&amp;"-"&amp;TEXT(D31,"0000")&amp;"-"&amp;E31)</x:f>
        <x:v>M12-BRIDGE-0025-V1.0</x:v>
      </x:c>
      <x:c r="B31" s="74" t="str">
        <x:v>M12</x:v>
      </x:c>
      <x:c r="C31" s="74" t="str">
        <x:v>BRIDGE</x:v>
      </x:c>
      <x:c r="D31" s="215" t="n">
        <x:v>25</x:v>
      </x:c>
      <x:c r="E31" s="74" t="str">
        <x:v>V1.0</x:v>
      </x:c>
      <x:c r="F31" s="68" t="str">
        <x:v>桥梁同时被多个路径调用时需降低单路容量</x:v>
      </x:c>
      <x:c r="G31" s="82" t="str">
        <x:v>结构层</x:v>
      </x:c>
      <x:c r="H31" s="68" t="str">
        <x:v>五行生化路径</x:v>
      </x:c>
      <x:c r="I31" s="68" t="str">
        <x:v>多个上游</x:v>
      </x:c>
      <x:c r="J31" s="68" t="str">
        <x:v>共享桥梁</x:v>
      </x:c>
      <x:c r="K31" s="68" t="str">
        <x:v>多个下游</x:v>
      </x:c>
      <x:c r="L31" s="82" t="str">
        <x:v>待定</x:v>
      </x:c>
      <x:c r="M31" s="82" t="str">
        <x:v>中和偏旺</x:v>
      </x:c>
      <x:c r="N31" s="68" t="str">
        <x:v>多路共享</x:v>
      </x:c>
      <x:c r="O31" s="68" t="str">
        <x:v>待定</x:v>
      </x:c>
      <x:c r="P31" s="68" t="str">
        <x:v>待定</x:v>
      </x:c>
      <x:c r="Q31" s="82" t="str">
        <x:v>基本通畅</x:v>
      </x:c>
      <x:c r="R31" s="82" t="str">
        <x:v>其他</x:v>
      </x:c>
      <x:c r="S31" s="68" t="str">
        <x:v>桥梁</x:v>
      </x:c>
      <x:c r="T31" s="68" t="str">
        <x:v>同一桥梁的有效力量需要在多个路径间分配</x:v>
      </x:c>
      <x:c r="U31" s="68" t="str">
        <x:v>待定</x:v>
      </x:c>
      <x:c r="V31" s="68" t="str">
        <x:v>待定</x:v>
      </x:c>
      <x:c r="W31" s="90" t="str">
        <x:v>需检查对调候、格局、日主承载及其他通路的副作用</x:v>
      </x:c>
      <x:c r="X31" s="68" t="str">
        <x:v>M06关系效应、M08五行有效旺衰、M10十神功能与M11组合判断已完成</x:v>
      </x:c>
      <x:c r="Y31" s="68" t="str">
        <x:v>起点、桥梁、终点均按有效力量与实际作用路径判断</x:v>
      </x:c>
      <x:c r="Z31" s="68" t="str">
        <x:v>桥梁有根有源、透达、位置可达且不存在关键制约</x:v>
      </x:c>
      <x:c r="AA31" s="68" t="str">
        <x:v>桥梁失令、无根、受克、合绊、改性或同时被多路调用</x:v>
      </x:c>
      <x:c r="AB31" s="90" t="str">
        <x:v>不得仅因五行缺失、数量少或关系名称直接认定卡点或通关用神</x:v>
      </x:c>
      <x:c r="AC31" s="68" t="str">
        <x:v>若存在更短、更强或副作用更小的替代路径，应并列比较后再裁定</x:v>
      </x:c>
      <x:c r="AD31" s="84" t="str">
        <x:v>M12_BRIDGE_流通判定</x:v>
      </x:c>
      <x:c r="AE31" s="84" t="str">
        <x:v>桥梁同时被多个路径调用时需降低单路容量：按起点—桥梁—终点检查有效力量、连续性与承载；卡点为“其他”时，仅生成通关候选，不直接定用神。</x:v>
      </x:c>
      <x:c r="AF31" s="82" t="str">
        <x:v>较高</x:v>
      </x:c>
      <x:c r="AG31" s="82" t="str">
        <x:v>现代综合</x:v>
      </x:c>
      <x:c r="AH31" s="68" t="str">
        <x:v>流通判断以五行有效力量、生克顺序与十神功能为核心；古典依据可参照《滴天髓》《渊海子平》。 https://zh.wikisource.org/wiki/%E6%BB%B4%E5%A4%A9%E9%AB%93%E9%97%A1%E5%BE%AE https://zh.wikisource.org/zh-hans/%E6%B7%B5%E6%B5%B7%E5%AD%90%E5%B9%B3</x:v>
      </x:c>
      <x:c r="AI31" s="68" t="str">
        <x:v>当“同一桥梁的有效力量需要在多个路径间分配”真实成立，且桥梁具备有效力量和连续作用条件时，可按“桥梁同时被多个路径调用时需降低单路容量”记录。</x:v>
      </x:c>
      <x:c r="AJ31" s="90" t="str">
        <x:v>仅见表面缺失或五行相克，但未证明“同一桥梁的有效力量需要在多个路径间分配”形成实际阻断时，不得套用“桥梁同时被多个路径调用时需降低单路容量”。</x:v>
      </x:c>
      <x:c r="AK31" s="82" t="str">
        <x:v>采用</x:v>
      </x:c>
      <x:c r="AL31" s="82" t="str">
        <x:v>初审</x:v>
      </x:c>
      <x:c r="AM31" s="87" t="n">
        <x:v>46255</x:v>
      </x:c>
    </x:row>
    <x:row r="32">
      <x:c r="A32" s="72" t="str">
        <x:f>IF(OR(C32="",D32=""),"",B32&amp;"-"&amp;UPPER(C32)&amp;"-"&amp;TEXT(D32,"0000")&amp;"-"&amp;E32)</x:f>
        <x:v>M12-BRIDGE-0026-V1.0</x:v>
      </x:c>
      <x:c r="B32" s="74" t="str">
        <x:v>M12</x:v>
      </x:c>
      <x:c r="C32" s="74" t="str">
        <x:v>BRIDGE</x:v>
      </x:c>
      <x:c r="D32" s="215" t="n">
        <x:v>26</x:v>
      </x:c>
      <x:c r="E32" s="74" t="str">
        <x:v>V1.0</x:v>
      </x:c>
      <x:c r="F32" s="68" t="str">
        <x:v>桥梁得令有根有源可显著提高通关稳定性</x:v>
      </x:c>
      <x:c r="G32" s="82" t="str">
        <x:v>结构层</x:v>
      </x:c>
      <x:c r="H32" s="68" t="str">
        <x:v>五行生化路径</x:v>
      </x:c>
      <x:c r="I32" s="68" t="str">
        <x:v>上游五行</x:v>
      </x:c>
      <x:c r="J32" s="68" t="str">
        <x:v>候选桥梁</x:v>
      </x:c>
      <x:c r="K32" s="68" t="str">
        <x:v>下游五行</x:v>
      </x:c>
      <x:c r="L32" s="82" t="str">
        <x:v>待定</x:v>
      </x:c>
      <x:c r="M32" s="82" t="str">
        <x:v>旺</x:v>
      </x:c>
      <x:c r="N32" s="68" t="str">
        <x:v>得令有根有源</x:v>
      </x:c>
      <x:c r="O32" s="68" t="str">
        <x:v>待定</x:v>
      </x:c>
      <x:c r="P32" s="68" t="str">
        <x:v>待定</x:v>
      </x:c>
      <x:c r="Q32" s="82" t="str">
        <x:v>通畅</x:v>
      </x:c>
      <x:c r="R32" s="82" t="str">
        <x:v>其他</x:v>
      </x:c>
      <x:c r="S32" s="68" t="str">
        <x:v>待定</x:v>
      </x:c>
      <x:c r="T32" s="68" t="str">
        <x:v>桥梁同时具备季令、根气和生源等独立有效支持</x:v>
      </x:c>
      <x:c r="U32" s="68" t="str">
        <x:v>待定</x:v>
      </x:c>
      <x:c r="V32" s="68" t="str">
        <x:v>待定</x:v>
      </x:c>
      <x:c r="W32" s="90" t="str">
        <x:v>需检查对调候、格局、日主承载及其他通路的副作用</x:v>
      </x:c>
      <x:c r="X32" s="68" t="str">
        <x:v>M06关系效应、M08五行有效旺衰、M10十神功能与M11组合判断已完成</x:v>
      </x:c>
      <x:c r="Y32" s="68" t="str">
        <x:v>起点、桥梁、终点均按有效力量与实际作用路径判断</x:v>
      </x:c>
      <x:c r="Z32" s="68" t="str">
        <x:v>桥梁有根有源、透达、位置可达且不存在关键制约</x:v>
      </x:c>
      <x:c r="AA32" s="68" t="str">
        <x:v>桥梁失令、无根、受克、合绊、改性或同时被多路调用</x:v>
      </x:c>
      <x:c r="AB32" s="90" t="str">
        <x:v>不得仅因五行缺失、数量少或关系名称直接认定卡点或通关用神</x:v>
      </x:c>
      <x:c r="AC32" s="68" t="str">
        <x:v>若存在更短、更强或副作用更小的替代路径，应并列比较后再裁定</x:v>
      </x:c>
      <x:c r="AD32" s="84" t="str">
        <x:v>强桥梁通关</x:v>
      </x:c>
      <x:c r="AE32" s="84" t="str">
        <x:v>桥梁得令有根有源可显著提高通关稳定性：按起点—桥梁—终点检查有效力量、连续性与承载；卡点为“其他”时，仅生成通关候选，不直接定用神。</x:v>
      </x:c>
      <x:c r="AF32" s="82" t="str">
        <x:v>较高</x:v>
      </x:c>
      <x:c r="AG32" s="82" t="str">
        <x:v>现代综合</x:v>
      </x:c>
      <x:c r="AH32" s="68" t="str">
        <x:v>流通判断以五行有效力量、生克顺序与十神功能为核心；古典依据可参照《滴天髓》《渊海子平》。 https://zh.wikisource.org/wiki/%E6%BB%B4%E5%A4%A9%E9%AB%93%E9%97%A1%E5%BE%AE https://zh.wikisource.org/zh-hans/%E6%B7%B5%E6%B5%B7%E5%AD%90%E5%B9%B3</x:v>
      </x:c>
      <x:c r="AI32" s="68" t="str">
        <x:v>当“桥梁同时具备季令、根气和生源等独立有效支持”真实成立，且桥梁具备有效力量和连续作用条件时，可按“桥梁得令有根有源可显著提高通关稳定性”记录。</x:v>
      </x:c>
      <x:c r="AJ32" s="90" t="str">
        <x:v>仅见表面缺失或五行相克，但未证明“桥梁同时具备季令、根气和生源等独立有效支持”形成实际阻断时，不得套用“桥梁得令有根有源可显著提高通关稳定性”。</x:v>
      </x:c>
      <x:c r="AK32" s="82" t="str">
        <x:v>采用</x:v>
      </x:c>
      <x:c r="AL32" s="82" t="str">
        <x:v>初审</x:v>
      </x:c>
      <x:c r="AM32" s="87" t="n">
        <x:v>46255</x:v>
      </x:c>
    </x:row>
    <x:row r="33">
      <x:c r="A33" s="72" t="str">
        <x:f>IF(OR(C33="",D33=""),"",B33&amp;"-"&amp;UPPER(C33)&amp;"-"&amp;TEXT(D33,"0000")&amp;"-"&amp;E33)</x:f>
        <x:v>M12-BRIDGE-0027-V1.0</x:v>
      </x:c>
      <x:c r="B33" s="74" t="str">
        <x:v>M12</x:v>
      </x:c>
      <x:c r="C33" s="74" t="str">
        <x:v>BRIDGE</x:v>
      </x:c>
      <x:c r="D33" s="215" t="n">
        <x:v>27</x:v>
      </x:c>
      <x:c r="E33" s="74" t="str">
        <x:v>V1.0</x:v>
      </x:c>
      <x:c r="F33" s="68" t="str">
        <x:v>桥梁受寒凝时存在但流动性下降</x:v>
      </x:c>
      <x:c r="G33" s="82" t="str">
        <x:v>结构层</x:v>
      </x:c>
      <x:c r="H33" s="68" t="str">
        <x:v>五行生化路径</x:v>
      </x:c>
      <x:c r="I33" s="68" t="str">
        <x:v>上游五行</x:v>
      </x:c>
      <x:c r="J33" s="68" t="str">
        <x:v>受寒凝桥梁</x:v>
      </x:c>
      <x:c r="K33" s="68" t="str">
        <x:v>下游五行</x:v>
      </x:c>
      <x:c r="L33" s="82" t="str">
        <x:v>待定</x:v>
      </x:c>
      <x:c r="M33" s="82" t="str">
        <x:v>中和</x:v>
      </x:c>
      <x:c r="N33" s="68" t="str">
        <x:v>寒凝难行</x:v>
      </x:c>
      <x:c r="O33" s="68" t="str">
        <x:v>待定</x:v>
      </x:c>
      <x:c r="P33" s="68" t="str">
        <x:v>待定</x:v>
      </x:c>
      <x:c r="Q33" s="82" t="str">
        <x:v>局部阻塞</x:v>
      </x:c>
      <x:c r="R33" s="82" t="str">
        <x:v>寒凝</x:v>
      </x:c>
      <x:c r="S33" s="68" t="str">
        <x:v>桥梁</x:v>
      </x:c>
      <x:c r="T33" s="68" t="str">
        <x:v>桥梁物理象义上的生发、蒸腾或化泄效率受低温状态压制</x:v>
      </x:c>
      <x:c r="U33" s="68" t="str">
        <x:v>调候火或相应暖化条件</x:v>
      </x:c>
      <x:c r="V33" s="68" t="str">
        <x:v>M13确认寒凝属于真实主要矛盾</x:v>
      </x:c>
      <x:c r="W33" s="90" t="str">
        <x:v>需检查对调候、格局、日主承载及其他通路的副作用</x:v>
      </x:c>
      <x:c r="X33" s="68" t="str">
        <x:v>M06关系效应、M08五行有效旺衰、M10十神功能与M11组合判断已完成</x:v>
      </x:c>
      <x:c r="Y33" s="68" t="str">
        <x:v>起点、桥梁、终点均按有效力量与实际作用路径判断</x:v>
      </x:c>
      <x:c r="Z33" s="68" t="str">
        <x:v>桥梁有根有源、透达、位置可达且不存在关键制约</x:v>
      </x:c>
      <x:c r="AA33" s="68" t="str">
        <x:v>桥梁失令、无根、受克、合绊、改性或同时被多路调用</x:v>
      </x:c>
      <x:c r="AB33" s="90" t="str">
        <x:v>不得仅因五行缺失、数量少或关系名称直接认定卡点或通关用神</x:v>
      </x:c>
      <x:c r="AC33" s="68" t="str">
        <x:v>若存在更短、更强或副作用更小的替代路径，应并列比较后再裁定</x:v>
      </x:c>
      <x:c r="AD33" s="84" t="str">
        <x:v>M12_BRIDGE_流通判定</x:v>
      </x:c>
      <x:c r="AE33" s="84" t="str">
        <x:v>桥梁受寒凝时存在但流动性下降：按起点—桥梁—终点检查有效力量、连续性与承载；卡点为“寒凝”时，仅生成通关候选，不直接定用神。</x:v>
      </x:c>
      <x:c r="AF33" s="82" t="str">
        <x:v>较高</x:v>
      </x:c>
      <x:c r="AG33" s="82" t="str">
        <x:v>现代综合</x:v>
      </x:c>
      <x:c r="AH33" s="68" t="str">
        <x:v>流通判断以五行有效力量、生克顺序与十神功能为核心；古典依据可参照《滴天髓》《渊海子平》。 https://zh.wikisource.org/wiki/%E6%BB%B4%E5%A4%A9%E9%AB%93%E9%97%A1%E5%BE%AE https://zh.wikisource.org/zh-hans/%E6%B7%B5%E6%B5%B7%E5%AD%90%E5%B9%B3</x:v>
      </x:c>
      <x:c r="AI33" s="68" t="str">
        <x:v>当“桥梁物理象义上的生发、蒸腾或化泄效率受低温状态压制”真实成立，且桥梁具备有效力量和连续作用条件时，可按“桥梁受寒凝时存在但流动性下降”记录。</x:v>
      </x:c>
      <x:c r="AJ33" s="90" t="str">
        <x:v>仅见表面缺失或五行相克，但未证明“桥梁物理象义上的生发、蒸腾或化泄效率受低温状态压制”形成实际阻断时，不得套用“桥梁受寒凝时存在但流动性下降”。</x:v>
      </x:c>
      <x:c r="AK33" s="82" t="str">
        <x:v>采用</x:v>
      </x:c>
      <x:c r="AL33" s="82" t="str">
        <x:v>初审</x:v>
      </x:c>
      <x:c r="AM33" s="87" t="n">
        <x:v>46255</x:v>
      </x:c>
    </x:row>
    <x:row r="34">
      <x:c r="A34" s="72" t="str">
        <x:f>IF(OR(C34="",D34=""),"",B34&amp;"-"&amp;UPPER(C34)&amp;"-"&amp;TEXT(D34,"0000")&amp;"-"&amp;E34)</x:f>
        <x:v>M12-BRIDGE-0028-V1.0</x:v>
      </x:c>
      <x:c r="B34" s="74" t="str">
        <x:v>M12</x:v>
      </x:c>
      <x:c r="C34" s="74" t="str">
        <x:v>BRIDGE</x:v>
      </x:c>
      <x:c r="D34" s="215" t="n">
        <x:v>28</x:v>
      </x:c>
      <x:c r="E34" s="74" t="str">
        <x:v>V1.0</x:v>
      </x:c>
      <x:c r="F34" s="68" t="str">
        <x:v>桥梁受燥枯时连续生化能力下降</x:v>
      </x:c>
      <x:c r="G34" s="82" t="str">
        <x:v>结构层</x:v>
      </x:c>
      <x:c r="H34" s="68" t="str">
        <x:v>五行生化路径</x:v>
      </x:c>
      <x:c r="I34" s="68" t="str">
        <x:v>上游五行</x:v>
      </x:c>
      <x:c r="J34" s="68" t="str">
        <x:v>受燥枯桥梁</x:v>
      </x:c>
      <x:c r="K34" s="68" t="str">
        <x:v>下游五行</x:v>
      </x:c>
      <x:c r="L34" s="82" t="str">
        <x:v>待定</x:v>
      </x:c>
      <x:c r="M34" s="82" t="str">
        <x:v>中和</x:v>
      </x:c>
      <x:c r="N34" s="68" t="str">
        <x:v>燥枯失润</x:v>
      </x:c>
      <x:c r="O34" s="68" t="str">
        <x:v>待定</x:v>
      </x:c>
      <x:c r="P34" s="68" t="str">
        <x:v>待定</x:v>
      </x:c>
      <x:c r="Q34" s="82" t="str">
        <x:v>局部阻塞</x:v>
      </x:c>
      <x:c r="R34" s="82" t="str">
        <x:v>燥枯</x:v>
      </x:c>
      <x:c r="S34" s="68" t="str">
        <x:v>桥梁</x:v>
      </x:c>
      <x:c r="T34" s="68" t="str">
        <x:v>桥梁虽有力量但缺乏持续生发、润泽或承接条件</x:v>
      </x:c>
      <x:c r="U34" s="68" t="str">
        <x:v>调候水或相应润燥条件</x:v>
      </x:c>
      <x:c r="V34" s="68" t="str">
        <x:v>M13确认燥枯为主要矛盾</x:v>
      </x:c>
      <x:c r="W34" s="90" t="str">
        <x:v>需检查对调候、格局、日主承载及其他通路的副作用</x:v>
      </x:c>
      <x:c r="X34" s="68" t="str">
        <x:v>M06关系效应、M08五行有效旺衰、M10十神功能与M11组合判断已完成</x:v>
      </x:c>
      <x:c r="Y34" s="68" t="str">
        <x:v>起点、桥梁、终点均按有效力量与实际作用路径判断</x:v>
      </x:c>
      <x:c r="Z34" s="68" t="str">
        <x:v>桥梁有根有源、透达、位置可达且不存在关键制约</x:v>
      </x:c>
      <x:c r="AA34" s="68" t="str">
        <x:v>桥梁失令、无根、受克、合绊、改性或同时被多路调用</x:v>
      </x:c>
      <x:c r="AB34" s="90" t="str">
        <x:v>不得仅因五行缺失、数量少或关系名称直接认定卡点或通关用神</x:v>
      </x:c>
      <x:c r="AC34" s="68" t="str">
        <x:v>若存在更短、更强或副作用更小的替代路径，应并列比较后再裁定</x:v>
      </x:c>
      <x:c r="AD34" s="84" t="str">
        <x:v>M12_BRIDGE_流通判定</x:v>
      </x:c>
      <x:c r="AE34" s="84" t="str">
        <x:v>桥梁受燥枯时连续生化能力下降：按起点—桥梁—终点检查有效力量、连续性与承载；卡点为“燥枯”时，仅生成通关候选，不直接定用神。</x:v>
      </x:c>
      <x:c r="AF34" s="82" t="str">
        <x:v>较高</x:v>
      </x:c>
      <x:c r="AG34" s="82" t="str">
        <x:v>现代综合</x:v>
      </x:c>
      <x:c r="AH34" s="68" t="str">
        <x:v>流通判断以五行有效力量、生克顺序与十神功能为核心；古典依据可参照《滴天髓》《渊海子平》。 https://zh.wikisource.org/wiki/%E6%BB%B4%E5%A4%A9%E9%AB%93%E9%97%A1%E5%BE%AE https://zh.wikisource.org/zh-hans/%E6%B7%B5%E6%B5%B7%E5%AD%90%E5%B9%B3</x:v>
      </x:c>
      <x:c r="AI34" s="68" t="str">
        <x:v>当“桥梁虽有力量但缺乏持续生发、润泽或承接条件”真实成立，且桥梁具备有效力量和连续作用条件时，可按“桥梁受燥枯时连续生化能力下降”记录。</x:v>
      </x:c>
      <x:c r="AJ34" s="90" t="str">
        <x:v>仅见表面缺失或五行相克，但未证明“桥梁虽有力量但缺乏持续生发、润泽或承接条件”形成实际阻断时，不得套用“桥梁受燥枯时连续生化能力下降”。</x:v>
      </x:c>
      <x:c r="AK34" s="82" t="str">
        <x:v>采用</x:v>
      </x:c>
      <x:c r="AL34" s="82" t="str">
        <x:v>初审</x:v>
      </x:c>
      <x:c r="AM34" s="87" t="n">
        <x:v>46255</x:v>
      </x:c>
    </x:row>
    <x:row r="35">
      <x:c r="A35" s="72" t="str">
        <x:f>IF(OR(C35="",D35=""),"",B35&amp;"-"&amp;UPPER(C35)&amp;"-"&amp;TEXT(D35,"0000")&amp;"-"&amp;E35)</x:f>
        <x:v>M12-BRIDGE-0029-V1.0</x:v>
      </x:c>
      <x:c r="B35" s="74" t="str">
        <x:v>M12</x:v>
      </x:c>
      <x:c r="C35" s="74" t="str">
        <x:v>BRIDGE</x:v>
      </x:c>
      <x:c r="D35" s="215" t="n">
        <x:v>29</x:v>
      </x:c>
      <x:c r="E35" s="74" t="str">
        <x:v>V1.0</x:v>
      </x:c>
      <x:c r="F35" s="68" t="str">
        <x:v>桥梁过旺也可能截留上游力量形成壅塞</x:v>
      </x:c>
      <x:c r="G35" s="82" t="str">
        <x:v>结构层</x:v>
      </x:c>
      <x:c r="H35" s="68" t="str">
        <x:v>五行生化路径</x:v>
      </x:c>
      <x:c r="I35" s="68" t="str">
        <x:v>上游五行</x:v>
      </x:c>
      <x:c r="J35" s="68" t="str">
        <x:v>过旺桥梁</x:v>
      </x:c>
      <x:c r="K35" s="68" t="str">
        <x:v>偏弱终点</x:v>
      </x:c>
      <x:c r="L35" s="82" t="str">
        <x:v>待定</x:v>
      </x:c>
      <x:c r="M35" s="82" t="str">
        <x:v>极旺</x:v>
      </x:c>
      <x:c r="N35" s="68" t="str">
        <x:v>桥梁自身聚集过强</x:v>
      </x:c>
      <x:c r="O35" s="68" t="str">
        <x:v>待定</x:v>
      </x:c>
      <x:c r="P35" s="68" t="str">
        <x:v>待定</x:v>
      </x:c>
      <x:c r="Q35" s="82" t="str">
        <x:v>局部阻塞</x:v>
      </x:c>
      <x:c r="R35" s="82" t="str">
        <x:v>回流壅塞</x:v>
      </x:c>
      <x:c r="S35" s="68" t="str">
        <x:v>桥梁</x:v>
      </x:c>
      <x:c r="T35" s="68" t="str">
        <x:v>中间节点过度成势，力量停留在桥梁而未有效送达终点</x:v>
      </x:c>
      <x:c r="U35" s="68" t="str">
        <x:v>待定</x:v>
      </x:c>
      <x:c r="V35" s="68" t="str">
        <x:v>待定</x:v>
      </x:c>
      <x:c r="W35" s="90" t="str">
        <x:v>需检查对调候、格局、日主承载及其他通路的副作用</x:v>
      </x:c>
      <x:c r="X35" s="68" t="str">
        <x:v>M06关系效应、M08五行有效旺衰、M10十神功能与M11组合判断已完成</x:v>
      </x:c>
      <x:c r="Y35" s="68" t="str">
        <x:v>起点、桥梁、终点均按有效力量与实际作用路径判断</x:v>
      </x:c>
      <x:c r="Z35" s="68" t="str">
        <x:v>桥梁有根有源、透达、位置可达且不存在关键制约</x:v>
      </x:c>
      <x:c r="AA35" s="68" t="str">
        <x:v>桥梁失令、无根、受克、合绊、改性或同时被多路调用</x:v>
      </x:c>
      <x:c r="AB35" s="90" t="str">
        <x:v>不得仅因五行缺失、数量少或关系名称直接认定卡点或通关用神</x:v>
      </x:c>
      <x:c r="AC35" s="68" t="str">
        <x:v>若存在更短、更强或副作用更小的替代路径，应并列比较后再裁定</x:v>
      </x:c>
      <x:c r="AD35" s="84" t="str">
        <x:v>M12_BRIDGE_流通判定</x:v>
      </x:c>
      <x:c r="AE35" s="84" t="str">
        <x:v>桥梁过旺也可能截留上游力量形成壅塞：按起点—桥梁—终点检查有效力量、连续性与承载；卡点为“回流壅塞”时，仅生成通关候选，不直接定用神。</x:v>
      </x:c>
      <x:c r="AF35" s="82" t="str">
        <x:v>较高</x:v>
      </x:c>
      <x:c r="AG35" s="82" t="str">
        <x:v>现代综合</x:v>
      </x:c>
      <x:c r="AH35" s="68" t="str">
        <x:v>流通判断以五行有效力量、生克顺序与十神功能为核心；古典依据可参照《滴天髓》《渊海子平》。 https://zh.wikisource.org/wiki/%E6%BB%B4%E5%A4%A9%E9%AB%93%E9%97%A1%E5%BE%AE https://zh.wikisource.org/zh-hans/%E6%B7%B5%E6%B5%B7%E5%AD%90%E5%B9%B3</x:v>
      </x:c>
      <x:c r="AI35" s="68" t="str">
        <x:v>当“中间节点过度成势，力量停留在桥梁而未有效送达终点”真实成立，且桥梁具备有效力量和连续作用条件时，可按“桥梁过旺也可能截留上游力量形成壅塞”记录。</x:v>
      </x:c>
      <x:c r="AJ35" s="90" t="str">
        <x:v>仅见表面缺失或五行相克，但未证明“中间节点过度成势，力量停留在桥梁而未有效送达终点”形成实际阻断时，不得套用“桥梁过旺也可能截留上游力量形成壅塞”。</x:v>
      </x:c>
      <x:c r="AK35" s="82" t="str">
        <x:v>采用</x:v>
      </x:c>
      <x:c r="AL35" s="82" t="str">
        <x:v>初审</x:v>
      </x:c>
      <x:c r="AM35" s="87" t="n">
        <x:v>46255</x:v>
      </x:c>
    </x:row>
    <x:row r="36">
      <x:c r="A36" s="72" t="str">
        <x:f>IF(OR(C36="",D36=""),"",B36&amp;"-"&amp;UPPER(C36)&amp;"-"&amp;TEXT(D36,"0000")&amp;"-"&amp;E36)</x:f>
        <x:v>M12-BRIDGE-0030-V1.0</x:v>
      </x:c>
      <x:c r="B36" s="74" t="str">
        <x:v>M12</x:v>
      </x:c>
      <x:c r="C36" s="74" t="str">
        <x:v>BRIDGE</x:v>
      </x:c>
      <x:c r="D36" s="215" t="n">
        <x:v>30</x:v>
      </x:c>
      <x:c r="E36" s="74" t="str">
        <x:v>V1.0</x:v>
      </x:c>
      <x:c r="F36" s="68" t="str">
        <x:v>桥梁被冲动不等于流通必然中断</x:v>
      </x:c>
      <x:c r="G36" s="82" t="str">
        <x:v>结构层</x:v>
      </x:c>
      <x:c r="H36" s="68" t="str">
        <x:v>五行生化路径</x:v>
      </x:c>
      <x:c r="I36" s="68" t="str">
        <x:v>上游五行</x:v>
      </x:c>
      <x:c r="J36" s="68" t="str">
        <x:v>受冲桥梁</x:v>
      </x:c>
      <x:c r="K36" s="68" t="str">
        <x:v>下游五行</x:v>
      </x:c>
      <x:c r="L36" s="82" t="str">
        <x:v>待定</x:v>
      </x:c>
      <x:c r="M36" s="82" t="str">
        <x:v>中和</x:v>
      </x:c>
      <x:c r="N36" s="68" t="str">
        <x:v>被冲动</x:v>
      </x:c>
      <x:c r="O36" s="68" t="str">
        <x:v>待定</x:v>
      </x:c>
      <x:c r="P36" s="68" t="str">
        <x:v>待定</x:v>
      </x:c>
      <x:c r="Q36" s="82" t="str">
        <x:v>基本通畅</x:v>
      </x:c>
      <x:c r="R36" s="82" t="str">
        <x:v>其他</x:v>
      </x:c>
      <x:c r="S36" s="68" t="str">
        <x:v>待定</x:v>
      </x:c>
      <x:c r="T36" s="68" t="str">
        <x:v>M06仅判冲动或激活，并未判冲散、失根或功能失效</x:v>
      </x:c>
      <x:c r="U36" s="68" t="str">
        <x:v>待定</x:v>
      </x:c>
      <x:c r="V36" s="68" t="str">
        <x:v>待定</x:v>
      </x:c>
      <x:c r="W36" s="90" t="str">
        <x:v>需检查对调候、格局、日主承载及其他通路的副作用</x:v>
      </x:c>
      <x:c r="X36" s="68" t="str">
        <x:v>M06关系效应、M08五行有效旺衰、M10十神功能与M11组合判断已完成</x:v>
      </x:c>
      <x:c r="Y36" s="68" t="str">
        <x:v>起点、桥梁、终点均按有效力量与实际作用路径判断</x:v>
      </x:c>
      <x:c r="Z36" s="68" t="str">
        <x:v>桥梁有根有源、透达、位置可达且不存在关键制约</x:v>
      </x:c>
      <x:c r="AA36" s="68" t="str">
        <x:v>桥梁失令、无根、受克、合绊、改性或同时被多路调用</x:v>
      </x:c>
      <x:c r="AB36" s="90" t="str">
        <x:v>不得仅因五行缺失、数量少或关系名称直接认定卡点或通关用神</x:v>
      </x:c>
      <x:c r="AC36" s="68" t="str">
        <x:v>若存在更短、更强或副作用更小的替代路径，应并列比较后再裁定</x:v>
      </x:c>
      <x:c r="AD36" s="84" t="str">
        <x:v>冲动桥梁非自动失效</x:v>
      </x:c>
      <x:c r="AE36" s="84" t="str">
        <x:v>桥梁被冲动不等于流通必然中断：按起点—桥梁—终点检查有效力量、连续性与承载；卡点为“其他”时，仅生成通关候选，不直接定用神。</x:v>
      </x:c>
      <x:c r="AF36" s="82" t="str">
        <x:v>较高</x:v>
      </x:c>
      <x:c r="AG36" s="82" t="str">
        <x:v>现代综合</x:v>
      </x:c>
      <x:c r="AH36" s="68" t="str">
        <x:v>流通判断以五行有效力量、生克顺序与十神功能为核心；古典依据可参照《滴天髓》《渊海子平》。 https://zh.wikisource.org/wiki/%E6%BB%B4%E5%A4%A9%E9%AB%93%E9%97%A1%E5%BE%AE https://zh.wikisource.org/zh-hans/%E6%B7%B5%E6%B5%B7%E5%AD%90%E5%B9%B3</x:v>
      </x:c>
      <x:c r="AI36" s="68" t="str">
        <x:v>当“M06仅判冲动或激活，并未判冲散、失根或功能失效”真实成立，且桥梁具备有效力量和连续作用条件时，可按“桥梁被冲动不等于流通必然中断”记录。</x:v>
      </x:c>
      <x:c r="AJ36" s="90" t="str">
        <x:v>仅见表面缺失或五行相克，但未证明“M06仅判冲动或激活，并未判冲散、失根或功能失效”形成实际阻断时，不得套用“桥梁被冲动不等于流通必然中断”。</x:v>
      </x:c>
      <x:c r="AK36" s="82" t="str">
        <x:v>采用</x:v>
      </x:c>
      <x:c r="AL36" s="82" t="str">
        <x:v>初审</x:v>
      </x:c>
      <x:c r="AM36" s="87" t="n">
        <x:v>46255</x:v>
      </x:c>
    </x:row>
    <x:row r="37">
      <x:c r="A37" s="72" t="str">
        <x:f>IF(OR(C37="",D37=""),"",B37&amp;"-"&amp;UPPER(C37)&amp;"-"&amp;TEXT(D37,"0000")&amp;"-"&amp;E37)</x:f>
        <x:v>M12-END-0031-V1.0</x:v>
      </x:c>
      <x:c r="B37" s="74" t="str">
        <x:v>M12</x:v>
      </x:c>
      <x:c r="C37" s="74" t="str">
        <x:v>END</x:v>
      </x:c>
      <x:c r="D37" s="215" t="n">
        <x:v>31</x:v>
      </x:c>
      <x:c r="E37" s="74" t="str">
        <x:v>V1.0</x:v>
      </x:c>
      <x:c r="F37" s="68" t="str">
        <x:v>终点必须具备最低承载能力</x:v>
      </x:c>
      <x:c r="G37" s="82" t="str">
        <x:v>结构层</x:v>
      </x:c>
      <x:c r="H37" s="68" t="str">
        <x:v>五行生化路径</x:v>
      </x:c>
      <x:c r="I37" s="68" t="str">
        <x:v>上游五行</x:v>
      </x:c>
      <x:c r="J37" s="68" t="str">
        <x:v>有效桥梁</x:v>
      </x:c>
      <x:c r="K37" s="68" t="str">
        <x:v>弱终点</x:v>
      </x:c>
      <x:c r="L37" s="82" t="str">
        <x:v>待定</x:v>
      </x:c>
      <x:c r="M37" s="82" t="str">
        <x:v>待定</x:v>
      </x:c>
      <x:c r="N37" s="68" t="str">
        <x:v>待定</x:v>
      </x:c>
      <x:c r="O37" s="68" t="str">
        <x:v>终点偏弱但仍有根或有效节点</x:v>
      </x:c>
      <x:c r="P37" s="68" t="str">
        <x:v>待定</x:v>
      </x:c>
      <x:c r="Q37" s="82" t="str">
        <x:v>局部阻塞</x:v>
      </x:c>
      <x:c r="R37" s="82" t="str">
        <x:v>终点过弱不能承载</x:v>
      </x:c>
      <x:c r="S37" s="68" t="str">
        <x:v>终点</x:v>
      </x:c>
      <x:c r="T37" s="68" t="str">
        <x:v>终点有效力量不足，无法完整承接上游持续输送</x:v>
      </x:c>
      <x:c r="U37" s="68" t="str">
        <x:v>待定</x:v>
      </x:c>
      <x:c r="V37" s="68" t="str">
        <x:v>待定</x:v>
      </x:c>
      <x:c r="W37" s="90" t="str">
        <x:v>需检查对调候、格局、日主承载及其他通路的副作用</x:v>
      </x:c>
      <x:c r="X37" s="68" t="str">
        <x:v>M06关系效应、M08五行有效旺衰、M10十神功能与M11组合判断已完成</x:v>
      </x:c>
      <x:c r="Y37" s="68" t="str">
        <x:v>起点、桥梁、终点均按有效力量与实际作用路径判断</x:v>
      </x:c>
      <x:c r="Z37" s="68" t="str">
        <x:v>桥梁有根有源、透达、位置可达且不存在关键制约</x:v>
      </x:c>
      <x:c r="AA37" s="68" t="str">
        <x:v>桥梁失令、无根、受克、合绊、改性或同时被多路调用</x:v>
      </x:c>
      <x:c r="AB37" s="90" t="str">
        <x:v>不得仅因五行缺失、数量少或关系名称直接认定卡点或通关用神</x:v>
      </x:c>
      <x:c r="AC37" s="68" t="str">
        <x:v>若存在更短、更强或副作用更小的替代路径，应并列比较后再裁定</x:v>
      </x:c>
      <x:c r="AD37" s="84" t="str">
        <x:v>M12_END_流通判定</x:v>
      </x:c>
      <x:c r="AE37" s="84" t="str">
        <x:v>终点必须具备最低承载能力：按起点—桥梁—终点检查有效力量、连续性与承载；卡点为“终点过弱不能承载”时，仅生成通关候选，不直接定用神。</x:v>
      </x:c>
      <x:c r="AF37" s="82" t="str">
        <x:v>较高</x:v>
      </x:c>
      <x:c r="AG37" s="82" t="str">
        <x:v>现代综合</x:v>
      </x:c>
      <x:c r="AH37" s="68" t="str">
        <x:v>流通判断以五行有效力量、生克顺序与十神功能为核心；古典依据可参照《滴天髓》《渊海子平》。 https://zh.wikisource.org/wiki/%E6%BB%B4%E5%A4%A9%E9%AB%93%E9%97%A1%E5%BE%AE https://zh.wikisource.org/zh-hans/%E6%B7%B5%E6%B5%B7%E5%AD%90%E5%B9%B3</x:v>
      </x:c>
      <x:c r="AI37" s="68" t="str">
        <x:v>当“终点有效力量不足，无法完整承接上游持续输送”真实成立，且桥梁具备有效力量和连续作用条件时，可按“终点必须具备最低承载能力”记录。</x:v>
      </x:c>
      <x:c r="AJ37" s="90" t="str">
        <x:v>仅见表面缺失或五行相克，但未证明“终点有效力量不足，无法完整承接上游持续输送”形成实际阻断时，不得套用“终点必须具备最低承载能力”。</x:v>
      </x:c>
      <x:c r="AK37" s="82" t="str">
        <x:v>采用</x:v>
      </x:c>
      <x:c r="AL37" s="82" t="str">
        <x:v>初审</x:v>
      </x:c>
      <x:c r="AM37" s="87" t="n">
        <x:v>46255</x:v>
      </x:c>
    </x:row>
    <x:row r="38">
      <x:c r="A38" s="72" t="str">
        <x:f>IF(OR(C38="",D38=""),"",B38&amp;"-"&amp;UPPER(C38)&amp;"-"&amp;TEXT(D38,"0000")&amp;"-"&amp;E38)</x:f>
        <x:v>M12-END-0032-V1.0</x:v>
      </x:c>
      <x:c r="B38" s="74" t="str">
        <x:v>M12</x:v>
      </x:c>
      <x:c r="C38" s="74" t="str">
        <x:v>END</x:v>
      </x:c>
      <x:c r="D38" s="215" t="n">
        <x:v>32</x:v>
      </x:c>
      <x:c r="E38" s="74" t="str">
        <x:v>V1.0</x:v>
      </x:c>
      <x:c r="F38" s="68" t="str">
        <x:v>终点极弱或失效时路径可判无有效落点</x:v>
      </x:c>
      <x:c r="G38" s="82" t="str">
        <x:v>结构层</x:v>
      </x:c>
      <x:c r="H38" s="68" t="str">
        <x:v>五行生化路径</x:v>
      </x:c>
      <x:c r="I38" s="68" t="str">
        <x:v>上游五行</x:v>
      </x:c>
      <x:c r="J38" s="68" t="str">
        <x:v>有效桥梁</x:v>
      </x:c>
      <x:c r="K38" s="68" t="str">
        <x:v>极弱终点</x:v>
      </x:c>
      <x:c r="L38" s="82" t="str">
        <x:v>待定</x:v>
      </x:c>
      <x:c r="M38" s="82" t="str">
        <x:v>待定</x:v>
      </x:c>
      <x:c r="N38" s="68" t="str">
        <x:v>待定</x:v>
      </x:c>
      <x:c r="O38" s="68" t="str">
        <x:v>终点无根无源或已失效</x:v>
      </x:c>
      <x:c r="P38" s="68" t="str">
        <x:v>待定</x:v>
      </x:c>
      <x:c r="Q38" s="82" t="str">
        <x:v>无有效路径</x:v>
      </x:c>
      <x:c r="R38" s="82" t="str">
        <x:v>终点过弱不能承载</x:v>
      </x:c>
      <x:c r="S38" s="68" t="str">
        <x:v>终点</x:v>
      </x:c>
      <x:c r="T38" s="68" t="str">
        <x:v>终点无法接受或转化传来的力量</x:v>
      </x:c>
      <x:c r="U38" s="68" t="str">
        <x:v>待定</x:v>
      </x:c>
      <x:c r="V38" s="68" t="str">
        <x:v>待定</x:v>
      </x:c>
      <x:c r="W38" s="90" t="str">
        <x:v>需检查对调候、格局、日主承载及其他通路的副作用</x:v>
      </x:c>
      <x:c r="X38" s="68" t="str">
        <x:v>M06关系效应、M08五行有效旺衰、M10十神功能与M11组合判断已完成</x:v>
      </x:c>
      <x:c r="Y38" s="68" t="str">
        <x:v>起点、桥梁、终点均按有效力量与实际作用路径判断</x:v>
      </x:c>
      <x:c r="Z38" s="68" t="str">
        <x:v>桥梁有根有源、透达、位置可达且不存在关键制约</x:v>
      </x:c>
      <x:c r="AA38" s="68" t="str">
        <x:v>桥梁失令、无根、受克、合绊、改性或同时被多路调用</x:v>
      </x:c>
      <x:c r="AB38" s="90" t="str">
        <x:v>不得仅因五行缺失、数量少或关系名称直接认定卡点或通关用神</x:v>
      </x:c>
      <x:c r="AC38" s="68" t="str">
        <x:v>若存在更短、更强或副作用更小的替代路径，应并列比较后再裁定</x:v>
      </x:c>
      <x:c r="AD38" s="84" t="str">
        <x:v>M12_END_流通判定</x:v>
      </x:c>
      <x:c r="AE38" s="84" t="str">
        <x:v>终点极弱或失效时路径可判无有效落点：按起点—桥梁—终点检查有效力量、连续性与承载；卡点为“终点过弱不能承载”时，仅生成通关候选，不直接定用神。</x:v>
      </x:c>
      <x:c r="AF38" s="82" t="str">
        <x:v>较高</x:v>
      </x:c>
      <x:c r="AG38" s="82" t="str">
        <x:v>现代综合</x:v>
      </x:c>
      <x:c r="AH38" s="68" t="str">
        <x:v>流通判断以五行有效力量、生克顺序与十神功能为核心；古典依据可参照《滴天髓》《渊海子平》。 https://zh.wikisource.org/wiki/%E6%BB%B4%E5%A4%A9%E9%AB%93%E9%97%A1%E5%BE%AE https://zh.wikisource.org/zh-hans/%E6%B7%B5%E6%B5%B7%E5%AD%90%E5%B9%B3</x:v>
      </x:c>
      <x:c r="AI38" s="68" t="str">
        <x:v>当“终点无法接受或转化传来的力量”真实成立，且桥梁具备有效力量和连续作用条件时，可按“终点极弱或失效时路径可判无有效落点”记录。</x:v>
      </x:c>
      <x:c r="AJ38" s="90" t="str">
        <x:v>仅见表面缺失或五行相克，但未证明“终点无法接受或转化传来的力量”形成实际阻断时，不得套用“终点极弱或失效时路径可判无有效落点”。</x:v>
      </x:c>
      <x:c r="AK38" s="82" t="str">
        <x:v>采用</x:v>
      </x:c>
      <x:c r="AL38" s="82" t="str">
        <x:v>初审</x:v>
      </x:c>
      <x:c r="AM38" s="87" t="n">
        <x:v>46255</x:v>
      </x:c>
    </x:row>
    <x:row r="39">
      <x:c r="A39" s="72" t="str">
        <x:f>IF(OR(C39="",D39=""),"",B39&amp;"-"&amp;UPPER(C39)&amp;"-"&amp;TEXT(D39,"0000")&amp;"-"&amp;E39)</x:f>
        <x:v>M12-END-0033-V1.0</x:v>
      </x:c>
      <x:c r="B39" s="74" t="str">
        <x:v>M12</x:v>
      </x:c>
      <x:c r="C39" s="74" t="str">
        <x:v>END</x:v>
      </x:c>
      <x:c r="D39" s="215" t="n">
        <x:v>33</x:v>
      </x:c>
      <x:c r="E39" s="74" t="str">
        <x:v>V1.0</x:v>
      </x:c>
      <x:c r="F39" s="68" t="str">
        <x:v>终点中和以上通常可形成稳定落点</x:v>
      </x:c>
      <x:c r="G39" s="82" t="str">
        <x:v>结构层</x:v>
      </x:c>
      <x:c r="H39" s="68" t="str">
        <x:v>五行生化路径</x:v>
      </x:c>
      <x:c r="I39" s="68" t="str">
        <x:v>上游五行</x:v>
      </x:c>
      <x:c r="J39" s="68" t="str">
        <x:v>有效桥梁</x:v>
      </x:c>
      <x:c r="K39" s="68" t="str">
        <x:v>有效终点</x:v>
      </x:c>
      <x:c r="L39" s="82" t="str">
        <x:v>待定</x:v>
      </x:c>
      <x:c r="M39" s="82" t="str">
        <x:v>待定</x:v>
      </x:c>
      <x:c r="N39" s="68" t="str">
        <x:v>待定</x:v>
      </x:c>
      <x:c r="O39" s="68" t="str">
        <x:v>终点中和或中和偏旺</x:v>
      </x:c>
      <x:c r="P39" s="68" t="str">
        <x:v>待定</x:v>
      </x:c>
      <x:c r="Q39" s="82" t="str">
        <x:v>通畅</x:v>
      </x:c>
      <x:c r="R39" s="82" t="str">
        <x:v>其他</x:v>
      </x:c>
      <x:c r="S39" s="68" t="str">
        <x:v>待定</x:v>
      </x:c>
      <x:c r="T39" s="68" t="str">
        <x:v>终点有足够有效力量承接上游</x:v>
      </x:c>
      <x:c r="U39" s="68" t="str">
        <x:v>待定</x:v>
      </x:c>
      <x:c r="V39" s="68" t="str">
        <x:v>待定</x:v>
      </x:c>
      <x:c r="W39" s="90" t="str">
        <x:v>需检查对调候、格局、日主承载及其他通路的副作用</x:v>
      </x:c>
      <x:c r="X39" s="68" t="str">
        <x:v>M06关系效应、M08五行有效旺衰、M10十神功能与M11组合判断已完成</x:v>
      </x:c>
      <x:c r="Y39" s="68" t="str">
        <x:v>起点、桥梁、终点均按有效力量与实际作用路径判断</x:v>
      </x:c>
      <x:c r="Z39" s="68" t="str">
        <x:v>桥梁有根有源、透达、位置可达且不存在关键制约</x:v>
      </x:c>
      <x:c r="AA39" s="68" t="str">
        <x:v>桥梁失令、无根、受克、合绊、改性或同时被多路调用</x:v>
      </x:c>
      <x:c r="AB39" s="90" t="str">
        <x:v>不得仅因五行缺失、数量少或关系名称直接认定卡点或通关用神</x:v>
      </x:c>
      <x:c r="AC39" s="68" t="str">
        <x:v>若存在更短、更强或副作用更小的替代路径，应并列比较后再裁定</x:v>
      </x:c>
      <x:c r="AD39" s="84" t="str">
        <x:v>终点稳定承载</x:v>
      </x:c>
      <x:c r="AE39" s="84" t="str">
        <x:v>终点中和以上通常可形成稳定落点：按起点—桥梁—终点检查有效力量、连续性与承载；卡点为“其他”时，仅生成通关候选，不直接定用神。</x:v>
      </x:c>
      <x:c r="AF39" s="82" t="str">
        <x:v>较高</x:v>
      </x:c>
      <x:c r="AG39" s="82" t="str">
        <x:v>现代综合</x:v>
      </x:c>
      <x:c r="AH39" s="68" t="str">
        <x:v>流通判断以五行有效力量、生克顺序与十神功能为核心；古典依据可参照《滴天髓》《渊海子平》。 https://zh.wikisource.org/wiki/%E6%BB%B4%E5%A4%A9%E9%AB%93%E9%97%A1%E5%BE%AE https://zh.wikisource.org/zh-hans/%E6%B7%B5%E6%B5%B7%E5%AD%90%E5%B9%B3</x:v>
      </x:c>
      <x:c r="AI39" s="68" t="str">
        <x:v>当“终点有足够有效力量承接上游”真实成立，且桥梁具备有效力量和连续作用条件时，可按“终点中和以上通常可形成稳定落点”记录。</x:v>
      </x:c>
      <x:c r="AJ39" s="90" t="str">
        <x:v>仅见表面缺失或五行相克，但未证明“终点有足够有效力量承接上游”形成实际阻断时，不得套用“终点中和以上通常可形成稳定落点”。</x:v>
      </x:c>
      <x:c r="AK39" s="82" t="str">
        <x:v>采用</x:v>
      </x:c>
      <x:c r="AL39" s="82" t="str">
        <x:v>初审</x:v>
      </x:c>
      <x:c r="AM39" s="87" t="n">
        <x:v>46255</x:v>
      </x:c>
    </x:row>
    <x:row r="40">
      <x:c r="A40" s="72" t="str">
        <x:f>IF(OR(C40="",D40=""),"",B40&amp;"-"&amp;UPPER(C40)&amp;"-"&amp;TEXT(D40,"0000")&amp;"-"&amp;E40)</x:f>
        <x:v>M12-END-0034-V1.0</x:v>
      </x:c>
      <x:c r="B40" s="74" t="str">
        <x:v>M12</x:v>
      </x:c>
      <x:c r="C40" s="74" t="str">
        <x:v>END</x:v>
      </x:c>
      <x:c r="D40" s="215" t="n">
        <x:v>34</x:v>
      </x:c>
      <x:c r="E40" s="74" t="str">
        <x:v>V1.0</x:v>
      </x:c>
      <x:c r="F40" s="68" t="str">
        <x:v>终点过旺可能反向压制上游或桥梁</x:v>
      </x:c>
      <x:c r="G40" s="82" t="str">
        <x:v>结构层</x:v>
      </x:c>
      <x:c r="H40" s="68" t="str">
        <x:v>五行生化路径</x:v>
      </x:c>
      <x:c r="I40" s="68" t="str">
        <x:v>上游五行</x:v>
      </x:c>
      <x:c r="J40" s="68" t="str">
        <x:v>桥梁</x:v>
      </x:c>
      <x:c r="K40" s="68" t="str">
        <x:v>极旺终点</x:v>
      </x:c>
      <x:c r="L40" s="82" t="str">
        <x:v>待定</x:v>
      </x:c>
      <x:c r="M40" s="82" t="str">
        <x:v>待定</x:v>
      </x:c>
      <x:c r="N40" s="68" t="str">
        <x:v>待定</x:v>
      </x:c>
      <x:c r="O40" s="68" t="str">
        <x:v>终点过旺并产生反制</x:v>
      </x:c>
      <x:c r="P40" s="68" t="str">
        <x:v>待定</x:v>
      </x:c>
      <x:c r="Q40" s="82" t="str">
        <x:v>局部阻塞</x:v>
      </x:c>
      <x:c r="R40" s="82" t="str">
        <x:v>终点过旺反制</x:v>
      </x:c>
      <x:c r="S40" s="68" t="str">
        <x:v>终点</x:v>
      </x:c>
      <x:c r="T40" s="68" t="str">
        <x:v>终点集团过强，形成反向克制、争夺或截流</x:v>
      </x:c>
      <x:c r="U40" s="68" t="str">
        <x:v>待定</x:v>
      </x:c>
      <x:c r="V40" s="68" t="str">
        <x:v>待定</x:v>
      </x:c>
      <x:c r="W40" s="90" t="str">
        <x:v>需检查对调候、格局、日主承载及其他通路的副作用</x:v>
      </x:c>
      <x:c r="X40" s="68" t="str">
        <x:v>M06关系效应、M08五行有效旺衰、M10十神功能与M11组合判断已完成</x:v>
      </x:c>
      <x:c r="Y40" s="68" t="str">
        <x:v>起点、桥梁、终点均按有效力量与实际作用路径判断</x:v>
      </x:c>
      <x:c r="Z40" s="68" t="str">
        <x:v>桥梁有根有源、透达、位置可达且不存在关键制约</x:v>
      </x:c>
      <x:c r="AA40" s="68" t="str">
        <x:v>桥梁失令、无根、受克、合绊、改性或同时被多路调用</x:v>
      </x:c>
      <x:c r="AB40" s="90" t="str">
        <x:v>不得仅因五行缺失、数量少或关系名称直接认定卡点或通关用神</x:v>
      </x:c>
      <x:c r="AC40" s="68" t="str">
        <x:v>若存在更短、更强或副作用更小的替代路径，应并列比较后再裁定</x:v>
      </x:c>
      <x:c r="AD40" s="84" t="str">
        <x:v>M12_END_流通判定</x:v>
      </x:c>
      <x:c r="AE40" s="84" t="str">
        <x:v>终点过旺可能反向压制上游或桥梁：按起点—桥梁—终点检查有效力量、连续性与承载；卡点为“终点过旺反制”时，仅生成通关候选，不直接定用神。</x:v>
      </x:c>
      <x:c r="AF40" s="82" t="str">
        <x:v>较高</x:v>
      </x:c>
      <x:c r="AG40" s="82" t="str">
        <x:v>现代综合</x:v>
      </x:c>
      <x:c r="AH40" s="68" t="str">
        <x:v>流通判断以五行有效力量、生克顺序与十神功能为核心；古典依据可参照《滴天髓》《渊海子平》。 https://zh.wikisource.org/wiki/%E6%BB%B4%E5%A4%A9%E9%AB%93%E9%97%A1%E5%BE%AE https://zh.wikisource.org/zh-hans/%E6%B7%B5%E6%B5%B7%E5%AD%90%E5%B9%B3</x:v>
      </x:c>
      <x:c r="AI40" s="68" t="str">
        <x:v>当“终点集团过强，形成反向克制、争夺或截流”真实成立，且桥梁具备有效力量和连续作用条件时，可按“终点过旺可能反向压制上游或桥梁”记录。</x:v>
      </x:c>
      <x:c r="AJ40" s="90" t="str">
        <x:v>仅见表面缺失或五行相克，但未证明“终点集团过强，形成反向克制、争夺或截流”形成实际阻断时，不得套用“终点过旺可能反向压制上游或桥梁”。</x:v>
      </x:c>
      <x:c r="AK40" s="82" t="str">
        <x:v>采用</x:v>
      </x:c>
      <x:c r="AL40" s="82" t="str">
        <x:v>初审</x:v>
      </x:c>
      <x:c r="AM40" s="87" t="n">
        <x:v>46255</x:v>
      </x:c>
    </x:row>
    <x:row r="41">
      <x:c r="A41" s="72" t="str">
        <x:f>IF(OR(C41="",D41=""),"",B41&amp;"-"&amp;UPPER(C41)&amp;"-"&amp;TEXT(D41,"0000")&amp;"-"&amp;E41)</x:f>
        <x:v>M12-END-0035-V1.0</x:v>
      </x:c>
      <x:c r="B41" s="74" t="str">
        <x:v>M12</x:v>
      </x:c>
      <x:c r="C41" s="74" t="str">
        <x:v>END</x:v>
      </x:c>
      <x:c r="D41" s="215" t="n">
        <x:v>35</x:v>
      </x:c>
      <x:c r="E41" s="74" t="str">
        <x:v>V1.0</x:v>
      </x:c>
      <x:c r="F41" s="68" t="str">
        <x:v>终点被强克时承载能力需下调</x:v>
      </x:c>
      <x:c r="G41" s="82" t="str">
        <x:v>结构层</x:v>
      </x:c>
      <x:c r="H41" s="68" t="str">
        <x:v>五行生化路径</x:v>
      </x:c>
      <x:c r="I41" s="68" t="str">
        <x:v>上游五行</x:v>
      </x:c>
      <x:c r="J41" s="68" t="str">
        <x:v>桥梁</x:v>
      </x:c>
      <x:c r="K41" s="68" t="str">
        <x:v>受克终点</x:v>
      </x:c>
      <x:c r="L41" s="82" t="str">
        <x:v>待定</x:v>
      </x:c>
      <x:c r="M41" s="82" t="str">
        <x:v>待定</x:v>
      </x:c>
      <x:c r="N41" s="68" t="str">
        <x:v>待定</x:v>
      </x:c>
      <x:c r="O41" s="68" t="str">
        <x:v>终点本有力量但受强制</x:v>
      </x:c>
      <x:c r="P41" s="68" t="str">
        <x:v>待定</x:v>
      </x:c>
      <x:c r="Q41" s="82" t="str">
        <x:v>局部阻塞</x:v>
      </x:c>
      <x:c r="R41" s="82" t="str">
        <x:v>终点过弱不能承载</x:v>
      </x:c>
      <x:c r="S41" s="68" t="str">
        <x:v>终点</x:v>
      </x:c>
      <x:c r="T41" s="68" t="str">
        <x:v>终点在承接上游时同时遭受更强克制</x:v>
      </x:c>
      <x:c r="U41" s="68" t="str">
        <x:v>待定</x:v>
      </x:c>
      <x:c r="V41" s="68" t="str">
        <x:v>待定</x:v>
      </x:c>
      <x:c r="W41" s="90" t="str">
        <x:v>需检查对调候、格局、日主承载及其他通路的副作用</x:v>
      </x:c>
      <x:c r="X41" s="68" t="str">
        <x:v>M06关系效应、M08五行有效旺衰、M10十神功能与M11组合判断已完成</x:v>
      </x:c>
      <x:c r="Y41" s="68" t="str">
        <x:v>起点、桥梁、终点均按有效力量与实际作用路径判断</x:v>
      </x:c>
      <x:c r="Z41" s="68" t="str">
        <x:v>桥梁有根有源、透达、位置可达且不存在关键制约</x:v>
      </x:c>
      <x:c r="AA41" s="68" t="str">
        <x:v>桥梁失令、无根、受克、合绊、改性或同时被多路调用</x:v>
      </x:c>
      <x:c r="AB41" s="90" t="str">
        <x:v>不得仅因五行缺失、数量少或关系名称直接认定卡点或通关用神</x:v>
      </x:c>
      <x:c r="AC41" s="68" t="str">
        <x:v>若存在更短、更强或副作用更小的替代路径，应并列比较后再裁定</x:v>
      </x:c>
      <x:c r="AD41" s="84" t="str">
        <x:v>M12_END_流通判定</x:v>
      </x:c>
      <x:c r="AE41" s="84" t="str">
        <x:v>终点被强克时承载能力需下调：按起点—桥梁—终点检查有效力量、连续性与承载；卡点为“终点过弱不能承载”时，仅生成通关候选，不直接定用神。</x:v>
      </x:c>
      <x:c r="AF41" s="82" t="str">
        <x:v>较高</x:v>
      </x:c>
      <x:c r="AG41" s="82" t="str">
        <x:v>现代综合</x:v>
      </x:c>
      <x:c r="AH41" s="68" t="str">
        <x:v>流通判断以五行有效力量、生克顺序与十神功能为核心；古典依据可参照《滴天髓》《渊海子平》。 https://zh.wikisource.org/wiki/%E6%BB%B4%E5%A4%A9%E9%AB%93%E9%97%A1%E5%BE%AE https://zh.wikisource.org/zh-hans/%E6%B7%B5%E6%B5%B7%E5%AD%90%E5%B9%B3</x:v>
      </x:c>
      <x:c r="AI41" s="68" t="str">
        <x:v>当“终点在承接上游时同时遭受更强克制”真实成立，且桥梁具备有效力量和连续作用条件时，可按“终点被强克时承载能力需下调”记录。</x:v>
      </x:c>
      <x:c r="AJ41" s="90" t="str">
        <x:v>仅见表面缺失或五行相克，但未证明“终点在承接上游时同时遭受更强克制”形成实际阻断时，不得套用“终点被强克时承载能力需下调”。</x:v>
      </x:c>
      <x:c r="AK41" s="82" t="str">
        <x:v>采用</x:v>
      </x:c>
      <x:c r="AL41" s="82" t="str">
        <x:v>初审</x:v>
      </x:c>
      <x:c r="AM41" s="87" t="n">
        <x:v>46255</x:v>
      </x:c>
    </x:row>
    <x:row r="42">
      <x:c r="A42" s="72" t="str">
        <x:f>IF(OR(C42="",D42=""),"",B42&amp;"-"&amp;UPPER(C42)&amp;"-"&amp;TEXT(D42,"0000")&amp;"-"&amp;E42)</x:f>
        <x:v>M12-END-0036-V1.0</x:v>
      </x:c>
      <x:c r="B42" s="74" t="str">
        <x:v>M12</x:v>
      </x:c>
      <x:c r="C42" s="74" t="str">
        <x:v>END</x:v>
      </x:c>
      <x:c r="D42" s="215" t="n">
        <x:v>36</x:v>
      </x:c>
      <x:c r="E42" s="74" t="str">
        <x:v>V1.0</x:v>
      </x:c>
      <x:c r="F42" s="68" t="str">
        <x:v>终点被合化后必须按新功能重判承载</x:v>
      </x:c>
      <x:c r="G42" s="82" t="str">
        <x:v>结构层</x:v>
      </x:c>
      <x:c r="H42" s="68" t="str">
        <x:v>五行生化路径</x:v>
      </x:c>
      <x:c r="I42" s="68" t="str">
        <x:v>上游五行</x:v>
      </x:c>
      <x:c r="J42" s="68" t="str">
        <x:v>桥梁</x:v>
      </x:c>
      <x:c r="K42" s="68" t="str">
        <x:v>发生实质合化的终点</x:v>
      </x:c>
      <x:c r="L42" s="82" t="str">
        <x:v>待定</x:v>
      </x:c>
      <x:c r="M42" s="82" t="str">
        <x:v>待定</x:v>
      </x:c>
      <x:c r="N42" s="68" t="str">
        <x:v>待定</x:v>
      </x:c>
      <x:c r="O42" s="68" t="str">
        <x:v>原终点功能已转化</x:v>
      </x:c>
      <x:c r="P42" s="68" t="str">
        <x:v>待定</x:v>
      </x:c>
      <x:c r="Q42" s="82" t="str">
        <x:v>无有效路径</x:v>
      </x:c>
      <x:c r="R42" s="82" t="str">
        <x:v>其他</x:v>
      </x:c>
      <x:c r="S42" s="68" t="str">
        <x:v>终点</x:v>
      </x:c>
      <x:c r="T42" s="68" t="str">
        <x:v>终点原五行性质改变，原路径不再以原终点收束</x:v>
      </x:c>
      <x:c r="U42" s="68" t="str">
        <x:v>待定</x:v>
      </x:c>
      <x:c r="V42" s="68" t="str">
        <x:v>待定</x:v>
      </x:c>
      <x:c r="W42" s="90" t="str">
        <x:v>需检查对调候、格局、日主承载及其他通路的副作用</x:v>
      </x:c>
      <x:c r="X42" s="68" t="str">
        <x:v>M06关系效应、M08五行有效旺衰、M10十神功能与M11组合判断已完成</x:v>
      </x:c>
      <x:c r="Y42" s="68" t="str">
        <x:v>起点、桥梁、终点均按有效力量与实际作用路径判断</x:v>
      </x:c>
      <x:c r="Z42" s="68" t="str">
        <x:v>桥梁有根有源、透达、位置可达且不存在关键制约</x:v>
      </x:c>
      <x:c r="AA42" s="68" t="str">
        <x:v>桥梁失令、无根、受克、合绊、改性或同时被多路调用</x:v>
      </x:c>
      <x:c r="AB42" s="90" t="str">
        <x:v>不得仅因五行缺失、数量少或关系名称直接认定卡点或通关用神</x:v>
      </x:c>
      <x:c r="AC42" s="68" t="str">
        <x:v>若存在更短、更强或副作用更小的替代路径，应并列比较后再裁定</x:v>
      </x:c>
      <x:c r="AD42" s="84" t="str">
        <x:v>M12_END_流通判定</x:v>
      </x:c>
      <x:c r="AE42" s="84" t="str">
        <x:v>终点被合化后必须按新功能重判承载：按起点—桥梁—终点检查有效力量、连续性与承载；卡点为“其他”时，仅生成通关候选，不直接定用神。</x:v>
      </x:c>
      <x:c r="AF42" s="82" t="str">
        <x:v>较高</x:v>
      </x:c>
      <x:c r="AG42" s="82" t="str">
        <x:v>现代综合</x:v>
      </x:c>
      <x:c r="AH42" s="68" t="str">
        <x:v>流通判断以五行有效力量、生克顺序与十神功能为核心；古典依据可参照《滴天髓》《渊海子平》。 https://zh.wikisource.org/wiki/%E6%BB%B4%E5%A4%A9%E9%AB%93%E9%97%A1%E5%BE%AE https://zh.wikisource.org/zh-hans/%E6%B7%B5%E6%B5%B7%E5%AD%90%E5%B9%B3</x:v>
      </x:c>
      <x:c r="AI42" s="68" t="str">
        <x:v>当“终点原五行性质改变，原路径不再以原终点收束”真实成立，且桥梁具备有效力量和连续作用条件时，可按“终点被合化后必须按新功能重判承载”记录。</x:v>
      </x:c>
      <x:c r="AJ42" s="90" t="str">
        <x:v>仅见表面缺失或五行相克，但未证明“终点原五行性质改变，原路径不再以原终点收束”形成实际阻断时，不得套用“终点被合化后必须按新功能重判承载”。</x:v>
      </x:c>
      <x:c r="AK42" s="82" t="str">
        <x:v>采用</x:v>
      </x:c>
      <x:c r="AL42" s="82" t="str">
        <x:v>初审</x:v>
      </x:c>
      <x:c r="AM42" s="87" t="n">
        <x:v>46255</x:v>
      </x:c>
    </x:row>
    <x:row r="43">
      <x:c r="A43" s="72" t="str">
        <x:f>IF(OR(C43="",D43=""),"",B43&amp;"-"&amp;UPPER(C43)&amp;"-"&amp;TEXT(D43,"0000")&amp;"-"&amp;E43)</x:f>
        <x:v>M12-END-0037-V1.0</x:v>
      </x:c>
      <x:c r="B43" s="74" t="str">
        <x:v>M12</x:v>
      </x:c>
      <x:c r="C43" s="74" t="str">
        <x:v>END</x:v>
      </x:c>
      <x:c r="D43" s="215" t="n">
        <x:v>37</x:v>
      </x:c>
      <x:c r="E43" s="74" t="str">
        <x:v>V1.0</x:v>
      </x:c>
      <x:c r="F43" s="68" t="str">
        <x:v>一个终点接收多个强源时可能超载</x:v>
      </x:c>
      <x:c r="G43" s="82" t="str">
        <x:v>结构层</x:v>
      </x:c>
      <x:c r="H43" s="68" t="str">
        <x:v>五行生化路径</x:v>
      </x:c>
      <x:c r="I43" s="68" t="str">
        <x:v>多个旺强源头</x:v>
      </x:c>
      <x:c r="J43" s="68" t="str">
        <x:v>多个桥梁或同一桥梁</x:v>
      </x:c>
      <x:c r="K43" s="68" t="str">
        <x:v>单一终点</x:v>
      </x:c>
      <x:c r="L43" s="82" t="str">
        <x:v>待定</x:v>
      </x:c>
      <x:c r="M43" s="82" t="str">
        <x:v>待定</x:v>
      </x:c>
      <x:c r="N43" s="68" t="str">
        <x:v>待定</x:v>
      </x:c>
      <x:c r="O43" s="68" t="str">
        <x:v>终点承载有限</x:v>
      </x:c>
      <x:c r="P43" s="68" t="str">
        <x:v>待定</x:v>
      </x:c>
      <x:c r="Q43" s="82" t="str">
        <x:v>局部阻塞</x:v>
      </x:c>
      <x:c r="R43" s="82" t="str">
        <x:v>终点过旺反制</x:v>
      </x:c>
      <x:c r="S43" s="68" t="str">
        <x:v>终点</x:v>
      </x:c>
      <x:c r="T43" s="68" t="str">
        <x:v>多个通路同时向同一终点汇聚，输入高于终点消化能力</x:v>
      </x:c>
      <x:c r="U43" s="68" t="str">
        <x:v>待定</x:v>
      </x:c>
      <x:c r="V43" s="68" t="str">
        <x:v>待定</x:v>
      </x:c>
      <x:c r="W43" s="90" t="str">
        <x:v>需检查对调候、格局、日主承载及其他通路的副作用</x:v>
      </x:c>
      <x:c r="X43" s="68" t="str">
        <x:v>M06关系效应、M08五行有效旺衰、M10十神功能与M11组合判断已完成</x:v>
      </x:c>
      <x:c r="Y43" s="68" t="str">
        <x:v>起点、桥梁、终点均按有效力量与实际作用路径判断</x:v>
      </x:c>
      <x:c r="Z43" s="68" t="str">
        <x:v>桥梁有根有源、透达、位置可达且不存在关键制约</x:v>
      </x:c>
      <x:c r="AA43" s="68" t="str">
        <x:v>桥梁失令、无根、受克、合绊、改性或同时被多路调用</x:v>
      </x:c>
      <x:c r="AB43" s="90" t="str">
        <x:v>不得仅因五行缺失、数量少或关系名称直接认定卡点或通关用神</x:v>
      </x:c>
      <x:c r="AC43" s="68" t="str">
        <x:v>若存在更短、更强或副作用更小的替代路径，应并列比较后再裁定</x:v>
      </x:c>
      <x:c r="AD43" s="84" t="str">
        <x:v>M12_END_流通判定</x:v>
      </x:c>
      <x:c r="AE43" s="84" t="str">
        <x:v>一个终点接收多个强源时可能超载：按起点—桥梁—终点检查有效力量、连续性与承载；卡点为“终点过旺反制”时，仅生成通关候选，不直接定用神。</x:v>
      </x:c>
      <x:c r="AF43" s="82" t="str">
        <x:v>较高</x:v>
      </x:c>
      <x:c r="AG43" s="82" t="str">
        <x:v>现代综合</x:v>
      </x:c>
      <x:c r="AH43" s="68" t="str">
        <x:v>流通判断以五行有效力量、生克顺序与十神功能为核心；古典依据可参照《滴天髓》《渊海子平》。 https://zh.wikisource.org/wiki/%E6%BB%B4%E5%A4%A9%E9%AB%93%E9%97%A1%E5%BE%AE https://zh.wikisource.org/zh-hans/%E6%B7%B5%E6%B5%B7%E5%AD%90%E5%B9%B3</x:v>
      </x:c>
      <x:c r="AI43" s="68" t="str">
        <x:v>当“多个通路同时向同一终点汇聚，输入高于终点消化能力”真实成立，且桥梁具备有效力量和连续作用条件时，可按“一个终点接收多个强源时可能超载”记录。</x:v>
      </x:c>
      <x:c r="AJ43" s="90" t="str">
        <x:v>仅见表面缺失或五行相克，但未证明“多个通路同时向同一终点汇聚，输入高于终点消化能力”形成实际阻断时，不得套用“一个终点接收多个强源时可能超载”。</x:v>
      </x:c>
      <x:c r="AK43" s="82" t="str">
        <x:v>采用</x:v>
      </x:c>
      <x:c r="AL43" s="82" t="str">
        <x:v>初审</x:v>
      </x:c>
      <x:c r="AM43" s="87" t="n">
        <x:v>46255</x:v>
      </x:c>
    </x:row>
    <x:row r="44">
      <x:c r="A44" s="72" t="str">
        <x:f>IF(OR(C44="",D44=""),"",B44&amp;"-"&amp;UPPER(C44)&amp;"-"&amp;TEXT(D44,"0000")&amp;"-"&amp;E44)</x:f>
        <x:v>M12-END-0038-V1.0</x:v>
      </x:c>
      <x:c r="B44" s="74" t="str">
        <x:v>M12</x:v>
      </x:c>
      <x:c r="C44" s="74" t="str">
        <x:v>END</x:v>
      </x:c>
      <x:c r="D44" s="215" t="n">
        <x:v>38</x:v>
      </x:c>
      <x:c r="E44" s="74" t="str">
        <x:v>V1.0</x:v>
      </x:c>
      <x:c r="F44" s="68" t="str">
        <x:v>终点承载评价必须结合其后续是否仍需继续输出</x:v>
      </x:c>
      <x:c r="G44" s="82" t="str">
        <x:v>结构层</x:v>
      </x:c>
      <x:c r="H44" s="68" t="str">
        <x:v>五行生化路径</x:v>
      </x:c>
      <x:c r="I44" s="68" t="str">
        <x:v>上游</x:v>
      </x:c>
      <x:c r="J44" s="68" t="str">
        <x:v>中间五行</x:v>
      </x:c>
      <x:c r="K44" s="68" t="str">
        <x:v>阶段性终点</x:v>
      </x:c>
      <x:c r="L44" s="82" t="str">
        <x:v>待定</x:v>
      </x:c>
      <x:c r="M44" s="82" t="str">
        <x:v>待定</x:v>
      </x:c>
      <x:c r="N44" s="68" t="str">
        <x:v>待定</x:v>
      </x:c>
      <x:c r="O44" s="68" t="str">
        <x:v>终点既承接又可能成为下一段起点</x:v>
      </x:c>
      <x:c r="P44" s="68" t="str">
        <x:v>待定</x:v>
      </x:c>
      <x:c r="Q44" s="82" t="str">
        <x:v>待定</x:v>
      </x:c>
      <x:c r="R44" s="82" t="str">
        <x:v>链路过长</x:v>
      </x:c>
      <x:c r="S44" s="68" t="str">
        <x:v>终点</x:v>
      </x:c>
      <x:c r="T44" s="68" t="str">
        <x:v>阶段性终点如果还需继续输出，则其承载和泄出能力须同时评估</x:v>
      </x:c>
      <x:c r="U44" s="68" t="str">
        <x:v>待定</x:v>
      </x:c>
      <x:c r="V44" s="68" t="str">
        <x:v>待定</x:v>
      </x:c>
      <x:c r="W44" s="90" t="str">
        <x:v>需检查对调候、格局、日主承载及其他通路的副作用</x:v>
      </x:c>
      <x:c r="X44" s="68" t="str">
        <x:v>M06关系效应、M08五行有效旺衰、M10十神功能与M11组合判断已完成</x:v>
      </x:c>
      <x:c r="Y44" s="68" t="str">
        <x:v>起点、桥梁、终点均按有效力量与实际作用路径判断</x:v>
      </x:c>
      <x:c r="Z44" s="68" t="str">
        <x:v>桥梁有根有源、透达、位置可达且不存在关键制约</x:v>
      </x:c>
      <x:c r="AA44" s="68" t="str">
        <x:v>桥梁失令、无根、受克、合绊、改性或同时被多路调用</x:v>
      </x:c>
      <x:c r="AB44" s="90" t="str">
        <x:v>不得仅因五行缺失、数量少或关系名称直接认定卡点或通关用神</x:v>
      </x:c>
      <x:c r="AC44" s="68" t="str">
        <x:v>若存在更短、更强或副作用更小的替代路径，应并列比较后再裁定</x:v>
      </x:c>
      <x:c r="AD44" s="84" t="str">
        <x:v>M12_END_流通判定</x:v>
      </x:c>
      <x:c r="AE44" s="84" t="str">
        <x:v>终点承载评价必须结合其后续是否仍需继续输出：按起点—桥梁—终点检查有效力量、连续性与承载；卡点为“链路过长”时，仅生成通关候选，不直接定用神。</x:v>
      </x:c>
      <x:c r="AF44" s="82" t="str">
        <x:v>较高</x:v>
      </x:c>
      <x:c r="AG44" s="82" t="str">
        <x:v>现代综合</x:v>
      </x:c>
      <x:c r="AH44" s="68" t="str">
        <x:v>流通判断以五行有效力量、生克顺序与十神功能为核心；古典依据可参照《滴天髓》《渊海子平》。 https://zh.wikisource.org/wiki/%E6%BB%B4%E5%A4%A9%E9%AB%93%E9%97%A1%E5%BE%AE https://zh.wikisource.org/zh-hans/%E6%B7%B5%E6%B5%B7%E5%AD%90%E5%B9%B3</x:v>
      </x:c>
      <x:c r="AI44" s="68" t="str">
        <x:v>当“阶段性终点如果还需继续输出，则其承载和泄出能力须同时评估”真实成立，且桥梁具备有效力量和连续作用条件时，可按“终点承载评价必须结合其后续是否仍需继续输出”记录。</x:v>
      </x:c>
      <x:c r="AJ44" s="90" t="str">
        <x:v>仅见表面缺失或五行相克，但未证明“阶段性终点如果还需继续输出，则其承载和泄出能力须同时评估”形成实际阻断时，不得套用“终点承载评价必须结合其后续是否仍需继续输出”。</x:v>
      </x:c>
      <x:c r="AK44" s="82" t="str">
        <x:v>采用</x:v>
      </x:c>
      <x:c r="AL44" s="82" t="str">
        <x:v>初审</x:v>
      </x:c>
      <x:c r="AM44" s="87" t="n">
        <x:v>46255</x:v>
      </x:c>
    </x:row>
    <x:row r="45">
      <x:c r="A45" s="72" t="str">
        <x:f>IF(OR(C45="",D45=""),"",B45&amp;"-"&amp;UPPER(C45)&amp;"-"&amp;TEXT(D45,"0000")&amp;"-"&amp;E45)</x:f>
        <x:v>M12-BLOCK-0039-V1.0</x:v>
      </x:c>
      <x:c r="B45" s="74" t="str">
        <x:v>M12</x:v>
      </x:c>
      <x:c r="C45" s="74" t="str">
        <x:v>BLOCK</x:v>
      </x:c>
      <x:c r="D45" s="215" t="n">
        <x:v>39</x:v>
      </x:c>
      <x:c r="E45" s="74" t="str">
        <x:v>V1.0</x:v>
      </x:c>
      <x:c r="F45" s="68" t="str">
        <x:v>缺少必要桥梁形成真正缺桥</x:v>
      </x:c>
      <x:c r="G45" s="82" t="str">
        <x:v>结构层</x:v>
      </x:c>
      <x:c r="H45" s="68" t="str">
        <x:v>五行生化路径</x:v>
      </x:c>
      <x:c r="I45" s="68" t="str">
        <x:v>相邻但不能直接完成目标流向的上游</x:v>
      </x:c>
      <x:c r="J45" s="68" t="str">
        <x:v>缺失五行</x:v>
      </x:c>
      <x:c r="K45" s="68" t="str">
        <x:v>下游</x:v>
      </x:c>
      <x:c r="L45" s="82" t="str">
        <x:v>待定</x:v>
      </x:c>
      <x:c r="M45" s="82" t="str">
        <x:v>待定</x:v>
      </x:c>
      <x:c r="N45" s="68" t="str">
        <x:v>待定</x:v>
      </x:c>
      <x:c r="O45" s="68" t="str">
        <x:v>待定</x:v>
      </x:c>
      <x:c r="P45" s="68" t="str">
        <x:v>待定</x:v>
      </x:c>
      <x:c r="Q45" s="82" t="str">
        <x:v>明显阻断</x:v>
      </x:c>
      <x:c r="R45" s="82" t="str">
        <x:v>缺桥</x:v>
      </x:c>
      <x:c r="S45" s="68" t="str">
        <x:v>桥梁</x:v>
      </x:c>
      <x:c r="T45" s="68" t="str">
        <x:v>目标生化或通关路径必须经过该五行，而原局该五行完全不现或全部失效</x:v>
      </x:c>
      <x:c r="U45" s="68" t="str">
        <x:v>待定</x:v>
      </x:c>
      <x:c r="V45" s="68" t="str">
        <x:v>待定</x:v>
      </x:c>
      <x:c r="W45" s="90" t="str">
        <x:v>需检查对调候、格局、日主承载及其他通路的副作用</x:v>
      </x:c>
      <x:c r="X45" s="68" t="str">
        <x:v>M06关系效应、M08五行有效旺衰、M10十神功能与M11组合判断已完成</x:v>
      </x:c>
      <x:c r="Y45" s="68" t="str">
        <x:v>起点、桥梁、终点均按有效力量与实际作用路径判断</x:v>
      </x:c>
      <x:c r="Z45" s="68" t="str">
        <x:v>桥梁有根有源、透达、位置可达且不存在关键制约</x:v>
      </x:c>
      <x:c r="AA45" s="68" t="str">
        <x:v>桥梁失令、无根、受克、合绊、改性或同时被多路调用</x:v>
      </x:c>
      <x:c r="AB45" s="90" t="str">
        <x:v>不得仅因五行缺失、数量少或关系名称直接认定卡点或通关用神</x:v>
      </x:c>
      <x:c r="AC45" s="68" t="str">
        <x:v>若存在更短、更强或副作用更小的替代路径，应并列比较后再裁定</x:v>
      </x:c>
      <x:c r="AD45" s="84" t="str">
        <x:v>M12_BLOCK_流通判定</x:v>
      </x:c>
      <x:c r="AE45" s="84" t="str">
        <x:v>缺少必要桥梁形成真正缺桥：按起点—桥梁—终点检查有效力量、连续性与承载；卡点为“缺桥”时，仅生成通关候选，不直接定用神。</x:v>
      </x:c>
      <x:c r="AF45" s="82" t="str">
        <x:v>较高</x:v>
      </x:c>
      <x:c r="AG45" s="82" t="str">
        <x:v>现代综合</x:v>
      </x:c>
      <x:c r="AH45" s="68" t="str">
        <x:v>流通判断以五行有效力量、生克顺序与十神功能为核心；古典依据可参照《滴天髓》《渊海子平》。 https://zh.wikisource.org/wiki/%E6%BB%B4%E5%A4%A9%E9%AB%93%E9%97%A1%E5%BE%AE https://zh.wikisource.org/zh-hans/%E6%B7%B5%E6%B5%B7%E5%AD%90%E5%B9%B3</x:v>
      </x:c>
      <x:c r="AI45" s="68" t="str">
        <x:v>当“目标生化或通关路径必须经过该五行，而原局该五行完全不现或全部失效”真实成立，且桥梁具备有效力量和连续作用条件时，可按“缺少必要桥梁形成真正缺桥”记录。</x:v>
      </x:c>
      <x:c r="AJ45" s="90" t="str">
        <x:v>仅见表面缺失或五行相克，但未证明“目标生化或通关路径必须经过该五行，而原局该五行完全不现或全部失效”形成实际阻断时，不得套用“缺少必要桥梁形成真正缺桥”。</x:v>
      </x:c>
      <x:c r="AK45" s="82" t="str">
        <x:v>采用</x:v>
      </x:c>
      <x:c r="AL45" s="82" t="str">
        <x:v>初审</x:v>
      </x:c>
      <x:c r="AM45" s="87" t="n">
        <x:v>46255</x:v>
      </x:c>
    </x:row>
    <x:row r="46">
      <x:c r="A46" s="72" t="str">
        <x:f>IF(OR(C46="",D46=""),"",B46&amp;"-"&amp;UPPER(C46)&amp;"-"&amp;TEXT(D46,"0000")&amp;"-"&amp;E46)</x:f>
        <x:v>M12-BLOCK-0040-V1.0</x:v>
      </x:c>
      <x:c r="B46" s="74" t="str">
        <x:v>M12</x:v>
      </x:c>
      <x:c r="C46" s="74" t="str">
        <x:v>BLOCK</x:v>
      </x:c>
      <x:c r="D46" s="215" t="n">
        <x:v>40</x:v>
      </x:c>
      <x:c r="E46" s="74" t="str">
        <x:v>V1.0</x:v>
      </x:c>
      <x:c r="F46" s="68" t="str">
        <x:v>桥梁太弱是最常见的局部阻塞</x:v>
      </x:c>
      <x:c r="G46" s="82" t="str">
        <x:v>结构层</x:v>
      </x:c>
      <x:c r="H46" s="68" t="str">
        <x:v>五行生化路径</x:v>
      </x:c>
      <x:c r="I46" s="68" t="str">
        <x:v>有力上游</x:v>
      </x:c>
      <x:c r="J46" s="68" t="str">
        <x:v>弱桥梁</x:v>
      </x:c>
      <x:c r="K46" s="68" t="str">
        <x:v>有承载终点</x:v>
      </x:c>
      <x:c r="L46" s="82" t="str">
        <x:v>旺</x:v>
      </x:c>
      <x:c r="M46" s="82" t="str">
        <x:v>弱</x:v>
      </x:c>
      <x:c r="N46" s="68" t="str">
        <x:v>待定</x:v>
      </x:c>
      <x:c r="O46" s="68" t="str">
        <x:v>待定</x:v>
      </x:c>
      <x:c r="P46" s="68" t="str">
        <x:v>待定</x:v>
      </x:c>
      <x:c r="Q46" s="82" t="str">
        <x:v>局部阻塞</x:v>
      </x:c>
      <x:c r="R46" s="82" t="str">
        <x:v>桥梁太弱</x:v>
      </x:c>
      <x:c r="S46" s="68" t="str">
        <x:v>桥梁</x:v>
      </x:c>
      <x:c r="T46" s="68" t="str">
        <x:v>桥梁有名义节点但有效力量不足以传递上游</x:v>
      </x:c>
      <x:c r="U46" s="68" t="str">
        <x:v>待定</x:v>
      </x:c>
      <x:c r="V46" s="68" t="str">
        <x:v>待定</x:v>
      </x:c>
      <x:c r="W46" s="90" t="str">
        <x:v>需检查对调候、格局、日主承载及其他通路的副作用</x:v>
      </x:c>
      <x:c r="X46" s="68" t="str">
        <x:v>M06关系效应、M08五行有效旺衰、M10十神功能与M11组合判断已完成</x:v>
      </x:c>
      <x:c r="Y46" s="68" t="str">
        <x:v>起点、桥梁、终点均按有效力量与实际作用路径判断</x:v>
      </x:c>
      <x:c r="Z46" s="68" t="str">
        <x:v>桥梁有根有源、透达、位置可达且不存在关键制约</x:v>
      </x:c>
      <x:c r="AA46" s="68" t="str">
        <x:v>桥梁失令、无根、受克、合绊、改性或同时被多路调用</x:v>
      </x:c>
      <x:c r="AB46" s="90" t="str">
        <x:v>不得仅因五行缺失、数量少或关系名称直接认定卡点或通关用神</x:v>
      </x:c>
      <x:c r="AC46" s="68" t="str">
        <x:v>若存在更短、更强或副作用更小的替代路径，应并列比较后再裁定</x:v>
      </x:c>
      <x:c r="AD46" s="84" t="str">
        <x:v>M12_BLOCK_流通判定</x:v>
      </x:c>
      <x:c r="AE46" s="84" t="str">
        <x:v>桥梁太弱是最常见的局部阻塞：按起点—桥梁—终点检查有效力量、连续性与承载；卡点为“桥梁太弱”时，仅生成通关候选，不直接定用神。</x:v>
      </x:c>
      <x:c r="AF46" s="82" t="str">
        <x:v>较高</x:v>
      </x:c>
      <x:c r="AG46" s="82" t="str">
        <x:v>现代综合</x:v>
      </x:c>
      <x:c r="AH46" s="68" t="str">
        <x:v>流通判断以五行有效力量、生克顺序与十神功能为核心；古典依据可参照《滴天髓》《渊海子平》。 https://zh.wikisource.org/wiki/%E6%BB%B4%E5%A4%A9%E9%AB%93%E9%97%A1%E5%BE%AE https://zh.wikisource.org/zh-hans/%E6%B7%B5%E6%B5%B7%E5%AD%90%E5%B9%B3</x:v>
      </x:c>
      <x:c r="AI46" s="68" t="str">
        <x:v>当“桥梁有名义节点但有效力量不足以传递上游”真实成立，且桥梁具备有效力量和连续作用条件时，可按“桥梁太弱是最常见的局部阻塞”记录。</x:v>
      </x:c>
      <x:c r="AJ46" s="90" t="str">
        <x:v>仅见表面缺失或五行相克，但未证明“桥梁有名义节点但有效力量不足以传递上游”形成实际阻断时，不得套用“桥梁太弱是最常见的局部阻塞”。</x:v>
      </x:c>
      <x:c r="AK46" s="82" t="str">
        <x:v>采用</x:v>
      </x:c>
      <x:c r="AL46" s="82" t="str">
        <x:v>初审</x:v>
      </x:c>
      <x:c r="AM46" s="87" t="n">
        <x:v>46255</x:v>
      </x:c>
    </x:row>
    <x:row r="47">
      <x:c r="A47" s="72" t="str">
        <x:f>IF(OR(C47="",D47=""),"",B47&amp;"-"&amp;UPPER(C47)&amp;"-"&amp;TEXT(D47,"0000")&amp;"-"&amp;E47)</x:f>
        <x:v>M12-BLOCK-0041-V1.0</x:v>
      </x:c>
      <x:c r="B47" s="74" t="str">
        <x:v>M12</x:v>
      </x:c>
      <x:c r="C47" s="74" t="str">
        <x:v>BLOCK</x:v>
      </x:c>
      <x:c r="D47" s="215" t="n">
        <x:v>41</x:v>
      </x:c>
      <x:c r="E47" s="74" t="str">
        <x:v>V1.0</x:v>
      </x:c>
      <x:c r="F47" s="68" t="str">
        <x:v>桥梁被克形成外部截断</x:v>
      </x:c>
      <x:c r="G47" s="82" t="str">
        <x:v>结构层</x:v>
      </x:c>
      <x:c r="H47" s="68" t="str">
        <x:v>五行生化路径</x:v>
      </x:c>
      <x:c r="I47" s="68" t="str">
        <x:v>上游</x:v>
      </x:c>
      <x:c r="J47" s="68" t="str">
        <x:v>受克桥梁</x:v>
      </x:c>
      <x:c r="K47" s="68" t="str">
        <x:v>下游</x:v>
      </x:c>
      <x:c r="L47" s="82" t="str">
        <x:v>待定</x:v>
      </x:c>
      <x:c r="M47" s="82" t="str">
        <x:v>待定</x:v>
      </x:c>
      <x:c r="N47" s="68" t="str">
        <x:v>待定</x:v>
      </x:c>
      <x:c r="O47" s="68" t="str">
        <x:v>待定</x:v>
      </x:c>
      <x:c r="P47" s="68" t="str">
        <x:v>待定</x:v>
      </x:c>
      <x:c r="Q47" s="82" t="str">
        <x:v>明显阻断</x:v>
      </x:c>
      <x:c r="R47" s="82" t="str">
        <x:v>桥梁被克</x:v>
      </x:c>
      <x:c r="S47" s="68" t="str">
        <x:v>桥梁</x:v>
      </x:c>
      <x:c r="T47" s="68" t="str">
        <x:v>桥梁有效力量被第三方强克制，无法稳定完成传递</x:v>
      </x:c>
      <x:c r="U47" s="68" t="str">
        <x:v>待定</x:v>
      </x:c>
      <x:c r="V47" s="68" t="str">
        <x:v>待定</x:v>
      </x:c>
      <x:c r="W47" s="90" t="str">
        <x:v>需检查对调候、格局、日主承载及其他通路的副作用</x:v>
      </x:c>
      <x:c r="X47" s="68" t="str">
        <x:v>M06关系效应、M08五行有效旺衰、M10十神功能与M11组合判断已完成</x:v>
      </x:c>
      <x:c r="Y47" s="68" t="str">
        <x:v>起点、桥梁、终点均按有效力量与实际作用路径判断</x:v>
      </x:c>
      <x:c r="Z47" s="68" t="str">
        <x:v>桥梁有根有源、透达、位置可达且不存在关键制约</x:v>
      </x:c>
      <x:c r="AA47" s="68" t="str">
        <x:v>桥梁失令、无根、受克、合绊、改性或同时被多路调用</x:v>
      </x:c>
      <x:c r="AB47" s="90" t="str">
        <x:v>不得仅因五行缺失、数量少或关系名称直接认定卡点或通关用神</x:v>
      </x:c>
      <x:c r="AC47" s="68" t="str">
        <x:v>若存在更短、更强或副作用更小的替代路径，应并列比较后再裁定</x:v>
      </x:c>
      <x:c r="AD47" s="84" t="str">
        <x:v>M12_BLOCK_流通判定</x:v>
      </x:c>
      <x:c r="AE47" s="84" t="str">
        <x:v>桥梁被克形成外部截断：按起点—桥梁—终点检查有效力量、连续性与承载；卡点为“桥梁被克”时，仅生成通关候选，不直接定用神。</x:v>
      </x:c>
      <x:c r="AF47" s="82" t="str">
        <x:v>较高</x:v>
      </x:c>
      <x:c r="AG47" s="82" t="str">
        <x:v>现代综合</x:v>
      </x:c>
      <x:c r="AH47" s="68" t="str">
        <x:v>流通判断以五行有效力量、生克顺序与十神功能为核心；古典依据可参照《滴天髓》《渊海子平》。 https://zh.wikisource.org/wiki/%E6%BB%B4%E5%A4%A9%E9%AB%93%E9%97%A1%E5%BE%AE https://zh.wikisource.org/zh-hans/%E6%B7%B5%E6%B5%B7%E5%AD%90%E5%B9%B3</x:v>
      </x:c>
      <x:c r="AI47" s="68" t="str">
        <x:v>当“桥梁有效力量被第三方强克制，无法稳定完成传递”真实成立，且桥梁具备有效力量和连续作用条件时，可按“桥梁被克形成外部截断”记录。</x:v>
      </x:c>
      <x:c r="AJ47" s="90" t="str">
        <x:v>仅见表面缺失或五行相克，但未证明“桥梁有效力量被第三方强克制，无法稳定完成传递”形成实际阻断时，不得套用“桥梁被克形成外部截断”。</x:v>
      </x:c>
      <x:c r="AK47" s="82" t="str">
        <x:v>采用</x:v>
      </x:c>
      <x:c r="AL47" s="82" t="str">
        <x:v>初审</x:v>
      </x:c>
      <x:c r="AM47" s="87" t="n">
        <x:v>46255</x:v>
      </x:c>
    </x:row>
    <x:row r="48">
      <x:c r="A48" s="72" t="str">
        <x:f>IF(OR(C48="",D48=""),"",B48&amp;"-"&amp;UPPER(C48)&amp;"-"&amp;TEXT(D48,"0000")&amp;"-"&amp;E48)</x:f>
        <x:v>M12-BLOCK-0042-V1.0</x:v>
      </x:c>
      <x:c r="B48" s="74" t="str">
        <x:v>M12</x:v>
      </x:c>
      <x:c r="C48" s="74" t="str">
        <x:v>BLOCK</x:v>
      </x:c>
      <x:c r="D48" s="215" t="n">
        <x:v>42</x:v>
      </x:c>
      <x:c r="E48" s="74" t="str">
        <x:v>V1.0</x:v>
      </x:c>
      <x:c r="F48" s="68" t="str">
        <x:v>桥梁被合绊形成牵制型阻塞</x:v>
      </x:c>
      <x:c r="G48" s="82" t="str">
        <x:v>结构层</x:v>
      </x:c>
      <x:c r="H48" s="68" t="str">
        <x:v>五行生化路径</x:v>
      </x:c>
      <x:c r="I48" s="68" t="str">
        <x:v>上游</x:v>
      </x:c>
      <x:c r="J48" s="68" t="str">
        <x:v>被合绊桥梁</x:v>
      </x:c>
      <x:c r="K48" s="68" t="str">
        <x:v>下游</x:v>
      </x:c>
      <x:c r="L48" s="82" t="str">
        <x:v>待定</x:v>
      </x:c>
      <x:c r="M48" s="82" t="str">
        <x:v>待定</x:v>
      </x:c>
      <x:c r="N48" s="68" t="str">
        <x:v>待定</x:v>
      </x:c>
      <x:c r="O48" s="68" t="str">
        <x:v>待定</x:v>
      </x:c>
      <x:c r="P48" s="68" t="str">
        <x:v>待定</x:v>
      </x:c>
      <x:c r="Q48" s="82" t="str">
        <x:v>局部阻塞</x:v>
      </x:c>
      <x:c r="R48" s="82" t="str">
        <x:v>桥梁被合绊</x:v>
      </x:c>
      <x:c r="S48" s="68" t="str">
        <x:v>桥梁</x:v>
      </x:c>
      <x:c r="T48" s="68" t="str">
        <x:v>桥梁仍存在但被其他关系占用或牵制</x:v>
      </x:c>
      <x:c r="U48" s="68" t="str">
        <x:v>待定</x:v>
      </x:c>
      <x:c r="V48" s="68" t="str">
        <x:v>待定</x:v>
      </x:c>
      <x:c r="W48" s="90" t="str">
        <x:v>需检查对调候、格局、日主承载及其他通路的副作用</x:v>
      </x:c>
      <x:c r="X48" s="68" t="str">
        <x:v>M06关系效应、M08五行有效旺衰、M10十神功能与M11组合判断已完成</x:v>
      </x:c>
      <x:c r="Y48" s="68" t="str">
        <x:v>起点、桥梁、终点均按有效力量与实际作用路径判断</x:v>
      </x:c>
      <x:c r="Z48" s="68" t="str">
        <x:v>桥梁有根有源、透达、位置可达且不存在关键制约</x:v>
      </x:c>
      <x:c r="AA48" s="68" t="str">
        <x:v>桥梁失令、无根、受克、合绊、改性或同时被多路调用</x:v>
      </x:c>
      <x:c r="AB48" s="90" t="str">
        <x:v>不得仅因五行缺失、数量少或关系名称直接认定卡点或通关用神</x:v>
      </x:c>
      <x:c r="AC48" s="68" t="str">
        <x:v>若存在更短、更强或副作用更小的替代路径，应并列比较后再裁定</x:v>
      </x:c>
      <x:c r="AD48" s="84" t="str">
        <x:v>M12_BLOCK_流通判定</x:v>
      </x:c>
      <x:c r="AE48" s="84" t="str">
        <x:v>桥梁被合绊形成牵制型阻塞：按起点—桥梁—终点检查有效力量、连续性与承载；卡点为“桥梁被合绊”时，仅生成通关候选，不直接定用神。</x:v>
      </x:c>
      <x:c r="AF48" s="82" t="str">
        <x:v>较高</x:v>
      </x:c>
      <x:c r="AG48" s="82" t="str">
        <x:v>现代综合</x:v>
      </x:c>
      <x:c r="AH48" s="68" t="str">
        <x:v>流通判断以五行有效力量、生克顺序与十神功能为核心；古典依据可参照《滴天髓》《渊海子平》。 https://zh.wikisource.org/wiki/%E6%BB%B4%E5%A4%A9%E9%AB%93%E9%97%A1%E5%BE%AE https://zh.wikisource.org/zh-hans/%E6%B7%B5%E6%B5%B7%E5%AD%90%E5%B9%B3</x:v>
      </x:c>
      <x:c r="AI48" s="68" t="str">
        <x:v>当“桥梁仍存在但被其他关系占用或牵制”真实成立，且桥梁具备有效力量和连续作用条件时，可按“桥梁被合绊形成牵制型阻塞”记录。</x:v>
      </x:c>
      <x:c r="AJ48" s="90" t="str">
        <x:v>仅见表面缺失或五行相克，但未证明“桥梁仍存在但被其他关系占用或牵制”形成实际阻断时，不得套用“桥梁被合绊形成牵制型阻塞”。</x:v>
      </x:c>
      <x:c r="AK48" s="82" t="str">
        <x:v>采用</x:v>
      </x:c>
      <x:c r="AL48" s="82" t="str">
        <x:v>初审</x:v>
      </x:c>
      <x:c r="AM48" s="87" t="n">
        <x:v>46255</x:v>
      </x:c>
    </x:row>
    <x:row r="49">
      <x:c r="A49" s="72" t="str">
        <x:f>IF(OR(C49="",D49=""),"",B49&amp;"-"&amp;UPPER(C49)&amp;"-"&amp;TEXT(D49,"0000")&amp;"-"&amp;E49)</x:f>
        <x:v>M12-BLOCK-0043-V1.0</x:v>
      </x:c>
      <x:c r="B49" s="74" t="str">
        <x:v>M12</x:v>
      </x:c>
      <x:c r="C49" s="74" t="str">
        <x:v>BLOCK</x:v>
      </x:c>
      <x:c r="D49" s="215" t="n">
        <x:v>43</x:v>
      </x:c>
      <x:c r="E49" s="74" t="str">
        <x:v>V1.0</x:v>
      </x:c>
      <x:c r="F49" s="68" t="str">
        <x:v>源头过旺无泄形成上游壅塞</x:v>
      </x:c>
      <x:c r="G49" s="82" t="str">
        <x:v>结构层</x:v>
      </x:c>
      <x:c r="H49" s="68" t="str">
        <x:v>五行生化路径</x:v>
      </x:c>
      <x:c r="I49" s="68" t="str">
        <x:v>极旺源头</x:v>
      </x:c>
      <x:c r="J49" s="68" t="str">
        <x:v>缺失或弱泄神</x:v>
      </x:c>
      <x:c r="K49" s="68" t="str">
        <x:v>下游</x:v>
      </x:c>
      <x:c r="L49" s="82" t="str">
        <x:v>极旺</x:v>
      </x:c>
      <x:c r="M49" s="82" t="str">
        <x:v>极弱</x:v>
      </x:c>
      <x:c r="N49" s="68" t="str">
        <x:v>待定</x:v>
      </x:c>
      <x:c r="O49" s="68" t="str">
        <x:v>待定</x:v>
      </x:c>
      <x:c r="P49" s="68" t="str">
        <x:v>待定</x:v>
      </x:c>
      <x:c r="Q49" s="82" t="str">
        <x:v>明显阻断</x:v>
      </x:c>
      <x:c r="R49" s="82" t="str">
        <x:v>源头过旺无泄</x:v>
      </x:c>
      <x:c r="S49" s="68" t="str">
        <x:v>起点</x:v>
      </x:c>
      <x:c r="T49" s="68" t="str">
        <x:v>源头强势聚集而无有效泄化通路</x:v>
      </x:c>
      <x:c r="U49" s="68" t="str">
        <x:v>待定</x:v>
      </x:c>
      <x:c r="V49" s="68" t="str">
        <x:v>待定</x:v>
      </x:c>
      <x:c r="W49" s="90" t="str">
        <x:v>需检查对调候、格局、日主承载及其他通路的副作用</x:v>
      </x:c>
      <x:c r="X49" s="68" t="str">
        <x:v>M06关系效应、M08五行有效旺衰、M10十神功能与M11组合判断已完成</x:v>
      </x:c>
      <x:c r="Y49" s="68" t="str">
        <x:v>起点、桥梁、终点均按有效力量与实际作用路径判断</x:v>
      </x:c>
      <x:c r="Z49" s="68" t="str">
        <x:v>桥梁有根有源、透达、位置可达且不存在关键制约</x:v>
      </x:c>
      <x:c r="AA49" s="68" t="str">
        <x:v>桥梁失令、无根、受克、合绊、改性或同时被多路调用</x:v>
      </x:c>
      <x:c r="AB49" s="90" t="str">
        <x:v>不得仅因五行缺失、数量少或关系名称直接认定卡点或通关用神</x:v>
      </x:c>
      <x:c r="AC49" s="68" t="str">
        <x:v>若存在更短、更强或副作用更小的替代路径，应并列比较后再裁定</x:v>
      </x:c>
      <x:c r="AD49" s="84" t="str">
        <x:v>M12_BLOCK_流通判定</x:v>
      </x:c>
      <x:c r="AE49" s="84" t="str">
        <x:v>源头过旺无泄形成上游壅塞：按起点—桥梁—终点检查有效力量、连续性与承载；卡点为“源头过旺无泄”时，仅生成通关候选，不直接定用神。</x:v>
      </x:c>
      <x:c r="AF49" s="82" t="str">
        <x:v>较高</x:v>
      </x:c>
      <x:c r="AG49" s="82" t="str">
        <x:v>现代综合</x:v>
      </x:c>
      <x:c r="AH49" s="68" t="str">
        <x:v>流通判断以五行有效力量、生克顺序与十神功能为核心；古典依据可参照《滴天髓》《渊海子平》。 https://zh.wikisource.org/wiki/%E6%BB%B4%E5%A4%A9%E9%AB%93%E9%97%A1%E5%BE%AE https://zh.wikisource.org/zh-hans/%E6%B7%B5%E6%B5%B7%E5%AD%90%E5%B9%B3</x:v>
      </x:c>
      <x:c r="AI49" s="68" t="str">
        <x:v>当“源头强势聚集而无有效泄化通路”真实成立，且桥梁具备有效力量和连续作用条件时，可按“源头过旺无泄形成上游壅塞”记录。</x:v>
      </x:c>
      <x:c r="AJ49" s="90" t="str">
        <x:v>仅见表面缺失或五行相克，但未证明“源头强势聚集而无有效泄化通路”形成实际阻断时，不得套用“源头过旺无泄形成上游壅塞”。</x:v>
      </x:c>
      <x:c r="AK49" s="82" t="str">
        <x:v>采用</x:v>
      </x:c>
      <x:c r="AL49" s="82" t="str">
        <x:v>初审</x:v>
      </x:c>
      <x:c r="AM49" s="87" t="n">
        <x:v>46255</x:v>
      </x:c>
    </x:row>
    <x:row r="50">
      <x:c r="A50" s="72" t="str">
        <x:f>IF(OR(C50="",D50=""),"",B50&amp;"-"&amp;UPPER(C50)&amp;"-"&amp;TEXT(D50,"0000")&amp;"-"&amp;E50)</x:f>
        <x:v>M12-BLOCK-0044-V1.0</x:v>
      </x:c>
      <x:c r="B50" s="74" t="str">
        <x:v>M12</x:v>
      </x:c>
      <x:c r="C50" s="74" t="str">
        <x:v>BLOCK</x:v>
      </x:c>
      <x:c r="D50" s="215" t="n">
        <x:v>44</x:v>
      </x:c>
      <x:c r="E50" s="74" t="str">
        <x:v>V1.0</x:v>
      </x:c>
      <x:c r="F50" s="68" t="str">
        <x:v>终点过弱导致力量无处落脚</x:v>
      </x:c>
      <x:c r="G50" s="82" t="str">
        <x:v>结构层</x:v>
      </x:c>
      <x:c r="H50" s="68" t="str">
        <x:v>五行生化路径</x:v>
      </x:c>
      <x:c r="I50" s="68" t="str">
        <x:v>强上游</x:v>
      </x:c>
      <x:c r="J50" s="68" t="str">
        <x:v>有效桥梁</x:v>
      </x:c>
      <x:c r="K50" s="68" t="str">
        <x:v>极弱终点</x:v>
      </x:c>
      <x:c r="L50" s="82" t="str">
        <x:v>待定</x:v>
      </x:c>
      <x:c r="M50" s="82" t="str">
        <x:v>待定</x:v>
      </x:c>
      <x:c r="N50" s="68" t="str">
        <x:v>待定</x:v>
      </x:c>
      <x:c r="O50" s="68" t="str">
        <x:v>待定</x:v>
      </x:c>
      <x:c r="P50" s="68" t="str">
        <x:v>待定</x:v>
      </x:c>
      <x:c r="Q50" s="82" t="str">
        <x:v>明显阻断</x:v>
      </x:c>
      <x:c r="R50" s="82" t="str">
        <x:v>终点过弱不能承载</x:v>
      </x:c>
      <x:c r="S50" s="68" t="str">
        <x:v>终点</x:v>
      </x:c>
      <x:c r="T50" s="68" t="str">
        <x:v>终点没有足够根气、透达或功能承接传入力量</x:v>
      </x:c>
      <x:c r="U50" s="68" t="str">
        <x:v>待定</x:v>
      </x:c>
      <x:c r="V50" s="68" t="str">
        <x:v>待定</x:v>
      </x:c>
      <x:c r="W50" s="90" t="str">
        <x:v>需检查对调候、格局、日主承载及其他通路的副作用</x:v>
      </x:c>
      <x:c r="X50" s="68" t="str">
        <x:v>M06关系效应、M08五行有效旺衰、M10十神功能与M11组合判断已完成</x:v>
      </x:c>
      <x:c r="Y50" s="68" t="str">
        <x:v>起点、桥梁、终点均按有效力量与实际作用路径判断</x:v>
      </x:c>
      <x:c r="Z50" s="68" t="str">
        <x:v>桥梁有根有源、透达、位置可达且不存在关键制约</x:v>
      </x:c>
      <x:c r="AA50" s="68" t="str">
        <x:v>桥梁失令、无根、受克、合绊、改性或同时被多路调用</x:v>
      </x:c>
      <x:c r="AB50" s="90" t="str">
        <x:v>不得仅因五行缺失、数量少或关系名称直接认定卡点或通关用神</x:v>
      </x:c>
      <x:c r="AC50" s="68" t="str">
        <x:v>若存在更短、更强或副作用更小的替代路径，应并列比较后再裁定</x:v>
      </x:c>
      <x:c r="AD50" s="84" t="str">
        <x:v>M12_BLOCK_流通判定</x:v>
      </x:c>
      <x:c r="AE50" s="84" t="str">
        <x:v>终点过弱导致力量无处落脚：按起点—桥梁—终点检查有效力量、连续性与承载；卡点为“终点过弱不能承载”时，仅生成通关候选，不直接定用神。</x:v>
      </x:c>
      <x:c r="AF50" s="82" t="str">
        <x:v>较高</x:v>
      </x:c>
      <x:c r="AG50" s="82" t="str">
        <x:v>现代综合</x:v>
      </x:c>
      <x:c r="AH50" s="68" t="str">
        <x:v>流通判断以五行有效力量、生克顺序与十神功能为核心；古典依据可参照《滴天髓》《渊海子平》。 https://zh.wikisource.org/wiki/%E6%BB%B4%E5%A4%A9%E9%AB%93%E9%97%A1%E5%BE%AE https://zh.wikisource.org/zh-hans/%E6%B7%B5%E6%B5%B7%E5%AD%90%E5%B9%B3</x:v>
      </x:c>
      <x:c r="AI50" s="68" t="str">
        <x:v>当“终点没有足够根气、透达或功能承接传入力量”真实成立，且桥梁具备有效力量和连续作用条件时，可按“终点过弱导致力量无处落脚”记录。</x:v>
      </x:c>
      <x:c r="AJ50" s="90" t="str">
        <x:v>仅见表面缺失或五行相克，但未证明“终点没有足够根气、透达或功能承接传入力量”形成实际阻断时，不得套用“终点过弱导致力量无处落脚”。</x:v>
      </x:c>
      <x:c r="AK50" s="82" t="str">
        <x:v>采用</x:v>
      </x:c>
      <x:c r="AL50" s="82" t="str">
        <x:v>初审</x:v>
      </x:c>
      <x:c r="AM50" s="87" t="n">
        <x:v>46255</x:v>
      </x:c>
    </x:row>
    <x:row r="51">
      <x:c r="A51" s="72" t="str">
        <x:f>IF(OR(C51="",D51=""),"",B51&amp;"-"&amp;UPPER(C51)&amp;"-"&amp;TEXT(D51,"0000")&amp;"-"&amp;E51)</x:f>
        <x:v>M12-BLOCK-0045-V1.0</x:v>
      </x:c>
      <x:c r="B51" s="74" t="str">
        <x:v>M12</x:v>
      </x:c>
      <x:c r="C51" s="74" t="str">
        <x:v>BLOCK</x:v>
      </x:c>
      <x:c r="D51" s="215" t="n">
        <x:v>45</x:v>
      </x:c>
      <x:c r="E51" s="74" t="str">
        <x:v>V1.0</x:v>
      </x:c>
      <x:c r="F51" s="68" t="str">
        <x:v>终点过旺反制形成逆向阻塞</x:v>
      </x:c>
      <x:c r="G51" s="82" t="str">
        <x:v>结构层</x:v>
      </x:c>
      <x:c r="H51" s="68" t="str">
        <x:v>五行生化路径</x:v>
      </x:c>
      <x:c r="I51" s="68" t="str">
        <x:v>上游</x:v>
      </x:c>
      <x:c r="J51" s="68" t="str">
        <x:v>桥梁</x:v>
      </x:c>
      <x:c r="K51" s="68" t="str">
        <x:v>极旺终点</x:v>
      </x:c>
      <x:c r="L51" s="82" t="str">
        <x:v>待定</x:v>
      </x:c>
      <x:c r="M51" s="82" t="str">
        <x:v>待定</x:v>
      </x:c>
      <x:c r="N51" s="68" t="str">
        <x:v>待定</x:v>
      </x:c>
      <x:c r="O51" s="68" t="str">
        <x:v>待定</x:v>
      </x:c>
      <x:c r="P51" s="68" t="str">
        <x:v>待定</x:v>
      </x:c>
      <x:c r="Q51" s="82" t="str">
        <x:v>局部阻塞</x:v>
      </x:c>
      <x:c r="R51" s="82" t="str">
        <x:v>终点过旺反制</x:v>
      </x:c>
      <x:c r="S51" s="68" t="str">
        <x:v>终点</x:v>
      </x:c>
      <x:c r="T51" s="68" t="str">
        <x:v>终点强势形成反克、争夺或回流，使传递不能按预期完成</x:v>
      </x:c>
      <x:c r="U51" s="68" t="str">
        <x:v>待定</x:v>
      </x:c>
      <x:c r="V51" s="68" t="str">
        <x:v>待定</x:v>
      </x:c>
      <x:c r="W51" s="90" t="str">
        <x:v>需检查对调候、格局、日主承载及其他通路的副作用</x:v>
      </x:c>
      <x:c r="X51" s="68" t="str">
        <x:v>M06关系效应、M08五行有效旺衰、M10十神功能与M11组合判断已完成</x:v>
      </x:c>
      <x:c r="Y51" s="68" t="str">
        <x:v>起点、桥梁、终点均按有效力量与实际作用路径判断</x:v>
      </x:c>
      <x:c r="Z51" s="68" t="str">
        <x:v>桥梁有根有源、透达、位置可达且不存在关键制约</x:v>
      </x:c>
      <x:c r="AA51" s="68" t="str">
        <x:v>桥梁失令、无根、受克、合绊、改性或同时被多路调用</x:v>
      </x:c>
      <x:c r="AB51" s="90" t="str">
        <x:v>不得仅因五行缺失、数量少或关系名称直接认定卡点或通关用神</x:v>
      </x:c>
      <x:c r="AC51" s="68" t="str">
        <x:v>若存在更短、更强或副作用更小的替代路径，应并列比较后再裁定</x:v>
      </x:c>
      <x:c r="AD51" s="84" t="str">
        <x:v>M12_BLOCK_流通判定</x:v>
      </x:c>
      <x:c r="AE51" s="84" t="str">
        <x:v>终点过旺反制形成逆向阻塞：按起点—桥梁—终点检查有效力量、连续性与承载；卡点为“终点过旺反制”时，仅生成通关候选，不直接定用神。</x:v>
      </x:c>
      <x:c r="AF51" s="82" t="str">
        <x:v>较高</x:v>
      </x:c>
      <x:c r="AG51" s="82" t="str">
        <x:v>现代综合</x:v>
      </x:c>
      <x:c r="AH51" s="68" t="str">
        <x:v>流通判断以五行有效力量、生克顺序与十神功能为核心；古典依据可参照《滴天髓》《渊海子平》。 https://zh.wikisource.org/wiki/%E6%BB%B4%E5%A4%A9%E9%AB%93%E9%97%A1%E5%BE%AE https://zh.wikisource.org/zh-hans/%E6%B7%B5%E6%B5%B7%E5%AD%90%E5%B9%B3</x:v>
      </x:c>
      <x:c r="AI51" s="68" t="str">
        <x:v>当“终点强势形成反克、争夺或回流，使传递不能按预期完成”真实成立，且桥梁具备有效力量和连续作用条件时，可按“终点过旺反制形成逆向阻塞”记录。</x:v>
      </x:c>
      <x:c r="AJ51" s="90" t="str">
        <x:v>仅见表面缺失或五行相克，但未证明“终点强势形成反克、争夺或回流，使传递不能按预期完成”形成实际阻断时，不得套用“终点过旺反制形成逆向阻塞”。</x:v>
      </x:c>
      <x:c r="AK51" s="82" t="str">
        <x:v>采用</x:v>
      </x:c>
      <x:c r="AL51" s="82" t="str">
        <x:v>初审</x:v>
      </x:c>
      <x:c r="AM51" s="87" t="n">
        <x:v>46255</x:v>
      </x:c>
    </x:row>
    <x:row r="52">
      <x:c r="A52" s="72" t="str">
        <x:f>IF(OR(C52="",D52=""),"",B52&amp;"-"&amp;UPPER(C52)&amp;"-"&amp;TEXT(D52,"0000")&amp;"-"&amp;E52)</x:f>
        <x:v>M12-BLOCK-0046-V1.0</x:v>
      </x:c>
      <x:c r="B52" s="74" t="str">
        <x:v>M12</x:v>
      </x:c>
      <x:c r="C52" s="74" t="str">
        <x:v>BLOCK</x:v>
      </x:c>
      <x:c r="D52" s="215" t="n">
        <x:v>46</x:v>
      </x:c>
      <x:c r="E52" s="74" t="str">
        <x:v>V1.0</x:v>
      </x:c>
      <x:c r="F52" s="68" t="str">
        <x:v>两强相战且无桥梁时形成直接冲突</x:v>
      </x:c>
      <x:c r="G52" s="82" t="str">
        <x:v>结构层</x:v>
      </x:c>
      <x:c r="H52" s="68" t="str">
        <x:v>五行克战通关</x:v>
      </x:c>
      <x:c r="I52" s="68" t="str">
        <x:v>强克方</x:v>
      </x:c>
      <x:c r="J52" s="68" t="str">
        <x:v>缺失或无效通关五行</x:v>
      </x:c>
      <x:c r="K52" s="68" t="str">
        <x:v>被克强方</x:v>
      </x:c>
      <x:c r="L52" s="82" t="str">
        <x:v>旺</x:v>
      </x:c>
      <x:c r="M52" s="82" t="str">
        <x:v>极弱</x:v>
      </x:c>
      <x:c r="N52" s="68" t="str">
        <x:v>待定</x:v>
      </x:c>
      <x:c r="O52" s="68" t="str">
        <x:v>待定</x:v>
      </x:c>
      <x:c r="P52" s="68" t="str">
        <x:v>待定</x:v>
      </x:c>
      <x:c r="Q52" s="82" t="str">
        <x:v>明显阻断</x:v>
      </x:c>
      <x:c r="R52" s="82" t="str">
        <x:v>两强相战</x:v>
      </x:c>
      <x:c r="S52" s="68" t="str">
        <x:v>双方之间</x:v>
      </x:c>
      <x:c r="T52" s="68" t="str">
        <x:v>克与被克双方均有力，且中间不存在有效泄化桥梁</x:v>
      </x:c>
      <x:c r="U52" s="68" t="str">
        <x:v>待定</x:v>
      </x:c>
      <x:c r="V52" s="68" t="str">
        <x:v>待定</x:v>
      </x:c>
      <x:c r="W52" s="90" t="str">
        <x:v>需检查对调候、格局、日主承载及其他通路的副作用</x:v>
      </x:c>
      <x:c r="X52" s="68" t="str">
        <x:v>M06关系效应、M08五行有效旺衰、M10十神功能与M11组合判断已完成</x:v>
      </x:c>
      <x:c r="Y52" s="68" t="str">
        <x:v>起点、桥梁、终点均按有效力量与实际作用路径判断</x:v>
      </x:c>
      <x:c r="Z52" s="68" t="str">
        <x:v>桥梁有根有源、透达、位置可达且不存在关键制约</x:v>
      </x:c>
      <x:c r="AA52" s="68" t="str">
        <x:v>桥梁失令、无根、受克、合绊、改性或同时被多路调用</x:v>
      </x:c>
      <x:c r="AB52" s="90" t="str">
        <x:v>不得仅因五行缺失、数量少或关系名称直接认定卡点或通关用神</x:v>
      </x:c>
      <x:c r="AC52" s="68" t="str">
        <x:v>若存在更短、更强或副作用更小的替代路径，应并列比较后再裁定</x:v>
      </x:c>
      <x:c r="AD52" s="84" t="str">
        <x:v>M12_BLOCK_流通判定</x:v>
      </x:c>
      <x:c r="AE52" s="84" t="str">
        <x:v>两强相战且无桥梁时形成直接冲突：按起点—桥梁—终点检查有效力量、连续性与承载；卡点为“两强相战”时，仅生成通关候选，不直接定用神。</x:v>
      </x:c>
      <x:c r="AF52" s="82" t="str">
        <x:v>较高</x:v>
      </x:c>
      <x:c r="AG52" s="82" t="str">
        <x:v>现代综合</x:v>
      </x:c>
      <x:c r="AH52" s="68" t="str">
        <x:v>流通判断以五行有效力量、生克顺序与十神功能为核心；古典依据可参照《滴天髓》《渊海子平》。 https://zh.wikisource.org/wiki/%E6%BB%B4%E5%A4%A9%E9%AB%93%E9%97%A1%E5%BE%AE https://zh.wikisource.org/zh-hans/%E6%B7%B5%E6%B5%B7%E5%AD%90%E5%B9%B3</x:v>
      </x:c>
      <x:c r="AI52" s="68" t="str">
        <x:v>当“克与被克双方均有力，且中间不存在有效泄化桥梁”真实成立，且桥梁具备有效力量和连续作用条件时，可按“两强相战且无桥梁时形成直接冲突”记录。</x:v>
      </x:c>
      <x:c r="AJ52" s="90" t="str">
        <x:v>仅见表面缺失或五行相克，但未证明“克与被克双方均有力，且中间不存在有效泄化桥梁”形成实际阻断时，不得套用“两强相战且无桥梁时形成直接冲突”。</x:v>
      </x:c>
      <x:c r="AK52" s="82" t="str">
        <x:v>采用</x:v>
      </x:c>
      <x:c r="AL52" s="82" t="str">
        <x:v>初审</x:v>
      </x:c>
      <x:c r="AM52" s="87" t="n">
        <x:v>46255</x:v>
      </x:c>
    </x:row>
    <x:row r="53">
      <x:c r="A53" s="72" t="str">
        <x:f>IF(OR(C53="",D53=""),"",B53&amp;"-"&amp;UPPER(C53)&amp;"-"&amp;TEXT(D53,"0000")&amp;"-"&amp;E53)</x:f>
        <x:v>M12-BLOCK-0047-V1.0</x:v>
      </x:c>
      <x:c r="B53" s="74" t="str">
        <x:v>M12</x:v>
      </x:c>
      <x:c r="C53" s="74" t="str">
        <x:v>BLOCK</x:v>
      </x:c>
      <x:c r="D53" s="215" t="n">
        <x:v>47</x:v>
      </x:c>
      <x:c r="E53" s="74" t="str">
        <x:v>V1.0</x:v>
      </x:c>
      <x:c r="F53" s="68" t="str">
        <x:v>寒凝会使原本存在的生化链效率下降</x:v>
      </x:c>
      <x:c r="G53" s="82" t="str">
        <x:v>结构层</x:v>
      </x:c>
      <x:c r="H53" s="68" t="str">
        <x:v>五行生化路径</x:v>
      </x:c>
      <x:c r="I53" s="68" t="str">
        <x:v>寒局源头</x:v>
      </x:c>
      <x:c r="J53" s="68" t="str">
        <x:v>受寒凝关键五行</x:v>
      </x:c>
      <x:c r="K53" s="68" t="str">
        <x:v>下游</x:v>
      </x:c>
      <x:c r="L53" s="82" t="str">
        <x:v>待定</x:v>
      </x:c>
      <x:c r="M53" s="82" t="str">
        <x:v>待定</x:v>
      </x:c>
      <x:c r="N53" s="68" t="str">
        <x:v>待定</x:v>
      </x:c>
      <x:c r="O53" s="68" t="str">
        <x:v>待定</x:v>
      </x:c>
      <x:c r="P53" s="68" t="str">
        <x:v>待定</x:v>
      </x:c>
      <x:c r="Q53" s="82" t="str">
        <x:v>局部阻塞</x:v>
      </x:c>
      <x:c r="R53" s="82" t="str">
        <x:v>寒凝</x:v>
      </x:c>
      <x:c r="S53" s="68" t="str">
        <x:v>关键节点</x:v>
      </x:c>
      <x:c r="T53" s="68" t="str">
        <x:v>低温状态使关键五行难以生发、蒸腾、化泄或流动</x:v>
      </x:c>
      <x:c r="U53" s="68" t="str">
        <x:v>火</x:v>
      </x:c>
      <x:c r="V53" s="68" t="str">
        <x:v>M13确认火能暖局且不破坏更高优先级结构</x:v>
      </x:c>
      <x:c r="W53" s="90" t="str">
        <x:v>需检查对调候、格局、日主承载及其他通路的副作用</x:v>
      </x:c>
      <x:c r="X53" s="68" t="str">
        <x:v>M06关系效应、M08五行有效旺衰、M10十神功能与M11组合判断已完成</x:v>
      </x:c>
      <x:c r="Y53" s="68" t="str">
        <x:v>起点、桥梁、终点均按有效力量与实际作用路径判断</x:v>
      </x:c>
      <x:c r="Z53" s="68" t="str">
        <x:v>桥梁有根有源、透达、位置可达且不存在关键制约</x:v>
      </x:c>
      <x:c r="AA53" s="68" t="str">
        <x:v>桥梁失令、无根、受克、合绊、改性或同时被多路调用</x:v>
      </x:c>
      <x:c r="AB53" s="90" t="str">
        <x:v>不得仅因五行缺失、数量少或关系名称直接认定卡点或通关用神</x:v>
      </x:c>
      <x:c r="AC53" s="68" t="str">
        <x:v>若存在更短、更强或副作用更小的替代路径，应并列比较后再裁定</x:v>
      </x:c>
      <x:c r="AD53" s="84" t="str">
        <x:v>M12_BLOCK_流通判定</x:v>
      </x:c>
      <x:c r="AE53" s="84" t="str">
        <x:v>寒凝会使原本存在的生化链效率下降：按起点—桥梁—终点检查有效力量、连续性与承载；卡点为“寒凝”时，仅生成通关候选，不直接定用神。</x:v>
      </x:c>
      <x:c r="AF53" s="82" t="str">
        <x:v>较高</x:v>
      </x:c>
      <x:c r="AG53" s="82" t="str">
        <x:v>现代综合</x:v>
      </x:c>
      <x:c r="AH53" s="68" t="str">
        <x:v>流通判断以五行有效力量、生克顺序与十神功能为核心；古典依据可参照《滴天髓》《渊海子平》。 https://zh.wikisource.org/wiki/%E6%BB%B4%E5%A4%A9%E9%AB%93%E9%97%A1%E5%BE%AE https://zh.wikisource.org/zh-hans/%E6%B7%B5%E6%B5%B7%E5%AD%90%E5%B9%B3</x:v>
      </x:c>
      <x:c r="AI53" s="68" t="str">
        <x:v>当“低温状态使关键五行难以生发、蒸腾、化泄或流动”真实成立，且桥梁具备有效力量和连续作用条件时，可按“寒凝会使原本存在的生化链效率下降”记录。</x:v>
      </x:c>
      <x:c r="AJ53" s="90" t="str">
        <x:v>仅见表面缺失或五行相克，但未证明“低温状态使关键五行难以生发、蒸腾、化泄或流动”形成实际阻断时，不得套用“寒凝会使原本存在的生化链效率下降”。</x:v>
      </x:c>
      <x:c r="AK53" s="82" t="str">
        <x:v>采用</x:v>
      </x:c>
      <x:c r="AL53" s="82" t="str">
        <x:v>初审</x:v>
      </x:c>
      <x:c r="AM53" s="87" t="n">
        <x:v>46255</x:v>
      </x:c>
    </x:row>
    <x:row r="54">
      <x:c r="A54" s="72" t="str">
        <x:f>IF(OR(C54="",D54=""),"",B54&amp;"-"&amp;UPPER(C54)&amp;"-"&amp;TEXT(D54,"0000")&amp;"-"&amp;E54)</x:f>
        <x:v>M12-BLOCK-0048-V1.0</x:v>
      </x:c>
      <x:c r="B54" s="74" t="str">
        <x:v>M12</x:v>
      </x:c>
      <x:c r="C54" s="74" t="str">
        <x:v>BLOCK</x:v>
      </x:c>
      <x:c r="D54" s="215" t="n">
        <x:v>48</x:v>
      </x:c>
      <x:c r="E54" s="74" t="str">
        <x:v>V1.0</x:v>
      </x:c>
      <x:c r="F54" s="68" t="str">
        <x:v>燥枯会使原本存在的生化链失去润泽</x:v>
      </x:c>
      <x:c r="G54" s="82" t="str">
        <x:v>结构层</x:v>
      </x:c>
      <x:c r="H54" s="68" t="str">
        <x:v>五行生化路径</x:v>
      </x:c>
      <x:c r="I54" s="68" t="str">
        <x:v>燥局源头</x:v>
      </x:c>
      <x:c r="J54" s="68" t="str">
        <x:v>受燥枯关键五行</x:v>
      </x:c>
      <x:c r="K54" s="68" t="str">
        <x:v>下游</x:v>
      </x:c>
      <x:c r="L54" s="82" t="str">
        <x:v>待定</x:v>
      </x:c>
      <x:c r="M54" s="82" t="str">
        <x:v>待定</x:v>
      </x:c>
      <x:c r="N54" s="68" t="str">
        <x:v>待定</x:v>
      </x:c>
      <x:c r="O54" s="68" t="str">
        <x:v>待定</x:v>
      </x:c>
      <x:c r="P54" s="68" t="str">
        <x:v>待定</x:v>
      </x:c>
      <x:c r="Q54" s="82" t="str">
        <x:v>局部阻塞</x:v>
      </x:c>
      <x:c r="R54" s="82" t="str">
        <x:v>燥枯</x:v>
      </x:c>
      <x:c r="S54" s="68" t="str">
        <x:v>关键节点</x:v>
      </x:c>
      <x:c r="T54" s="68" t="str">
        <x:v>高燥状态使关键五行失去持续生发、润泽或承接能力</x:v>
      </x:c>
      <x:c r="U54" s="68" t="str">
        <x:v>水</x:v>
      </x:c>
      <x:c r="V54" s="68" t="str">
        <x:v>M13确认水可润燥且无寒湿过度副作用</x:v>
      </x:c>
      <x:c r="W54" s="90" t="str">
        <x:v>需检查对调候、格局、日主承载及其他通路的副作用</x:v>
      </x:c>
      <x:c r="X54" s="68" t="str">
        <x:v>M06关系效应、M08五行有效旺衰、M10十神功能与M11组合判断已完成</x:v>
      </x:c>
      <x:c r="Y54" s="68" t="str">
        <x:v>起点、桥梁、终点均按有效力量与实际作用路径判断</x:v>
      </x:c>
      <x:c r="Z54" s="68" t="str">
        <x:v>桥梁有根有源、透达、位置可达且不存在关键制约</x:v>
      </x:c>
      <x:c r="AA54" s="68" t="str">
        <x:v>桥梁失令、无根、受克、合绊、改性或同时被多路调用</x:v>
      </x:c>
      <x:c r="AB54" s="90" t="str">
        <x:v>不得仅因五行缺失、数量少或关系名称直接认定卡点或通关用神</x:v>
      </x:c>
      <x:c r="AC54" s="68" t="str">
        <x:v>若存在更短、更强或副作用更小的替代路径，应并列比较后再裁定</x:v>
      </x:c>
      <x:c r="AD54" s="84" t="str">
        <x:v>M12_BLOCK_流通判定</x:v>
      </x:c>
      <x:c r="AE54" s="84" t="str">
        <x:v>燥枯会使原本存在的生化链失去润泽：按起点—桥梁—终点检查有效力量、连续性与承载；卡点为“燥枯”时，仅生成通关候选，不直接定用神。</x:v>
      </x:c>
      <x:c r="AF54" s="82" t="str">
        <x:v>较高</x:v>
      </x:c>
      <x:c r="AG54" s="82" t="str">
        <x:v>现代综合</x:v>
      </x:c>
      <x:c r="AH54" s="68" t="str">
        <x:v>流通判断以五行有效力量、生克顺序与十神功能为核心；古典依据可参照《滴天髓》《渊海子平》。 https://zh.wikisource.org/wiki/%E6%BB%B4%E5%A4%A9%E9%AB%93%E9%97%A1%E5%BE%AE https://zh.wikisource.org/zh-hans/%E6%B7%B5%E6%B5%B7%E5%AD%90%E5%B9%B3</x:v>
      </x:c>
      <x:c r="AI54" s="68" t="str">
        <x:v>当“高燥状态使关键五行失去持续生发、润泽或承接能力”真实成立，且桥梁具备有效力量和连续作用条件时，可按“燥枯会使原本存在的生化链失去润泽”记录。</x:v>
      </x:c>
      <x:c r="AJ54" s="90" t="str">
        <x:v>仅见表面缺失或五行相克，但未证明“高燥状态使关键五行失去持续生发、润泽或承接能力”形成实际阻断时，不得套用“燥枯会使原本存在的生化链失去润泽”。</x:v>
      </x:c>
      <x:c r="AK54" s="82" t="str">
        <x:v>采用</x:v>
      </x:c>
      <x:c r="AL54" s="82" t="str">
        <x:v>初审</x:v>
      </x:c>
      <x:c r="AM54" s="87" t="n">
        <x:v>46255</x:v>
      </x:c>
    </x:row>
    <x:row r="55">
      <x:c r="A55" s="72" t="str">
        <x:f>IF(OR(C55="",D55=""),"",B55&amp;"-"&amp;UPPER(C55)&amp;"-"&amp;TEXT(D55,"0000")&amp;"-"&amp;E55)</x:f>
        <x:v>M12-BLOCK-0049-V1.0</x:v>
      </x:c>
      <x:c r="B55" s="74" t="str">
        <x:v>M12</x:v>
      </x:c>
      <x:c r="C55" s="74" t="str">
        <x:v>BLOCK</x:v>
      </x:c>
      <x:c r="D55" s="215" t="n">
        <x:v>49</x:v>
      </x:c>
      <x:c r="E55" s="74" t="str">
        <x:v>V1.0</x:v>
      </x:c>
      <x:c r="F55" s="68" t="str">
        <x:v>链路过长会导致末端获得的有效力量递减</x:v>
      </x:c>
      <x:c r="G55" s="82" t="str">
        <x:v>结构层</x:v>
      </x:c>
      <x:c r="H55" s="68" t="str">
        <x:v>五行生化路径</x:v>
      </x:c>
      <x:c r="I55" s="68" t="str">
        <x:v>远端源头</x:v>
      </x:c>
      <x:c r="J55" s="68" t="str">
        <x:v>两层以上中间节点</x:v>
      </x:c>
      <x:c r="K55" s="68" t="str">
        <x:v>末端</x:v>
      </x:c>
      <x:c r="L55" s="82" t="str">
        <x:v>待定</x:v>
      </x:c>
      <x:c r="M55" s="82" t="str">
        <x:v>待定</x:v>
      </x:c>
      <x:c r="N55" s="68" t="str">
        <x:v>待定</x:v>
      </x:c>
      <x:c r="O55" s="68" t="str">
        <x:v>待定</x:v>
      </x:c>
      <x:c r="P55" s="68" t="str">
        <x:v>待定</x:v>
      </x:c>
      <x:c r="Q55" s="82" t="str">
        <x:v>局部阻塞</x:v>
      </x:c>
      <x:c r="R55" s="82" t="str">
        <x:v>链路过长</x:v>
      </x:c>
      <x:c r="S55" s="68" t="str">
        <x:v>整条路径</x:v>
      </x:c>
      <x:c r="T55" s="68" t="str">
        <x:v>每经过一层都需要中间节点自身有效并承担传递成本</x:v>
      </x:c>
      <x:c r="U55" s="68" t="str">
        <x:v>待定</x:v>
      </x:c>
      <x:c r="V55" s="68" t="str">
        <x:v>待定</x:v>
      </x:c>
      <x:c r="W55" s="90" t="str">
        <x:v>需检查对调候、格局、日主承载及其他通路的副作用</x:v>
      </x:c>
      <x:c r="X55" s="68" t="str">
        <x:v>M06关系效应、M08五行有效旺衰、M10十神功能与M11组合判断已完成</x:v>
      </x:c>
      <x:c r="Y55" s="68" t="str">
        <x:v>起点、桥梁、终点均按有效力量与实际作用路径判断</x:v>
      </x:c>
      <x:c r="Z55" s="68" t="str">
        <x:v>桥梁有根有源、透达、位置可达且不存在关键制约</x:v>
      </x:c>
      <x:c r="AA55" s="68" t="str">
        <x:v>桥梁失令、无根、受克、合绊、改性或同时被多路调用</x:v>
      </x:c>
      <x:c r="AB55" s="90" t="str">
        <x:v>不得仅因五行缺失、数量少或关系名称直接认定卡点或通关用神</x:v>
      </x:c>
      <x:c r="AC55" s="68" t="str">
        <x:v>若存在更短、更强或副作用更小的替代路径，应并列比较后再裁定</x:v>
      </x:c>
      <x:c r="AD55" s="84" t="str">
        <x:v>M12_BLOCK_流通判定</x:v>
      </x:c>
      <x:c r="AE55" s="84" t="str">
        <x:v>链路过长会导致末端获得的有效力量递减：按起点—桥梁—终点检查有效力量、连续性与承载；卡点为“链路过长”时，仅生成通关候选，不直接定用神。</x:v>
      </x:c>
      <x:c r="AF55" s="82" t="str">
        <x:v>较高</x:v>
      </x:c>
      <x:c r="AG55" s="82" t="str">
        <x:v>现代综合</x:v>
      </x:c>
      <x:c r="AH55" s="68" t="str">
        <x:v>流通判断以五行有效力量、生克顺序与十神功能为核心；古典依据可参照《滴天髓》《渊海子平》。 https://zh.wikisource.org/wiki/%E6%BB%B4%E5%A4%A9%E9%AB%93%E9%97%A1%E5%BE%AE https://zh.wikisource.org/zh-hans/%E6%B7%B5%E6%B5%B7%E5%AD%90%E5%B9%B3</x:v>
      </x:c>
      <x:c r="AI55" s="68" t="str">
        <x:v>当“每经过一层都需要中间节点自身有效并承担传递成本”真实成立，且桥梁具备有效力量和连续作用条件时，可按“链路过长会导致末端获得的有效力量递减”记录。</x:v>
      </x:c>
      <x:c r="AJ55" s="90" t="str">
        <x:v>仅见表面缺失或五行相克，但未证明“每经过一层都需要中间节点自身有效并承担传递成本”形成实际阻断时，不得套用“链路过长会导致末端获得的有效力量递减”。</x:v>
      </x:c>
      <x:c r="AK55" s="82" t="str">
        <x:v>采用</x:v>
      </x:c>
      <x:c r="AL55" s="82" t="str">
        <x:v>初审</x:v>
      </x:c>
      <x:c r="AM55" s="87" t="n">
        <x:v>46255</x:v>
      </x:c>
    </x:row>
    <x:row r="56">
      <x:c r="A56" s="72" t="str">
        <x:f>IF(OR(C56="",D56=""),"",B56&amp;"-"&amp;UPPER(C56)&amp;"-"&amp;TEXT(D56,"0000")&amp;"-"&amp;E56)</x:f>
        <x:v>M12-BLOCK-0050-V1.0</x:v>
      </x:c>
      <x:c r="B56" s="74" t="str">
        <x:v>M12</x:v>
      </x:c>
      <x:c r="C56" s="74" t="str">
        <x:v>BLOCK</x:v>
      </x:c>
      <x:c r="D56" s="215" t="n">
        <x:v>50</x:v>
      </x:c>
      <x:c r="E56" s="74" t="str">
        <x:v>V1.0</x:v>
      </x:c>
      <x:c r="F56" s="68" t="str">
        <x:v>回流壅塞表现为力量在局部反复循环而不能外泄</x:v>
      </x:c>
      <x:c r="G56" s="82" t="str">
        <x:v>结构层</x:v>
      </x:c>
      <x:c r="H56" s="68" t="str">
        <x:v>五行生化路径</x:v>
      </x:c>
      <x:c r="I56" s="68" t="str">
        <x:v>强源头</x:v>
      </x:c>
      <x:c r="J56" s="68" t="str">
        <x:v>强中间节点</x:v>
      </x:c>
      <x:c r="K56" s="68" t="str">
        <x:v>又返回原集团的节点</x:v>
      </x:c>
      <x:c r="L56" s="82" t="str">
        <x:v>待定</x:v>
      </x:c>
      <x:c r="M56" s="82" t="str">
        <x:v>待定</x:v>
      </x:c>
      <x:c r="N56" s="68" t="str">
        <x:v>待定</x:v>
      </x:c>
      <x:c r="O56" s="68" t="str">
        <x:v>待定</x:v>
      </x:c>
      <x:c r="P56" s="68" t="str">
        <x:v>待定</x:v>
      </x:c>
      <x:c r="Q56" s="82" t="str">
        <x:v>局部阻塞</x:v>
      </x:c>
      <x:c r="R56" s="82" t="str">
        <x:v>回流壅塞</x:v>
      </x:c>
      <x:c r="S56" s="68" t="str">
        <x:v>循环节点</x:v>
      </x:c>
      <x:c r="T56" s="68" t="str">
        <x:v>生化关系形成内部循环，缺乏有效外泄终点</x:v>
      </x:c>
      <x:c r="U56" s="68" t="str">
        <x:v>待定</x:v>
      </x:c>
      <x:c r="V56" s="68" t="str">
        <x:v>待定</x:v>
      </x:c>
      <x:c r="W56" s="90" t="str">
        <x:v>需检查对调候、格局、日主承载及其他通路的副作用</x:v>
      </x:c>
      <x:c r="X56" s="68" t="str">
        <x:v>M06关系效应、M08五行有效旺衰、M10十神功能与M11组合判断已完成</x:v>
      </x:c>
      <x:c r="Y56" s="68" t="str">
        <x:v>起点、桥梁、终点均按有效力量与实际作用路径判断</x:v>
      </x:c>
      <x:c r="Z56" s="68" t="str">
        <x:v>桥梁有根有源、透达、位置可达且不存在关键制约</x:v>
      </x:c>
      <x:c r="AA56" s="68" t="str">
        <x:v>桥梁失令、无根、受克、合绊、改性或同时被多路调用</x:v>
      </x:c>
      <x:c r="AB56" s="90" t="str">
        <x:v>不得仅因五行缺失、数量少或关系名称直接认定卡点或通关用神</x:v>
      </x:c>
      <x:c r="AC56" s="68" t="str">
        <x:v>若存在更短、更强或副作用更小的替代路径，应并列比较后再裁定</x:v>
      </x:c>
      <x:c r="AD56" s="84" t="str">
        <x:v>M12_BLOCK_流通判定</x:v>
      </x:c>
      <x:c r="AE56" s="84" t="str">
        <x:v>回流壅塞表现为力量在局部反复循环而不能外泄：按起点—桥梁—终点检查有效力量、连续性与承载；卡点为“回流壅塞”时，仅生成通关候选，不直接定用神。</x:v>
      </x:c>
      <x:c r="AF56" s="82" t="str">
        <x:v>较高</x:v>
      </x:c>
      <x:c r="AG56" s="82" t="str">
        <x:v>现代综合</x:v>
      </x:c>
      <x:c r="AH56" s="68" t="str">
        <x:v>流通判断以五行有效力量、生克顺序与十神功能为核心；古典依据可参照《滴天髓》《渊海子平》。 https://zh.wikisource.org/wiki/%E6%BB%B4%E5%A4%A9%E9%AB%93%E9%97%A1%E5%BE%AE https://zh.wikisource.org/zh-hans/%E6%B7%B5%E6%B5%B7%E5%AD%90%E5%B9%B3</x:v>
      </x:c>
      <x:c r="AI56" s="68" t="str">
        <x:v>当“生化关系形成内部循环，缺乏有效外泄终点”真实成立，且桥梁具备有效力量和连续作用条件时，可按“回流壅塞表现为力量在局部反复循环而不能外泄”记录。</x:v>
      </x:c>
      <x:c r="AJ56" s="90" t="str">
        <x:v>仅见表面缺失或五行相克，但未证明“生化关系形成内部循环，缺乏有效外泄终点”形成实际阻断时，不得套用“回流壅塞表现为力量在局部反复循环而不能外泄”。</x:v>
      </x:c>
      <x:c r="AK56" s="82" t="str">
        <x:v>采用</x:v>
      </x:c>
      <x:c r="AL56" s="82" t="str">
        <x:v>初审</x:v>
      </x:c>
      <x:c r="AM56" s="87" t="n">
        <x:v>46255</x:v>
      </x:c>
    </x:row>
    <x:row r="57">
      <x:c r="A57" s="72" t="str">
        <x:f>IF(OR(C57="",D57=""),"",B57&amp;"-"&amp;UPPER(C57)&amp;"-"&amp;TEXT(D57,"0000")&amp;"-"&amp;E57)</x:f>
        <x:v>M12-BLOCK-0051-V1.0</x:v>
      </x:c>
      <x:c r="B57" s="74" t="str">
        <x:v>M12</x:v>
      </x:c>
      <x:c r="C57" s="74" t="str">
        <x:v>BLOCK</x:v>
      </x:c>
      <x:c r="D57" s="215" t="n">
        <x:v>51</x:v>
      </x:c>
      <x:c r="E57" s="74" t="str">
        <x:v>V1.0</x:v>
      </x:c>
      <x:c r="F57" s="68" t="str">
        <x:v>桥梁被改性会造成路径方向突变</x:v>
      </x:c>
      <x:c r="G57" s="82" t="str">
        <x:v>结构层</x:v>
      </x:c>
      <x:c r="H57" s="68" t="str">
        <x:v>五行生化路径</x:v>
      </x:c>
      <x:c r="I57" s="68" t="str">
        <x:v>原上游</x:v>
      </x:c>
      <x:c r="J57" s="68" t="str">
        <x:v>合化或会局改性的桥梁</x:v>
      </x:c>
      <x:c r="K57" s="68" t="str">
        <x:v>原下游</x:v>
      </x:c>
      <x:c r="L57" s="82" t="str">
        <x:v>待定</x:v>
      </x:c>
      <x:c r="M57" s="82" t="str">
        <x:v>待定</x:v>
      </x:c>
      <x:c r="N57" s="68" t="str">
        <x:v>待定</x:v>
      </x:c>
      <x:c r="O57" s="68" t="str">
        <x:v>待定</x:v>
      </x:c>
      <x:c r="P57" s="68" t="str">
        <x:v>待定</x:v>
      </x:c>
      <x:c r="Q57" s="82" t="str">
        <x:v>无有效路径</x:v>
      </x:c>
      <x:c r="R57" s="82" t="str">
        <x:v>其他</x:v>
      </x:c>
      <x:c r="S57" s="68" t="str">
        <x:v>桥梁</x:v>
      </x:c>
      <x:c r="T57" s="68" t="str">
        <x:v>桥梁五行属性改变，原来生克关系被替换</x:v>
      </x:c>
      <x:c r="U57" s="68" t="str">
        <x:v>待定</x:v>
      </x:c>
      <x:c r="V57" s="68" t="str">
        <x:v>待定</x:v>
      </x:c>
      <x:c r="W57" s="90" t="str">
        <x:v>需检查对调候、格局、日主承载及其他通路的副作用</x:v>
      </x:c>
      <x:c r="X57" s="68" t="str">
        <x:v>M06关系效应、M08五行有效旺衰、M10十神功能与M11组合判断已完成</x:v>
      </x:c>
      <x:c r="Y57" s="68" t="str">
        <x:v>起点、桥梁、终点均按有效力量与实际作用路径判断</x:v>
      </x:c>
      <x:c r="Z57" s="68" t="str">
        <x:v>桥梁有根有源、透达、位置可达且不存在关键制约</x:v>
      </x:c>
      <x:c r="AA57" s="68" t="str">
        <x:v>桥梁失令、无根、受克、合绊、改性或同时被多路调用</x:v>
      </x:c>
      <x:c r="AB57" s="90" t="str">
        <x:v>不得仅因五行缺失、数量少或关系名称直接认定卡点或通关用神</x:v>
      </x:c>
      <x:c r="AC57" s="68" t="str">
        <x:v>若存在更短、更强或副作用更小的替代路径，应并列比较后再裁定</x:v>
      </x:c>
      <x:c r="AD57" s="84" t="str">
        <x:v>M12_BLOCK_流通判定</x:v>
      </x:c>
      <x:c r="AE57" s="84" t="str">
        <x:v>桥梁被改性会造成路径方向突变：按起点—桥梁—终点检查有效力量、连续性与承载；卡点为“其他”时，仅生成通关候选，不直接定用神。</x:v>
      </x:c>
      <x:c r="AF57" s="82" t="str">
        <x:v>较高</x:v>
      </x:c>
      <x:c r="AG57" s="82" t="str">
        <x:v>现代综合</x:v>
      </x:c>
      <x:c r="AH57" s="68" t="str">
        <x:v>流通判断以五行有效力量、生克顺序与十神功能为核心；古典依据可参照《滴天髓》《渊海子平》。 https://zh.wikisource.org/wiki/%E6%BB%B4%E5%A4%A9%E9%AB%93%E9%97%A1%E5%BE%AE https://zh.wikisource.org/zh-hans/%E6%B7%B5%E6%B5%B7%E5%AD%90%E5%B9%B3</x:v>
      </x:c>
      <x:c r="AI57" s="68" t="str">
        <x:v>当“桥梁五行属性改变，原来生克关系被替换”真实成立，且桥梁具备有效力量和连续作用条件时，可按“桥梁被改性会造成路径方向突变”记录。</x:v>
      </x:c>
      <x:c r="AJ57" s="90" t="str">
        <x:v>仅见表面缺失或五行相克，但未证明“桥梁五行属性改变，原来生克关系被替换”形成实际阻断时，不得套用“桥梁被改性会造成路径方向突变”。</x:v>
      </x:c>
      <x:c r="AK57" s="82" t="str">
        <x:v>采用</x:v>
      </x:c>
      <x:c r="AL57" s="82" t="str">
        <x:v>初审</x:v>
      </x:c>
      <x:c r="AM57" s="87" t="n">
        <x:v>46255</x:v>
      </x:c>
    </x:row>
    <x:row r="58">
      <x:c r="A58" s="72" t="str">
        <x:f>IF(OR(C58="",D58=""),"",B58&amp;"-"&amp;UPPER(C58)&amp;"-"&amp;TEXT(D58,"0000")&amp;"-"&amp;E58)</x:f>
        <x:v>M12-BLOCK-0052-V1.0</x:v>
      </x:c>
      <x:c r="B58" s="74" t="str">
        <x:v>M12</x:v>
      </x:c>
      <x:c r="C58" s="74" t="str">
        <x:v>BLOCK</x:v>
      </x:c>
      <x:c r="D58" s="215" t="n">
        <x:v>52</x:v>
      </x:c>
      <x:c r="E58" s="74" t="str">
        <x:v>V1.0</x:v>
      </x:c>
      <x:c r="F58" s="68" t="str">
        <x:v>共享桥梁过载会形成路径竞争</x:v>
      </x:c>
      <x:c r="G58" s="82" t="str">
        <x:v>结构层</x:v>
      </x:c>
      <x:c r="H58" s="68" t="str">
        <x:v>五行生化路径</x:v>
      </x:c>
      <x:c r="I58" s="68" t="str">
        <x:v>两个以上上游</x:v>
      </x:c>
      <x:c r="J58" s="68" t="str">
        <x:v>同一中等桥梁</x:v>
      </x:c>
      <x:c r="K58" s="68" t="str">
        <x:v>不同终点</x:v>
      </x:c>
      <x:c r="L58" s="82" t="str">
        <x:v>待定</x:v>
      </x:c>
      <x:c r="M58" s="82" t="str">
        <x:v>待定</x:v>
      </x:c>
      <x:c r="N58" s="68" t="str">
        <x:v>待定</x:v>
      </x:c>
      <x:c r="O58" s="68" t="str">
        <x:v>待定</x:v>
      </x:c>
      <x:c r="P58" s="68" t="str">
        <x:v>待定</x:v>
      </x:c>
      <x:c r="Q58" s="82" t="str">
        <x:v>局部阻塞</x:v>
      </x:c>
      <x:c r="R58" s="82" t="str">
        <x:v>桥梁太弱</x:v>
      </x:c>
      <x:c r="S58" s="68" t="str">
        <x:v>桥梁</x:v>
      </x:c>
      <x:c r="T58" s="68" t="str">
        <x:v>桥梁有效力量不足以同时服务多条高强度路径</x:v>
      </x:c>
      <x:c r="U58" s="68" t="str">
        <x:v>待定</x:v>
      </x:c>
      <x:c r="V58" s="68" t="str">
        <x:v>待定</x:v>
      </x:c>
      <x:c r="W58" s="90" t="str">
        <x:v>需检查对调候、格局、日主承载及其他通路的副作用</x:v>
      </x:c>
      <x:c r="X58" s="68" t="str">
        <x:v>M06关系效应、M08五行有效旺衰、M10十神功能与M11组合判断已完成</x:v>
      </x:c>
      <x:c r="Y58" s="68" t="str">
        <x:v>起点、桥梁、终点均按有效力量与实际作用路径判断</x:v>
      </x:c>
      <x:c r="Z58" s="68" t="str">
        <x:v>桥梁有根有源、透达、位置可达且不存在关键制约</x:v>
      </x:c>
      <x:c r="AA58" s="68" t="str">
        <x:v>桥梁失令、无根、受克、合绊、改性或同时被多路调用</x:v>
      </x:c>
      <x:c r="AB58" s="90" t="str">
        <x:v>不得仅因五行缺失、数量少或关系名称直接认定卡点或通关用神</x:v>
      </x:c>
      <x:c r="AC58" s="68" t="str">
        <x:v>若存在更短、更强或副作用更小的替代路径，应并列比较后再裁定</x:v>
      </x:c>
      <x:c r="AD58" s="84" t="str">
        <x:v>M12_BLOCK_流通判定</x:v>
      </x:c>
      <x:c r="AE58" s="84" t="str">
        <x:v>共享桥梁过载会形成路径竞争：按起点—桥梁—终点检查有效力量、连续性与承载；卡点为“桥梁太弱”时，仅生成通关候选，不直接定用神。</x:v>
      </x:c>
      <x:c r="AF58" s="82" t="str">
        <x:v>较高</x:v>
      </x:c>
      <x:c r="AG58" s="82" t="str">
        <x:v>现代综合</x:v>
      </x:c>
      <x:c r="AH58" s="68" t="str">
        <x:v>流通判断以五行有效力量、生克顺序与十神功能为核心；古典依据可参照《滴天髓》《渊海子平》。 https://zh.wikisource.org/wiki/%E6%BB%B4%E5%A4%A9%E9%AB%93%E9%97%A1%E5%BE%AE https://zh.wikisource.org/zh-hans/%E6%B7%B5%E6%B5%B7%E5%AD%90%E5%B9%B3</x:v>
      </x:c>
      <x:c r="AI58" s="68" t="str">
        <x:v>当“桥梁有效力量不足以同时服务多条高强度路径”真实成立，且桥梁具备有效力量和连续作用条件时，可按“共享桥梁过载会形成路径竞争”记录。</x:v>
      </x:c>
      <x:c r="AJ58" s="90" t="str">
        <x:v>仅见表面缺失或五行相克，但未证明“桥梁有效力量不足以同时服务多条高强度路径”形成实际阻断时，不得套用“共享桥梁过载会形成路径竞争”。</x:v>
      </x:c>
      <x:c r="AK58" s="82" t="str">
        <x:v>采用</x:v>
      </x:c>
      <x:c r="AL58" s="82" t="str">
        <x:v>初审</x:v>
      </x:c>
      <x:c r="AM58" s="87" t="n">
        <x:v>46255</x:v>
      </x:c>
    </x:row>
    <x:row r="59">
      <x:c r="A59" s="72" t="str">
        <x:f>IF(OR(C59="",D59=""),"",B59&amp;"-"&amp;UPPER(C59)&amp;"-"&amp;TEXT(D59,"0000")&amp;"-"&amp;E59)</x:f>
        <x:v>M12-BLOCK-0053-V1.0</x:v>
      </x:c>
      <x:c r="B59" s="74" t="str">
        <x:v>M12</x:v>
      </x:c>
      <x:c r="C59" s="74" t="str">
        <x:v>BLOCK</x:v>
      </x:c>
      <x:c r="D59" s="215" t="n">
        <x:v>53</x:v>
      </x:c>
      <x:c r="E59" s="74" t="str">
        <x:v>V1.0</x:v>
      </x:c>
      <x:c r="F59" s="68" t="str">
        <x:v>一处卡点被修复后可能暴露下一处次级卡点</x:v>
      </x:c>
      <x:c r="G59" s="82" t="str">
        <x:v>结构层</x:v>
      </x:c>
      <x:c r="H59" s="68" t="str">
        <x:v>五行生化路径</x:v>
      </x:c>
      <x:c r="I59" s="68" t="str">
        <x:v>修复后的源头</x:v>
      </x:c>
      <x:c r="J59" s="68" t="str">
        <x:v>已恢复桥梁</x:v>
      </x:c>
      <x:c r="K59" s="68" t="str">
        <x:v>下一弱节点</x:v>
      </x:c>
      <x:c r="L59" s="82" t="str">
        <x:v>待定</x:v>
      </x:c>
      <x:c r="M59" s="82" t="str">
        <x:v>待定</x:v>
      </x:c>
      <x:c r="N59" s="68" t="str">
        <x:v>待定</x:v>
      </x:c>
      <x:c r="O59" s="68" t="str">
        <x:v>待定</x:v>
      </x:c>
      <x:c r="P59" s="68" t="str">
        <x:v>待定</x:v>
      </x:c>
      <x:c r="Q59" s="82" t="str">
        <x:v>基本通畅</x:v>
      </x:c>
      <x:c r="R59" s="82" t="str">
        <x:v>其他</x:v>
      </x:c>
      <x:c r="S59" s="68" t="str">
        <x:v>下游次级节点</x:v>
      </x:c>
      <x:c r="T59" s="68" t="str">
        <x:v>原第一卡点消失后，力量继续向下游传递并暴露新的承载不足</x:v>
      </x:c>
      <x:c r="U59" s="68" t="str">
        <x:v>待定</x:v>
      </x:c>
      <x:c r="V59" s="68" t="str">
        <x:v>待定</x:v>
      </x:c>
      <x:c r="W59" s="90" t="str">
        <x:v>需检查对调候、格局、日主承载及其他通路的副作用</x:v>
      </x:c>
      <x:c r="X59" s="68" t="str">
        <x:v>M06关系效应、M08五行有效旺衰、M10十神功能与M11组合判断已完成</x:v>
      </x:c>
      <x:c r="Y59" s="68" t="str">
        <x:v>起点、桥梁、终点均按有效力量与实际作用路径判断</x:v>
      </x:c>
      <x:c r="Z59" s="68" t="str">
        <x:v>桥梁有根有源、透达、位置可达且不存在关键制约</x:v>
      </x:c>
      <x:c r="AA59" s="68" t="str">
        <x:v>桥梁失令、无根、受克、合绊、改性或同时被多路调用</x:v>
      </x:c>
      <x:c r="AB59" s="90" t="str">
        <x:v>不得仅因五行缺失、数量少或关系名称直接认定卡点或通关用神</x:v>
      </x:c>
      <x:c r="AC59" s="68" t="str">
        <x:v>若存在更短、更强或副作用更小的替代路径，应并列比较后再裁定</x:v>
      </x:c>
      <x:c r="AD59" s="84" t="str">
        <x:v>卡点递进</x:v>
      </x:c>
      <x:c r="AE59" s="84" t="str">
        <x:v>一处卡点被修复后可能暴露下一处次级卡点：按起点—桥梁—终点检查有效力量、连续性与承载；卡点为“其他”时，仅生成通关候选，不直接定用神。</x:v>
      </x:c>
      <x:c r="AF59" s="82" t="str">
        <x:v>较高</x:v>
      </x:c>
      <x:c r="AG59" s="82" t="str">
        <x:v>现代综合</x:v>
      </x:c>
      <x:c r="AH59" s="68" t="str">
        <x:v>流通判断以五行有效力量、生克顺序与十神功能为核心；古典依据可参照《滴天髓》《渊海子平》。 https://zh.wikisource.org/wiki/%E6%BB%B4%E5%A4%A9%E9%AB%93%E9%97%A1%E5%BE%AE https://zh.wikisource.org/zh-hans/%E6%B7%B5%E6%B5%B7%E5%AD%90%E5%B9%B3</x:v>
      </x:c>
      <x:c r="AI59" s="68" t="str">
        <x:v>当“原第一卡点消失后，力量继续向下游传递并暴露新的承载不足”真实成立，且桥梁具备有效力量和连续作用条件时，可按“一处卡点被修复后可能暴露下一处次级卡点”记录。</x:v>
      </x:c>
      <x:c r="AJ59" s="90" t="str">
        <x:v>仅见表面缺失或五行相克，但未证明“原第一卡点消失后，力量继续向下游传递并暴露新的承载不足”形成实际阻断时，不得套用“一处卡点被修复后可能暴露下一处次级卡点”。</x:v>
      </x:c>
      <x:c r="AK59" s="82" t="str">
        <x:v>采用</x:v>
      </x:c>
      <x:c r="AL59" s="82" t="str">
        <x:v>初审</x:v>
      </x:c>
      <x:c r="AM59" s="87" t="n">
        <x:v>46255</x:v>
      </x:c>
    </x:row>
    <x:row r="60">
      <x:c r="A60" s="72" t="str">
        <x:f>IF(OR(C60="",D60=""),"",B60&amp;"-"&amp;UPPER(C60)&amp;"-"&amp;TEXT(D60,"0000")&amp;"-"&amp;E60)</x:f>
        <x:v>M12-BLOCK-0054-V1.0</x:v>
      </x:c>
      <x:c r="B60" s="74" t="str">
        <x:v>M12</x:v>
      </x:c>
      <x:c r="C60" s="74" t="str">
        <x:v>BLOCK</x:v>
      </x:c>
      <x:c r="D60" s="215" t="n">
        <x:v>54</x:v>
      </x:c>
      <x:c r="E60" s="74" t="str">
        <x:v>V1.0</x:v>
      </x:c>
      <x:c r="F60" s="68" t="str">
        <x:v>同一原局可同时存在多个卡点但需排序主次</x:v>
      </x:c>
      <x:c r="G60" s="82" t="str">
        <x:v>结构层</x:v>
      </x:c>
      <x:c r="H60" s="68" t="str">
        <x:v>五行生化路径</x:v>
      </x:c>
      <x:c r="I60" s="68" t="str">
        <x:v>多个源头</x:v>
      </x:c>
      <x:c r="J60" s="68" t="str">
        <x:v>多个桥梁</x:v>
      </x:c>
      <x:c r="K60" s="68" t="str">
        <x:v>多个终点</x:v>
      </x:c>
      <x:c r="L60" s="82" t="str">
        <x:v>待定</x:v>
      </x:c>
      <x:c r="M60" s="82" t="str">
        <x:v>待定</x:v>
      </x:c>
      <x:c r="N60" s="68" t="str">
        <x:v>待定</x:v>
      </x:c>
      <x:c r="O60" s="68" t="str">
        <x:v>待定</x:v>
      </x:c>
      <x:c r="P60" s="68" t="str">
        <x:v>待定</x:v>
      </x:c>
      <x:c r="Q60" s="82" t="str">
        <x:v>局部阻塞</x:v>
      </x:c>
      <x:c r="R60" s="82" t="str">
        <x:v>其他</x:v>
      </x:c>
      <x:c r="S60" s="68" t="str">
        <x:v>多处</x:v>
      </x:c>
      <x:c r="T60" s="68" t="str">
        <x:v>多条关键路径分别存在阻断，严重度和影响范围不同</x:v>
      </x:c>
      <x:c r="U60" s="68" t="str">
        <x:v>待定</x:v>
      </x:c>
      <x:c r="V60" s="68" t="str">
        <x:v>待定</x:v>
      </x:c>
      <x:c r="W60" s="90" t="str">
        <x:v>需检查对调候、格局、日主承载及其他通路的副作用</x:v>
      </x:c>
      <x:c r="X60" s="68" t="str">
        <x:v>M06关系效应、M08五行有效旺衰、M10十神功能与M11组合判断已完成</x:v>
      </x:c>
      <x:c r="Y60" s="68" t="str">
        <x:v>起点、桥梁、终点均按有效力量与实际作用路径判断</x:v>
      </x:c>
      <x:c r="Z60" s="68" t="str">
        <x:v>桥梁有根有源、透达、位置可达且不存在关键制约</x:v>
      </x:c>
      <x:c r="AA60" s="68" t="str">
        <x:v>桥梁失令、无根、受克、合绊、改性或同时被多路调用</x:v>
      </x:c>
      <x:c r="AB60" s="90" t="str">
        <x:v>不得仅因五行缺失、数量少或关系名称直接认定卡点或通关用神</x:v>
      </x:c>
      <x:c r="AC60" s="68" t="str">
        <x:v>若存在更短、更强或副作用更小的替代路径，应并列比较后再裁定</x:v>
      </x:c>
      <x:c r="AD60" s="84" t="str">
        <x:v>多卡点排序</x:v>
      </x:c>
      <x:c r="AE60" s="84" t="str">
        <x:v>存在多个卡点时，应按影响范围、阻断强度、是否涉及主导组合及可修复性排序为主卡点、次卡点，不做简单数量相加。</x:v>
      </x:c>
      <x:c r="AF60" s="82" t="str">
        <x:v>较高</x:v>
      </x:c>
      <x:c r="AG60" s="82" t="str">
        <x:v>现代综合</x:v>
      </x:c>
      <x:c r="AH60" s="68" t="str">
        <x:v>流通判断以五行有效力量、生克顺序与十神功能为核心；古典依据可参照《滴天髓》《渊海子平》。 https://zh.wikisource.org/wiki/%E6%BB%B4%E5%A4%A9%E9%AB%93%E9%97%A1%E5%BE%AE https://zh.wikisource.org/zh-hans/%E6%B7%B5%E6%B5%B7%E5%AD%90%E5%B9%B3</x:v>
      </x:c>
      <x:c r="AI60" s="68" t="str">
        <x:v>当“多条关键路径分别存在阻断，严重度和影响范围不同”真实成立，且桥梁具备有效力量和连续作用条件时，可按“同一原局可同时存在多个卡点但需排序主次”记录。</x:v>
      </x:c>
      <x:c r="AJ60" s="90" t="str">
        <x:v>仅见表面缺失或五行相克，但未证明“多条关键路径分别存在阻断，严重度和影响范围不同”形成实际阻断时，不得套用“同一原局可同时存在多个卡点但需排序主次”。</x:v>
      </x:c>
      <x:c r="AK60" s="82" t="str">
        <x:v>采用</x:v>
      </x:c>
      <x:c r="AL60" s="82" t="str">
        <x:v>初审</x:v>
      </x:c>
      <x:c r="AM60" s="87" t="n">
        <x:v>46255</x:v>
      </x:c>
    </x:row>
    <x:row r="61">
      <x:c r="A61" s="72" t="str">
        <x:f>IF(OR(C61="",D61=""),"",B61&amp;"-"&amp;UPPER(C61)&amp;"-"&amp;TEXT(D61,"0000")&amp;"-"&amp;E61)</x:f>
        <x:v>M12-WUXING-0055-V1.0</x:v>
      </x:c>
      <x:c r="B61" s="74" t="str">
        <x:v>M12</x:v>
      </x:c>
      <x:c r="C61" s="74" t="str">
        <x:v>WUXING</x:v>
      </x:c>
      <x:c r="D61" s="215" t="n">
        <x:v>55</x:v>
      </x:c>
      <x:c r="E61" s="74" t="str">
        <x:v>V1.0</x:v>
      </x:c>
      <x:c r="F61" s="68" t="str">
        <x:v>金水木连续生化</x:v>
      </x:c>
      <x:c r="G61" s="82" t="str">
        <x:v>结构层</x:v>
      </x:c>
      <x:c r="H61" s="68" t="str">
        <x:v>五行生化路径</x:v>
      </x:c>
      <x:c r="I61" s="68" t="str">
        <x:v>金</x:v>
      </x:c>
      <x:c r="J61" s="68" t="str">
        <x:v>水</x:v>
      </x:c>
      <x:c r="K61" s="68" t="str">
        <x:v>木</x:v>
      </x:c>
      <x:c r="L61" s="82" t="str">
        <x:v>待定</x:v>
      </x:c>
      <x:c r="M61" s="82" t="str">
        <x:v>待定</x:v>
      </x:c>
      <x:c r="N61" s="68" t="str">
        <x:v>待定</x:v>
      </x:c>
      <x:c r="O61" s="68" t="str">
        <x:v>待定</x:v>
      </x:c>
      <x:c r="P61" s="68" t="str">
        <x:v>待定</x:v>
      </x:c>
      <x:c r="Q61" s="82" t="str">
        <x:v>通畅</x:v>
      </x:c>
      <x:c r="R61" s="82" t="str">
        <x:v>其他</x:v>
      </x:c>
      <x:c r="S61" s="68" t="str">
        <x:v>待定</x:v>
      </x:c>
      <x:c r="T61" s="68" t="str">
        <x:v>金能生水，且水能够继续生木</x:v>
      </x:c>
      <x:c r="U61" s="68" t="str">
        <x:v>水</x:v>
      </x:c>
      <x:c r="V61" s="68" t="str">
        <x:v>水必须自身有效且不被关键克合阻断</x:v>
      </x:c>
      <x:c r="W61" s="90" t="str">
        <x:v>需检查对调候、格局、日主承载及其他通路的副作用</x:v>
      </x:c>
      <x:c r="X61" s="68" t="str">
        <x:v>M06关系效应、M08五行有效旺衰、M10十神功能与M11组合判断已完成</x:v>
      </x:c>
      <x:c r="Y61" s="68" t="str">
        <x:v>起点、桥梁、终点均按有效力量与实际作用路径判断</x:v>
      </x:c>
      <x:c r="Z61" s="68" t="str">
        <x:v>桥梁有根有源、透达、位置可达且不存在关键制约</x:v>
      </x:c>
      <x:c r="AA61" s="68" t="str">
        <x:v>桥梁失令、无根、受克、合绊、改性或同时被多路调用</x:v>
      </x:c>
      <x:c r="AB61" s="90" t="str">
        <x:v>不得仅因五行缺失、数量少或关系名称直接认定卡点或通关用神</x:v>
      </x:c>
      <x:c r="AC61" s="68" t="str">
        <x:v>若存在更短、更强或副作用更小的替代路径，应并列比较后再裁定</x:v>
      </x:c>
      <x:c r="AD61" s="84" t="str">
        <x:v>金水木_生化链</x:v>
      </x:c>
      <x:c r="AE61" s="84" t="str">
        <x:v>金水木连续生化：按起点—桥梁—终点检查有效力量、连续性与承载；卡点为“其他”时，仅生成通关候选，不直接定用神。</x:v>
      </x:c>
      <x:c r="AF61" s="82" t="str">
        <x:v>较高</x:v>
      </x:c>
      <x:c r="AG61" s="82" t="str">
        <x:v>现代综合</x:v>
      </x:c>
      <x:c r="AH61" s="68" t="str">
        <x:v>流通判断以五行有效力量、生克顺序与十神功能为核心；古典依据可参照《滴天髓》《渊海子平》。 https://zh.wikisource.org/wiki/%E6%BB%B4%E5%A4%A9%E9%AB%93%E9%97%A1%E5%BE%AE https://zh.wikisource.org/zh-hans/%E6%B7%B5%E6%B5%B7%E5%AD%90%E5%B9%B3</x:v>
      </x:c>
      <x:c r="AI61" s="68" t="str">
        <x:v>当“金能生水，且水能够继续生木”真实成立，且桥梁具备有效力量和连续作用条件时，可按“金水木连续生化”记录。</x:v>
      </x:c>
      <x:c r="AJ61" s="90" t="str">
        <x:v>仅见表面缺失或五行相克，但未证明“金能生水，且水能够继续生木”形成实际阻断时，不得套用“金水木连续生化”。</x:v>
      </x:c>
      <x:c r="AK61" s="82" t="str">
        <x:v>采用</x:v>
      </x:c>
      <x:c r="AL61" s="82" t="str">
        <x:v>初审</x:v>
      </x:c>
      <x:c r="AM61" s="87" t="n">
        <x:v>46255</x:v>
      </x:c>
    </x:row>
    <x:row r="62">
      <x:c r="A62" s="72" t="str">
        <x:f>IF(OR(C62="",D62=""),"",B62&amp;"-"&amp;UPPER(C62)&amp;"-"&amp;TEXT(D62,"0000")&amp;"-"&amp;E62)</x:f>
        <x:v>M12-WUXING-0056-V1.0</x:v>
      </x:c>
      <x:c r="B62" s="74" t="str">
        <x:v>M12</x:v>
      </x:c>
      <x:c r="C62" s="74" t="str">
        <x:v>WUXING</x:v>
      </x:c>
      <x:c r="D62" s="215" t="n">
        <x:v>56</x:v>
      </x:c>
      <x:c r="E62" s="74" t="str">
        <x:v>V1.0</x:v>
      </x:c>
      <x:c r="F62" s="68" t="str">
        <x:v>水木火连续生化</x:v>
      </x:c>
      <x:c r="G62" s="82" t="str">
        <x:v>结构层</x:v>
      </x:c>
      <x:c r="H62" s="68" t="str">
        <x:v>五行生化路径</x:v>
      </x:c>
      <x:c r="I62" s="68" t="str">
        <x:v>水</x:v>
      </x:c>
      <x:c r="J62" s="68" t="str">
        <x:v>木</x:v>
      </x:c>
      <x:c r="K62" s="68" t="str">
        <x:v>火</x:v>
      </x:c>
      <x:c r="L62" s="82" t="str">
        <x:v>待定</x:v>
      </x:c>
      <x:c r="M62" s="82" t="str">
        <x:v>待定</x:v>
      </x:c>
      <x:c r="N62" s="68" t="str">
        <x:v>待定</x:v>
      </x:c>
      <x:c r="O62" s="68" t="str">
        <x:v>待定</x:v>
      </x:c>
      <x:c r="P62" s="68" t="str">
        <x:v>待定</x:v>
      </x:c>
      <x:c r="Q62" s="82" t="str">
        <x:v>通畅</x:v>
      </x:c>
      <x:c r="R62" s="82" t="str">
        <x:v>其他</x:v>
      </x:c>
      <x:c r="S62" s="68" t="str">
        <x:v>待定</x:v>
      </x:c>
      <x:c r="T62" s="68" t="str">
        <x:v>水能生木，且木能够继续生火</x:v>
      </x:c>
      <x:c r="U62" s="68" t="str">
        <x:v>木</x:v>
      </x:c>
      <x:c r="V62" s="68" t="str">
        <x:v>木必须自身有效且不被关键克合阻断</x:v>
      </x:c>
      <x:c r="W62" s="90" t="str">
        <x:v>需检查对调候、格局、日主承载及其他通路的副作用</x:v>
      </x:c>
      <x:c r="X62" s="68" t="str">
        <x:v>M06关系效应、M08五行有效旺衰、M10十神功能与M11组合判断已完成</x:v>
      </x:c>
      <x:c r="Y62" s="68" t="str">
        <x:v>起点、桥梁、终点均按有效力量与实际作用路径判断</x:v>
      </x:c>
      <x:c r="Z62" s="68" t="str">
        <x:v>桥梁有根有源、透达、位置可达且不存在关键制约</x:v>
      </x:c>
      <x:c r="AA62" s="68" t="str">
        <x:v>桥梁失令、无根、受克、合绊、改性或同时被多路调用</x:v>
      </x:c>
      <x:c r="AB62" s="90" t="str">
        <x:v>不得仅因五行缺失、数量少或关系名称直接认定卡点或通关用神</x:v>
      </x:c>
      <x:c r="AC62" s="68" t="str">
        <x:v>若存在更短、更强或副作用更小的替代路径，应并列比较后再裁定</x:v>
      </x:c>
      <x:c r="AD62" s="84" t="str">
        <x:v>水木火_生化链</x:v>
      </x:c>
      <x:c r="AE62" s="84" t="str">
        <x:v>水木火连续生化：按起点—桥梁—终点检查有效力量、连续性与承载；卡点为“其他”时，仅生成通关候选，不直接定用神。</x:v>
      </x:c>
      <x:c r="AF62" s="82" t="str">
        <x:v>较高</x:v>
      </x:c>
      <x:c r="AG62" s="82" t="str">
        <x:v>现代综合</x:v>
      </x:c>
      <x:c r="AH62" s="68" t="str">
        <x:v>流通判断以五行有效力量、生克顺序与十神功能为核心；古典依据可参照《滴天髓》《渊海子平》。 https://zh.wikisource.org/wiki/%E6%BB%B4%E5%A4%A9%E9%AB%93%E9%97%A1%E5%BE%AE https://zh.wikisource.org/zh-hans/%E6%B7%B5%E6%B5%B7%E5%AD%90%E5%B9%B3</x:v>
      </x:c>
      <x:c r="AI62" s="68" t="str">
        <x:v>当“水能生木，且木能够继续生火”真实成立，且桥梁具备有效力量和连续作用条件时，可按“水木火连续生化”记录。</x:v>
      </x:c>
      <x:c r="AJ62" s="90" t="str">
        <x:v>仅见表面缺失或五行相克，但未证明“水能生木，且木能够继续生火”形成实际阻断时，不得套用“水木火连续生化”。</x:v>
      </x:c>
      <x:c r="AK62" s="82" t="str">
        <x:v>采用</x:v>
      </x:c>
      <x:c r="AL62" s="82" t="str">
        <x:v>初审</x:v>
      </x:c>
      <x:c r="AM62" s="87" t="n">
        <x:v>46255</x:v>
      </x:c>
    </x:row>
    <x:row r="63">
      <x:c r="A63" s="72" t="str">
        <x:f>IF(OR(C63="",D63=""),"",B63&amp;"-"&amp;UPPER(C63)&amp;"-"&amp;TEXT(D63,"0000")&amp;"-"&amp;E63)</x:f>
        <x:v>M12-WUXING-0057-V1.0</x:v>
      </x:c>
      <x:c r="B63" s="74" t="str">
        <x:v>M12</x:v>
      </x:c>
      <x:c r="C63" s="74" t="str">
        <x:v>WUXING</x:v>
      </x:c>
      <x:c r="D63" s="215" t="n">
        <x:v>57</x:v>
      </x:c>
      <x:c r="E63" s="74" t="str">
        <x:v>V1.0</x:v>
      </x:c>
      <x:c r="F63" s="68" t="str">
        <x:v>木火土连续生化</x:v>
      </x:c>
      <x:c r="G63" s="82" t="str">
        <x:v>结构层</x:v>
      </x:c>
      <x:c r="H63" s="68" t="str">
        <x:v>五行生化路径</x:v>
      </x:c>
      <x:c r="I63" s="68" t="str">
        <x:v>木</x:v>
      </x:c>
      <x:c r="J63" s="68" t="str">
        <x:v>火</x:v>
      </x:c>
      <x:c r="K63" s="68" t="str">
        <x:v>土</x:v>
      </x:c>
      <x:c r="L63" s="82" t="str">
        <x:v>待定</x:v>
      </x:c>
      <x:c r="M63" s="82" t="str">
        <x:v>待定</x:v>
      </x:c>
      <x:c r="N63" s="68" t="str">
        <x:v>待定</x:v>
      </x:c>
      <x:c r="O63" s="68" t="str">
        <x:v>待定</x:v>
      </x:c>
      <x:c r="P63" s="68" t="str">
        <x:v>待定</x:v>
      </x:c>
      <x:c r="Q63" s="82" t="str">
        <x:v>通畅</x:v>
      </x:c>
      <x:c r="R63" s="82" t="str">
        <x:v>其他</x:v>
      </x:c>
      <x:c r="S63" s="68" t="str">
        <x:v>待定</x:v>
      </x:c>
      <x:c r="T63" s="68" t="str">
        <x:v>木能生火，且火能够继续生土</x:v>
      </x:c>
      <x:c r="U63" s="68" t="str">
        <x:v>火</x:v>
      </x:c>
      <x:c r="V63" s="68" t="str">
        <x:v>火必须自身有效且不被关键克合阻断</x:v>
      </x:c>
      <x:c r="W63" s="90" t="str">
        <x:v>需检查对调候、格局、日主承载及其他通路的副作用</x:v>
      </x:c>
      <x:c r="X63" s="68" t="str">
        <x:v>M06关系效应、M08五行有效旺衰、M10十神功能与M11组合判断已完成</x:v>
      </x:c>
      <x:c r="Y63" s="68" t="str">
        <x:v>起点、桥梁、终点均按有效力量与实际作用路径判断</x:v>
      </x:c>
      <x:c r="Z63" s="68" t="str">
        <x:v>桥梁有根有源、透达、位置可达且不存在关键制约</x:v>
      </x:c>
      <x:c r="AA63" s="68" t="str">
        <x:v>桥梁失令、无根、受克、合绊、改性或同时被多路调用</x:v>
      </x:c>
      <x:c r="AB63" s="90" t="str">
        <x:v>不得仅因五行缺失、数量少或关系名称直接认定卡点或通关用神</x:v>
      </x:c>
      <x:c r="AC63" s="68" t="str">
        <x:v>若存在更短、更强或副作用更小的替代路径，应并列比较后再裁定</x:v>
      </x:c>
      <x:c r="AD63" s="84" t="str">
        <x:v>木火土_生化链</x:v>
      </x:c>
      <x:c r="AE63" s="84" t="str">
        <x:v>木火土连续生化：按起点—桥梁—终点检查有效力量、连续性与承载；卡点为“其他”时，仅生成通关候选，不直接定用神。</x:v>
      </x:c>
      <x:c r="AF63" s="82" t="str">
        <x:v>较高</x:v>
      </x:c>
      <x:c r="AG63" s="82" t="str">
        <x:v>现代综合</x:v>
      </x:c>
      <x:c r="AH63" s="68" t="str">
        <x:v>流通判断以五行有效力量、生克顺序与十神功能为核心；古典依据可参照《滴天髓》《渊海子平》。 https://zh.wikisource.org/wiki/%E6%BB%B4%E5%A4%A9%E9%AB%93%E9%97%A1%E5%BE%AE https://zh.wikisource.org/zh-hans/%E6%B7%B5%E6%B5%B7%E5%AD%90%E5%B9%B3</x:v>
      </x:c>
      <x:c r="AI63" s="68" t="str">
        <x:v>当“木能生火，且火能够继续生土”真实成立，且桥梁具备有效力量和连续作用条件时，可按“木火土连续生化”记录。</x:v>
      </x:c>
      <x:c r="AJ63" s="90" t="str">
        <x:v>仅见表面缺失或五行相克，但未证明“木能生火，且火能够继续生土”形成实际阻断时，不得套用“木火土连续生化”。</x:v>
      </x:c>
      <x:c r="AK63" s="82" t="str">
        <x:v>采用</x:v>
      </x:c>
      <x:c r="AL63" s="82" t="str">
        <x:v>初审</x:v>
      </x:c>
      <x:c r="AM63" s="87" t="n">
        <x:v>46255</x:v>
      </x:c>
    </x:row>
    <x:row r="64">
      <x:c r="A64" s="72" t="str">
        <x:f>IF(OR(C64="",D64=""),"",B64&amp;"-"&amp;UPPER(C64)&amp;"-"&amp;TEXT(D64,"0000")&amp;"-"&amp;E64)</x:f>
        <x:v>M12-WUXING-0058-V1.0</x:v>
      </x:c>
      <x:c r="B64" s="74" t="str">
        <x:v>M12</x:v>
      </x:c>
      <x:c r="C64" s="74" t="str">
        <x:v>WUXING</x:v>
      </x:c>
      <x:c r="D64" s="215" t="n">
        <x:v>58</x:v>
      </x:c>
      <x:c r="E64" s="74" t="str">
        <x:v>V1.0</x:v>
      </x:c>
      <x:c r="F64" s="68" t="str">
        <x:v>火土金连续生化</x:v>
      </x:c>
      <x:c r="G64" s="82" t="str">
        <x:v>结构层</x:v>
      </x:c>
      <x:c r="H64" s="68" t="str">
        <x:v>五行生化路径</x:v>
      </x:c>
      <x:c r="I64" s="68" t="str">
        <x:v>火</x:v>
      </x:c>
      <x:c r="J64" s="68" t="str">
        <x:v>土</x:v>
      </x:c>
      <x:c r="K64" s="68" t="str">
        <x:v>金</x:v>
      </x:c>
      <x:c r="L64" s="82" t="str">
        <x:v>待定</x:v>
      </x:c>
      <x:c r="M64" s="82" t="str">
        <x:v>待定</x:v>
      </x:c>
      <x:c r="N64" s="68" t="str">
        <x:v>待定</x:v>
      </x:c>
      <x:c r="O64" s="68" t="str">
        <x:v>待定</x:v>
      </x:c>
      <x:c r="P64" s="68" t="str">
        <x:v>待定</x:v>
      </x:c>
      <x:c r="Q64" s="82" t="str">
        <x:v>通畅</x:v>
      </x:c>
      <x:c r="R64" s="82" t="str">
        <x:v>其他</x:v>
      </x:c>
      <x:c r="S64" s="68" t="str">
        <x:v>待定</x:v>
      </x:c>
      <x:c r="T64" s="68" t="str">
        <x:v>火能生土，且土能够继续生金</x:v>
      </x:c>
      <x:c r="U64" s="68" t="str">
        <x:v>土</x:v>
      </x:c>
      <x:c r="V64" s="68" t="str">
        <x:v>土必须自身有效且不被关键克合阻断</x:v>
      </x:c>
      <x:c r="W64" s="90" t="str">
        <x:v>需检查对调候、格局、日主承载及其他通路的副作用</x:v>
      </x:c>
      <x:c r="X64" s="68" t="str">
        <x:v>M06关系效应、M08五行有效旺衰、M10十神功能与M11组合判断已完成</x:v>
      </x:c>
      <x:c r="Y64" s="68" t="str">
        <x:v>起点、桥梁、终点均按有效力量与实际作用路径判断</x:v>
      </x:c>
      <x:c r="Z64" s="68" t="str">
        <x:v>桥梁有根有源、透达、位置可达且不存在关键制约</x:v>
      </x:c>
      <x:c r="AA64" s="68" t="str">
        <x:v>桥梁失令、无根、受克、合绊、改性或同时被多路调用</x:v>
      </x:c>
      <x:c r="AB64" s="90" t="str">
        <x:v>不得仅因五行缺失、数量少或关系名称直接认定卡点或通关用神</x:v>
      </x:c>
      <x:c r="AC64" s="68" t="str">
        <x:v>若存在更短、更强或副作用更小的替代路径，应并列比较后再裁定</x:v>
      </x:c>
      <x:c r="AD64" s="84" t="str">
        <x:v>火土金_生化链</x:v>
      </x:c>
      <x:c r="AE64" s="84" t="str">
        <x:v>火土金连续生化：按起点—桥梁—终点检查有效力量、连续性与承载；卡点为“其他”时，仅生成通关候选，不直接定用神。</x:v>
      </x:c>
      <x:c r="AF64" s="82" t="str">
        <x:v>较高</x:v>
      </x:c>
      <x:c r="AG64" s="82" t="str">
        <x:v>现代综合</x:v>
      </x:c>
      <x:c r="AH64" s="68" t="str">
        <x:v>流通判断以五行有效力量、生克顺序与十神功能为核心；古典依据可参照《滴天髓》《渊海子平》。 https://zh.wikisource.org/wiki/%E6%BB%B4%E5%A4%A9%E9%AB%93%E9%97%A1%E5%BE%AE https://zh.wikisource.org/zh-hans/%E6%B7%B5%E6%B5%B7%E5%AD%90%E5%B9%B3</x:v>
      </x:c>
      <x:c r="AI64" s="68" t="str">
        <x:v>当“火能生土，且土能够继续生金”真实成立，且桥梁具备有效力量和连续作用条件时，可按“火土金连续生化”记录。</x:v>
      </x:c>
      <x:c r="AJ64" s="90" t="str">
        <x:v>仅见表面缺失或五行相克，但未证明“火能生土，且土能够继续生金”形成实际阻断时，不得套用“火土金连续生化”。</x:v>
      </x:c>
      <x:c r="AK64" s="82" t="str">
        <x:v>采用</x:v>
      </x:c>
      <x:c r="AL64" s="82" t="str">
        <x:v>初审</x:v>
      </x:c>
      <x:c r="AM64" s="87" t="n">
        <x:v>46255</x:v>
      </x:c>
    </x:row>
    <x:row r="65">
      <x:c r="A65" s="72" t="str">
        <x:f>IF(OR(C65="",D65=""),"",B65&amp;"-"&amp;UPPER(C65)&amp;"-"&amp;TEXT(D65,"0000")&amp;"-"&amp;E65)</x:f>
        <x:v>M12-WUXING-0059-V1.0</x:v>
      </x:c>
      <x:c r="B65" s="74" t="str">
        <x:v>M12</x:v>
      </x:c>
      <x:c r="C65" s="74" t="str">
        <x:v>WUXING</x:v>
      </x:c>
      <x:c r="D65" s="215" t="n">
        <x:v>59</x:v>
      </x:c>
      <x:c r="E65" s="74" t="str">
        <x:v>V1.0</x:v>
      </x:c>
      <x:c r="F65" s="68" t="str">
        <x:v>土金水连续生化</x:v>
      </x:c>
      <x:c r="G65" s="82" t="str">
        <x:v>结构层</x:v>
      </x:c>
      <x:c r="H65" s="68" t="str">
        <x:v>五行生化路径</x:v>
      </x:c>
      <x:c r="I65" s="68" t="str">
        <x:v>土</x:v>
      </x:c>
      <x:c r="J65" s="68" t="str">
        <x:v>金</x:v>
      </x:c>
      <x:c r="K65" s="68" t="str">
        <x:v>水</x:v>
      </x:c>
      <x:c r="L65" s="82" t="str">
        <x:v>待定</x:v>
      </x:c>
      <x:c r="M65" s="82" t="str">
        <x:v>待定</x:v>
      </x:c>
      <x:c r="N65" s="68" t="str">
        <x:v>待定</x:v>
      </x:c>
      <x:c r="O65" s="68" t="str">
        <x:v>待定</x:v>
      </x:c>
      <x:c r="P65" s="68" t="str">
        <x:v>待定</x:v>
      </x:c>
      <x:c r="Q65" s="82" t="str">
        <x:v>通畅</x:v>
      </x:c>
      <x:c r="R65" s="82" t="str">
        <x:v>其他</x:v>
      </x:c>
      <x:c r="S65" s="68" t="str">
        <x:v>待定</x:v>
      </x:c>
      <x:c r="T65" s="68" t="str">
        <x:v>土能生金，且金能够继续生水</x:v>
      </x:c>
      <x:c r="U65" s="68" t="str">
        <x:v>金</x:v>
      </x:c>
      <x:c r="V65" s="68" t="str">
        <x:v>金必须自身有效且不被关键克合阻断</x:v>
      </x:c>
      <x:c r="W65" s="90" t="str">
        <x:v>需检查对调候、格局、日主承载及其他通路的副作用</x:v>
      </x:c>
      <x:c r="X65" s="68" t="str">
        <x:v>M06关系效应、M08五行有效旺衰、M10十神功能与M11组合判断已完成</x:v>
      </x:c>
      <x:c r="Y65" s="68" t="str">
        <x:v>起点、桥梁、终点均按有效力量与实际作用路径判断</x:v>
      </x:c>
      <x:c r="Z65" s="68" t="str">
        <x:v>桥梁有根有源、透达、位置可达且不存在关键制约</x:v>
      </x:c>
      <x:c r="AA65" s="68" t="str">
        <x:v>桥梁失令、无根、受克、合绊、改性或同时被多路调用</x:v>
      </x:c>
      <x:c r="AB65" s="90" t="str">
        <x:v>不得仅因五行缺失、数量少或关系名称直接认定卡点或通关用神</x:v>
      </x:c>
      <x:c r="AC65" s="68" t="str">
        <x:v>若存在更短、更强或副作用更小的替代路径，应并列比较后再裁定</x:v>
      </x:c>
      <x:c r="AD65" s="84" t="str">
        <x:v>土金水_生化链</x:v>
      </x:c>
      <x:c r="AE65" s="84" t="str">
        <x:v>土金水连续生化：按起点—桥梁—终点检查有效力量、连续性与承载；卡点为“其他”时，仅生成通关候选，不直接定用神。</x:v>
      </x:c>
      <x:c r="AF65" s="82" t="str">
        <x:v>较高</x:v>
      </x:c>
      <x:c r="AG65" s="82" t="str">
        <x:v>现代综合</x:v>
      </x:c>
      <x:c r="AH65" s="68" t="str">
        <x:v>流通判断以五行有效力量、生克顺序与十神功能为核心；古典依据可参照《滴天髓》《渊海子平》。 https://zh.wikisource.org/wiki/%E6%BB%B4%E5%A4%A9%E9%AB%93%E9%97%A1%E5%BE%AE https://zh.wikisource.org/zh-hans/%E6%B7%B5%E6%B5%B7%E5%AD%90%E5%B9%B3</x:v>
      </x:c>
      <x:c r="AI65" s="68" t="str">
        <x:v>当“土能生金，且金能够继续生水”真实成立，且桥梁具备有效力量和连续作用条件时，可按“土金水连续生化”记录。</x:v>
      </x:c>
      <x:c r="AJ65" s="90" t="str">
        <x:v>仅见表面缺失或五行相克，但未证明“土能生金，且金能够继续生水”形成实际阻断时，不得套用“土金水连续生化”。</x:v>
      </x:c>
      <x:c r="AK65" s="82" t="str">
        <x:v>采用</x:v>
      </x:c>
      <x:c r="AL65" s="82" t="str">
        <x:v>初审</x:v>
      </x:c>
      <x:c r="AM65" s="87" t="n">
        <x:v>46255</x:v>
      </x:c>
    </x:row>
    <x:row r="66">
      <x:c r="A66" s="72" t="str">
        <x:f>IF(OR(C66="",D66=""),"",B66&amp;"-"&amp;UPPER(C66)&amp;"-"&amp;TEXT(D66,"0000")&amp;"-"&amp;E66)</x:f>
        <x:v>M12-WUXING-0060-V1.0</x:v>
      </x:c>
      <x:c r="B66" s="74" t="str">
        <x:v>M12</x:v>
      </x:c>
      <x:c r="C66" s="74" t="str">
        <x:v>WUXING</x:v>
      </x:c>
      <x:c r="D66" s="215" t="n">
        <x:v>60</x:v>
      </x:c>
      <x:c r="E66" s="74" t="str">
        <x:v>V1.0</x:v>
      </x:c>
      <x:c r="F66" s="68" t="str">
        <x:v>金木相战以水通关</x:v>
      </x:c>
      <x:c r="G66" s="82" t="str">
        <x:v>结构层</x:v>
      </x:c>
      <x:c r="H66" s="68" t="str">
        <x:v>五行克战通关</x:v>
      </x:c>
      <x:c r="I66" s="68" t="str">
        <x:v>金</x:v>
      </x:c>
      <x:c r="J66" s="68" t="str">
        <x:v>水</x:v>
      </x:c>
      <x:c r="K66" s="68" t="str">
        <x:v>木</x:v>
      </x:c>
      <x:c r="L66" s="82" t="str">
        <x:v>旺</x:v>
      </x:c>
      <x:c r="M66" s="82" t="str">
        <x:v>中和</x:v>
      </x:c>
      <x:c r="N66" s="68" t="str">
        <x:v>待定</x:v>
      </x:c>
      <x:c r="O66" s="68" t="str">
        <x:v>木有根有力可承接</x:v>
      </x:c>
      <x:c r="P66" s="68" t="str">
        <x:v>待定</x:v>
      </x:c>
      <x:c r="Q66" s="82" t="str">
        <x:v>基本通畅</x:v>
      </x:c>
      <x:c r="R66" s="82" t="str">
        <x:v>两强相战</x:v>
      </x:c>
      <x:c r="S66" s="68" t="str">
        <x:v>金—木之间</x:v>
      </x:c>
      <x:c r="T66" s="68" t="str">
        <x:v>金与木形成真实两强相战，水既能泄金又能生木</x:v>
      </x:c>
      <x:c r="U66" s="68" t="str">
        <x:v>水</x:v>
      </x:c>
      <x:c r="V66" s="68" t="str">
        <x:v>水需有根有源且不被强制；同时必须确认金木确为主矛盾</x:v>
      </x:c>
      <x:c r="W66" s="90" t="str">
        <x:v>水过强可能改变全局寒暖燥湿、日主旺衰或其他格局结构，需M13/M16/M17复审</x:v>
      </x:c>
      <x:c r="X66" s="68" t="str">
        <x:v>M06关系效应、M08五行有效旺衰、M10十神功能与M11组合判断已完成</x:v>
      </x:c>
      <x:c r="Y66" s="68" t="str">
        <x:v>起点、桥梁、终点均按有效力量与实际作用路径判断</x:v>
      </x:c>
      <x:c r="Z66" s="68" t="str">
        <x:v>桥梁有根有源、透达、位置可达且不存在关键制约</x:v>
      </x:c>
      <x:c r="AA66" s="68" t="str">
        <x:v>桥梁失令、无根、受克、合绊、改性或同时被多路调用</x:v>
      </x:c>
      <x:c r="AB66" s="90" t="str">
        <x:v>不得仅因五行缺失、数量少或关系名称直接认定卡点或通关用神</x:v>
      </x:c>
      <x:c r="AC66" s="68" t="str">
        <x:v>若存在更短、更强或副作用更小的替代路径，应并列比较后再裁定</x:v>
      </x:c>
      <x:c r="AD66" s="84" t="str">
        <x:v>金克木_水通关</x:v>
      </x:c>
      <x:c r="AE66" s="84" t="str">
        <x:v>金木相战以水通关：按起点—桥梁—终点检查有效力量、连续性与承载；卡点为“两强相战”时，仅生成通关候选，不直接定用神。</x:v>
      </x:c>
      <x:c r="AF66" s="82" t="str">
        <x:v>较高</x:v>
      </x:c>
      <x:c r="AG66" s="82" t="str">
        <x:v>现代综合</x:v>
      </x:c>
      <x:c r="AH66" s="68" t="str">
        <x:v>流通判断以五行有效力量、生克顺序与十神功能为核心；古典依据可参照《滴天髓》《渊海子平》。 https://zh.wikisource.org/wiki/%E6%BB%B4%E5%A4%A9%E9%AB%93%E9%97%A1%E5%BE%AE https://zh.wikisource.org/zh-hans/%E6%B7%B5%E6%B5%B7%E5%AD%90%E5%B9%B3</x:v>
      </x:c>
      <x:c r="AI66" s="68" t="str">
        <x:v>当“金与木形成真实两强相战，水既能泄金又能生木”真实成立，且桥梁具备有效力量和连续作用条件时，可按“金木相战以水通关”记录。</x:v>
      </x:c>
      <x:c r="AJ66" s="90" t="str">
        <x:v>仅见表面缺失或五行相克，但未证明“金与木形成真实两强相战，水既能泄金又能生木”形成实际阻断时，不得套用“金木相战以水通关”。</x:v>
      </x:c>
      <x:c r="AK66" s="82" t="str">
        <x:v>采用</x:v>
      </x:c>
      <x:c r="AL66" s="82" t="str">
        <x:v>初审</x:v>
      </x:c>
      <x:c r="AM66" s="87" t="n">
        <x:v>46255</x:v>
      </x:c>
    </x:row>
    <x:row r="67">
      <x:c r="A67" s="72" t="str">
        <x:f>IF(OR(C67="",D67=""),"",B67&amp;"-"&amp;UPPER(C67)&amp;"-"&amp;TEXT(D67,"0000")&amp;"-"&amp;E67)</x:f>
        <x:v>M12-WUXING-0061-V1.0</x:v>
      </x:c>
      <x:c r="B67" s="74" t="str">
        <x:v>M12</x:v>
      </x:c>
      <x:c r="C67" s="74" t="str">
        <x:v>WUXING</x:v>
      </x:c>
      <x:c r="D67" s="215" t="n">
        <x:v>61</x:v>
      </x:c>
      <x:c r="E67" s="74" t="str">
        <x:v>V1.0</x:v>
      </x:c>
      <x:c r="F67" s="68" t="str">
        <x:v>木土相战以火通关</x:v>
      </x:c>
      <x:c r="G67" s="82" t="str">
        <x:v>结构层</x:v>
      </x:c>
      <x:c r="H67" s="68" t="str">
        <x:v>五行克战通关</x:v>
      </x:c>
      <x:c r="I67" s="68" t="str">
        <x:v>木</x:v>
      </x:c>
      <x:c r="J67" s="68" t="str">
        <x:v>火</x:v>
      </x:c>
      <x:c r="K67" s="68" t="str">
        <x:v>土</x:v>
      </x:c>
      <x:c r="L67" s="82" t="str">
        <x:v>旺</x:v>
      </x:c>
      <x:c r="M67" s="82" t="str">
        <x:v>中和</x:v>
      </x:c>
      <x:c r="N67" s="68" t="str">
        <x:v>待定</x:v>
      </x:c>
      <x:c r="O67" s="68" t="str">
        <x:v>土有根有力可承接</x:v>
      </x:c>
      <x:c r="P67" s="68" t="str">
        <x:v>待定</x:v>
      </x:c>
      <x:c r="Q67" s="82" t="str">
        <x:v>基本通畅</x:v>
      </x:c>
      <x:c r="R67" s="82" t="str">
        <x:v>两强相战</x:v>
      </x:c>
      <x:c r="S67" s="68" t="str">
        <x:v>木—土之间</x:v>
      </x:c>
      <x:c r="T67" s="68" t="str">
        <x:v>木与土形成真实两强相战，火既能泄木又能生土</x:v>
      </x:c>
      <x:c r="U67" s="68" t="str">
        <x:v>火</x:v>
      </x:c>
      <x:c r="V67" s="68" t="str">
        <x:v>火需有根有源且不被强制；同时必须确认木土确为主矛盾</x:v>
      </x:c>
      <x:c r="W67" s="90" t="str">
        <x:v>火过强可能改变全局寒暖燥湿、日主旺衰或其他格局结构，需M13/M16/M17复审</x:v>
      </x:c>
      <x:c r="X67" s="68" t="str">
        <x:v>M06关系效应、M08五行有效旺衰、M10十神功能与M11组合判断已完成</x:v>
      </x:c>
      <x:c r="Y67" s="68" t="str">
        <x:v>起点、桥梁、终点均按有效力量与实际作用路径判断</x:v>
      </x:c>
      <x:c r="Z67" s="68" t="str">
        <x:v>桥梁有根有源、透达、位置可达且不存在关键制约</x:v>
      </x:c>
      <x:c r="AA67" s="68" t="str">
        <x:v>桥梁失令、无根、受克、合绊、改性或同时被多路调用</x:v>
      </x:c>
      <x:c r="AB67" s="90" t="str">
        <x:v>不得仅因五行缺失、数量少或关系名称直接认定卡点或通关用神</x:v>
      </x:c>
      <x:c r="AC67" s="68" t="str">
        <x:v>若存在更短、更强或副作用更小的替代路径，应并列比较后再裁定</x:v>
      </x:c>
      <x:c r="AD67" s="84" t="str">
        <x:v>木克土_火通关</x:v>
      </x:c>
      <x:c r="AE67" s="84" t="str">
        <x:v>木土相战以火通关：按起点—桥梁—终点检查有效力量、连续性与承载；卡点为“两强相战”时，仅生成通关候选，不直接定用神。</x:v>
      </x:c>
      <x:c r="AF67" s="82" t="str">
        <x:v>较高</x:v>
      </x:c>
      <x:c r="AG67" s="82" t="str">
        <x:v>现代综合</x:v>
      </x:c>
      <x:c r="AH67" s="68" t="str">
        <x:v>流通判断以五行有效力量、生克顺序与十神功能为核心；古典依据可参照《滴天髓》《渊海子平》。 https://zh.wikisource.org/wiki/%E6%BB%B4%E5%A4%A9%E9%AB%93%E9%97%A1%E5%BE%AE https://zh.wikisource.org/zh-hans/%E6%B7%B5%E6%B5%B7%E5%AD%90%E5%B9%B3</x:v>
      </x:c>
      <x:c r="AI67" s="68" t="str">
        <x:v>当“木与土形成真实两强相战，火既能泄木又能生土”真实成立，且桥梁具备有效力量和连续作用条件时，可按“木土相战以火通关”记录。</x:v>
      </x:c>
      <x:c r="AJ67" s="90" t="str">
        <x:v>仅见表面缺失或五行相克，但未证明“木与土形成真实两强相战，火既能泄木又能生土”形成实际阻断时，不得套用“木土相战以火通关”。</x:v>
      </x:c>
      <x:c r="AK67" s="82" t="str">
        <x:v>采用</x:v>
      </x:c>
      <x:c r="AL67" s="82" t="str">
        <x:v>初审</x:v>
      </x:c>
      <x:c r="AM67" s="87" t="n">
        <x:v>46255</x:v>
      </x:c>
    </x:row>
    <x:row r="68">
      <x:c r="A68" s="72" t="str">
        <x:f>IF(OR(C68="",D68=""),"",B68&amp;"-"&amp;UPPER(C68)&amp;"-"&amp;TEXT(D68,"0000")&amp;"-"&amp;E68)</x:f>
        <x:v>M12-WUXING-0062-V1.0</x:v>
      </x:c>
      <x:c r="B68" s="74" t="str">
        <x:v>M12</x:v>
      </x:c>
      <x:c r="C68" s="74" t="str">
        <x:v>WUXING</x:v>
      </x:c>
      <x:c r="D68" s="215" t="n">
        <x:v>62</x:v>
      </x:c>
      <x:c r="E68" s="74" t="str">
        <x:v>V1.0</x:v>
      </x:c>
      <x:c r="F68" s="68" t="str">
        <x:v>土水相战以金通关</x:v>
      </x:c>
      <x:c r="G68" s="82" t="str">
        <x:v>结构层</x:v>
      </x:c>
      <x:c r="H68" s="68" t="str">
        <x:v>五行克战通关</x:v>
      </x:c>
      <x:c r="I68" s="68" t="str">
        <x:v>土</x:v>
      </x:c>
      <x:c r="J68" s="68" t="str">
        <x:v>金</x:v>
      </x:c>
      <x:c r="K68" s="68" t="str">
        <x:v>水</x:v>
      </x:c>
      <x:c r="L68" s="82" t="str">
        <x:v>旺</x:v>
      </x:c>
      <x:c r="M68" s="82" t="str">
        <x:v>中和</x:v>
      </x:c>
      <x:c r="N68" s="68" t="str">
        <x:v>待定</x:v>
      </x:c>
      <x:c r="O68" s="68" t="str">
        <x:v>水有根有力可承接</x:v>
      </x:c>
      <x:c r="P68" s="68" t="str">
        <x:v>待定</x:v>
      </x:c>
      <x:c r="Q68" s="82" t="str">
        <x:v>基本通畅</x:v>
      </x:c>
      <x:c r="R68" s="82" t="str">
        <x:v>两强相战</x:v>
      </x:c>
      <x:c r="S68" s="68" t="str">
        <x:v>土—水之间</x:v>
      </x:c>
      <x:c r="T68" s="68" t="str">
        <x:v>土与水形成真实两强相战，金既能泄土又能生水</x:v>
      </x:c>
      <x:c r="U68" s="68" t="str">
        <x:v>金</x:v>
      </x:c>
      <x:c r="V68" s="68" t="str">
        <x:v>金需有根有源且不被强制；同时必须确认土水确为主矛盾</x:v>
      </x:c>
      <x:c r="W68" s="90" t="str">
        <x:v>金过强可能改变全局寒暖燥湿、日主旺衰或其他格局结构，需M13/M16/M17复审</x:v>
      </x:c>
      <x:c r="X68" s="68" t="str">
        <x:v>M06关系效应、M08五行有效旺衰、M10十神功能与M11组合判断已完成</x:v>
      </x:c>
      <x:c r="Y68" s="68" t="str">
        <x:v>起点、桥梁、终点均按有效力量与实际作用路径判断</x:v>
      </x:c>
      <x:c r="Z68" s="68" t="str">
        <x:v>桥梁有根有源、透达、位置可达且不存在关键制约</x:v>
      </x:c>
      <x:c r="AA68" s="68" t="str">
        <x:v>桥梁失令、无根、受克、合绊、改性或同时被多路调用</x:v>
      </x:c>
      <x:c r="AB68" s="90" t="str">
        <x:v>不得仅因五行缺失、数量少或关系名称直接认定卡点或通关用神</x:v>
      </x:c>
      <x:c r="AC68" s="68" t="str">
        <x:v>若存在更短、更强或副作用更小的替代路径，应并列比较后再裁定</x:v>
      </x:c>
      <x:c r="AD68" s="84" t="str">
        <x:v>土克水_金通关</x:v>
      </x:c>
      <x:c r="AE68" s="84" t="str">
        <x:v>土水相战以金通关：按起点—桥梁—终点检查有效力量、连续性与承载；卡点为“两强相战”时，仅生成通关候选，不直接定用神。</x:v>
      </x:c>
      <x:c r="AF68" s="82" t="str">
        <x:v>较高</x:v>
      </x:c>
      <x:c r="AG68" s="82" t="str">
        <x:v>现代综合</x:v>
      </x:c>
      <x:c r="AH68" s="68" t="str">
        <x:v>流通判断以五行有效力量、生克顺序与十神功能为核心；古典依据可参照《滴天髓》《渊海子平》。 https://zh.wikisource.org/wiki/%E6%BB%B4%E5%A4%A9%E9%AB%93%E9%97%A1%E5%BE%AE https://zh.wikisource.org/zh-hans/%E6%B7%B5%E6%B5%B7%E5%AD%90%E5%B9%B3</x:v>
      </x:c>
      <x:c r="AI68" s="68" t="str">
        <x:v>当“土与水形成真实两强相战，金既能泄土又能生水”真实成立，且桥梁具备有效力量和连续作用条件时，可按“土水相战以金通关”记录。</x:v>
      </x:c>
      <x:c r="AJ68" s="90" t="str">
        <x:v>仅见表面缺失或五行相克，但未证明“土与水形成真实两强相战，金既能泄土又能生水”形成实际阻断时，不得套用“土水相战以金通关”。</x:v>
      </x:c>
      <x:c r="AK68" s="82" t="str">
        <x:v>采用</x:v>
      </x:c>
      <x:c r="AL68" s="82" t="str">
        <x:v>初审</x:v>
      </x:c>
      <x:c r="AM68" s="87" t="n">
        <x:v>46255</x:v>
      </x:c>
    </x:row>
    <x:row r="69">
      <x:c r="A69" s="72" t="str">
        <x:f>IF(OR(C69="",D69=""),"",B69&amp;"-"&amp;UPPER(C69)&amp;"-"&amp;TEXT(D69,"0000")&amp;"-"&amp;E69)</x:f>
        <x:v>M12-WUXING-0063-V1.0</x:v>
      </x:c>
      <x:c r="B69" s="74" t="str">
        <x:v>M12</x:v>
      </x:c>
      <x:c r="C69" s="74" t="str">
        <x:v>WUXING</x:v>
      </x:c>
      <x:c r="D69" s="215" t="n">
        <x:v>63</x:v>
      </x:c>
      <x:c r="E69" s="74" t="str">
        <x:v>V1.0</x:v>
      </x:c>
      <x:c r="F69" s="68" t="str">
        <x:v>水火相战以木通关</x:v>
      </x:c>
      <x:c r="G69" s="82" t="str">
        <x:v>结构层</x:v>
      </x:c>
      <x:c r="H69" s="68" t="str">
        <x:v>五行克战通关</x:v>
      </x:c>
      <x:c r="I69" s="68" t="str">
        <x:v>水</x:v>
      </x:c>
      <x:c r="J69" s="68" t="str">
        <x:v>木</x:v>
      </x:c>
      <x:c r="K69" s="68" t="str">
        <x:v>火</x:v>
      </x:c>
      <x:c r="L69" s="82" t="str">
        <x:v>旺</x:v>
      </x:c>
      <x:c r="M69" s="82" t="str">
        <x:v>中和</x:v>
      </x:c>
      <x:c r="N69" s="68" t="str">
        <x:v>待定</x:v>
      </x:c>
      <x:c r="O69" s="68" t="str">
        <x:v>火有根有力可承接</x:v>
      </x:c>
      <x:c r="P69" s="68" t="str">
        <x:v>待定</x:v>
      </x:c>
      <x:c r="Q69" s="82" t="str">
        <x:v>基本通畅</x:v>
      </x:c>
      <x:c r="R69" s="82" t="str">
        <x:v>两强相战</x:v>
      </x:c>
      <x:c r="S69" s="68" t="str">
        <x:v>水—火之间</x:v>
      </x:c>
      <x:c r="T69" s="68" t="str">
        <x:v>水与火形成真实两强相战，木既能泄水又能生火</x:v>
      </x:c>
      <x:c r="U69" s="68" t="str">
        <x:v>木</x:v>
      </x:c>
      <x:c r="V69" s="68" t="str">
        <x:v>木需有根有源且不被强制；同时必须确认水火确为主矛盾</x:v>
      </x:c>
      <x:c r="W69" s="90" t="str">
        <x:v>木过强可能改变全局寒暖燥湿、日主旺衰或其他格局结构，需M13/M16/M17复审</x:v>
      </x:c>
      <x:c r="X69" s="68" t="str">
        <x:v>M06关系效应、M08五行有效旺衰、M10十神功能与M11组合判断已完成</x:v>
      </x:c>
      <x:c r="Y69" s="68" t="str">
        <x:v>起点、桥梁、终点均按有效力量与实际作用路径判断</x:v>
      </x:c>
      <x:c r="Z69" s="68" t="str">
        <x:v>桥梁有根有源、透达、位置可达且不存在关键制约</x:v>
      </x:c>
      <x:c r="AA69" s="68" t="str">
        <x:v>桥梁失令、无根、受克、合绊、改性或同时被多路调用</x:v>
      </x:c>
      <x:c r="AB69" s="90" t="str">
        <x:v>不得仅因五行缺失、数量少或关系名称直接认定卡点或通关用神</x:v>
      </x:c>
      <x:c r="AC69" s="68" t="str">
        <x:v>若存在更短、更强或副作用更小的替代路径，应并列比较后再裁定</x:v>
      </x:c>
      <x:c r="AD69" s="84" t="str">
        <x:v>水克火_木通关</x:v>
      </x:c>
      <x:c r="AE69" s="84" t="str">
        <x:v>水火相战以木通关：按起点—桥梁—终点检查有效力量、连续性与承载；卡点为“两强相战”时，仅生成通关候选，不直接定用神。</x:v>
      </x:c>
      <x:c r="AF69" s="82" t="str">
        <x:v>较高</x:v>
      </x:c>
      <x:c r="AG69" s="82" t="str">
        <x:v>现代综合</x:v>
      </x:c>
      <x:c r="AH69" s="68" t="str">
        <x:v>流通判断以五行有效力量、生克顺序与十神功能为核心；古典依据可参照《滴天髓》《渊海子平》。 https://zh.wikisource.org/wiki/%E6%BB%B4%E5%A4%A9%E9%AB%93%E9%97%A1%E5%BE%AE https://zh.wikisource.org/zh-hans/%E6%B7%B5%E6%B5%B7%E5%AD%90%E5%B9%B3</x:v>
      </x:c>
      <x:c r="AI69" s="68" t="str">
        <x:v>当“水与火形成真实两强相战，木既能泄水又能生火”真实成立，且桥梁具备有效力量和连续作用条件时，可按“水火相战以木通关”记录。</x:v>
      </x:c>
      <x:c r="AJ69" s="90" t="str">
        <x:v>仅见表面缺失或五行相克，但未证明“水与火形成真实两强相战，木既能泄水又能生火”形成实际阻断时，不得套用“水火相战以木通关”。</x:v>
      </x:c>
      <x:c r="AK69" s="82" t="str">
        <x:v>采用</x:v>
      </x:c>
      <x:c r="AL69" s="82" t="str">
        <x:v>初审</x:v>
      </x:c>
      <x:c r="AM69" s="87" t="n">
        <x:v>46255</x:v>
      </x:c>
    </x:row>
    <x:row r="70">
      <x:c r="A70" s="72" t="str">
        <x:f>IF(OR(C70="",D70=""),"",B70&amp;"-"&amp;UPPER(C70)&amp;"-"&amp;TEXT(D70,"0000")&amp;"-"&amp;E70)</x:f>
        <x:v>M12-WUXING-0064-V1.0</x:v>
      </x:c>
      <x:c r="B70" s="74" t="str">
        <x:v>M12</x:v>
      </x:c>
      <x:c r="C70" s="74" t="str">
        <x:v>WUXING</x:v>
      </x:c>
      <x:c r="D70" s="215" t="n">
        <x:v>64</x:v>
      </x:c>
      <x:c r="E70" s="74" t="str">
        <x:v>V1.0</x:v>
      </x:c>
      <x:c r="F70" s="68" t="str">
        <x:v>火金相战以土通关</x:v>
      </x:c>
      <x:c r="G70" s="82" t="str">
        <x:v>结构层</x:v>
      </x:c>
      <x:c r="H70" s="68" t="str">
        <x:v>五行克战通关</x:v>
      </x:c>
      <x:c r="I70" s="68" t="str">
        <x:v>火</x:v>
      </x:c>
      <x:c r="J70" s="68" t="str">
        <x:v>土</x:v>
      </x:c>
      <x:c r="K70" s="68" t="str">
        <x:v>金</x:v>
      </x:c>
      <x:c r="L70" s="82" t="str">
        <x:v>旺</x:v>
      </x:c>
      <x:c r="M70" s="82" t="str">
        <x:v>中和</x:v>
      </x:c>
      <x:c r="N70" s="68" t="str">
        <x:v>待定</x:v>
      </x:c>
      <x:c r="O70" s="68" t="str">
        <x:v>金有根有力可承接</x:v>
      </x:c>
      <x:c r="P70" s="68" t="str">
        <x:v>待定</x:v>
      </x:c>
      <x:c r="Q70" s="82" t="str">
        <x:v>基本通畅</x:v>
      </x:c>
      <x:c r="R70" s="82" t="str">
        <x:v>两强相战</x:v>
      </x:c>
      <x:c r="S70" s="68" t="str">
        <x:v>火—金之间</x:v>
      </x:c>
      <x:c r="T70" s="68" t="str">
        <x:v>火与金形成真实两强相战，土既能泄火又能生金</x:v>
      </x:c>
      <x:c r="U70" s="68" t="str">
        <x:v>土</x:v>
      </x:c>
      <x:c r="V70" s="68" t="str">
        <x:v>土需有根有源且不被强制；同时必须确认火金确为主矛盾</x:v>
      </x:c>
      <x:c r="W70" s="90" t="str">
        <x:v>土过强可能改变全局寒暖燥湿、日主旺衰或其他格局结构，需M13/M16/M17复审</x:v>
      </x:c>
      <x:c r="X70" s="68" t="str">
        <x:v>M06关系效应、M08五行有效旺衰、M10十神功能与M11组合判断已完成</x:v>
      </x:c>
      <x:c r="Y70" s="68" t="str">
        <x:v>起点、桥梁、终点均按有效力量与实际作用路径判断</x:v>
      </x:c>
      <x:c r="Z70" s="68" t="str">
        <x:v>桥梁有根有源、透达、位置可达且不存在关键制约</x:v>
      </x:c>
      <x:c r="AA70" s="68" t="str">
        <x:v>桥梁失令、无根、受克、合绊、改性或同时被多路调用</x:v>
      </x:c>
      <x:c r="AB70" s="90" t="str">
        <x:v>不得仅因五行缺失、数量少或关系名称直接认定卡点或通关用神</x:v>
      </x:c>
      <x:c r="AC70" s="68" t="str">
        <x:v>若存在更短、更强或副作用更小的替代路径，应并列比较后再裁定</x:v>
      </x:c>
      <x:c r="AD70" s="84" t="str">
        <x:v>火克金_土通关</x:v>
      </x:c>
      <x:c r="AE70" s="84" t="str">
        <x:v>火金相战以土通关：按起点—桥梁—终点检查有效力量、连续性与承载；卡点为“两强相战”时，仅生成通关候选，不直接定用神。</x:v>
      </x:c>
      <x:c r="AF70" s="82" t="str">
        <x:v>较高</x:v>
      </x:c>
      <x:c r="AG70" s="82" t="str">
        <x:v>现代综合</x:v>
      </x:c>
      <x:c r="AH70" s="68" t="str">
        <x:v>流通判断以五行有效力量、生克顺序与十神功能为核心；古典依据可参照《滴天髓》《渊海子平》。 https://zh.wikisource.org/wiki/%E6%BB%B4%E5%A4%A9%E9%AB%93%E9%97%A1%E5%BE%AE https://zh.wikisource.org/zh-hans/%E6%B7%B5%E6%B5%B7%E5%AD%90%E5%B9%B3</x:v>
      </x:c>
      <x:c r="AI70" s="68" t="str">
        <x:v>当“火与金形成真实两强相战，土既能泄火又能生金”真实成立，且桥梁具备有效力量和连续作用条件时，可按“火金相战以土通关”记录。</x:v>
      </x:c>
      <x:c r="AJ70" s="90" t="str">
        <x:v>仅见表面缺失或五行相克，但未证明“火与金形成真实两强相战，土既能泄火又能生金”形成实际阻断时，不得套用“火金相战以土通关”。</x:v>
      </x:c>
      <x:c r="AK70" s="82" t="str">
        <x:v>采用</x:v>
      </x:c>
      <x:c r="AL70" s="82" t="str">
        <x:v>初审</x:v>
      </x:c>
      <x:c r="AM70" s="87" t="n">
        <x:v>46255</x:v>
      </x:c>
    </x:row>
    <x:row r="71">
      <x:c r="A71" s="72" t="str">
        <x:f>IF(OR(C71="",D71=""),"",B71&amp;"-"&amp;UPPER(C71)&amp;"-"&amp;TEXT(D71,"0000")&amp;"-"&amp;E71)</x:f>
        <x:v>M12-TENGOD-0065-V1.0</x:v>
      </x:c>
      <x:c r="B71" s="74" t="str">
        <x:v>M12</x:v>
      </x:c>
      <x:c r="C71" s="74" t="str">
        <x:v>TENGOD</x:v>
      </x:c>
      <x:c r="D71" s="215" t="n">
        <x:v>65</x:v>
      </x:c>
      <x:c r="E71" s="74" t="str">
        <x:v>V1.0</x:v>
      </x:c>
      <x:c r="F71" s="68" t="str">
        <x:v>官杀→印→身</x:v>
      </x:c>
      <x:c r="G71" s="82" t="str">
        <x:v>结构层</x:v>
      </x:c>
      <x:c r="H71" s="68" t="str">
        <x:v>十神功能路径</x:v>
      </x:c>
      <x:c r="I71" s="68" t="str">
        <x:v>官杀</x:v>
      </x:c>
      <x:c r="J71" s="68" t="str">
        <x:v>印星</x:v>
      </x:c>
      <x:c r="K71" s="68" t="str">
        <x:v>日主</x:v>
      </x:c>
      <x:c r="L71" s="82" t="str">
        <x:v>待定</x:v>
      </x:c>
      <x:c r="M71" s="82" t="str">
        <x:v>待定</x:v>
      </x:c>
      <x:c r="N71" s="68" t="str">
        <x:v>待定</x:v>
      </x:c>
      <x:c r="O71" s="68" t="str">
        <x:v>待定</x:v>
      </x:c>
      <x:c r="P71" s="68" t="str">
        <x:v>待定</x:v>
      </x:c>
      <x:c r="Q71" s="82" t="str">
        <x:v>基本通畅</x:v>
      </x:c>
      <x:c r="R71" s="82" t="str">
        <x:v>其他</x:v>
      </x:c>
      <x:c r="S71" s="68" t="str">
        <x:v>待定</x:v>
      </x:c>
      <x:c r="T71" s="68" t="str">
        <x:v>官杀压力经印星承接并转为生身</x:v>
      </x:c>
      <x:c r="U71" s="68" t="str">
        <x:v>印星</x:v>
      </x:c>
      <x:c r="V71" s="68" t="str">
        <x:v>M10确认相关十神功能有效，M11未出现决定性破坏</x:v>
      </x:c>
      <x:c r="W71" s="90" t="str">
        <x:v>需检查对调候、格局、日主承载及其他通路的副作用</x:v>
      </x:c>
      <x:c r="X71" s="68" t="str">
        <x:v>M06关系效应、M08五行有效旺衰、M10十神功能与M11组合判断已完成</x:v>
      </x:c>
      <x:c r="Y71" s="68" t="str">
        <x:v>起点、桥梁、终点均按有效力量与实际作用路径判断</x:v>
      </x:c>
      <x:c r="Z71" s="68" t="str">
        <x:v>桥梁有根有源、透达、位置可达且不存在关键制约</x:v>
      </x:c>
      <x:c r="AA71" s="68" t="str">
        <x:v>桥梁失令、无根、受克、合绊、改性或同时被多路调用</x:v>
      </x:c>
      <x:c r="AB71" s="90" t="str">
        <x:v>不得仅因五行缺失、数量少或关系名称直接认定卡点或通关用神</x:v>
      </x:c>
      <x:c r="AC71" s="68" t="str">
        <x:v>若存在更短、更强或副作用更小的替代路径，应并列比较后再裁定</x:v>
      </x:c>
      <x:c r="AD71" s="84" t="str">
        <x:v>官杀_印_身</x:v>
      </x:c>
      <x:c r="AE71" s="84" t="str">
        <x:v>官杀→印→身：按起点—桥梁—终点检查有效力量、连续性与承载；卡点为“其他”时，仅生成通关候选，不直接定用神。</x:v>
      </x:c>
      <x:c r="AF71" s="82" t="str">
        <x:v>较高</x:v>
      </x:c>
      <x:c r="AG71" s="82" t="str">
        <x:v>现代综合</x:v>
      </x:c>
      <x:c r="AH71" s="68" t="str">
        <x:v>流通判断以五行有效力量、生克顺序与十神功能为核心；古典依据可参照《滴天髓》《渊海子平》。 https://zh.wikisource.org/wiki/%E6%BB%B4%E5%A4%A9%E9%AB%93%E9%97%A1%E5%BE%AE https://zh.wikisource.org/zh-hans/%E6%B7%B5%E6%B5%B7%E5%AD%90%E5%B9%B3</x:v>
      </x:c>
      <x:c r="AI71" s="68" t="str">
        <x:v>当“官杀压力经印星承接并转为生身”真实成立，且桥梁具备有效力量和连续作用条件时，可按“官杀→印→身”记录。</x:v>
      </x:c>
      <x:c r="AJ71" s="90" t="str">
        <x:v>仅见表面缺失或五行相克，但未证明“官杀压力经印星承接并转为生身”形成实际阻断时，不得套用“官杀→印→身”。</x:v>
      </x:c>
      <x:c r="AK71" s="82" t="str">
        <x:v>采用</x:v>
      </x:c>
      <x:c r="AL71" s="82" t="str">
        <x:v>初审</x:v>
      </x:c>
      <x:c r="AM71" s="87" t="n">
        <x:v>46255</x:v>
      </x:c>
    </x:row>
    <x:row r="72">
      <x:c r="A72" s="72" t="str">
        <x:f>IF(OR(C72="",D72=""),"",B72&amp;"-"&amp;UPPER(C72)&amp;"-"&amp;TEXT(D72,"0000")&amp;"-"&amp;E72)</x:f>
        <x:v>M12-TENGOD-0066-V1.0</x:v>
      </x:c>
      <x:c r="B72" s="74" t="str">
        <x:v>M12</x:v>
      </x:c>
      <x:c r="C72" s="74" t="str">
        <x:v>TENGOD</x:v>
      </x:c>
      <x:c r="D72" s="215" t="n">
        <x:v>66</x:v>
      </x:c>
      <x:c r="E72" s="74" t="str">
        <x:v>V1.0</x:v>
      </x:c>
      <x:c r="F72" s="68" t="str">
        <x:v>身→食伤→财</x:v>
      </x:c>
      <x:c r="G72" s="82" t="str">
        <x:v>结构层</x:v>
      </x:c>
      <x:c r="H72" s="68" t="str">
        <x:v>十神功能路径</x:v>
      </x:c>
      <x:c r="I72" s="68" t="str">
        <x:v>日主</x:v>
      </x:c>
      <x:c r="J72" s="68" t="str">
        <x:v>食伤</x:v>
      </x:c>
      <x:c r="K72" s="68" t="str">
        <x:v>财星</x:v>
      </x:c>
      <x:c r="L72" s="82" t="str">
        <x:v>待定</x:v>
      </x:c>
      <x:c r="M72" s="82" t="str">
        <x:v>待定</x:v>
      </x:c>
      <x:c r="N72" s="68" t="str">
        <x:v>待定</x:v>
      </x:c>
      <x:c r="O72" s="68" t="str">
        <x:v>待定</x:v>
      </x:c>
      <x:c r="P72" s="68" t="str">
        <x:v>待定</x:v>
      </x:c>
      <x:c r="Q72" s="82" t="str">
        <x:v>基本通畅</x:v>
      </x:c>
      <x:c r="R72" s="82" t="str">
        <x:v>其他</x:v>
      </x:c>
      <x:c r="S72" s="68" t="str">
        <x:v>待定</x:v>
      </x:c>
      <x:c r="T72" s="68" t="str">
        <x:v>日主之气经食伤输出并由财星承接</x:v>
      </x:c>
      <x:c r="U72" s="68" t="str">
        <x:v>食伤</x:v>
      </x:c>
      <x:c r="V72" s="68" t="str">
        <x:v>M10确认相关十神功能有效，M11未出现决定性破坏</x:v>
      </x:c>
      <x:c r="W72" s="90" t="str">
        <x:v>需检查对调候、格局、日主承载及其他通路的副作用</x:v>
      </x:c>
      <x:c r="X72" s="68" t="str">
        <x:v>M06关系效应、M08五行有效旺衰、M10十神功能与M11组合判断已完成</x:v>
      </x:c>
      <x:c r="Y72" s="68" t="str">
        <x:v>起点、桥梁、终点均按有效力量与实际作用路径判断</x:v>
      </x:c>
      <x:c r="Z72" s="68" t="str">
        <x:v>桥梁有根有源、透达、位置可达且不存在关键制约</x:v>
      </x:c>
      <x:c r="AA72" s="68" t="str">
        <x:v>桥梁失令、无根、受克、合绊、改性或同时被多路调用</x:v>
      </x:c>
      <x:c r="AB72" s="90" t="str">
        <x:v>不得仅因五行缺失、数量少或关系名称直接认定卡点或通关用神</x:v>
      </x:c>
      <x:c r="AC72" s="68" t="str">
        <x:v>若存在更短、更强或副作用更小的替代路径，应并列比较后再裁定</x:v>
      </x:c>
      <x:c r="AD72" s="84" t="str">
        <x:v>身_食伤_财</x:v>
      </x:c>
      <x:c r="AE72" s="84" t="str">
        <x:v>身→食伤→财：按起点—桥梁—终点检查有效力量、连续性与承载；卡点为“其他”时，仅生成通关候选，不直接定用神。</x:v>
      </x:c>
      <x:c r="AF72" s="82" t="str">
        <x:v>较高</x:v>
      </x:c>
      <x:c r="AG72" s="82" t="str">
        <x:v>现代综合</x:v>
      </x:c>
      <x:c r="AH72" s="68" t="str">
        <x:v>流通判断以五行有效力量、生克顺序与十神功能为核心；古典依据可参照《滴天髓》《渊海子平》。 https://zh.wikisource.org/wiki/%E6%BB%B4%E5%A4%A9%E9%AB%93%E9%97%A1%E5%BE%AE https://zh.wikisource.org/zh-hans/%E6%B7%B5%E6%B5%B7%E5%AD%90%E5%B9%B3</x:v>
      </x:c>
      <x:c r="AI72" s="68" t="str">
        <x:v>当“日主之气经食伤输出并由财星承接”真实成立，且桥梁具备有效力量和连续作用条件时，可按“身→食伤→财”记录。</x:v>
      </x:c>
      <x:c r="AJ72" s="90" t="str">
        <x:v>仅见表面缺失或五行相克，但未证明“日主之气经食伤输出并由财星承接”形成实际阻断时，不得套用“身→食伤→财”。</x:v>
      </x:c>
      <x:c r="AK72" s="82" t="str">
        <x:v>采用</x:v>
      </x:c>
      <x:c r="AL72" s="82" t="str">
        <x:v>初审</x:v>
      </x:c>
      <x:c r="AM72" s="87" t="n">
        <x:v>46255</x:v>
      </x:c>
    </x:row>
    <x:row r="73">
      <x:c r="A73" s="72" t="str">
        <x:f>IF(OR(C73="",D73=""),"",B73&amp;"-"&amp;UPPER(C73)&amp;"-"&amp;TEXT(D73,"0000")&amp;"-"&amp;E73)</x:f>
        <x:v>M12-TENGOD-0067-V1.0</x:v>
      </x:c>
      <x:c r="B73" s="74" t="str">
        <x:v>M12</x:v>
      </x:c>
      <x:c r="C73" s="74" t="str">
        <x:v>TENGOD</x:v>
      </x:c>
      <x:c r="D73" s="215" t="n">
        <x:v>67</x:v>
      </x:c>
      <x:c r="E73" s="74" t="str">
        <x:v>V1.0</x:v>
      </x:c>
      <x:c r="F73" s="68" t="str">
        <x:v>食伤→财→官杀</x:v>
      </x:c>
      <x:c r="G73" s="82" t="str">
        <x:v>结构层</x:v>
      </x:c>
      <x:c r="H73" s="68" t="str">
        <x:v>十神功能路径</x:v>
      </x:c>
      <x:c r="I73" s="68" t="str">
        <x:v>食伤</x:v>
      </x:c>
      <x:c r="J73" s="68" t="str">
        <x:v>财星</x:v>
      </x:c>
      <x:c r="K73" s="68" t="str">
        <x:v>官杀</x:v>
      </x:c>
      <x:c r="L73" s="82" t="str">
        <x:v>待定</x:v>
      </x:c>
      <x:c r="M73" s="82" t="str">
        <x:v>待定</x:v>
      </x:c>
      <x:c r="N73" s="68" t="str">
        <x:v>待定</x:v>
      </x:c>
      <x:c r="O73" s="68" t="str">
        <x:v>待定</x:v>
      </x:c>
      <x:c r="P73" s="68" t="str">
        <x:v>待定</x:v>
      </x:c>
      <x:c r="Q73" s="82" t="str">
        <x:v>基本通畅</x:v>
      </x:c>
      <x:c r="R73" s="82" t="str">
        <x:v>其他</x:v>
      </x:c>
      <x:c r="S73" s="68" t="str">
        <x:v>待定</x:v>
      </x:c>
      <x:c r="T73" s="68" t="str">
        <x:v>食伤生财，财再生官杀</x:v>
      </x:c>
      <x:c r="U73" s="68" t="str">
        <x:v>财星</x:v>
      </x:c>
      <x:c r="V73" s="68" t="str">
        <x:v>M10确认相关十神功能有效，M11未出现决定性破坏</x:v>
      </x:c>
      <x:c r="W73" s="90" t="str">
        <x:v>需检查对调候、格局、日主承载及其他通路的副作用</x:v>
      </x:c>
      <x:c r="X73" s="68" t="str">
        <x:v>M06关系效应、M08五行有效旺衰、M10十神功能与M11组合判断已完成</x:v>
      </x:c>
      <x:c r="Y73" s="68" t="str">
        <x:v>起点、桥梁、终点均按有效力量与实际作用路径判断</x:v>
      </x:c>
      <x:c r="Z73" s="68" t="str">
        <x:v>桥梁有根有源、透达、位置可达且不存在关键制约</x:v>
      </x:c>
      <x:c r="AA73" s="68" t="str">
        <x:v>桥梁失令、无根、受克、合绊、改性或同时被多路调用</x:v>
      </x:c>
      <x:c r="AB73" s="90" t="str">
        <x:v>不得仅因五行缺失、数量少或关系名称直接认定卡点或通关用神</x:v>
      </x:c>
      <x:c r="AC73" s="68" t="str">
        <x:v>若存在更短、更强或副作用更小的替代路径，应并列比较后再裁定</x:v>
      </x:c>
      <x:c r="AD73" s="84" t="str">
        <x:v>食伤_财_官杀</x:v>
      </x:c>
      <x:c r="AE73" s="84" t="str">
        <x:v>食伤→财→官杀：按起点—桥梁—终点检查有效力量、连续性与承载；卡点为“其他”时，仅生成通关候选，不直接定用神。</x:v>
      </x:c>
      <x:c r="AF73" s="82" t="str">
        <x:v>较高</x:v>
      </x:c>
      <x:c r="AG73" s="82" t="str">
        <x:v>现代综合</x:v>
      </x:c>
      <x:c r="AH73" s="68" t="str">
        <x:v>流通判断以五行有效力量、生克顺序与十神功能为核心；古典依据可参照《滴天髓》《渊海子平》。 https://zh.wikisource.org/wiki/%E6%BB%B4%E5%A4%A9%E9%AB%93%E9%97%A1%E5%BE%AE https://zh.wikisource.org/zh-hans/%E6%B7%B5%E6%B5%B7%E5%AD%90%E5%B9%B3</x:v>
      </x:c>
      <x:c r="AI73" s="68" t="str">
        <x:v>当“食伤生财，财再生官杀”真实成立，且桥梁具备有效力量和连续作用条件时，可按“食伤→财→官杀”记录。</x:v>
      </x:c>
      <x:c r="AJ73" s="90" t="str">
        <x:v>仅见表面缺失或五行相克，但未证明“食伤生财，财再生官杀”形成实际阻断时，不得套用“食伤→财→官杀”。</x:v>
      </x:c>
      <x:c r="AK73" s="82" t="str">
        <x:v>采用</x:v>
      </x:c>
      <x:c r="AL73" s="82" t="str">
        <x:v>初审</x:v>
      </x:c>
      <x:c r="AM73" s="87" t="n">
        <x:v>46255</x:v>
      </x:c>
    </x:row>
    <x:row r="74">
      <x:c r="A74" s="72" t="str">
        <x:f>IF(OR(C74="",D74=""),"",B74&amp;"-"&amp;UPPER(C74)&amp;"-"&amp;TEXT(D74,"0000")&amp;"-"&amp;E74)</x:f>
        <x:v>M12-TENGOD-0068-V1.0</x:v>
      </x:c>
      <x:c r="B74" s="74" t="str">
        <x:v>M12</x:v>
      </x:c>
      <x:c r="C74" s="74" t="str">
        <x:v>TENGOD</x:v>
      </x:c>
      <x:c r="D74" s="215" t="n">
        <x:v>68</x:v>
      </x:c>
      <x:c r="E74" s="74" t="str">
        <x:v>V1.0</x:v>
      </x:c>
      <x:c r="F74" s="68" t="str">
        <x:v>财→官杀→印</x:v>
      </x:c>
      <x:c r="G74" s="82" t="str">
        <x:v>结构层</x:v>
      </x:c>
      <x:c r="H74" s="68" t="str">
        <x:v>十神功能路径</x:v>
      </x:c>
      <x:c r="I74" s="68" t="str">
        <x:v>财星</x:v>
      </x:c>
      <x:c r="J74" s="68" t="str">
        <x:v>官杀</x:v>
      </x:c>
      <x:c r="K74" s="68" t="str">
        <x:v>印星</x:v>
      </x:c>
      <x:c r="L74" s="82" t="str">
        <x:v>待定</x:v>
      </x:c>
      <x:c r="M74" s="82" t="str">
        <x:v>待定</x:v>
      </x:c>
      <x:c r="N74" s="68" t="str">
        <x:v>待定</x:v>
      </x:c>
      <x:c r="O74" s="68" t="str">
        <x:v>待定</x:v>
      </x:c>
      <x:c r="P74" s="68" t="str">
        <x:v>待定</x:v>
      </x:c>
      <x:c r="Q74" s="82" t="str">
        <x:v>基本通畅</x:v>
      </x:c>
      <x:c r="R74" s="82" t="str">
        <x:v>其他</x:v>
      </x:c>
      <x:c r="S74" s="68" t="str">
        <x:v>待定</x:v>
      </x:c>
      <x:c r="T74" s="68" t="str">
        <x:v>财生官杀，官杀继续生印</x:v>
      </x:c>
      <x:c r="U74" s="68" t="str">
        <x:v>官杀</x:v>
      </x:c>
      <x:c r="V74" s="68" t="str">
        <x:v>M10确认相关十神功能有效，M11未出现决定性破坏</x:v>
      </x:c>
      <x:c r="W74" s="90" t="str">
        <x:v>需检查对调候、格局、日主承载及其他通路的副作用</x:v>
      </x:c>
      <x:c r="X74" s="68" t="str">
        <x:v>M06关系效应、M08五行有效旺衰、M10十神功能与M11组合判断已完成</x:v>
      </x:c>
      <x:c r="Y74" s="68" t="str">
        <x:v>起点、桥梁、终点均按有效力量与实际作用路径判断</x:v>
      </x:c>
      <x:c r="Z74" s="68" t="str">
        <x:v>桥梁有根有源、透达、位置可达且不存在关键制约</x:v>
      </x:c>
      <x:c r="AA74" s="68" t="str">
        <x:v>桥梁失令、无根、受克、合绊、改性或同时被多路调用</x:v>
      </x:c>
      <x:c r="AB74" s="90" t="str">
        <x:v>不得仅因五行缺失、数量少或关系名称直接认定卡点或通关用神</x:v>
      </x:c>
      <x:c r="AC74" s="68" t="str">
        <x:v>若存在更短、更强或副作用更小的替代路径，应并列比较后再裁定</x:v>
      </x:c>
      <x:c r="AD74" s="84" t="str">
        <x:v>财_官杀_印</x:v>
      </x:c>
      <x:c r="AE74" s="84" t="str">
        <x:v>财→官杀→印：按起点—桥梁—终点检查有效力量、连续性与承载；卡点为“其他”时，仅生成通关候选，不直接定用神。</x:v>
      </x:c>
      <x:c r="AF74" s="82" t="str">
        <x:v>较高</x:v>
      </x:c>
      <x:c r="AG74" s="82" t="str">
        <x:v>现代综合</x:v>
      </x:c>
      <x:c r="AH74" s="68" t="str">
        <x:v>流通判断以五行有效力量、生克顺序与十神功能为核心；古典依据可参照《滴天髓》《渊海子平》。 https://zh.wikisource.org/wiki/%E6%BB%B4%E5%A4%A9%E9%AB%93%E9%97%A1%E5%BE%AE https://zh.wikisource.org/zh-hans/%E6%B7%B5%E6%B5%B7%E5%AD%90%E5%B9%B3</x:v>
      </x:c>
      <x:c r="AI74" s="68" t="str">
        <x:v>当“财生官杀，官杀继续生印”真实成立，且桥梁具备有效力量和连续作用条件时，可按“财→官杀→印”记录。</x:v>
      </x:c>
      <x:c r="AJ74" s="90" t="str">
        <x:v>仅见表面缺失或五行相克，但未证明“财生官杀，官杀继续生印”形成实际阻断时，不得套用“财→官杀→印”。</x:v>
      </x:c>
      <x:c r="AK74" s="82" t="str">
        <x:v>采用</x:v>
      </x:c>
      <x:c r="AL74" s="82" t="str">
        <x:v>初审</x:v>
      </x:c>
      <x:c r="AM74" s="87" t="n">
        <x:v>46255</x:v>
      </x:c>
    </x:row>
    <x:row r="75">
      <x:c r="A75" s="72" t="str">
        <x:f>IF(OR(C75="",D75=""),"",B75&amp;"-"&amp;UPPER(C75)&amp;"-"&amp;TEXT(D75,"0000")&amp;"-"&amp;E75)</x:f>
        <x:v>M12-TENGOD-0069-V1.0</x:v>
      </x:c>
      <x:c r="B75" s="74" t="str">
        <x:v>M12</x:v>
      </x:c>
      <x:c r="C75" s="74" t="str">
        <x:v>TENGOD</x:v>
      </x:c>
      <x:c r="D75" s="215" t="n">
        <x:v>69</x:v>
      </x:c>
      <x:c r="E75" s="74" t="str">
        <x:v>V1.0</x:v>
      </x:c>
      <x:c r="F75" s="68" t="str">
        <x:v>印→身→食伤</x:v>
      </x:c>
      <x:c r="G75" s="82" t="str">
        <x:v>结构层</x:v>
      </x:c>
      <x:c r="H75" s="68" t="str">
        <x:v>十神功能路径</x:v>
      </x:c>
      <x:c r="I75" s="68" t="str">
        <x:v>印星</x:v>
      </x:c>
      <x:c r="J75" s="68" t="str">
        <x:v>日主</x:v>
      </x:c>
      <x:c r="K75" s="68" t="str">
        <x:v>食伤</x:v>
      </x:c>
      <x:c r="L75" s="82" t="str">
        <x:v>待定</x:v>
      </x:c>
      <x:c r="M75" s="82" t="str">
        <x:v>待定</x:v>
      </x:c>
      <x:c r="N75" s="68" t="str">
        <x:v>待定</x:v>
      </x:c>
      <x:c r="O75" s="68" t="str">
        <x:v>待定</x:v>
      </x:c>
      <x:c r="P75" s="68" t="str">
        <x:v>待定</x:v>
      </x:c>
      <x:c r="Q75" s="82" t="str">
        <x:v>基本通畅</x:v>
      </x:c>
      <x:c r="R75" s="82" t="str">
        <x:v>其他</x:v>
      </x:c>
      <x:c r="S75" s="68" t="str">
        <x:v>待定</x:v>
      </x:c>
      <x:c r="T75" s="68" t="str">
        <x:v>印生身后由日主向食伤输出</x:v>
      </x:c>
      <x:c r="U75" s="68" t="str">
        <x:v>日主</x:v>
      </x:c>
      <x:c r="V75" s="68" t="str">
        <x:v>M10确认相关十神功能有效，M11未出现决定性破坏</x:v>
      </x:c>
      <x:c r="W75" s="90" t="str">
        <x:v>需检查对调候、格局、日主承载及其他通路的副作用</x:v>
      </x:c>
      <x:c r="X75" s="68" t="str">
        <x:v>M06关系效应、M08五行有效旺衰、M10十神功能与M11组合判断已完成</x:v>
      </x:c>
      <x:c r="Y75" s="68" t="str">
        <x:v>起点、桥梁、终点均按有效力量与实际作用路径判断</x:v>
      </x:c>
      <x:c r="Z75" s="68" t="str">
        <x:v>桥梁有根有源、透达、位置可达且不存在关键制约</x:v>
      </x:c>
      <x:c r="AA75" s="68" t="str">
        <x:v>桥梁失令、无根、受克、合绊、改性或同时被多路调用</x:v>
      </x:c>
      <x:c r="AB75" s="90" t="str">
        <x:v>不得仅因五行缺失、数量少或关系名称直接认定卡点或通关用神</x:v>
      </x:c>
      <x:c r="AC75" s="68" t="str">
        <x:v>若存在更短、更强或副作用更小的替代路径，应并列比较后再裁定</x:v>
      </x:c>
      <x:c r="AD75" s="84" t="str">
        <x:v>印_身_食伤</x:v>
      </x:c>
      <x:c r="AE75" s="84" t="str">
        <x:v>印→身→食伤：按起点—桥梁—终点检查有效力量、连续性与承载；卡点为“其他”时，仅生成通关候选，不直接定用神。</x:v>
      </x:c>
      <x:c r="AF75" s="82" t="str">
        <x:v>较高</x:v>
      </x:c>
      <x:c r="AG75" s="82" t="str">
        <x:v>现代综合</x:v>
      </x:c>
      <x:c r="AH75" s="68" t="str">
        <x:v>流通判断以五行有效力量、生克顺序与十神功能为核心；古典依据可参照《滴天髓》《渊海子平》。 https://zh.wikisource.org/wiki/%E6%BB%B4%E5%A4%A9%E9%AB%93%E9%97%A1%E5%BE%AE https://zh.wikisource.org/zh-hans/%E6%B7%B5%E6%B5%B7%E5%AD%90%E5%B9%B3</x:v>
      </x:c>
      <x:c r="AI75" s="68" t="str">
        <x:v>当“印生身后由日主向食伤输出”真实成立，且桥梁具备有效力量和连续作用条件时，可按“印→身→食伤”记录。</x:v>
      </x:c>
      <x:c r="AJ75" s="90" t="str">
        <x:v>仅见表面缺失或五行相克，但未证明“印生身后由日主向食伤输出”形成实际阻断时，不得套用“印→身→食伤”。</x:v>
      </x:c>
      <x:c r="AK75" s="82" t="str">
        <x:v>采用</x:v>
      </x:c>
      <x:c r="AL75" s="82" t="str">
        <x:v>初审</x:v>
      </x:c>
      <x:c r="AM75" s="87" t="n">
        <x:v>46255</x:v>
      </x:c>
    </x:row>
    <x:row r="76">
      <x:c r="A76" s="72" t="str">
        <x:f>IF(OR(C76="",D76=""),"",B76&amp;"-"&amp;UPPER(C76)&amp;"-"&amp;TEXT(D76,"0000")&amp;"-"&amp;E76)</x:f>
        <x:v>M12-TENGOD-0070-V1.0</x:v>
      </x:c>
      <x:c r="B76" s="74" t="str">
        <x:v>M12</x:v>
      </x:c>
      <x:c r="C76" s="74" t="str">
        <x:v>TENGOD</x:v>
      </x:c>
      <x:c r="D76" s="215" t="n">
        <x:v>70</x:v>
      </x:c>
      <x:c r="E76" s="74" t="str">
        <x:v>V1.0</x:v>
      </x:c>
      <x:c r="F76" s="68" t="str">
        <x:v>比劫→食伤→财</x:v>
      </x:c>
      <x:c r="G76" s="82" t="str">
        <x:v>结构层</x:v>
      </x:c>
      <x:c r="H76" s="68" t="str">
        <x:v>十神功能路径</x:v>
      </x:c>
      <x:c r="I76" s="68" t="str">
        <x:v>比劫</x:v>
      </x:c>
      <x:c r="J76" s="68" t="str">
        <x:v>食伤</x:v>
      </x:c>
      <x:c r="K76" s="68" t="str">
        <x:v>财星</x:v>
      </x:c>
      <x:c r="L76" s="82" t="str">
        <x:v>待定</x:v>
      </x:c>
      <x:c r="M76" s="82" t="str">
        <x:v>待定</x:v>
      </x:c>
      <x:c r="N76" s="68" t="str">
        <x:v>待定</x:v>
      </x:c>
      <x:c r="O76" s="68" t="str">
        <x:v>待定</x:v>
      </x:c>
      <x:c r="P76" s="68" t="str">
        <x:v>待定</x:v>
      </x:c>
      <x:c r="Q76" s="82" t="str">
        <x:v>基本通畅</x:v>
      </x:c>
      <x:c r="R76" s="82" t="str">
        <x:v>其他</x:v>
      </x:c>
      <x:c r="S76" s="68" t="str">
        <x:v>待定</x:v>
      </x:c>
      <x:c r="T76" s="68" t="str">
        <x:v>同类集团通过食伤向财星释放</x:v>
      </x:c>
      <x:c r="U76" s="68" t="str">
        <x:v>食伤</x:v>
      </x:c>
      <x:c r="V76" s="68" t="str">
        <x:v>M10确认相关十神功能有效，M11未出现决定性破坏</x:v>
      </x:c>
      <x:c r="W76" s="90" t="str">
        <x:v>需检查对调候、格局、日主承载及其他通路的副作用</x:v>
      </x:c>
      <x:c r="X76" s="68" t="str">
        <x:v>M06关系效应、M08五行有效旺衰、M10十神功能与M11组合判断已完成</x:v>
      </x:c>
      <x:c r="Y76" s="68" t="str">
        <x:v>起点、桥梁、终点均按有效力量与实际作用路径判断</x:v>
      </x:c>
      <x:c r="Z76" s="68" t="str">
        <x:v>桥梁有根有源、透达、位置可达且不存在关键制约</x:v>
      </x:c>
      <x:c r="AA76" s="68" t="str">
        <x:v>桥梁失令、无根、受克、合绊、改性或同时被多路调用</x:v>
      </x:c>
      <x:c r="AB76" s="90" t="str">
        <x:v>不得仅因五行缺失、数量少或关系名称直接认定卡点或通关用神</x:v>
      </x:c>
      <x:c r="AC76" s="68" t="str">
        <x:v>若存在更短、更强或副作用更小的替代路径，应并列比较后再裁定</x:v>
      </x:c>
      <x:c r="AD76" s="84" t="str">
        <x:v>比劫_食伤_财</x:v>
      </x:c>
      <x:c r="AE76" s="84" t="str">
        <x:v>比劫→食伤→财：按起点—桥梁—终点检查有效力量、连续性与承载；卡点为“其他”时，仅生成通关候选，不直接定用神。</x:v>
      </x:c>
      <x:c r="AF76" s="82" t="str">
        <x:v>较高</x:v>
      </x:c>
      <x:c r="AG76" s="82" t="str">
        <x:v>现代综合</x:v>
      </x:c>
      <x:c r="AH76" s="68" t="str">
        <x:v>流通判断以五行有效力量、生克顺序与十神功能为核心；古典依据可参照《滴天髓》《渊海子平》。 https://zh.wikisource.org/wiki/%E6%BB%B4%E5%A4%A9%E9%AB%93%E9%97%A1%E5%BE%AE https://zh.wikisource.org/zh-hans/%E6%B7%B5%E6%B5%B7%E5%AD%90%E5%B9%B3</x:v>
      </x:c>
      <x:c r="AI76" s="68" t="str">
        <x:v>当“同类集团通过食伤向财星释放”真实成立，且桥梁具备有效力量和连续作用条件时，可按“比劫→食伤→财”记录。</x:v>
      </x:c>
      <x:c r="AJ76" s="90" t="str">
        <x:v>仅见表面缺失或五行相克，但未证明“同类集团通过食伤向财星释放”形成实际阻断时，不得套用“比劫→食伤→财”。</x:v>
      </x:c>
      <x:c r="AK76" s="82" t="str">
        <x:v>采用</x:v>
      </x:c>
      <x:c r="AL76" s="82" t="str">
        <x:v>初审</x:v>
      </x:c>
      <x:c r="AM76" s="87" t="n">
        <x:v>46255</x:v>
      </x:c>
    </x:row>
    <x:row r="77">
      <x:c r="A77" s="72" t="str">
        <x:f>IF(OR(C77="",D77=""),"",B77&amp;"-"&amp;UPPER(C77)&amp;"-"&amp;TEXT(D77,"0000")&amp;"-"&amp;E77)</x:f>
        <x:v>M12-TENGOD-0071-V1.0</x:v>
      </x:c>
      <x:c r="B77" s="74" t="str">
        <x:v>M12</x:v>
      </x:c>
      <x:c r="C77" s="74" t="str">
        <x:v>TENGOD</x:v>
      </x:c>
      <x:c r="D77" s="215" t="n">
        <x:v>71</x:v>
      </x:c>
      <x:c r="E77" s="74" t="str">
        <x:v>V1.0</x:v>
      </x:c>
      <x:c r="F77" s="68" t="str">
        <x:v>杀→印→比劫</x:v>
      </x:c>
      <x:c r="G77" s="82" t="str">
        <x:v>结构层</x:v>
      </x:c>
      <x:c r="H77" s="68" t="str">
        <x:v>十神功能路径</x:v>
      </x:c>
      <x:c r="I77" s="68" t="str">
        <x:v>七杀</x:v>
      </x:c>
      <x:c r="J77" s="68" t="str">
        <x:v>印星</x:v>
      </x:c>
      <x:c r="K77" s="68" t="str">
        <x:v>比劫</x:v>
      </x:c>
      <x:c r="L77" s="82" t="str">
        <x:v>待定</x:v>
      </x:c>
      <x:c r="M77" s="82" t="str">
        <x:v>待定</x:v>
      </x:c>
      <x:c r="N77" s="68" t="str">
        <x:v>待定</x:v>
      </x:c>
      <x:c r="O77" s="68" t="str">
        <x:v>待定</x:v>
      </x:c>
      <x:c r="P77" s="68" t="str">
        <x:v>待定</x:v>
      </x:c>
      <x:c r="Q77" s="82" t="str">
        <x:v>基本通畅</x:v>
      </x:c>
      <x:c r="R77" s="82" t="str">
        <x:v>其他</x:v>
      </x:c>
      <x:c r="S77" s="68" t="str">
        <x:v>待定</x:v>
      </x:c>
      <x:c r="T77" s="68" t="str">
        <x:v>杀气先入印，再增强日主同党承载</x:v>
      </x:c>
      <x:c r="U77" s="68" t="str">
        <x:v>印星</x:v>
      </x:c>
      <x:c r="V77" s="68" t="str">
        <x:v>M10确认相关十神功能有效，M11未出现决定性破坏</x:v>
      </x:c>
      <x:c r="W77" s="90" t="str">
        <x:v>需检查对调候、格局、日主承载及其他通路的副作用</x:v>
      </x:c>
      <x:c r="X77" s="68" t="str">
        <x:v>M06关系效应、M08五行有效旺衰、M10十神功能与M11组合判断已完成</x:v>
      </x:c>
      <x:c r="Y77" s="68" t="str">
        <x:v>起点、桥梁、终点均按有效力量与实际作用路径判断</x:v>
      </x:c>
      <x:c r="Z77" s="68" t="str">
        <x:v>桥梁有根有源、透达、位置可达且不存在关键制约</x:v>
      </x:c>
      <x:c r="AA77" s="68" t="str">
        <x:v>桥梁失令、无根、受克、合绊、改性或同时被多路调用</x:v>
      </x:c>
      <x:c r="AB77" s="90" t="str">
        <x:v>不得仅因五行缺失、数量少或关系名称直接认定卡点或通关用神</x:v>
      </x:c>
      <x:c r="AC77" s="68" t="str">
        <x:v>若存在更短、更强或副作用更小的替代路径，应并列比较后再裁定</x:v>
      </x:c>
      <x:c r="AD77" s="84" t="str">
        <x:v>杀_印_比劫</x:v>
      </x:c>
      <x:c r="AE77" s="84" t="str">
        <x:v>杀→印→比劫：按起点—桥梁—终点检查有效力量、连续性与承载；卡点为“其他”时，仅生成通关候选，不直接定用神。</x:v>
      </x:c>
      <x:c r="AF77" s="82" t="str">
        <x:v>较高</x:v>
      </x:c>
      <x:c r="AG77" s="82" t="str">
        <x:v>现代综合</x:v>
      </x:c>
      <x:c r="AH77" s="68" t="str">
        <x:v>流通判断以五行有效力量、生克顺序与十神功能为核心；古典依据可参照《滴天髓》《渊海子平》。 https://zh.wikisource.org/wiki/%E6%BB%B4%E5%A4%A9%E9%AB%93%E9%97%A1%E5%BE%AE https://zh.wikisource.org/zh-hans/%E6%B7%B5%E6%B5%B7%E5%AD%90%E5%B9%B3</x:v>
      </x:c>
      <x:c r="AI77" s="68" t="str">
        <x:v>当“杀气先入印，再增强日主同党承载”真实成立，且桥梁具备有效力量和连续作用条件时，可按“杀→印→比劫”记录。</x:v>
      </x:c>
      <x:c r="AJ77" s="90" t="str">
        <x:v>仅见表面缺失或五行相克，但未证明“杀气先入印，再增强日主同党承载”形成实际阻断时，不得套用“杀→印→比劫”。</x:v>
      </x:c>
      <x:c r="AK77" s="82" t="str">
        <x:v>采用</x:v>
      </x:c>
      <x:c r="AL77" s="82" t="str">
        <x:v>初审</x:v>
      </x:c>
      <x:c r="AM77" s="87" t="n">
        <x:v>46255</x:v>
      </x:c>
    </x:row>
    <x:row r="78">
      <x:c r="A78" s="72" t="str">
        <x:f>IF(OR(C78="",D78=""),"",B78&amp;"-"&amp;UPPER(C78)&amp;"-"&amp;TEXT(D78,"0000")&amp;"-"&amp;E78)</x:f>
        <x:v>M12-TENGOD-0072-V1.0</x:v>
      </x:c>
      <x:c r="B78" s="74" t="str">
        <x:v>M12</x:v>
      </x:c>
      <x:c r="C78" s="74" t="str">
        <x:v>TENGOD</x:v>
      </x:c>
      <x:c r="D78" s="215" t="n">
        <x:v>72</x:v>
      </x:c>
      <x:c r="E78" s="74" t="str">
        <x:v>V1.0</x:v>
      </x:c>
      <x:c r="F78" s="68" t="str">
        <x:v>食神→财→官</x:v>
      </x:c>
      <x:c r="G78" s="82" t="str">
        <x:v>结构层</x:v>
      </x:c>
      <x:c r="H78" s="68" t="str">
        <x:v>十神功能路径</x:v>
      </x:c>
      <x:c r="I78" s="68" t="str">
        <x:v>食神</x:v>
      </x:c>
      <x:c r="J78" s="68" t="str">
        <x:v>财星</x:v>
      </x:c>
      <x:c r="K78" s="68" t="str">
        <x:v>正官</x:v>
      </x:c>
      <x:c r="L78" s="82" t="str">
        <x:v>待定</x:v>
      </x:c>
      <x:c r="M78" s="82" t="str">
        <x:v>待定</x:v>
      </x:c>
      <x:c r="N78" s="68" t="str">
        <x:v>待定</x:v>
      </x:c>
      <x:c r="O78" s="68" t="str">
        <x:v>待定</x:v>
      </x:c>
      <x:c r="P78" s="68" t="str">
        <x:v>待定</x:v>
      </x:c>
      <x:c r="Q78" s="82" t="str">
        <x:v>基本通畅</x:v>
      </x:c>
      <x:c r="R78" s="82" t="str">
        <x:v>其他</x:v>
      </x:c>
      <x:c r="S78" s="68" t="str">
        <x:v>待定</x:v>
      </x:c>
      <x:c r="T78" s="68" t="str">
        <x:v>食神输出经财转为官星资源</x:v>
      </x:c>
      <x:c r="U78" s="68" t="str">
        <x:v>财星</x:v>
      </x:c>
      <x:c r="V78" s="68" t="str">
        <x:v>M10确认相关十神功能有效，M11未出现决定性破坏</x:v>
      </x:c>
      <x:c r="W78" s="90" t="str">
        <x:v>需检查对调候、格局、日主承载及其他通路的副作用</x:v>
      </x:c>
      <x:c r="X78" s="68" t="str">
        <x:v>M06关系效应、M08五行有效旺衰、M10十神功能与M11组合判断已完成</x:v>
      </x:c>
      <x:c r="Y78" s="68" t="str">
        <x:v>起点、桥梁、终点均按有效力量与实际作用路径判断</x:v>
      </x:c>
      <x:c r="Z78" s="68" t="str">
        <x:v>桥梁有根有源、透达、位置可达且不存在关键制约</x:v>
      </x:c>
      <x:c r="AA78" s="68" t="str">
        <x:v>桥梁失令、无根、受克、合绊、改性或同时被多路调用</x:v>
      </x:c>
      <x:c r="AB78" s="90" t="str">
        <x:v>不得仅因五行缺失、数量少或关系名称直接认定卡点或通关用神</x:v>
      </x:c>
      <x:c r="AC78" s="68" t="str">
        <x:v>若存在更短、更强或副作用更小的替代路径，应并列比较后再裁定</x:v>
      </x:c>
      <x:c r="AD78" s="84" t="str">
        <x:v>食神_财_官</x:v>
      </x:c>
      <x:c r="AE78" s="84" t="str">
        <x:v>食神→财→官：按起点—桥梁—终点检查有效力量、连续性与承载；卡点为“其他”时，仅生成通关候选，不直接定用神。</x:v>
      </x:c>
      <x:c r="AF78" s="82" t="str">
        <x:v>较高</x:v>
      </x:c>
      <x:c r="AG78" s="82" t="str">
        <x:v>现代综合</x:v>
      </x:c>
      <x:c r="AH78" s="68" t="str">
        <x:v>流通判断以五行有效力量、生克顺序与十神功能为核心；古典依据可参照《滴天髓》《渊海子平》。 https://zh.wikisource.org/wiki/%E6%BB%B4%E5%A4%A9%E9%AB%93%E9%97%A1%E5%BE%AE https://zh.wikisource.org/zh-hans/%E6%B7%B5%E6%B5%B7%E5%AD%90%E5%B9%B3</x:v>
      </x:c>
      <x:c r="AI78" s="68" t="str">
        <x:v>当“食神输出经财转为官星资源”真实成立，且桥梁具备有效力量和连续作用条件时，可按“食神→财→官”记录。</x:v>
      </x:c>
      <x:c r="AJ78" s="90" t="str">
        <x:v>仅见表面缺失或五行相克，但未证明“食神输出经财转为官星资源”形成实际阻断时，不得套用“食神→财→官”。</x:v>
      </x:c>
      <x:c r="AK78" s="82" t="str">
        <x:v>采用</x:v>
      </x:c>
      <x:c r="AL78" s="82" t="str">
        <x:v>初审</x:v>
      </x:c>
      <x:c r="AM78" s="87" t="n">
        <x:v>46255</x:v>
      </x:c>
    </x:row>
    <x:row r="79">
      <x:c r="A79" s="72" t="str">
        <x:f>IF(OR(C79="",D79=""),"",B79&amp;"-"&amp;UPPER(C79)&amp;"-"&amp;TEXT(D79,"0000")&amp;"-"&amp;E79)</x:f>
        <x:v>M12-TENGOD-0073-V1.0</x:v>
      </x:c>
      <x:c r="B79" s="74" t="str">
        <x:v>M12</x:v>
      </x:c>
      <x:c r="C79" s="74" t="str">
        <x:v>TENGOD</x:v>
      </x:c>
      <x:c r="D79" s="215" t="n">
        <x:v>73</x:v>
      </x:c>
      <x:c r="E79" s="74" t="str">
        <x:v>V1.0</x:v>
      </x:c>
      <x:c r="F79" s="68" t="str">
        <x:v>伤官→财→官</x:v>
      </x:c>
      <x:c r="G79" s="82" t="str">
        <x:v>结构层</x:v>
      </x:c>
      <x:c r="H79" s="68" t="str">
        <x:v>十神功能路径</x:v>
      </x:c>
      <x:c r="I79" s="68" t="str">
        <x:v>伤官</x:v>
      </x:c>
      <x:c r="J79" s="68" t="str">
        <x:v>财星</x:v>
      </x:c>
      <x:c r="K79" s="68" t="str">
        <x:v>正官</x:v>
      </x:c>
      <x:c r="L79" s="82" t="str">
        <x:v>待定</x:v>
      </x:c>
      <x:c r="M79" s="82" t="str">
        <x:v>待定</x:v>
      </x:c>
      <x:c r="N79" s="68" t="str">
        <x:v>待定</x:v>
      </x:c>
      <x:c r="O79" s="68" t="str">
        <x:v>待定</x:v>
      </x:c>
      <x:c r="P79" s="68" t="str">
        <x:v>待定</x:v>
      </x:c>
      <x:c r="Q79" s="82" t="str">
        <x:v>基本通畅</x:v>
      </x:c>
      <x:c r="R79" s="82" t="str">
        <x:v>其他</x:v>
      </x:c>
      <x:c r="S79" s="68" t="str">
        <x:v>待定</x:v>
      </x:c>
      <x:c r="T79" s="68" t="str">
        <x:v>以财作中介降低伤官直接克官冲突</x:v>
      </x:c>
      <x:c r="U79" s="68" t="str">
        <x:v>财星</x:v>
      </x:c>
      <x:c r="V79" s="68" t="str">
        <x:v>M10确认相关十神功能有效，M11未出现决定性破坏</x:v>
      </x:c>
      <x:c r="W79" s="90" t="str">
        <x:v>需检查对调候、格局、日主承载及其他通路的副作用</x:v>
      </x:c>
      <x:c r="X79" s="68" t="str">
        <x:v>M06关系效应、M08五行有效旺衰、M10十神功能与M11组合判断已完成</x:v>
      </x:c>
      <x:c r="Y79" s="68" t="str">
        <x:v>起点、桥梁、终点均按有效力量与实际作用路径判断</x:v>
      </x:c>
      <x:c r="Z79" s="68" t="str">
        <x:v>桥梁有根有源、透达、位置可达且不存在关键制约</x:v>
      </x:c>
      <x:c r="AA79" s="68" t="str">
        <x:v>桥梁失令、无根、受克、合绊、改性或同时被多路调用</x:v>
      </x:c>
      <x:c r="AB79" s="90" t="str">
        <x:v>不得仅因五行缺失、数量少或关系名称直接认定卡点或通关用神</x:v>
      </x:c>
      <x:c r="AC79" s="68" t="str">
        <x:v>若存在更短、更强或副作用更小的替代路径，应并列比较后再裁定</x:v>
      </x:c>
      <x:c r="AD79" s="84" t="str">
        <x:v>伤官_财_官</x:v>
      </x:c>
      <x:c r="AE79" s="84" t="str">
        <x:v>伤官→财→官：按起点—桥梁—终点检查有效力量、连续性与承载；卡点为“其他”时，仅生成通关候选，不直接定用神。</x:v>
      </x:c>
      <x:c r="AF79" s="82" t="str">
        <x:v>较高</x:v>
      </x:c>
      <x:c r="AG79" s="82" t="str">
        <x:v>现代综合</x:v>
      </x:c>
      <x:c r="AH79" s="68" t="str">
        <x:v>流通判断以五行有效力量、生克顺序与十神功能为核心；古典依据可参照《滴天髓》《渊海子平》。 https://zh.wikisource.org/wiki/%E6%BB%B4%E5%A4%A9%E9%AB%93%E9%97%A1%E5%BE%AE https://zh.wikisource.org/zh-hans/%E6%B7%B5%E6%B5%B7%E5%AD%90%E5%B9%B3</x:v>
      </x:c>
      <x:c r="AI79" s="68" t="str">
        <x:v>当“以财作中介降低伤官直接克官冲突”真实成立，且桥梁具备有效力量和连续作用条件时，可按“伤官→财→官”记录。</x:v>
      </x:c>
      <x:c r="AJ79" s="90" t="str">
        <x:v>仅见表面缺失或五行相克，但未证明“以财作中介降低伤官直接克官冲突”形成实际阻断时，不得套用“伤官→财→官”。</x:v>
      </x:c>
      <x:c r="AK79" s="82" t="str">
        <x:v>采用</x:v>
      </x:c>
      <x:c r="AL79" s="82" t="str">
        <x:v>初审</x:v>
      </x:c>
      <x:c r="AM79" s="87" t="n">
        <x:v>46255</x:v>
      </x:c>
    </x:row>
    <x:row r="80">
      <x:c r="A80" s="72" t="str">
        <x:f>IF(OR(C80="",D80=""),"",B80&amp;"-"&amp;UPPER(C80)&amp;"-"&amp;TEXT(D80,"0000")&amp;"-"&amp;E80)</x:f>
        <x:v>M12-TENGOD-0074-V1.0</x:v>
      </x:c>
      <x:c r="B80" s="74" t="str">
        <x:v>M12</x:v>
      </x:c>
      <x:c r="C80" s="74" t="str">
        <x:v>TENGOD</x:v>
      </x:c>
      <x:c r="D80" s="215" t="n">
        <x:v>74</x:v>
      </x:c>
      <x:c r="E80" s="74" t="str">
        <x:v>V1.0</x:v>
      </x:c>
      <x:c r="F80" s="68" t="str">
        <x:v>官杀→印→身→食伤</x:v>
      </x:c>
      <x:c r="G80" s="82" t="str">
        <x:v>结构层</x:v>
      </x:c>
      <x:c r="H80" s="68" t="str">
        <x:v>十神功能路径</x:v>
      </x:c>
      <x:c r="I80" s="68" t="str">
        <x:v>官杀</x:v>
      </x:c>
      <x:c r="J80" s="68" t="str">
        <x:v>印星</x:v>
      </x:c>
      <x:c r="K80" s="68" t="str">
        <x:v>食伤</x:v>
      </x:c>
      <x:c r="L80" s="82" t="str">
        <x:v>待定</x:v>
      </x:c>
      <x:c r="M80" s="82" t="str">
        <x:v>待定</x:v>
      </x:c>
      <x:c r="N80" s="68" t="str">
        <x:v>待定</x:v>
      </x:c>
      <x:c r="O80" s="68" t="str">
        <x:v>待定</x:v>
      </x:c>
      <x:c r="P80" s="68" t="str">
        <x:v>待定</x:v>
      </x:c>
      <x:c r="Q80" s="82" t="str">
        <x:v>基本通畅</x:v>
      </x:c>
      <x:c r="R80" s="82" t="str">
        <x:v>其他</x:v>
      </x:c>
      <x:c r="S80" s="68" t="str">
        <x:v>待定</x:v>
      </x:c>
      <x:c r="T80" s="68" t="str">
        <x:v>官杀经印身转化后再由食伤泄出</x:v>
      </x:c>
      <x:c r="U80" s="68" t="str">
        <x:v>印星</x:v>
      </x:c>
      <x:c r="V80" s="68" t="str">
        <x:v>M10确认相关十神功能有效，M11未出现决定性破坏</x:v>
      </x:c>
      <x:c r="W80" s="90" t="str">
        <x:v>需检查对调候、格局、日主承载及其他通路的副作用</x:v>
      </x:c>
      <x:c r="X80" s="68" t="str">
        <x:v>M06关系效应、M08五行有效旺衰、M10十神功能与M11组合判断已完成</x:v>
      </x:c>
      <x:c r="Y80" s="68" t="str">
        <x:v>起点、桥梁、终点均按有效力量与实际作用路径判断</x:v>
      </x:c>
      <x:c r="Z80" s="68" t="str">
        <x:v>桥梁有根有源、透达、位置可达且不存在关键制约</x:v>
      </x:c>
      <x:c r="AA80" s="68" t="str">
        <x:v>桥梁失令、无根、受克、合绊、改性或同时被多路调用</x:v>
      </x:c>
      <x:c r="AB80" s="90" t="str">
        <x:v>不得仅因五行缺失、数量少或关系名称直接认定卡点或通关用神</x:v>
      </x:c>
      <x:c r="AC80" s="68" t="str">
        <x:v>若存在更短、更强或副作用更小的替代路径，应并列比较后再裁定</x:v>
      </x:c>
      <x:c r="AD80" s="84" t="str">
        <x:v>官杀_印_身_食伤</x:v>
      </x:c>
      <x:c r="AE80" s="84" t="str">
        <x:v>官杀→印→身→食伤：按起点—桥梁—终点检查有效力量、连续性与承载；卡点为“其他”时，仅生成通关候选，不直接定用神。</x:v>
      </x:c>
      <x:c r="AF80" s="82" t="str">
        <x:v>较高</x:v>
      </x:c>
      <x:c r="AG80" s="82" t="str">
        <x:v>现代综合</x:v>
      </x:c>
      <x:c r="AH80" s="68" t="str">
        <x:v>流通判断以五行有效力量、生克顺序与十神功能为核心；古典依据可参照《滴天髓》《渊海子平》。 https://zh.wikisource.org/wiki/%E6%BB%B4%E5%A4%A9%E9%AB%93%E9%97%A1%E5%BE%AE https://zh.wikisource.org/zh-hans/%E6%B7%B5%E6%B5%B7%E5%AD%90%E5%B9%B3</x:v>
      </x:c>
      <x:c r="AI80" s="68" t="str">
        <x:v>当“官杀经印身转化后再由食伤泄出”真实成立，且桥梁具备有效力量和连续作用条件时，可按“官杀→印→身→食伤”记录。</x:v>
      </x:c>
      <x:c r="AJ80" s="90" t="str">
        <x:v>仅见表面缺失或五行相克，但未证明“官杀经印身转化后再由食伤泄出”形成实际阻断时，不得套用“官杀→印→身→食伤”。</x:v>
      </x:c>
      <x:c r="AK80" s="82" t="str">
        <x:v>采用</x:v>
      </x:c>
      <x:c r="AL80" s="82" t="str">
        <x:v>初审</x:v>
      </x:c>
      <x:c r="AM80" s="87" t="n">
        <x:v>46255</x:v>
      </x:c>
    </x:row>
    <x:row r="81">
      <x:c r="A81" s="72" t="str">
        <x:f>IF(OR(C81="",D81=""),"",B81&amp;"-"&amp;UPPER(C81)&amp;"-"&amp;TEXT(D81,"0000")&amp;"-"&amp;E81)</x:f>
        <x:v>M12-TONGGUAN-0075-V1.0</x:v>
      </x:c>
      <x:c r="B81" s="74" t="str">
        <x:v>M12</x:v>
      </x:c>
      <x:c r="C81" s="74" t="str">
        <x:v>TONGGUAN</x:v>
      </x:c>
      <x:c r="D81" s="215" t="n">
        <x:v>75</x:v>
      </x:c>
      <x:c r="E81" s="74" t="str">
        <x:v>V1.0</x:v>
      </x:c>
      <x:c r="F81" s="68" t="str">
        <x:v>通关五行必须同时具备泄上游与生下游双重能力</x:v>
      </x:c>
      <x:c r="G81" s="82" t="str">
        <x:v>结构层</x:v>
      </x:c>
      <x:c r="H81" s="68" t="str">
        <x:v>五行克战通关</x:v>
      </x:c>
      <x:c r="I81" s="68" t="str">
        <x:v>克方</x:v>
      </x:c>
      <x:c r="J81" s="68" t="str">
        <x:v>通关候选五行</x:v>
      </x:c>
      <x:c r="K81" s="68" t="str">
        <x:v>被克方</x:v>
      </x:c>
      <x:c r="L81" s="82" t="str">
        <x:v>待定</x:v>
      </x:c>
      <x:c r="M81" s="82" t="str">
        <x:v>待定</x:v>
      </x:c>
      <x:c r="N81" s="68" t="str">
        <x:v>待定</x:v>
      </x:c>
      <x:c r="O81" s="68" t="str">
        <x:v>待定</x:v>
      </x:c>
      <x:c r="P81" s="68" t="str">
        <x:v>待定</x:v>
      </x:c>
      <x:c r="Q81" s="82" t="str">
        <x:v>待定</x:v>
      </x:c>
      <x:c r="R81" s="82" t="str">
        <x:v>两强相战</x:v>
      </x:c>
      <x:c r="S81" s="68" t="str">
        <x:v>待定</x:v>
      </x:c>
      <x:c r="T81" s="68" t="str">
        <x:v>候选五行仅能单向帮助一方，不能同时完成泄与生</x:v>
      </x:c>
      <x:c r="U81" s="68" t="str">
        <x:v>满足泄上游且生下游者</x:v>
      </x:c>
      <x:c r="V81" s="68" t="str">
        <x:v>双向功能均真实有效</x:v>
      </x:c>
      <x:c r="W81" s="90" t="str">
        <x:v>需检查对调候、格局、日主承载及其他通路的副作用</x:v>
      </x:c>
      <x:c r="X81" s="68" t="str">
        <x:v>M06关系效应、M08五行有效旺衰、M10十神功能与M11组合判断已完成</x:v>
      </x:c>
      <x:c r="Y81" s="68" t="str">
        <x:v>起点、桥梁、终点均按有效力量与实际作用路径判断</x:v>
      </x:c>
      <x:c r="Z81" s="68" t="str">
        <x:v>桥梁有根有源、透达、位置可达且不存在关键制约</x:v>
      </x:c>
      <x:c r="AA81" s="68" t="str">
        <x:v>桥梁失令、无根、受克、合绊、改性或同时被多路调用</x:v>
      </x:c>
      <x:c r="AB81" s="90" t="str">
        <x:v>不得仅因五行缺失、数量少或关系名称直接认定卡点或通关用神</x:v>
      </x:c>
      <x:c r="AC81" s="68" t="str">
        <x:v>若存在更短、更强或副作用更小的替代路径，应并列比较后再裁定</x:v>
      </x:c>
      <x:c r="AD81" s="84" t="str">
        <x:v>通关双向条件</x:v>
      </x:c>
      <x:c r="AE81" s="84" t="str">
        <x:v>通关五行必须同时具备泄上游与生下游双重能力：按起点—桥梁—终点检查有效力量、连续性与承载；卡点为“两强相战”时，仅生成通关候选，不直接定用神。</x:v>
      </x:c>
      <x:c r="AF81" s="82" t="str">
        <x:v>较高</x:v>
      </x:c>
      <x:c r="AG81" s="82" t="str">
        <x:v>现代综合</x:v>
      </x:c>
      <x:c r="AH81" s="68" t="str">
        <x:v>流通判断以五行有效力量、生克顺序与十神功能为核心；古典依据可参照《滴天髓》《渊海子平》。 https://zh.wikisource.org/wiki/%E6%BB%B4%E5%A4%A9%E9%AB%93%E9%97%A1%E5%BE%AE https://zh.wikisource.org/zh-hans/%E6%B7%B5%E6%B5%B7%E5%AD%90%E5%B9%B3</x:v>
      </x:c>
      <x:c r="AI81" s="68" t="str">
        <x:v>当“候选五行仅能单向帮助一方，不能同时完成泄与生”真实成立，且桥梁具备有效力量和连续作用条件时，可按“通关五行必须同时具备泄上游与生下游双重能力”记录。</x:v>
      </x:c>
      <x:c r="AJ81" s="90" t="str">
        <x:v>仅见表面缺失或五行相克，但未证明“候选五行仅能单向帮助一方，不能同时完成泄与生”形成实际阻断时，不得套用“通关五行必须同时具备泄上游与生下游双重能力”。</x:v>
      </x:c>
      <x:c r="AK81" s="82" t="str">
        <x:v>采用</x:v>
      </x:c>
      <x:c r="AL81" s="82" t="str">
        <x:v>初审</x:v>
      </x:c>
      <x:c r="AM81" s="87" t="n">
        <x:v>46255</x:v>
      </x:c>
    </x:row>
    <x:row r="82">
      <x:c r="A82" s="72" t="str">
        <x:f>IF(OR(C82="",D82=""),"",B82&amp;"-"&amp;UPPER(C82)&amp;"-"&amp;TEXT(D82,"0000")&amp;"-"&amp;E82)</x:f>
        <x:v>M12-TONGGUAN-0076-V1.0</x:v>
      </x:c>
      <x:c r="B82" s="74" t="str">
        <x:v>M12</x:v>
      </x:c>
      <x:c r="C82" s="74" t="str">
        <x:v>TONGGUAN</x:v>
      </x:c>
      <x:c r="D82" s="215" t="n">
        <x:v>76</x:v>
      </x:c>
      <x:c r="E82" s="74" t="str">
        <x:v>V1.0</x:v>
      </x:c>
      <x:c r="F82" s="68" t="str">
        <x:v>通关五行无根无源时不能承担主通关</x:v>
      </x:c>
      <x:c r="G82" s="82" t="str">
        <x:v>结构层</x:v>
      </x:c>
      <x:c r="H82" s="68" t="str">
        <x:v>五行克战通关</x:v>
      </x:c>
      <x:c r="I82" s="68" t="str">
        <x:v>两强之一</x:v>
      </x:c>
      <x:c r="J82" s="68" t="str">
        <x:v>无根通关五行</x:v>
      </x:c>
      <x:c r="K82" s="68" t="str">
        <x:v>另一强方</x:v>
      </x:c>
      <x:c r="L82" s="82" t="str">
        <x:v>待定</x:v>
      </x:c>
      <x:c r="M82" s="82" t="str">
        <x:v>弱</x:v>
      </x:c>
      <x:c r="N82" s="68" t="str">
        <x:v>待定</x:v>
      </x:c>
      <x:c r="O82" s="68" t="str">
        <x:v>待定</x:v>
      </x:c>
      <x:c r="P82" s="68" t="str">
        <x:v>待定</x:v>
      </x:c>
      <x:c r="Q82" s="82" t="str">
        <x:v>局部阻塞</x:v>
      </x:c>
      <x:c r="R82" s="82" t="str">
        <x:v>桥梁太弱</x:v>
      </x:c>
      <x:c r="S82" s="68" t="str">
        <x:v>待定</x:v>
      </x:c>
      <x:c r="T82" s="68" t="str">
        <x:v>候选通关五行名义存在但有效力量不足</x:v>
      </x:c>
      <x:c r="U82" s="68" t="str">
        <x:v>待定</x:v>
      </x:c>
      <x:c r="V82" s="68" t="str">
        <x:v>待定</x:v>
      </x:c>
      <x:c r="W82" s="90" t="str">
        <x:v>需检查对调候、格局、日主承载及其他通路的副作用</x:v>
      </x:c>
      <x:c r="X82" s="68" t="str">
        <x:v>M06关系效应、M08五行有效旺衰、M10十神功能与M11组合判断已完成</x:v>
      </x:c>
      <x:c r="Y82" s="68" t="str">
        <x:v>起点、桥梁、终点均按有效力量与实际作用路径判断</x:v>
      </x:c>
      <x:c r="Z82" s="68" t="str">
        <x:v>桥梁有根有源、透达、位置可达且不存在关键制约</x:v>
      </x:c>
      <x:c r="AA82" s="68" t="str">
        <x:v>桥梁失令、无根、受克、合绊、改性或同时被多路调用</x:v>
      </x:c>
      <x:c r="AB82" s="90" t="str">
        <x:v>不得仅因五行缺失、数量少或关系名称直接认定卡点或通关用神</x:v>
      </x:c>
      <x:c r="AC82" s="68" t="str">
        <x:v>若存在更短、更强或副作用更小的替代路径，应并列比较后再裁定</x:v>
      </x:c>
      <x:c r="AD82" s="84" t="str">
        <x:v>通关力量门槛</x:v>
      </x:c>
      <x:c r="AE82" s="84" t="str">
        <x:v>通关五行无根无源时不能承担主通关：按起点—桥梁—终点检查有效力量、连续性与承载；卡点为“桥梁太弱”时，仅生成通关候选，不直接定用神。</x:v>
      </x:c>
      <x:c r="AF82" s="82" t="str">
        <x:v>较高</x:v>
      </x:c>
      <x:c r="AG82" s="82" t="str">
        <x:v>现代综合</x:v>
      </x:c>
      <x:c r="AH82" s="68" t="str">
        <x:v>流通判断以五行有效力量、生克顺序与十神功能为核心；古典依据可参照《滴天髓》《渊海子平》。 https://zh.wikisource.org/wiki/%E6%BB%B4%E5%A4%A9%E9%AB%93%E9%97%A1%E5%BE%AE https://zh.wikisource.org/zh-hans/%E6%B7%B5%E6%B5%B7%E5%AD%90%E5%B9%B3</x:v>
      </x:c>
      <x:c r="AI82" s="68" t="str">
        <x:v>当“候选通关五行名义存在但有效力量不足”真实成立，且桥梁具备有效力量和连续作用条件时，可按“通关五行无根无源时不能承担主通关”记录。</x:v>
      </x:c>
      <x:c r="AJ82" s="90" t="str">
        <x:v>仅见表面缺失或五行相克，但未证明“候选通关五行名义存在但有效力量不足”形成实际阻断时，不得套用“通关五行无根无源时不能承担主通关”。</x:v>
      </x:c>
      <x:c r="AK82" s="82" t="str">
        <x:v>采用</x:v>
      </x:c>
      <x:c r="AL82" s="82" t="str">
        <x:v>初审</x:v>
      </x:c>
      <x:c r="AM82" s="87" t="n">
        <x:v>46255</x:v>
      </x:c>
    </x:row>
    <x:row r="83">
      <x:c r="A83" s="72" t="str">
        <x:f>IF(OR(C83="",D83=""),"",B83&amp;"-"&amp;UPPER(C83)&amp;"-"&amp;TEXT(D83,"0000")&amp;"-"&amp;E83)</x:f>
        <x:v>M12-TONGGUAN-0077-V1.0</x:v>
      </x:c>
      <x:c r="B83" s="74" t="str">
        <x:v>M12</x:v>
      </x:c>
      <x:c r="C83" s="74" t="str">
        <x:v>TONGGUAN</x:v>
      </x:c>
      <x:c r="D83" s="215" t="n">
        <x:v>77</x:v>
      </x:c>
      <x:c r="E83" s="74" t="str">
        <x:v>V1.0</x:v>
      </x:c>
      <x:c r="F83" s="68" t="str">
        <x:v>通关五行被强克时不得视为稳定桥梁</x:v>
      </x:c>
      <x:c r="G83" s="82" t="str">
        <x:v>结构层</x:v>
      </x:c>
      <x:c r="H83" s="68" t="str">
        <x:v>五行克战通关</x:v>
      </x:c>
      <x:c r="I83" s="68" t="str">
        <x:v>上游</x:v>
      </x:c>
      <x:c r="J83" s="68" t="str">
        <x:v>受强克通关五行</x:v>
      </x:c>
      <x:c r="K83" s="68" t="str">
        <x:v>下游</x:v>
      </x:c>
      <x:c r="L83" s="82" t="str">
        <x:v>待定</x:v>
      </x:c>
      <x:c r="M83" s="82" t="str">
        <x:v>待定</x:v>
      </x:c>
      <x:c r="N83" s="68" t="str">
        <x:v>待定</x:v>
      </x:c>
      <x:c r="O83" s="68" t="str">
        <x:v>待定</x:v>
      </x:c>
      <x:c r="P83" s="68" t="str">
        <x:v>待定</x:v>
      </x:c>
      <x:c r="Q83" s="82" t="str">
        <x:v>明显阻断</x:v>
      </x:c>
      <x:c r="R83" s="82" t="str">
        <x:v>桥梁被克</x:v>
      </x:c>
      <x:c r="S83" s="68" t="str">
        <x:v>待定</x:v>
      </x:c>
      <x:c r="T83" s="68" t="str">
        <x:v>通关节点本身遭第三方强制，难以持续泄化</x:v>
      </x:c>
      <x:c r="U83" s="68" t="str">
        <x:v>待定</x:v>
      </x:c>
      <x:c r="V83" s="68" t="str">
        <x:v>待定</x:v>
      </x:c>
      <x:c r="W83" s="90" t="str">
        <x:v>需检查对调候、格局、日主承载及其他通路的副作用</x:v>
      </x:c>
      <x:c r="X83" s="68" t="str">
        <x:v>M06关系效应、M08五行有效旺衰、M10十神功能与M11组合判断已完成</x:v>
      </x:c>
      <x:c r="Y83" s="68" t="str">
        <x:v>起点、桥梁、终点均按有效力量与实际作用路径判断</x:v>
      </x:c>
      <x:c r="Z83" s="68" t="str">
        <x:v>桥梁有根有源、透达、位置可达且不存在关键制约</x:v>
      </x:c>
      <x:c r="AA83" s="68" t="str">
        <x:v>桥梁失令、无根、受克、合绊、改性或同时被多路调用</x:v>
      </x:c>
      <x:c r="AB83" s="90" t="str">
        <x:v>不得仅因五行缺失、数量少或关系名称直接认定卡点或通关用神</x:v>
      </x:c>
      <x:c r="AC83" s="68" t="str">
        <x:v>若存在更短、更强或副作用更小的替代路径，应并列比较后再裁定</x:v>
      </x:c>
      <x:c r="AD83" s="84" t="str">
        <x:v>通关被克</x:v>
      </x:c>
      <x:c r="AE83" s="84" t="str">
        <x:v>通关五行被强克时不得视为稳定桥梁：按起点—桥梁—终点检查有效力量、连续性与承载；卡点为“桥梁被克”时，仅生成通关候选，不直接定用神。</x:v>
      </x:c>
      <x:c r="AF83" s="82" t="str">
        <x:v>较高</x:v>
      </x:c>
      <x:c r="AG83" s="82" t="str">
        <x:v>现代综合</x:v>
      </x:c>
      <x:c r="AH83" s="68" t="str">
        <x:v>流通判断以五行有效力量、生克顺序与十神功能为核心；古典依据可参照《滴天髓》《渊海子平》。 https://zh.wikisource.org/wiki/%E6%BB%B4%E5%A4%A9%E9%AB%93%E9%97%A1%E5%BE%AE https://zh.wikisource.org/zh-hans/%E6%B7%B5%E6%B5%B7%E5%AD%90%E5%B9%B3</x:v>
      </x:c>
      <x:c r="AI83" s="68" t="str">
        <x:v>当“通关节点本身遭第三方强制，难以持续泄化”真实成立，且桥梁具备有效力量和连续作用条件时，可按“通关五行被强克时不得视为稳定桥梁”记录。</x:v>
      </x:c>
      <x:c r="AJ83" s="90" t="str">
        <x:v>仅见表面缺失或五行相克，但未证明“通关节点本身遭第三方强制，难以持续泄化”形成实际阻断时，不得套用“通关五行被强克时不得视为稳定桥梁”。</x:v>
      </x:c>
      <x:c r="AK83" s="82" t="str">
        <x:v>采用</x:v>
      </x:c>
      <x:c r="AL83" s="82" t="str">
        <x:v>初审</x:v>
      </x:c>
      <x:c r="AM83" s="87" t="n">
        <x:v>46255</x:v>
      </x:c>
    </x:row>
    <x:row r="84">
      <x:c r="A84" s="72" t="str">
        <x:f>IF(OR(C84="",D84=""),"",B84&amp;"-"&amp;UPPER(C84)&amp;"-"&amp;TEXT(D84,"0000")&amp;"-"&amp;E84)</x:f>
        <x:v>M12-TONGGUAN-0078-V1.0</x:v>
      </x:c>
      <x:c r="B84" s="74" t="str">
        <x:v>M12</x:v>
      </x:c>
      <x:c r="C84" s="74" t="str">
        <x:v>TONGGUAN</x:v>
      </x:c>
      <x:c r="D84" s="215" t="n">
        <x:v>78</x:v>
      </x:c>
      <x:c r="E84" s="74" t="str">
        <x:v>V1.0</x:v>
      </x:c>
      <x:c r="F84" s="68" t="str">
        <x:v>通关五行被合绊时需下调通关等级</x:v>
      </x:c>
      <x:c r="G84" s="82" t="str">
        <x:v>结构层</x:v>
      </x:c>
      <x:c r="H84" s="68" t="str">
        <x:v>五行克战通关</x:v>
      </x:c>
      <x:c r="I84" s="68" t="str">
        <x:v>上游</x:v>
      </x:c>
      <x:c r="J84" s="68" t="str">
        <x:v>被合绊通关五行</x:v>
      </x:c>
      <x:c r="K84" s="68" t="str">
        <x:v>下游</x:v>
      </x:c>
      <x:c r="L84" s="82" t="str">
        <x:v>待定</x:v>
      </x:c>
      <x:c r="M84" s="82" t="str">
        <x:v>待定</x:v>
      </x:c>
      <x:c r="N84" s="68" t="str">
        <x:v>待定</x:v>
      </x:c>
      <x:c r="O84" s="68" t="str">
        <x:v>待定</x:v>
      </x:c>
      <x:c r="P84" s="68" t="str">
        <x:v>待定</x:v>
      </x:c>
      <x:c r="Q84" s="82" t="str">
        <x:v>局部阻塞</x:v>
      </x:c>
      <x:c r="R84" s="82" t="str">
        <x:v>桥梁被合绊</x:v>
      </x:c>
      <x:c r="S84" s="68" t="str">
        <x:v>待定</x:v>
      </x:c>
      <x:c r="T84" s="68" t="str">
        <x:v>通关节点被其他关系占用，无法全额执行桥梁功能</x:v>
      </x:c>
      <x:c r="U84" s="68" t="str">
        <x:v>待定</x:v>
      </x:c>
      <x:c r="V84" s="68" t="str">
        <x:v>待定</x:v>
      </x:c>
      <x:c r="W84" s="90" t="str">
        <x:v>需检查对调候、格局、日主承载及其他通路的副作用</x:v>
      </x:c>
      <x:c r="X84" s="68" t="str">
        <x:v>M06关系效应、M08五行有效旺衰、M10十神功能与M11组合判断已完成</x:v>
      </x:c>
      <x:c r="Y84" s="68" t="str">
        <x:v>起点、桥梁、终点均按有效力量与实际作用路径判断</x:v>
      </x:c>
      <x:c r="Z84" s="68" t="str">
        <x:v>桥梁有根有源、透达、位置可达且不存在关键制约</x:v>
      </x:c>
      <x:c r="AA84" s="68" t="str">
        <x:v>桥梁失令、无根、受克、合绊、改性或同时被多路调用</x:v>
      </x:c>
      <x:c r="AB84" s="90" t="str">
        <x:v>不得仅因五行缺失、数量少或关系名称直接认定卡点或通关用神</x:v>
      </x:c>
      <x:c r="AC84" s="68" t="str">
        <x:v>若存在更短、更强或副作用更小的替代路径，应并列比较后再裁定</x:v>
      </x:c>
      <x:c r="AD84" s="84" t="str">
        <x:v>通关合绊</x:v>
      </x:c>
      <x:c r="AE84" s="84" t="str">
        <x:v>通关五行被合绊时需下调通关等级：按起点—桥梁—终点检查有效力量、连续性与承载；卡点为“桥梁被合绊”时，仅生成通关候选，不直接定用神。</x:v>
      </x:c>
      <x:c r="AF84" s="82" t="str">
        <x:v>较高</x:v>
      </x:c>
      <x:c r="AG84" s="82" t="str">
        <x:v>现代综合</x:v>
      </x:c>
      <x:c r="AH84" s="68" t="str">
        <x:v>流通判断以五行有效力量、生克顺序与十神功能为核心；古典依据可参照《滴天髓》《渊海子平》。 https://zh.wikisource.org/wiki/%E6%BB%B4%E5%A4%A9%E9%AB%93%E9%97%A1%E5%BE%AE https://zh.wikisource.org/zh-hans/%E6%B7%B5%E6%B5%B7%E5%AD%90%E5%B9%B3</x:v>
      </x:c>
      <x:c r="AI84" s="68" t="str">
        <x:v>当“通关节点被其他关系占用，无法全额执行桥梁功能”真实成立，且桥梁具备有效力量和连续作用条件时，可按“通关五行被合绊时需下调通关等级”记录。</x:v>
      </x:c>
      <x:c r="AJ84" s="90" t="str">
        <x:v>仅见表面缺失或五行相克，但未证明“通关节点被其他关系占用，无法全额执行桥梁功能”形成实际阻断时，不得套用“通关五行被合绊时需下调通关等级”。</x:v>
      </x:c>
      <x:c r="AK84" s="82" t="str">
        <x:v>采用</x:v>
      </x:c>
      <x:c r="AL84" s="82" t="str">
        <x:v>初审</x:v>
      </x:c>
      <x:c r="AM84" s="87" t="n">
        <x:v>46255</x:v>
      </x:c>
    </x:row>
    <x:row r="85">
      <x:c r="A85" s="72" t="str">
        <x:f>IF(OR(C85="",D85=""),"",B85&amp;"-"&amp;UPPER(C85)&amp;"-"&amp;TEXT(D85,"0000")&amp;"-"&amp;E85)</x:f>
        <x:v>M12-TONGGUAN-0079-V1.0</x:v>
      </x:c>
      <x:c r="B85" s="74" t="str">
        <x:v>M12</x:v>
      </x:c>
      <x:c r="C85" s="74" t="str">
        <x:v>TONGGUAN</x:v>
      </x:c>
      <x:c r="D85" s="215" t="n">
        <x:v>79</x:v>
      </x:c>
      <x:c r="E85" s="74" t="str">
        <x:v>V1.0</x:v>
      </x:c>
      <x:c r="F85" s="68" t="str">
        <x:v>通关虽然有效但加重寒湿时只能列条件性候选</x:v>
      </x:c>
      <x:c r="G85" s="82" t="str">
        <x:v>结构层</x:v>
      </x:c>
      <x:c r="H85" s="68" t="str">
        <x:v>五行克战通关</x:v>
      </x:c>
      <x:c r="I85" s="68" t="str">
        <x:v>对战两端</x:v>
      </x:c>
      <x:c r="J85" s="68" t="str">
        <x:v>水或湿性通关五行</x:v>
      </x:c>
      <x:c r="K85" s="68" t="str">
        <x:v>目标端</x:v>
      </x:c>
      <x:c r="L85" s="82" t="str">
        <x:v>待定</x:v>
      </x:c>
      <x:c r="M85" s="82" t="str">
        <x:v>待定</x:v>
      </x:c>
      <x:c r="N85" s="68" t="str">
        <x:v>待定</x:v>
      </x:c>
      <x:c r="O85" s="68" t="str">
        <x:v>待定</x:v>
      </x:c>
      <x:c r="P85" s="68" t="str">
        <x:v>待定</x:v>
      </x:c>
      <x:c r="Q85" s="82" t="str">
        <x:v>基本通畅</x:v>
      </x:c>
      <x:c r="R85" s="82" t="str">
        <x:v>其他</x:v>
      </x:c>
      <x:c r="S85" s="68" t="str">
        <x:v>待定</x:v>
      </x:c>
      <x:c r="T85" s="68" t="str">
        <x:v>通关能解决克战，但可能使原局寒湿问题升级</x:v>
      </x:c>
      <x:c r="U85" s="68" t="str">
        <x:v>待定</x:v>
      </x:c>
      <x:c r="V85" s="68" t="str">
        <x:v>待定</x:v>
      </x:c>
      <x:c r="W85" s="90" t="str">
        <x:v>若M13判原局已经偏寒或极寒、偏湿或极湿，则水性通关可能制造更高优先级调候问题</x:v>
      </x:c>
      <x:c r="X85" s="68" t="str">
        <x:v>M06关系效应、M08五行有效旺衰、M10十神功能与M11组合判断已完成</x:v>
      </x:c>
      <x:c r="Y85" s="68" t="str">
        <x:v>起点、桥梁、终点均按有效力量与实际作用路径判断</x:v>
      </x:c>
      <x:c r="Z85" s="68" t="str">
        <x:v>桥梁有根有源、透达、位置可达且不存在关键制约</x:v>
      </x:c>
      <x:c r="AA85" s="68" t="str">
        <x:v>桥梁失令、无根、受克、合绊、改性或同时被多路调用</x:v>
      </x:c>
      <x:c r="AB85" s="90" t="str">
        <x:v>不得仅因五行缺失、数量少或关系名称直接认定卡点或通关用神</x:v>
      </x:c>
      <x:c r="AC85" s="68" t="str">
        <x:v>若存在更短、更强或副作用更小的替代路径，应并列比较后再裁定</x:v>
      </x:c>
      <x:c r="AD85" s="84" t="str">
        <x:v>通关寒湿副作用</x:v>
      </x:c>
      <x:c r="AE85" s="84" t="str">
        <x:v>通关虽然有效但加重寒湿时只能列条件性候选：按起点—桥梁—终点检查有效力量、连续性与承载；卡点为“其他”时，仅生成通关候选，不直接定用神。</x:v>
      </x:c>
      <x:c r="AF85" s="82" t="str">
        <x:v>较高</x:v>
      </x:c>
      <x:c r="AG85" s="82" t="str">
        <x:v>现代综合</x:v>
      </x:c>
      <x:c r="AH85" s="68" t="str">
        <x:v>流通判断以五行有效力量、生克顺序与十神功能为核心；古典依据可参照《滴天髓》《渊海子平》。 https://zh.wikisource.org/wiki/%E6%BB%B4%E5%A4%A9%E9%AB%93%E9%97%A1%E5%BE%AE https://zh.wikisource.org/zh-hans/%E6%B7%B5%E6%B5%B7%E5%AD%90%E5%B9%B3</x:v>
      </x:c>
      <x:c r="AI85" s="68" t="str">
        <x:v>当“通关能解决克战，但可能使原局寒湿问题升级”真实成立，且桥梁具备有效力量和连续作用条件时，可按“通关虽然有效但加重寒湿时只能列条件性候选”记录。</x:v>
      </x:c>
      <x:c r="AJ85" s="90" t="str">
        <x:v>仅见表面缺失或五行相克，但未证明“通关能解决克战，但可能使原局寒湿问题升级”形成实际阻断时，不得套用“通关虽然有效但加重寒湿时只能列条件性候选”。</x:v>
      </x:c>
      <x:c r="AK85" s="82" t="str">
        <x:v>采用</x:v>
      </x:c>
      <x:c r="AL85" s="82" t="str">
        <x:v>初审</x:v>
      </x:c>
      <x:c r="AM85" s="87" t="n">
        <x:v>46255</x:v>
      </x:c>
    </x:row>
    <x:row r="86">
      <x:c r="A86" s="72" t="str">
        <x:f>IF(OR(C86="",D86=""),"",B86&amp;"-"&amp;UPPER(C86)&amp;"-"&amp;TEXT(D86,"0000")&amp;"-"&amp;E86)</x:f>
        <x:v>M12-TONGGUAN-0080-V1.0</x:v>
      </x:c>
      <x:c r="B86" s="74" t="str">
        <x:v>M12</x:v>
      </x:c>
      <x:c r="C86" s="74" t="str">
        <x:v>TONGGUAN</x:v>
      </x:c>
      <x:c r="D86" s="215" t="n">
        <x:v>80</x:v>
      </x:c>
      <x:c r="E86" s="74" t="str">
        <x:v>V1.0</x:v>
      </x:c>
      <x:c r="F86" s="68" t="str">
        <x:v>通关虽然有效但加重燥热时只能列条件性候选</x:v>
      </x:c>
      <x:c r="G86" s="82" t="str">
        <x:v>结构层</x:v>
      </x:c>
      <x:c r="H86" s="68" t="str">
        <x:v>五行克战通关</x:v>
      </x:c>
      <x:c r="I86" s="68" t="str">
        <x:v>对战两端</x:v>
      </x:c>
      <x:c r="J86" s="68" t="str">
        <x:v>火或燥性通关五行</x:v>
      </x:c>
      <x:c r="K86" s="68" t="str">
        <x:v>目标端</x:v>
      </x:c>
      <x:c r="L86" s="82" t="str">
        <x:v>待定</x:v>
      </x:c>
      <x:c r="M86" s="82" t="str">
        <x:v>待定</x:v>
      </x:c>
      <x:c r="N86" s="68" t="str">
        <x:v>待定</x:v>
      </x:c>
      <x:c r="O86" s="68" t="str">
        <x:v>待定</x:v>
      </x:c>
      <x:c r="P86" s="68" t="str">
        <x:v>待定</x:v>
      </x:c>
      <x:c r="Q86" s="82" t="str">
        <x:v>基本通畅</x:v>
      </x:c>
      <x:c r="R86" s="82" t="str">
        <x:v>其他</x:v>
      </x:c>
      <x:c r="S86" s="68" t="str">
        <x:v>待定</x:v>
      </x:c>
      <x:c r="T86" s="68" t="str">
        <x:v>通关能解决克战，但可能使原局燥热问题升级</x:v>
      </x:c>
      <x:c r="U86" s="68" t="str">
        <x:v>待定</x:v>
      </x:c>
      <x:c r="V86" s="68" t="str">
        <x:v>待定</x:v>
      </x:c>
      <x:c r="W86" s="90" t="str">
        <x:v>若M13判原局已经偏暖/极热或偏燥/极燥，则火性通关可能制造更高优先级调候问题</x:v>
      </x:c>
      <x:c r="X86" s="68" t="str">
        <x:v>M06关系效应、M08五行有效旺衰、M10十神功能与M11组合判断已完成</x:v>
      </x:c>
      <x:c r="Y86" s="68" t="str">
        <x:v>起点、桥梁、终点均按有效力量与实际作用路径判断</x:v>
      </x:c>
      <x:c r="Z86" s="68" t="str">
        <x:v>桥梁有根有源、透达、位置可达且不存在关键制约</x:v>
      </x:c>
      <x:c r="AA86" s="68" t="str">
        <x:v>桥梁失令、无根、受克、合绊、改性或同时被多路调用</x:v>
      </x:c>
      <x:c r="AB86" s="90" t="str">
        <x:v>不得仅因五行缺失、数量少或关系名称直接认定卡点或通关用神</x:v>
      </x:c>
      <x:c r="AC86" s="68" t="str">
        <x:v>若存在更短、更强或副作用更小的替代路径，应并列比较后再裁定</x:v>
      </x:c>
      <x:c r="AD86" s="84" t="str">
        <x:v>通关燥热副作用</x:v>
      </x:c>
      <x:c r="AE86" s="84" t="str">
        <x:v>通关虽然有效但加重燥热时只能列条件性候选：按起点—桥梁—终点检查有效力量、连续性与承载；卡点为“其他”时，仅生成通关候选，不直接定用神。</x:v>
      </x:c>
      <x:c r="AF86" s="82" t="str">
        <x:v>较高</x:v>
      </x:c>
      <x:c r="AG86" s="82" t="str">
        <x:v>现代综合</x:v>
      </x:c>
      <x:c r="AH86" s="68" t="str">
        <x:v>流通判断以五行有效力量、生克顺序与十神功能为核心；古典依据可参照《滴天髓》《渊海子平》。 https://zh.wikisource.org/wiki/%E6%BB%B4%E5%A4%A9%E9%AB%93%E9%97%A1%E5%BE%AE https://zh.wikisource.org/zh-hans/%E6%B7%B5%E6%B5%B7%E5%AD%90%E5%B9%B3</x:v>
      </x:c>
      <x:c r="AI86" s="68" t="str">
        <x:v>当“通关能解决克战，但可能使原局燥热问题升级”真实成立，且桥梁具备有效力量和连续作用条件时，可按“通关虽然有效但加重燥热时只能列条件性候选”记录。</x:v>
      </x:c>
      <x:c r="AJ86" s="90" t="str">
        <x:v>仅见表面缺失或五行相克，但未证明“通关能解决克战，但可能使原局燥热问题升级”形成实际阻断时，不得套用“通关虽然有效但加重燥热时只能列条件性候选”。</x:v>
      </x:c>
      <x:c r="AK86" s="82" t="str">
        <x:v>采用</x:v>
      </x:c>
      <x:c r="AL86" s="82" t="str">
        <x:v>初审</x:v>
      </x:c>
      <x:c r="AM86" s="87" t="n">
        <x:v>46255</x:v>
      </x:c>
    </x:row>
    <x:row r="87">
      <x:c r="A87" s="72" t="str">
        <x:f>IF(OR(C87="",D87=""),"",B87&amp;"-"&amp;UPPER(C87)&amp;"-"&amp;TEXT(D87,"0000")&amp;"-"&amp;E87)</x:f>
        <x:v>M12-TONGGUAN-0081-V1.0</x:v>
      </x:c>
      <x:c r="B87" s="74" t="str">
        <x:v>M12</x:v>
      </x:c>
      <x:c r="C87" s="74" t="str">
        <x:v>TONGGUAN</x:v>
      </x:c>
      <x:c r="D87" s="215" t="n">
        <x:v>81</x:v>
      </x:c>
      <x:c r="E87" s="74" t="str">
        <x:v>V1.0</x:v>
      </x:c>
      <x:c r="F87" s="68" t="str">
        <x:v>通关五行若破坏已成立核心组合需降低优先级</x:v>
      </x:c>
      <x:c r="G87" s="82" t="str">
        <x:v>结构层</x:v>
      </x:c>
      <x:c r="H87" s="68" t="str">
        <x:v>复合路径</x:v>
      </x:c>
      <x:c r="I87" s="68" t="str">
        <x:v>原局主矛盾</x:v>
      </x:c>
      <x:c r="J87" s="68" t="str">
        <x:v>通关候选五行</x:v>
      </x:c>
      <x:c r="K87" s="68" t="str">
        <x:v>被调节对象</x:v>
      </x:c>
      <x:c r="L87" s="82" t="str">
        <x:v>待定</x:v>
      </x:c>
      <x:c r="M87" s="82" t="str">
        <x:v>待定</x:v>
      </x:c>
      <x:c r="N87" s="68" t="str">
        <x:v>待定</x:v>
      </x:c>
      <x:c r="O87" s="68" t="str">
        <x:v>待定</x:v>
      </x:c>
      <x:c r="P87" s="68" t="str">
        <x:v>待定</x:v>
      </x:c>
      <x:c r="Q87" s="82" t="str">
        <x:v>基本通畅</x:v>
      </x:c>
      <x:c r="R87" s="82" t="str">
        <x:v>其他</x:v>
      </x:c>
      <x:c r="S87" s="68" t="str">
        <x:v>待定</x:v>
      </x:c>
      <x:c r="T87" s="68" t="str">
        <x:v>通关五行同时强制格神、关键印食或破坏M11已成立的主组合</x:v>
      </x:c>
      <x:c r="U87" s="68" t="str">
        <x:v>待定</x:v>
      </x:c>
      <x:c r="V87" s="68" t="str">
        <x:v>待定</x:v>
      </x:c>
      <x:c r="W87" s="90" t="str">
        <x:v>解决流通但破坏核心组合时，不得在M12直接推荐为主用，转M17/M18裁决</x:v>
      </x:c>
      <x:c r="X87" s="68" t="str">
        <x:v>M06关系效应、M08五行有效旺衰、M10十神功能与M11组合判断已完成</x:v>
      </x:c>
      <x:c r="Y87" s="68" t="str">
        <x:v>起点、桥梁、终点均按有效力量与实际作用路径判断</x:v>
      </x:c>
      <x:c r="Z87" s="68" t="str">
        <x:v>桥梁有根有源、透达、位置可达且不存在关键制约</x:v>
      </x:c>
      <x:c r="AA87" s="68" t="str">
        <x:v>桥梁失令、无根、受克、合绊、改性或同时被多路调用</x:v>
      </x:c>
      <x:c r="AB87" s="90" t="str">
        <x:v>不得仅因五行缺失、数量少或关系名称直接认定卡点或通关用神</x:v>
      </x:c>
      <x:c r="AC87" s="68" t="str">
        <x:v>若存在更短、更强或副作用更小的替代路径，应并列比较后再裁定</x:v>
      </x:c>
      <x:c r="AD87" s="84" t="str">
        <x:v>通关破结构副作用</x:v>
      </x:c>
      <x:c r="AE87" s="84" t="str">
        <x:v>通关五行若破坏已成立核心组合需降低优先级：按起点—桥梁—终点检查有效力量、连续性与承载；卡点为“其他”时，仅生成通关候选，不直接定用神。</x:v>
      </x:c>
      <x:c r="AF87" s="82" t="str">
        <x:v>较高</x:v>
      </x:c>
      <x:c r="AG87" s="82" t="str">
        <x:v>现代综合</x:v>
      </x:c>
      <x:c r="AH87" s="68" t="str">
        <x:v>流通判断以五行有效力量、生克顺序与十神功能为核心；古典依据可参照《滴天髓》《渊海子平》。 https://zh.wikisource.org/wiki/%E6%BB%B4%E5%A4%A9%E9%AB%93%E9%97%A1%E5%BE%AE https://zh.wikisource.org/zh-hans/%E6%B7%B5%E6%B5%B7%E5%AD%90%E5%B9%B3</x:v>
      </x:c>
      <x:c r="AI87" s="68" t="str">
        <x:v>当“通关五行同时强制格神、关键印食或破坏M11已成立的主组合”真实成立，且桥梁具备有效力量和连续作用条件时，可按“通关五行若破坏已成立核心组合需降低优先级”记录。</x:v>
      </x:c>
      <x:c r="AJ87" s="90" t="str">
        <x:v>仅见表面缺失或五行相克，但未证明“通关五行同时强制格神、关键印食或破坏M11已成立的主组合”形成实际阻断时，不得套用“通关五行若破坏已成立核心组合需降低优先级”。</x:v>
      </x:c>
      <x:c r="AK87" s="82" t="str">
        <x:v>采用</x:v>
      </x:c>
      <x:c r="AL87" s="82" t="str">
        <x:v>初审</x:v>
      </x:c>
      <x:c r="AM87" s="87" t="n">
        <x:v>46255</x:v>
      </x:c>
    </x:row>
    <x:row r="88">
      <x:c r="A88" s="72" t="str">
        <x:f>IF(OR(C88="",D88=""),"",B88&amp;"-"&amp;UPPER(C88)&amp;"-"&amp;TEXT(D88,"0000")&amp;"-"&amp;E88)</x:f>
        <x:v>M12-TONGGUAN-0082-V1.0</x:v>
      </x:c>
      <x:c r="B88" s="74" t="str">
        <x:v>M12</x:v>
      </x:c>
      <x:c r="C88" s="74" t="str">
        <x:v>TONGGUAN</x:v>
      </x:c>
      <x:c r="D88" s="215" t="n">
        <x:v>82</x:v>
      </x:c>
      <x:c r="E88" s="74" t="str">
        <x:v>V1.0</x:v>
      </x:c>
      <x:c r="F88" s="68" t="str">
        <x:v>多个通关候选并存时优先副作用更小者</x:v>
      </x:c>
      <x:c r="G88" s="82" t="str">
        <x:v>结构层</x:v>
      </x:c>
      <x:c r="H88" s="68" t="str">
        <x:v>复合路径</x:v>
      </x:c>
      <x:c r="I88" s="68" t="str">
        <x:v>主矛盾起点</x:v>
      </x:c>
      <x:c r="J88" s="68" t="str">
        <x:v>多个通关候选</x:v>
      </x:c>
      <x:c r="K88" s="68" t="str">
        <x:v>主矛盾终点</x:v>
      </x:c>
      <x:c r="L88" s="82" t="str">
        <x:v>待定</x:v>
      </x:c>
      <x:c r="M88" s="82" t="str">
        <x:v>待定</x:v>
      </x:c>
      <x:c r="N88" s="68" t="str">
        <x:v>待定</x:v>
      </x:c>
      <x:c r="O88" s="68" t="str">
        <x:v>待定</x:v>
      </x:c>
      <x:c r="P88" s="68" t="str">
        <x:v>待定</x:v>
      </x:c>
      <x:c r="Q88" s="82" t="str">
        <x:v>待定</x:v>
      </x:c>
      <x:c r="R88" s="82" t="str">
        <x:v>其他</x:v>
      </x:c>
      <x:c r="S88" s="68" t="str">
        <x:v>待定</x:v>
      </x:c>
      <x:c r="T88" s="68" t="str">
        <x:v>存在两种以上可解决同一卡点的路径</x:v>
      </x:c>
      <x:c r="U88" s="68" t="str">
        <x:v>候选A/B并列</x:v>
      </x:c>
      <x:c r="V88" s="68" t="str">
        <x:v>比较通路强度、所需条件、调候、格局和承载副作用</x:v>
      </x:c>
      <x:c r="W88" s="90" t="str">
        <x:v>需检查对调候、格局、日主承载及其他通路的副作用</x:v>
      </x:c>
      <x:c r="X88" s="68" t="str">
        <x:v>M06关系效应、M08五行有效旺衰、M10十神功能与M11组合判断已完成</x:v>
      </x:c>
      <x:c r="Y88" s="68" t="str">
        <x:v>起点、桥梁、终点均按有效力量与实际作用路径判断</x:v>
      </x:c>
      <x:c r="Z88" s="68" t="str">
        <x:v>桥梁有根有源、透达、位置可达且不存在关键制约</x:v>
      </x:c>
      <x:c r="AA88" s="68" t="str">
        <x:v>桥梁失令、无根、受克、合绊、改性或同时被多路调用</x:v>
      </x:c>
      <x:c r="AB88" s="90" t="str">
        <x:v>不得仅因五行缺失、数量少或关系名称直接认定卡点或通关用神</x:v>
      </x:c>
      <x:c r="AC88" s="68" t="str">
        <x:v>若存在更短、更强或副作用更小的替代路径，应并列比较后再裁定</x:v>
      </x:c>
      <x:c r="AD88" s="84" t="str">
        <x:v>通关候选排序</x:v>
      </x:c>
      <x:c r="AE88" s="84" t="str">
        <x:v>多个通关候选并存时，M12仅排序“通路效率＋副作用”；最终主次由M17/M18裁决。</x:v>
      </x:c>
      <x:c r="AF88" s="82" t="str">
        <x:v>较高</x:v>
      </x:c>
      <x:c r="AG88" s="82" t="str">
        <x:v>现代综合</x:v>
      </x:c>
      <x:c r="AH88" s="68" t="str">
        <x:v>流通判断以五行有效力量、生克顺序与十神功能为核心；古典依据可参照《滴天髓》《渊海子平》。 https://zh.wikisource.org/wiki/%E6%BB%B4%E5%A4%A9%E9%AB%93%E9%97%A1%E5%BE%AE https://zh.wikisource.org/zh-hans/%E6%B7%B5%E6%B5%B7%E5%AD%90%E5%B9%B3</x:v>
      </x:c>
      <x:c r="AI88" s="68" t="str">
        <x:v>当“存在两种以上可解决同一卡点的路径”真实成立，且桥梁具备有效力量和连续作用条件时，可按“多个通关候选并存时优先副作用更小者”记录。</x:v>
      </x:c>
      <x:c r="AJ88" s="90" t="str">
        <x:v>仅见表面缺失或五行相克，但未证明“存在两种以上可解决同一卡点的路径”形成实际阻断时，不得套用“多个通关候选并存时优先副作用更小者”。</x:v>
      </x:c>
      <x:c r="AK88" s="82" t="str">
        <x:v>采用</x:v>
      </x:c>
      <x:c r="AL88" s="82" t="str">
        <x:v>初审</x:v>
      </x:c>
      <x:c r="AM88" s="87" t="n">
        <x:v>46255</x:v>
      </x:c>
    </x:row>
    <x:row r="89">
      <x:c r="A89" s="72" t="str">
        <x:f>IF(OR(C89="",D89=""),"",B89&amp;"-"&amp;UPPER(C89)&amp;"-"&amp;TEXT(D89,"0000")&amp;"-"&amp;E89)</x:f>
        <x:v>M12-AGG-0083-V1.0</x:v>
      </x:c>
      <x:c r="B89" s="74" t="str">
        <x:v>M12</x:v>
      </x:c>
      <x:c r="C89" s="74" t="str">
        <x:v>AGG</x:v>
      </x:c>
      <x:c r="D89" s="215" t="n">
        <x:v>83</x:v>
      </x:c>
      <x:c r="E89" s="74" t="str">
        <x:v>V1.0</x:v>
      </x:c>
      <x:c r="F89" s="68" t="str">
        <x:v>主流通路径按覆盖范围和稳定性排序</x:v>
      </x:c>
      <x:c r="G89" s="82" t="str">
        <x:v>结构层</x:v>
      </x:c>
      <x:c r="H89" s="68" t="str">
        <x:v>综合路径</x:v>
      </x:c>
      <x:c r="I89" s="68" t="str">
        <x:v>多个起点</x:v>
      </x:c>
      <x:c r="J89" s="68" t="str">
        <x:v>多个桥梁</x:v>
      </x:c>
      <x:c r="K89" s="68" t="str">
        <x:v>多个终点</x:v>
      </x:c>
      <x:c r="L89" s="82" t="str">
        <x:v>待定</x:v>
      </x:c>
      <x:c r="M89" s="82" t="str">
        <x:v>待定</x:v>
      </x:c>
      <x:c r="N89" s="68" t="str">
        <x:v>待定</x:v>
      </x:c>
      <x:c r="O89" s="68" t="str">
        <x:v>待定</x:v>
      </x:c>
      <x:c r="P89" s="68" t="str">
        <x:v>待定</x:v>
      </x:c>
      <x:c r="Q89" s="82" t="str">
        <x:v>待定</x:v>
      </x:c>
      <x:c r="R89" s="82" t="str">
        <x:v>其他</x:v>
      </x:c>
      <x:c r="S89" s="68" t="str">
        <x:v>待定</x:v>
      </x:c>
      <x:c r="T89" s="68" t="str">
        <x:v>原局存在多条有效生化链，但作用范围和稳定性不同</x:v>
      </x:c>
      <x:c r="U89" s="68" t="str">
        <x:v>待定</x:v>
      </x:c>
      <x:c r="V89" s="68" t="str">
        <x:v>待定</x:v>
      </x:c>
      <x:c r="W89" s="90" t="str">
        <x:v>需检查对调候、格局、日主承载及其他通路的副作用</x:v>
      </x:c>
      <x:c r="X89" s="68" t="str">
        <x:v>M06关系效应、M08五行有效旺衰、M10十神功能与M11组合判断已完成</x:v>
      </x:c>
      <x:c r="Y89" s="68" t="str">
        <x:v>起点、桥梁、终点均按有效力量与实际作用路径判断</x:v>
      </x:c>
      <x:c r="Z89" s="68" t="str">
        <x:v>桥梁有根有源、透达、位置可达且不存在关键制约</x:v>
      </x:c>
      <x:c r="AA89" s="68" t="str">
        <x:v>桥梁失令、无根、受克、合绊、改性或同时被多路调用</x:v>
      </x:c>
      <x:c r="AB89" s="90" t="str">
        <x:v>不得仅因五行缺失、数量少或关系名称直接认定卡点或通关用神</x:v>
      </x:c>
      <x:c r="AC89" s="68" t="str">
        <x:v>若存在更短、更强或副作用更小的替代路径，应并列比较后再裁定</x:v>
      </x:c>
      <x:c r="AD89" s="84" t="str">
        <x:v>主流通路径排序</x:v>
      </x:c>
      <x:c r="AE89" s="84" t="str">
        <x:v>优先输出覆盖核心五行/十神最多、桥梁最稳定、路径更短且副作用较小的1—3条主流通路径。</x:v>
      </x:c>
      <x:c r="AF89" s="82" t="str">
        <x:v>较高</x:v>
      </x:c>
      <x:c r="AG89" s="82" t="str">
        <x:v>现代综合</x:v>
      </x:c>
      <x:c r="AH89" s="68" t="str">
        <x:v>流通判断以五行有效力量、生克顺序与十神功能为核心；古典依据可参照《滴天髓》《渊海子平》。 https://zh.wikisource.org/wiki/%E6%BB%B4%E5%A4%A9%E9%AB%93%E9%97%A1%E5%BE%AE https://zh.wikisource.org/zh-hans/%E6%B7%B5%E6%B5%B7%E5%AD%90%E5%B9%B3</x:v>
      </x:c>
      <x:c r="AI89" s="68" t="str">
        <x:v>当“原局存在多条有效生化链，但作用范围和稳定性不同”真实成立，且桥梁具备有效力量和连续作用条件时，可按“主流通路径按覆盖范围和稳定性排序”记录。</x:v>
      </x:c>
      <x:c r="AJ89" s="90" t="str">
        <x:v>仅见表面缺失或五行相克，但未证明“原局存在多条有效生化链，但作用范围和稳定性不同”形成实际阻断时，不得套用“主流通路径按覆盖范围和稳定性排序”。</x:v>
      </x:c>
      <x:c r="AK89" s="82" t="str">
        <x:v>采用</x:v>
      </x:c>
      <x:c r="AL89" s="82" t="str">
        <x:v>初审</x:v>
      </x:c>
      <x:c r="AM89" s="87" t="n">
        <x:v>46255</x:v>
      </x:c>
    </x:row>
    <x:row r="90">
      <x:c r="A90" s="72" t="str">
        <x:f>IF(OR(C90="",D90=""),"",B90&amp;"-"&amp;UPPER(C90)&amp;"-"&amp;TEXT(D90,"0000")&amp;"-"&amp;E90)</x:f>
        <x:v>M12-AGG-0084-V1.0</x:v>
      </x:c>
      <x:c r="B90" s="74" t="str">
        <x:v>M12</x:v>
      </x:c>
      <x:c r="C90" s="74" t="str">
        <x:v>AGG</x:v>
      </x:c>
      <x:c r="D90" s="215" t="n">
        <x:v>84</x:v>
      </x:c>
      <x:c r="E90" s="74" t="str">
        <x:v>V1.0</x:v>
      </x:c>
      <x:c r="F90" s="68" t="str">
        <x:v>主卡点按阻断强度和影响范围排序</x:v>
      </x:c>
      <x:c r="G90" s="82" t="str">
        <x:v>结构层</x:v>
      </x:c>
      <x:c r="H90" s="68" t="str">
        <x:v>综合路径</x:v>
      </x:c>
      <x:c r="I90" s="68" t="str">
        <x:v>多路径</x:v>
      </x:c>
      <x:c r="J90" s="68" t="str">
        <x:v>多卡点</x:v>
      </x:c>
      <x:c r="K90" s="68" t="str">
        <x:v>多终点</x:v>
      </x:c>
      <x:c r="L90" s="82" t="str">
        <x:v>待定</x:v>
      </x:c>
      <x:c r="M90" s="82" t="str">
        <x:v>待定</x:v>
      </x:c>
      <x:c r="N90" s="68" t="str">
        <x:v>待定</x:v>
      </x:c>
      <x:c r="O90" s="68" t="str">
        <x:v>待定</x:v>
      </x:c>
      <x:c r="P90" s="68" t="str">
        <x:v>待定</x:v>
      </x:c>
      <x:c r="Q90" s="82" t="str">
        <x:v>局部阻塞</x:v>
      </x:c>
      <x:c r="R90" s="82" t="str">
        <x:v>其他</x:v>
      </x:c>
      <x:c r="S90" s="68" t="str">
        <x:v>待定</x:v>
      </x:c>
      <x:c r="T90" s="68" t="str">
        <x:v>多个卡点对全局影响程度不同</x:v>
      </x:c>
      <x:c r="U90" s="68" t="str">
        <x:v>待定</x:v>
      </x:c>
      <x:c r="V90" s="68" t="str">
        <x:v>待定</x:v>
      </x:c>
      <x:c r="W90" s="90" t="str">
        <x:v>需检查对调候、格局、日主承载及其他通路的副作用</x:v>
      </x:c>
      <x:c r="X90" s="68" t="str">
        <x:v>M06关系效应、M08五行有效旺衰、M10十神功能与M11组合判断已完成</x:v>
      </x:c>
      <x:c r="Y90" s="68" t="str">
        <x:v>起点、桥梁、终点均按有效力量与实际作用路径判断</x:v>
      </x:c>
      <x:c r="Z90" s="68" t="str">
        <x:v>桥梁有根有源、透达、位置可达且不存在关键制约</x:v>
      </x:c>
      <x:c r="AA90" s="68" t="str">
        <x:v>桥梁失令、无根、受克、合绊、改性或同时被多路调用</x:v>
      </x:c>
      <x:c r="AB90" s="90" t="str">
        <x:v>不得仅因五行缺失、数量少或关系名称直接认定卡点或通关用神</x:v>
      </x:c>
      <x:c r="AC90" s="68" t="str">
        <x:v>若存在更短、更强或副作用更小的替代路径，应并列比较后再裁定</x:v>
      </x:c>
      <x:c r="AD90" s="84" t="str">
        <x:v>主卡点排序</x:v>
      </x:c>
      <x:c r="AE90" s="84" t="str">
        <x:v>卡点排序至少考虑：是否切断主路径、涉及核心组合、阻断强度、可替代性和后续副作用。</x:v>
      </x:c>
      <x:c r="AF90" s="82" t="str">
        <x:v>较高</x:v>
      </x:c>
      <x:c r="AG90" s="82" t="str">
        <x:v>现代综合</x:v>
      </x:c>
      <x:c r="AH90" s="68" t="str">
        <x:v>流通判断以五行有效力量、生克顺序与十神功能为核心；古典依据可参照《滴天髓》《渊海子平》。 https://zh.wikisource.org/wiki/%E6%BB%B4%E5%A4%A9%E9%AB%93%E9%97%A1%E5%BE%AE https://zh.wikisource.org/zh-hans/%E6%B7%B5%E6%B5%B7%E5%AD%90%E5%B9%B3</x:v>
      </x:c>
      <x:c r="AI90" s="68" t="str">
        <x:v>当“多个卡点对全局影响程度不同”真实成立，且桥梁具备有效力量和连续作用条件时，可按“主卡点按阻断强度和影响范围排序”记录。</x:v>
      </x:c>
      <x:c r="AJ90" s="90" t="str">
        <x:v>仅见表面缺失或五行相克，但未证明“多个卡点对全局影响程度不同”形成实际阻断时，不得套用“主卡点按阻断强度和影响范围排序”。</x:v>
      </x:c>
      <x:c r="AK90" s="82" t="str">
        <x:v>采用</x:v>
      </x:c>
      <x:c r="AL90" s="82" t="str">
        <x:v>初审</x:v>
      </x:c>
      <x:c r="AM90" s="87" t="n">
        <x:v>46255</x:v>
      </x:c>
    </x:row>
    <x:row r="91">
      <x:c r="A91" s="72" t="str">
        <x:f>IF(OR(C91="",D91=""),"",B91&amp;"-"&amp;UPPER(C91)&amp;"-"&amp;TEXT(D91,"0000")&amp;"-"&amp;E91)</x:f>
        <x:v>M12-AGG-0085-V1.0</x:v>
      </x:c>
      <x:c r="B91" s="74" t="str">
        <x:v>M12</x:v>
      </x:c>
      <x:c r="C91" s="74" t="str">
        <x:v>AGG</x:v>
      </x:c>
      <x:c r="D91" s="215" t="n">
        <x:v>85</x:v>
      </x:c>
      <x:c r="E91" s="74" t="str">
        <x:v>V1.0</x:v>
      </x:c>
      <x:c r="F91" s="68" t="str">
        <x:v>流通结论必须保留反向证据</x:v>
      </x:c>
      <x:c r="G91" s="82" t="str">
        <x:v>结构层</x:v>
      </x:c>
      <x:c r="H91" s="68" t="str">
        <x:v>综合路径</x:v>
      </x:c>
      <x:c r="I91" s="68" t="str">
        <x:v>主路径</x:v>
      </x:c>
      <x:c r="J91" s="68" t="str">
        <x:v>关键桥梁</x:v>
      </x:c>
      <x:c r="K91" s="68" t="str">
        <x:v>终点</x:v>
      </x:c>
      <x:c r="L91" s="82" t="str">
        <x:v>待定</x:v>
      </x:c>
      <x:c r="M91" s="82" t="str">
        <x:v>待定</x:v>
      </x:c>
      <x:c r="N91" s="68" t="str">
        <x:v>待定</x:v>
      </x:c>
      <x:c r="O91" s="68" t="str">
        <x:v>待定</x:v>
      </x:c>
      <x:c r="P91" s="68" t="str">
        <x:v>待定</x:v>
      </x:c>
      <x:c r="Q91" s="82" t="str">
        <x:v>待定</x:v>
      </x:c>
      <x:c r="R91" s="82" t="str">
        <x:v>其他</x:v>
      </x:c>
      <x:c r="S91" s="68" t="str">
        <x:v>待定</x:v>
      </x:c>
      <x:c r="T91" s="68" t="str">
        <x:v>主结论存在支持与反对证据并存</x:v>
      </x:c>
      <x:c r="U91" s="68" t="str">
        <x:v>待定</x:v>
      </x:c>
      <x:c r="V91" s="68" t="str">
        <x:v>待定</x:v>
      </x:c>
      <x:c r="W91" s="90" t="str">
        <x:v>需检查对调候、格局、日主承载及其他通路的副作用</x:v>
      </x:c>
      <x:c r="X91" s="68" t="str">
        <x:v>M06关系效应、M08五行有效旺衰、M10十神功能与M11组合判断已完成</x:v>
      </x:c>
      <x:c r="Y91" s="68" t="str">
        <x:v>起点、桥梁、终点均按有效力量与实际作用路径判断</x:v>
      </x:c>
      <x:c r="Z91" s="68" t="str">
        <x:v>桥梁有根有源、透达、位置可达且不存在关键制约</x:v>
      </x:c>
      <x:c r="AA91" s="68" t="str">
        <x:v>桥梁失令、无根、受克、合绊、改性或同时被多路调用</x:v>
      </x:c>
      <x:c r="AB91" s="90" t="str">
        <x:v>不得仅因五行缺失、数量少或关系名称直接认定卡点或通关用神</x:v>
      </x:c>
      <x:c r="AC91" s="68" t="str">
        <x:v>若存在更短、更强或副作用更小的替代路径，应并列比较后再裁定</x:v>
      </x:c>
      <x:c r="AD91" s="84" t="str">
        <x:v>流通反证输出</x:v>
      </x:c>
      <x:c r="AE91" s="84" t="str">
        <x:v>每个主路径/卡点同时记录支持证据、反向证据、替代路径与置信度；争议大时降低置信度。</x:v>
      </x:c>
      <x:c r="AF91" s="82" t="str">
        <x:v>较高</x:v>
      </x:c>
      <x:c r="AG91" s="82" t="str">
        <x:v>现代综合</x:v>
      </x:c>
      <x:c r="AH91" s="68" t="str">
        <x:v>流通判断以五行有效力量、生克顺序与十神功能为核心；古典依据可参照《滴天髓》《渊海子平》。 https://zh.wikisource.org/wiki/%E6%BB%B4%E5%A4%A9%E9%AB%93%E9%97%A1%E5%BE%AE https://zh.wikisource.org/zh-hans/%E6%B7%B5%E6%B5%B7%E5%AD%90%E5%B9%B3</x:v>
      </x:c>
      <x:c r="AI91" s="68" t="str">
        <x:v>当“主结论存在支持与反对证据并存”真实成立，且桥梁具备有效力量和连续作用条件时，可按“流通结论必须保留反向证据”记录。</x:v>
      </x:c>
      <x:c r="AJ91" s="90" t="str">
        <x:v>仅见表面缺失或五行相克，但未证明“主结论存在支持与反对证据并存”形成实际阻断时，不得套用“流通结论必须保留反向证据”。</x:v>
      </x:c>
      <x:c r="AK91" s="82" t="str">
        <x:v>采用</x:v>
      </x:c>
      <x:c r="AL91" s="82" t="str">
        <x:v>初审</x:v>
      </x:c>
      <x:c r="AM91" s="87" t="n">
        <x:v>46255</x:v>
      </x:c>
    </x:row>
    <x:row r="92">
      <x:c r="A92" s="72" t="str">
        <x:f>IF(OR(C92="",D92=""),"",B92&amp;"-"&amp;UPPER(C92)&amp;"-"&amp;TEXT(D92,"0000")&amp;"-"&amp;E92)</x:f>
        <x:v>M12-AGG-0086-V1.0</x:v>
      </x:c>
      <x:c r="B92" s="74" t="str">
        <x:v>M12</x:v>
      </x:c>
      <x:c r="C92" s="74" t="str">
        <x:v>AGG</x:v>
      </x:c>
      <x:c r="D92" s="215" t="n">
        <x:v>86</x:v>
      </x:c>
      <x:c r="E92" s="74" t="str">
        <x:v>V1.0</x:v>
      </x:c>
      <x:c r="F92" s="68" t="str">
        <x:v>M12最终输出统一包含路径、卡点、通关和副作用</x:v>
      </x:c>
      <x:c r="G92" s="82" t="str">
        <x:v>结构层</x:v>
      </x:c>
      <x:c r="H92" s="68" t="str">
        <x:v>综合路径</x:v>
      </x:c>
      <x:c r="I92" s="68" t="str">
        <x:v>主起点</x:v>
      </x:c>
      <x:c r="J92" s="68" t="str">
        <x:v>主桥梁</x:v>
      </x:c>
      <x:c r="K92" s="68" t="str">
        <x:v>主终点</x:v>
      </x:c>
      <x:c r="L92" s="82" t="str">
        <x:v>待定</x:v>
      </x:c>
      <x:c r="M92" s="82" t="str">
        <x:v>待定</x:v>
      </x:c>
      <x:c r="N92" s="68" t="str">
        <x:v>待定</x:v>
      </x:c>
      <x:c r="O92" s="68" t="str">
        <x:v>待定</x:v>
      </x:c>
      <x:c r="P92" s="68" t="str">
        <x:v>待定</x:v>
      </x:c>
      <x:c r="Q92" s="82" t="str">
        <x:v>待定</x:v>
      </x:c>
      <x:c r="R92" s="82" t="str">
        <x:v>其他</x:v>
      </x:c>
      <x:c r="S92" s="68" t="str">
        <x:v>待定</x:v>
      </x:c>
      <x:c r="T92" s="68" t="str">
        <x:v>M12完成全局流通扫描</x:v>
      </x:c>
      <x:c r="U92" s="68" t="str">
        <x:v>待定</x:v>
      </x:c>
      <x:c r="V92" s="68" t="str">
        <x:v>待定</x:v>
      </x:c>
      <x:c r="W92" s="90" t="str">
        <x:v>需检查对调候、格局、日主承载及其他通路的副作用</x:v>
      </x:c>
      <x:c r="X92" s="68" t="str">
        <x:v>M06关系效应、M08五行有效旺衰、M10十神功能与M11组合判断已完成</x:v>
      </x:c>
      <x:c r="Y92" s="68" t="str">
        <x:v>起点、桥梁、终点均按有效力量与实际作用路径判断</x:v>
      </x:c>
      <x:c r="Z92" s="68" t="str">
        <x:v>桥梁有根有源、透达、位置可达且不存在关键制约</x:v>
      </x:c>
      <x:c r="AA92" s="68" t="str">
        <x:v>桥梁失令、无根、受克、合绊、改性或同时被多路调用</x:v>
      </x:c>
      <x:c r="AB92" s="90" t="str">
        <x:v>不得仅因五行缺失、数量少或关系名称直接认定卡点或通关用神</x:v>
      </x:c>
      <x:c r="AC92" s="68" t="str">
        <x:v>若存在更短、更强或副作用更小的替代路径，应并列比较后再裁定</x:v>
      </x:c>
      <x:c r="AD92" s="84" t="str">
        <x:v>M12标准输出</x:v>
      </x:c>
      <x:c r="AE92" s="84" t="str">
        <x:v>M12最终至少输出：主流通路径、起点强度、关键桥梁及状态、终点承载、流通状态、主卡点、卡点原因、通关候选、成立条件、副作用、替代路径与置信度。</x:v>
      </x:c>
      <x:c r="AF92" s="82" t="str">
        <x:v>较高</x:v>
      </x:c>
      <x:c r="AG92" s="82" t="str">
        <x:v>现代综合</x:v>
      </x:c>
      <x:c r="AH92" s="68" t="str">
        <x:v>流通判断以五行有效力量、生克顺序与十神功能为核心；古典依据可参照《滴天髓》《渊海子平》。 https://zh.wikisource.org/wiki/%E6%BB%B4%E5%A4%A9%E9%AB%93%E9%97%A1%E5%BE%AE https://zh.wikisource.org/zh-hans/%E6%B7%B5%E6%B5%B7%E5%AD%90%E5%B9%B3</x:v>
      </x:c>
      <x:c r="AI92" s="68" t="str">
        <x:v>当“M12完成全局流通扫描”真实成立，且桥梁具备有效力量和连续作用条件时，可按“M12最终输出统一包含路径、卡点、通关和副作用”记录。</x:v>
      </x:c>
      <x:c r="AJ92" s="90" t="str">
        <x:v>仅见表面缺失或五行相克，但未证明“M12完成全局流通扫描”形成实际阻断时，不得套用“M12最终输出统一包含路径、卡点、通关和副作用”。</x:v>
      </x:c>
      <x:c r="AK92" s="82" t="str">
        <x:v>采用</x:v>
      </x:c>
      <x:c r="AL92" s="82" t="str">
        <x:v>初审</x:v>
      </x:c>
      <x:c r="AM92" s="87" t="n">
        <x:v>46255</x:v>
      </x:c>
    </x:row>
    <x:row r="93">
      <x:c r="A93" s="72" t="str">
        <x:f>IF(OR(C93="",D93=""),"",B93&amp;"-"&amp;UPPER(C93)&amp;"-"&amp;TEXT(D93,"0000")&amp;"-"&amp;E93)</x:f>
        <x:v>M12-BOUND-0087-V1.0</x:v>
      </x:c>
      <x:c r="B93" s="74" t="str">
        <x:v>M12</x:v>
      </x:c>
      <x:c r="C93" s="74" t="str">
        <x:v>BOUND</x:v>
      </x:c>
      <x:c r="D93" s="215" t="n">
        <x:v>87</x:v>
      </x:c>
      <x:c r="E93" s="74" t="str">
        <x:v>V1.0</x:v>
      </x:c>
      <x:c r="F93" s="68" t="str">
        <x:v>缺什么补什么不属于M12规则</x:v>
      </x:c>
      <x:c r="G93" s="82" t="str">
        <x:v>结构层</x:v>
      </x:c>
      <x:c r="H93" s="68" t="str">
        <x:v>五行生化路径</x:v>
      </x:c>
      <x:c r="I93" s="68" t="str">
        <x:v>待定</x:v>
      </x:c>
      <x:c r="J93" s="68" t="str">
        <x:v>待定</x:v>
      </x:c>
      <x:c r="K93" s="68" t="str">
        <x:v>待定</x:v>
      </x:c>
      <x:c r="L93" s="82" t="str">
        <x:v>待定</x:v>
      </x:c>
      <x:c r="M93" s="82" t="str">
        <x:v>待定</x:v>
      </x:c>
      <x:c r="N93" s="68" t="str">
        <x:v>待定</x:v>
      </x:c>
      <x:c r="O93" s="68" t="str">
        <x:v>待定</x:v>
      </x:c>
      <x:c r="P93" s="68" t="str">
        <x:v>待定</x:v>
      </x:c>
      <x:c r="Q93" s="82" t="str">
        <x:v>待定</x:v>
      </x:c>
      <x:c r="R93" s="82" t="str">
        <x:v>缺桥</x:v>
      </x:c>
      <x:c r="S93" s="68" t="str">
        <x:v>待定</x:v>
      </x:c>
      <x:c r="T93" s="68" t="str">
        <x:v>仅因某五行在八字中缺失就直接判断需要补入</x:v>
      </x:c>
      <x:c r="U93" s="68" t="str">
        <x:v>待定</x:v>
      </x:c>
      <x:c r="V93" s="68" t="str">
        <x:v>待定</x:v>
      </x:c>
      <x:c r="W93" s="90" t="str">
        <x:v>需检查对调候、格局、日主承载及其他通路的副作用</x:v>
      </x:c>
      <x:c r="X93" s="68" t="str">
        <x:v>M06关系效应、M08五行有效旺衰、M10十神功能与M11组合判断已完成</x:v>
      </x:c>
      <x:c r="Y93" s="68" t="str">
        <x:v>起点、桥梁、终点均按有效力量与实际作用路径判断</x:v>
      </x:c>
      <x:c r="Z93" s="68" t="str">
        <x:v>桥梁有根有源、透达、位置可达且不存在关键制约</x:v>
      </x:c>
      <x:c r="AA93" s="68" t="str">
        <x:v>桥梁失令、无根、受克、合绊、改性或同时被多路调用</x:v>
      </x:c>
      <x:c r="AB93" s="90" t="str">
        <x:v>只有当该缺失五行确为关键路径不可替代桥梁，并且补入副作用可接受时，才能列为通关候选</x:v>
      </x:c>
      <x:c r="AC93" s="68" t="str">
        <x:v>若存在更短、更强或副作用更小的替代路径，应并列比较后再裁定</x:v>
      </x:c>
      <x:c r="AD93" s="84" t="str">
        <x:v>禁止缺啥补啥</x:v>
      </x:c>
      <x:c r="AE93" s="84" t="str">
        <x:v>缺什么补什么不属于M12规则：按起点—桥梁—终点检查有效力量、连续性与承载；卡点为“缺桥”时，仅生成通关候选，不直接定用神。</x:v>
      </x:c>
      <x:c r="AF93" s="82" t="str">
        <x:v>较高</x:v>
      </x:c>
      <x:c r="AG93" s="82" t="str">
        <x:v>现代综合</x:v>
      </x:c>
      <x:c r="AH93" s="68" t="str">
        <x:v>流通判断以五行有效力量、生克顺序与十神功能为核心；古典依据可参照《滴天髓》《渊海子平》。 https://zh.wikisource.org/wiki/%E6%BB%B4%E5%A4%A9%E9%AB%93%E9%97%A1%E5%BE%AE https://zh.wikisource.org/zh-hans/%E6%B7%B5%E6%B5%B7%E5%AD%90%E5%B9%B3</x:v>
      </x:c>
      <x:c r="AI93" s="68" t="str">
        <x:v>当“仅因某五行在八字中缺失就直接判断需要补入”真实成立，且桥梁具备有效力量和连续作用条件时，可按“缺什么补什么不属于M12规则”记录。</x:v>
      </x:c>
      <x:c r="AJ93" s="90" t="str">
        <x:v>仅见表面缺失或五行相克，但未证明“仅因某五行在八字中缺失就直接判断需要补入”形成实际阻断时，不得套用“缺什么补什么不属于M12规则”。</x:v>
      </x:c>
      <x:c r="AK93" s="82" t="str">
        <x:v>采用</x:v>
      </x:c>
      <x:c r="AL93" s="82" t="str">
        <x:v>初审</x:v>
      </x:c>
      <x:c r="AM93" s="87" t="n">
        <x:v>46255</x:v>
      </x:c>
    </x:row>
    <x:row r="94">
      <x:c r="A94" s="72" t="str">
        <x:f>IF(OR(C94="",D94=""),"",B94&amp;"-"&amp;UPPER(C94)&amp;"-"&amp;TEXT(D94,"0000")&amp;"-"&amp;E94)</x:f>
        <x:v>M12-BOUND-0088-V1.0</x:v>
      </x:c>
      <x:c r="B94" s="74" t="str">
        <x:v>M12</x:v>
      </x:c>
      <x:c r="C94" s="74" t="str">
        <x:v>BOUND</x:v>
      </x:c>
      <x:c r="D94" s="215" t="n">
        <x:v>88</x:v>
      </x:c>
      <x:c r="E94" s="74" t="str">
        <x:v>V1.0</x:v>
      </x:c>
      <x:c r="F94" s="68" t="str">
        <x:v>旺而不流通与力量弱必须区分</x:v>
      </x:c>
      <x:c r="G94" s="82" t="str">
        <x:v>结构层</x:v>
      </x:c>
      <x:c r="H94" s="68" t="str">
        <x:v>五行生化路径</x:v>
      </x:c>
      <x:c r="I94" s="68" t="str">
        <x:v>旺强五行</x:v>
      </x:c>
      <x:c r="J94" s="68" t="str">
        <x:v>失效下游</x:v>
      </x:c>
      <x:c r="K94" s="68" t="str">
        <x:v>终点</x:v>
      </x:c>
      <x:c r="L94" s="82" t="str">
        <x:v>旺</x:v>
      </x:c>
      <x:c r="M94" s="82" t="str">
        <x:v>待定</x:v>
      </x:c>
      <x:c r="N94" s="68" t="str">
        <x:v>待定</x:v>
      </x:c>
      <x:c r="O94" s="68" t="str">
        <x:v>待定</x:v>
      </x:c>
      <x:c r="P94" s="68" t="str">
        <x:v>待定</x:v>
      </x:c>
      <x:c r="Q94" s="82" t="str">
        <x:v>局部阻塞</x:v>
      </x:c>
      <x:c r="R94" s="82" t="str">
        <x:v>源头过旺无泄</x:v>
      </x:c>
      <x:c r="S94" s="68" t="str">
        <x:v>待定</x:v>
      </x:c>
      <x:c r="T94" s="68" t="str">
        <x:v>起点本身很强，但缺少有效输出路径</x:v>
      </x:c>
      <x:c r="U94" s="68" t="str">
        <x:v>待定</x:v>
      </x:c>
      <x:c r="V94" s="68" t="str">
        <x:v>待定</x:v>
      </x:c>
      <x:c r="W94" s="90" t="str">
        <x:v>需检查对调候、格局、日主承载及其他通路的副作用</x:v>
      </x:c>
      <x:c r="X94" s="68" t="str">
        <x:v>M06关系效应、M08五行有效旺衰、M10十神功能与M11组合判断已完成</x:v>
      </x:c>
      <x:c r="Y94" s="68" t="str">
        <x:v>起点、桥梁、终点均按有效力量与实际作用路径判断</x:v>
      </x:c>
      <x:c r="Z94" s="68" t="str">
        <x:v>桥梁有根有源、透达、位置可达且不存在关键制约</x:v>
      </x:c>
      <x:c r="AA94" s="68" t="str">
        <x:v>桥梁失令、无根、受克、合绊、改性或同时被多路调用</x:v>
      </x:c>
      <x:c r="AB94" s="90" t="str">
        <x:v>不得仅因五行缺失、数量少或关系名称直接认定卡点或通关用神</x:v>
      </x:c>
      <x:c r="AC94" s="68" t="str">
        <x:v>若存在更短、更强或副作用更小的替代路径，应并列比较后再裁定</x:v>
      </x:c>
      <x:c r="AD94" s="84" t="str">
        <x:v>力量与流通分离</x:v>
      </x:c>
      <x:c r="AE94" s="84" t="str">
        <x:v>旺而不流通仍判该五行旺；流通问题记录为功能壅塞，不得因此把五行旺衰下调为弱。</x:v>
      </x:c>
      <x:c r="AF94" s="82" t="str">
        <x:v>较高</x:v>
      </x:c>
      <x:c r="AG94" s="82" t="str">
        <x:v>现代综合</x:v>
      </x:c>
      <x:c r="AH94" s="68" t="str">
        <x:v>流通判断以五行有效力量、生克顺序与十神功能为核心；古典依据可参照《滴天髓》《渊海子平》。 https://zh.wikisource.org/wiki/%E6%BB%B4%E5%A4%A9%E9%AB%93%E9%97%A1%E5%BE%AE https://zh.wikisource.org/zh-hans/%E6%B7%B5%E6%B5%B7%E5%AD%90%E5%B9%B3</x:v>
      </x:c>
      <x:c r="AI94" s="68" t="str">
        <x:v>当“起点本身很强，但缺少有效输出路径”真实成立，且桥梁具备有效力量和连续作用条件时，可按“旺而不流通与力量弱必须区分”记录。</x:v>
      </x:c>
      <x:c r="AJ94" s="90" t="str">
        <x:v>仅见表面缺失或五行相克，但未证明“起点本身很强，但缺少有效输出路径”形成实际阻断时，不得套用“旺而不流通与力量弱必须区分”。</x:v>
      </x:c>
      <x:c r="AK94" s="82" t="str">
        <x:v>采用</x:v>
      </x:c>
      <x:c r="AL94" s="82" t="str">
        <x:v>初审</x:v>
      </x:c>
      <x:c r="AM94" s="87" t="n">
        <x:v>46255</x:v>
      </x:c>
    </x:row>
    <x:row r="95">
      <x:c r="A95" s="72" t="str">
        <x:f>IF(OR(C95="",D95=""),"",B95&amp;"-"&amp;UPPER(C95)&amp;"-"&amp;TEXT(D95,"0000")&amp;"-"&amp;E95)</x:f>
        <x:v>M12-BOUND-0089-V1.0</x:v>
      </x:c>
      <x:c r="B95" s="74" t="str">
        <x:v>M12</x:v>
      </x:c>
      <x:c r="C95" s="74" t="str">
        <x:v>BOUND</x:v>
      </x:c>
      <x:c r="D95" s="215" t="n">
        <x:v>89</x:v>
      </x:c>
      <x:c r="E95" s="74" t="str">
        <x:v>V1.0</x:v>
      </x:c>
      <x:c r="F95" s="68" t="str">
        <x:v>流通通畅不等于该路径一定为喜</x:v>
      </x:c>
      <x:c r="G95" s="82" t="str">
        <x:v>结构层</x:v>
      </x:c>
      <x:c r="H95" s="68" t="str">
        <x:v>五行生化路径</x:v>
      </x:c>
      <x:c r="I95" s="68" t="str">
        <x:v>待定</x:v>
      </x:c>
      <x:c r="J95" s="68" t="str">
        <x:v>待定</x:v>
      </x:c>
      <x:c r="K95" s="68" t="str">
        <x:v>待定</x:v>
      </x:c>
      <x:c r="L95" s="82" t="str">
        <x:v>待定</x:v>
      </x:c>
      <x:c r="M95" s="82" t="str">
        <x:v>待定</x:v>
      </x:c>
      <x:c r="N95" s="68" t="str">
        <x:v>待定</x:v>
      </x:c>
      <x:c r="O95" s="68" t="str">
        <x:v>待定</x:v>
      </x:c>
      <x:c r="P95" s="68" t="str">
        <x:v>待定</x:v>
      </x:c>
      <x:c r="Q95" s="82" t="str">
        <x:v>通畅</x:v>
      </x:c>
      <x:c r="R95" s="82" t="str">
        <x:v>其他</x:v>
      </x:c>
      <x:c r="S95" s="68" t="str">
        <x:v>待定</x:v>
      </x:c>
      <x:c r="T95" s="68" t="str">
        <x:v>某条生化链连续有效，但最终可能增强忌神、破坏格局或加重调候问题</x:v>
      </x:c>
      <x:c r="U95" s="68" t="str">
        <x:v>待定</x:v>
      </x:c>
      <x:c r="V95" s="68" t="str">
        <x:v>待定</x:v>
      </x:c>
      <x:c r="W95" s="90" t="str">
        <x:v>通畅只描述能量传递效率，价值判断转M16/M17/M18</x:v>
      </x:c>
      <x:c r="X95" s="68" t="str">
        <x:v>M06关系效应、M08五行有效旺衰、M10十神功能与M11组合判断已完成</x:v>
      </x:c>
      <x:c r="Y95" s="68" t="str">
        <x:v>起点、桥梁、终点均按有效力量与实际作用路径判断</x:v>
      </x:c>
      <x:c r="Z95" s="68" t="str">
        <x:v>桥梁有根有源、透达、位置可达且不存在关键制约</x:v>
      </x:c>
      <x:c r="AA95" s="68" t="str">
        <x:v>桥梁失令、无根、受克、合绊、改性或同时被多路调用</x:v>
      </x:c>
      <x:c r="AB95" s="90" t="str">
        <x:v>不得仅因五行缺失、数量少或关系名称直接认定卡点或通关用神</x:v>
      </x:c>
      <x:c r="AC95" s="68" t="str">
        <x:v>若存在更短、更强或副作用更小的替代路径，应并列比较后再裁定</x:v>
      </x:c>
      <x:c r="AD95" s="84" t="str">
        <x:v>流通与喜忌分离</x:v>
      </x:c>
      <x:c r="AE95" s="84" t="str">
        <x:v>流通通畅不等于该路径一定为喜：按起点—桥梁—终点检查有效力量、连续性与承载；卡点为“其他”时，仅生成通关候选，不直接定用神。</x:v>
      </x:c>
      <x:c r="AF95" s="82" t="str">
        <x:v>较高</x:v>
      </x:c>
      <x:c r="AG95" s="82" t="str">
        <x:v>现代综合</x:v>
      </x:c>
      <x:c r="AH95" s="68" t="str">
        <x:v>流通判断以五行有效力量、生克顺序与十神功能为核心；古典依据可参照《滴天髓》《渊海子平》。 https://zh.wikisource.org/wiki/%E6%BB%B4%E5%A4%A9%E9%AB%93%E9%97%A1%E5%BE%AE https://zh.wikisource.org/zh-hans/%E6%B7%B5%E6%B5%B7%E5%AD%90%E5%B9%B3</x:v>
      </x:c>
      <x:c r="AI95" s="68" t="str">
        <x:v>当“某条生化链连续有效，但最终可能增强忌神、破坏格局或加重调候问题”真实成立，且桥梁具备有效力量和连续作用条件时，可按“流通通畅不等于该路径一定为喜”记录。</x:v>
      </x:c>
      <x:c r="AJ95" s="90" t="str">
        <x:v>仅见表面缺失或五行相克，但未证明“某条生化链连续有效，但最终可能增强忌神、破坏格局或加重调候问题”形成实际阻断时，不得套用“流通通畅不等于该路径一定为喜”。</x:v>
      </x:c>
      <x:c r="AK95" s="82" t="str">
        <x:v>采用</x:v>
      </x:c>
      <x:c r="AL95" s="82" t="str">
        <x:v>初审</x:v>
      </x:c>
      <x:c r="AM95" s="87" t="n">
        <x:v>46255</x:v>
      </x:c>
    </x:row>
    <x:row r="96">
      <x:c r="A96" s="72" t="str">
        <x:f>IF(OR(C96="",D96=""),"",B96&amp;"-"&amp;UPPER(C96)&amp;"-"&amp;TEXT(D96,"0000")&amp;"-"&amp;E96)</x:f>
        <x:v>M12-BOUND-0090-V1.0</x:v>
      </x:c>
      <x:c r="B96" s="74" t="str">
        <x:v>M12</x:v>
      </x:c>
      <x:c r="C96" s="74" t="str">
        <x:v>BOUND</x:v>
      </x:c>
      <x:c r="D96" s="215" t="n">
        <x:v>90</x:v>
      </x:c>
      <x:c r="E96" s="74" t="str">
        <x:v>V1.0</x:v>
      </x:c>
      <x:c r="F96" s="68" t="str">
        <x:v>M12不直接输出具体事件或岁运时间</x:v>
      </x:c>
      <x:c r="G96" s="82" t="str">
        <x:v>结构层</x:v>
      </x:c>
      <x:c r="H96" s="68" t="str">
        <x:v>五行生化路径</x:v>
      </x:c>
      <x:c r="I96" s="68" t="str">
        <x:v>待定</x:v>
      </x:c>
      <x:c r="J96" s="68" t="str">
        <x:v>待定</x:v>
      </x:c>
      <x:c r="K96" s="68" t="str">
        <x:v>待定</x:v>
      </x:c>
      <x:c r="L96" s="82" t="str">
        <x:v>待定</x:v>
      </x:c>
      <x:c r="M96" s="82" t="str">
        <x:v>待定</x:v>
      </x:c>
      <x:c r="N96" s="68" t="str">
        <x:v>待定</x:v>
      </x:c>
      <x:c r="O96" s="68" t="str">
        <x:v>待定</x:v>
      </x:c>
      <x:c r="P96" s="68" t="str">
        <x:v>待定</x:v>
      </x:c>
      <x:c r="Q96" s="82" t="str">
        <x:v>待定</x:v>
      </x:c>
      <x:c r="R96" s="82" t="str">
        <x:v>其他</x:v>
      </x:c>
      <x:c r="S96" s="68" t="str">
        <x:v>待定</x:v>
      </x:c>
      <x:c r="T96" s="68" t="str">
        <x:v>流通和卡点属于原局静态结构</x:v>
      </x:c>
      <x:c r="U96" s="68" t="str">
        <x:v>待定</x:v>
      </x:c>
      <x:c r="V96" s="68" t="str">
        <x:v>待定</x:v>
      </x:c>
      <x:c r="W96" s="90" t="str">
        <x:v>需检查对调候、格局、日主承载及其他通路的副作用</x:v>
      </x:c>
      <x:c r="X96" s="68" t="str">
        <x:v>M06关系效应、M08五行有效旺衰、M10十神功能与M11组合判断已完成</x:v>
      </x:c>
      <x:c r="Y96" s="68" t="str">
        <x:v>起点、桥梁、终点均按有效力量与实际作用路径判断</x:v>
      </x:c>
      <x:c r="Z96" s="68" t="str">
        <x:v>桥梁有根有源、透达、位置可达且不存在关键制约</x:v>
      </x:c>
      <x:c r="AA96" s="68" t="str">
        <x:v>桥梁失令、无根、受克、合绊、改性或同时被多路调用</x:v>
      </x:c>
      <x:c r="AB96" s="90" t="str">
        <x:v>不得仅因五行缺失、数量少或关系名称直接认定卡点或通关用神</x:v>
      </x:c>
      <x:c r="AC96" s="68" t="str">
        <x:v>岁运如何补桥、冲开或加重卡点由后续动态作用引擎判断</x:v>
      </x:c>
      <x:c r="AD96" s="84" t="str">
        <x:v>流通静动态边界</x:v>
      </x:c>
      <x:c r="AE96" s="84" t="str">
        <x:v>M12只输出原局路径与卡点，不直接断某年某事。</x:v>
      </x:c>
      <x:c r="AF96" s="82" t="str">
        <x:v>较高</x:v>
      </x:c>
      <x:c r="AG96" s="82" t="str">
        <x:v>现代综合</x:v>
      </x:c>
      <x:c r="AH96" s="68" t="str">
        <x:v>流通判断以五行有效力量、生克顺序与十神功能为核心；古典依据可参照《滴天髓》《渊海子平》。 https://zh.wikisource.org/wiki/%E6%BB%B4%E5%A4%A9%E9%AB%93%E9%97%A1%E5%BE%AE https://zh.wikisource.org/zh-hans/%E6%B7%B5%E6%B5%B7%E5%AD%90%E5%B9%B3</x:v>
      </x:c>
      <x:c r="AI96" s="68" t="str">
        <x:v>当“流通和卡点属于原局静态结构”真实成立，且桥梁具备有效力量和连续作用条件时，可按“M12不直接输出具体事件或岁运时间”记录。</x:v>
      </x:c>
      <x:c r="AJ96" s="90" t="str">
        <x:v>仅见表面缺失或五行相克，但未证明“流通和卡点属于原局静态结构”形成实际阻断时，不得套用“M12不直接输出具体事件或岁运时间”。</x:v>
      </x:c>
      <x:c r="AK96" s="82" t="str">
        <x:v>采用</x:v>
      </x:c>
      <x:c r="AL96" s="82" t="str">
        <x:v>初审</x:v>
      </x:c>
      <x:c r="AM96" s="87" t="n">
        <x:v>46255</x:v>
      </x:c>
    </x:row>
    <x:row r="97">
      <x:c r="A97" s="72" t="str">
        <x:f>IF(OR(C97="",D97=""),"",B97&amp;"-"&amp;UPPER(C97)&amp;"-"&amp;TEXT(D97,"0000")&amp;"-"&amp;E97)</x:f>
      </x:c>
      <x:c r="B97" s="74" t="str">
        <x:v>M12</x:v>
      </x:c>
      <x:c r="C97" s="74"/>
      <x:c r="D97" s="79"/>
      <x:c r="E97" s="74" t="str">
        <x:v>V1.0</x:v>
      </x:c>
      <x:c r="F97" s="68"/>
      <x:c r="G97" s="82"/>
      <x:c r="H97" s="68"/>
      <x:c r="I97" s="68"/>
      <x:c r="J97" s="68"/>
      <x:c r="K97" s="68"/>
      <x:c r="L97" s="82"/>
      <x:c r="M97" s="82"/>
      <x:c r="N97" s="68"/>
      <x:c r="O97" s="68"/>
      <x:c r="P97" s="68"/>
      <x:c r="Q97" s="82"/>
      <x:c r="R97" s="82"/>
      <x:c r="S97" s="68"/>
      <x:c r="T97" s="68"/>
      <x:c r="U97" s="68"/>
      <x:c r="V97" s="68"/>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M12</x:v>
      </x:c>
      <x:c r="C98" s="74"/>
      <x:c r="D98" s="79"/>
      <x:c r="E98" s="74" t="str">
        <x:v>V1.0</x:v>
      </x:c>
      <x:c r="F98" s="68"/>
      <x:c r="G98" s="82"/>
      <x:c r="H98" s="68"/>
      <x:c r="I98" s="68"/>
      <x:c r="J98" s="68"/>
      <x:c r="K98" s="68"/>
      <x:c r="L98" s="82"/>
      <x:c r="M98" s="82"/>
      <x:c r="N98" s="68"/>
      <x:c r="O98" s="68"/>
      <x:c r="P98" s="68"/>
      <x:c r="Q98" s="82"/>
      <x:c r="R98" s="82"/>
      <x:c r="S98" s="68"/>
      <x:c r="T98" s="68"/>
      <x:c r="U98" s="68"/>
      <x:c r="V98" s="68"/>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M12</x:v>
      </x:c>
      <x:c r="C99" s="74"/>
      <x:c r="D99" s="79"/>
      <x:c r="E99" s="74" t="str">
        <x:v>V1.0</x:v>
      </x:c>
      <x:c r="F99" s="68"/>
      <x:c r="G99" s="82"/>
      <x:c r="H99" s="68"/>
      <x:c r="I99" s="68"/>
      <x:c r="J99" s="68"/>
      <x:c r="K99" s="68"/>
      <x:c r="L99" s="82"/>
      <x:c r="M99" s="82"/>
      <x:c r="N99" s="68"/>
      <x:c r="O99" s="68"/>
      <x:c r="P99" s="68"/>
      <x:c r="Q99" s="82"/>
      <x:c r="R99" s="82"/>
      <x:c r="S99" s="68"/>
      <x:c r="T99" s="68"/>
      <x:c r="U99" s="68"/>
      <x:c r="V99" s="68"/>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M12</x:v>
      </x:c>
      <x:c r="C100" s="74"/>
      <x:c r="D100" s="79"/>
      <x:c r="E100" s="74" t="str">
        <x:v>V1.0</x:v>
      </x:c>
      <x:c r="F100" s="68"/>
      <x:c r="G100" s="82"/>
      <x:c r="H100" s="68"/>
      <x:c r="I100" s="68"/>
      <x:c r="J100" s="68"/>
      <x:c r="K100" s="68"/>
      <x:c r="L100" s="82"/>
      <x:c r="M100" s="82"/>
      <x:c r="N100" s="68"/>
      <x:c r="O100" s="68"/>
      <x:c r="P100" s="68"/>
      <x:c r="Q100" s="82"/>
      <x:c r="R100" s="82"/>
      <x:c r="S100" s="68"/>
      <x:c r="T100" s="68"/>
      <x:c r="U100" s="68"/>
      <x:c r="V100" s="68"/>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M12</x:v>
      </x:c>
      <x:c r="C101" s="74"/>
      <x:c r="D101" s="79"/>
      <x:c r="E101" s="74" t="str">
        <x:v>V1.0</x:v>
      </x:c>
      <x:c r="F101" s="68"/>
      <x:c r="G101" s="82"/>
      <x:c r="H101" s="68"/>
      <x:c r="I101" s="68"/>
      <x:c r="J101" s="68"/>
      <x:c r="K101" s="68"/>
      <x:c r="L101" s="82"/>
      <x:c r="M101" s="82"/>
      <x:c r="N101" s="68"/>
      <x:c r="O101" s="68"/>
      <x:c r="P101" s="68"/>
      <x:c r="Q101" s="82"/>
      <x:c r="R101" s="82"/>
      <x:c r="S101" s="68"/>
      <x:c r="T101" s="68"/>
      <x:c r="U101" s="68"/>
      <x:c r="V101" s="68"/>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M12</x:v>
      </x:c>
      <x:c r="C102" s="74"/>
      <x:c r="D102" s="79"/>
      <x:c r="E102" s="74" t="str">
        <x:v>V1.0</x:v>
      </x:c>
      <x:c r="F102" s="68"/>
      <x:c r="G102" s="82"/>
      <x:c r="H102" s="68"/>
      <x:c r="I102" s="68"/>
      <x:c r="J102" s="68"/>
      <x:c r="K102" s="68"/>
      <x:c r="L102" s="82"/>
      <x:c r="M102" s="82"/>
      <x:c r="N102" s="68"/>
      <x:c r="O102" s="68"/>
      <x:c r="P102" s="68"/>
      <x:c r="Q102" s="82"/>
      <x:c r="R102" s="82"/>
      <x:c r="S102" s="68"/>
      <x:c r="T102" s="68"/>
      <x:c r="U102" s="68"/>
      <x:c r="V102" s="68"/>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M12</x:v>
      </x:c>
      <x:c r="C103" s="74"/>
      <x:c r="D103" s="79"/>
      <x:c r="E103" s="74" t="str">
        <x:v>V1.0</x:v>
      </x:c>
      <x:c r="F103" s="68"/>
      <x:c r="G103" s="82"/>
      <x:c r="H103" s="68"/>
      <x:c r="I103" s="68"/>
      <x:c r="J103" s="68"/>
      <x:c r="K103" s="68"/>
      <x:c r="L103" s="82"/>
      <x:c r="M103" s="82"/>
      <x:c r="N103" s="68"/>
      <x:c r="O103" s="68"/>
      <x:c r="P103" s="68"/>
      <x:c r="Q103" s="82"/>
      <x:c r="R103" s="82"/>
      <x:c r="S103" s="68"/>
      <x:c r="T103" s="68"/>
      <x:c r="U103" s="68"/>
      <x:c r="V103" s="68"/>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M12</x:v>
      </x:c>
      <x:c r="C104" s="74"/>
      <x:c r="D104" s="79"/>
      <x:c r="E104" s="74" t="str">
        <x:v>V1.0</x:v>
      </x:c>
      <x:c r="F104" s="68"/>
      <x:c r="G104" s="82"/>
      <x:c r="H104" s="68"/>
      <x:c r="I104" s="68"/>
      <x:c r="J104" s="68"/>
      <x:c r="K104" s="68"/>
      <x:c r="L104" s="82"/>
      <x:c r="M104" s="82"/>
      <x:c r="N104" s="68"/>
      <x:c r="O104" s="68"/>
      <x:c r="P104" s="68"/>
      <x:c r="Q104" s="82"/>
      <x:c r="R104" s="82"/>
      <x:c r="S104" s="68"/>
      <x:c r="T104" s="68"/>
      <x:c r="U104" s="68"/>
      <x:c r="V104" s="68"/>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M12</x:v>
      </x:c>
      <x:c r="C105" s="74"/>
      <x:c r="D105" s="79"/>
      <x:c r="E105" s="74" t="str">
        <x:v>V1.0</x:v>
      </x:c>
      <x:c r="F105" s="68"/>
      <x:c r="G105" s="82"/>
      <x:c r="H105" s="68"/>
      <x:c r="I105" s="68"/>
      <x:c r="J105" s="68"/>
      <x:c r="K105" s="68"/>
      <x:c r="L105" s="82"/>
      <x:c r="M105" s="82"/>
      <x:c r="N105" s="68"/>
      <x:c r="O105" s="68"/>
      <x:c r="P105" s="68"/>
      <x:c r="Q105" s="82"/>
      <x:c r="R105" s="82"/>
      <x:c r="S105" s="68"/>
      <x:c r="T105" s="68"/>
      <x:c r="U105" s="68"/>
      <x:c r="V105" s="68"/>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0" priority="1">
      <x:formula>AND(A6&lt;&gt;"",COUNTIF($A$6:$A$105,A6)&gt;1)</x:formula>
    </x:cfRule>
  </x:conditionalFormatting>
  <x:dataValidations count="22">
    <x:dataValidation type="list" sqref="E6:E105">
      <x:formula1>'99_下拉选项'!$BG$4:$BG$12</x:formula1>
    </x:dataValidation>
    <x:dataValidation type="list" sqref="G6:G105">
      <x:formula1>'99_下拉选项'!$F$4:$F$7</x:formula1>
    </x:dataValidation>
    <x:dataValidation type="list" sqref="L6:L105">
      <x:formula1>'99_下拉选项'!$U$4:$U$11</x:formula1>
    </x:dataValidation>
    <x:dataValidation type="list" sqref="M6:M105">
      <x:formula1>'99_下拉选项'!$U$4:$U$11</x:formula1>
    </x:dataValidation>
    <x:dataValidation type="list" sqref="Q6:Q105">
      <x:formula1>'99_下拉选项'!$AO$4:$AO$9</x:formula1>
    </x:dataValidation>
    <x:dataValidation type="list" sqref="R6:R105">
      <x:formula1>'99_下拉选项'!$AP$4:$AP$16</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'99_下拉选项'!$BG$4:$BG$16</x:formula1>
    </x:dataValidation>
    <x:dataValidation type="list" sqref="E7:E96">
      <x:formula1>'99_下拉选项'!$BG$4:$BG$14</x:formula1>
    </x:dataValidation>
    <x:dataValidation type="list" sqref="G7:G96">
      <x:formula1>'99_下拉选项'!$F$4:$F$7</x:formula1>
    </x:dataValidation>
    <x:dataValidation type="list" sqref="L7:L96">
      <x:formula1>'99_下拉选项'!$U$4:$U$11</x:formula1>
    </x:dataValidation>
    <x:dataValidation type="list" sqref="M7:M96">
      <x:formula1>'99_下拉选项'!$U$4:$U$11</x:formula1>
    </x:dataValidation>
    <x:dataValidation type="list" sqref="Q7:Q96">
      <x:formula1>'99_下拉选项'!$AO$4:$AO$9</x:formula1>
    </x:dataValidation>
    <x:dataValidation type="list" sqref="R7:R96">
      <x:formula1>'99_下拉选项'!$AP$4:$AP$16</x:formula1>
    </x:dataValidation>
    <x:dataValidation type="list" sqref="AF7:AF96">
      <x:formula1>'99_下拉选项'!$Q$4:$Q$8</x:formula1>
    </x:dataValidation>
    <x:dataValidation type="list" sqref="AG7:AG96">
      <x:formula1>'99_下拉选项'!$R$4:$R$11</x:formula1>
    </x:dataValidation>
    <x:dataValidation type="list" sqref="AK7:AK96">
      <x:formula1>'99_下拉选项'!$S$4:$S$9</x:formula1>
    </x:dataValidation>
    <x:dataValidation type="list" sqref="AL7:AL96">
      <x:formula1>'99_下拉选项'!$T$4:$T$8</x:formula1>
    </x:dataValidation>
  </x:dataValidations>
  <x:pageMargins left="0.7" right="0.7" top="0.75" bottom="0.75" header="0.3" footer="0.3"/>
  <x:tableParts count="1">
    <x:tablePart xmlns:r="http://schemas.openxmlformats.org/officeDocument/2006/relationships" r:id="R101a89edd1db42b3"/>
  </x:tableParts>
</x:worksheet>
</file>

<file path=xl/worksheets/sheet1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16" hidden="0" customWidth="1"/>
    <x:col min="32" max="32" width="16" hidden="0" customWidth="1"/>
    <x:col min="33" max="33" width="30" hidden="0" customWidth="1"/>
    <x:col min="34" max="34" width="16" hidden="0" customWidth="1"/>
    <x:col min="35" max="35" width="16" hidden="0" customWidth="1"/>
    <x:col min="36" max="36" width="30" hidden="0" customWidth="1"/>
    <x:col min="37" max="37" width="30" hidden="0" customWidth="1"/>
    <x:col min="38" max="38" width="13" hidden="0" customWidth="1"/>
  </x:cols>
  <x:sheetData>
    <x:row r="1" ht="28" customHeight="1">
      <x:c r="A1" s="32" t="str">
        <x:v>M13｜寒暖与燥湿双轴调候规则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row>
    <x:row r="2" ht="36" customHeight="1">
      <x:c r="A2" s="39" t="str">
        <x:v>将温度轴和湿度轴分开判断，再评估调候五行是否存在、是否有效、紧急程度及其与扶抑和格局的冲突。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row>
    <x:row r="3" ht="30" customHeight="1">
      <x:c r="A3" s="47" t="str">
        <x:v>前置依赖：M02/M08/M12　｜　主要输出：温度、湿度、调候候选与紧急度　｜　直接下游：M16/M17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评估轴</x:v>
      </x:c>
      <x:c r="I5" s="61" t="str">
        <x:v>出生月令</x:v>
      </x:c>
      <x:c r="J5" s="61" t="str">
        <x:v>触发条件</x:v>
      </x:c>
      <x:c r="K5" s="61" t="str">
        <x:v>温度修正</x:v>
      </x:c>
      <x:c r="L5" s="61" t="str">
        <x:v>湿度修正</x:v>
      </x:c>
      <x:c r="M5" s="61" t="str">
        <x:v>温度状态</x:v>
      </x:c>
      <x:c r="N5" s="61" t="str">
        <x:v>湿度状态</x:v>
      </x:c>
      <x:c r="O5" s="61" t="str">
        <x:v>主要气候问题</x:v>
      </x:c>
      <x:c r="P5" s="61" t="str">
        <x:v>调候候选五行</x:v>
      </x:c>
      <x:c r="Q5" s="61" t="str">
        <x:v>调候机制</x:v>
      </x:c>
      <x:c r="R5" s="61" t="str">
        <x:v>调候五行存在性</x:v>
      </x:c>
      <x:c r="S5" s="61" t="str">
        <x:v>调候五行有效性</x:v>
      </x:c>
      <x:c r="T5" s="61" t="str">
        <x:v>调候紧急度</x:v>
      </x:c>
      <x:c r="U5" s="61" t="str">
        <x:v>与扶抑冲突</x:v>
      </x:c>
      <x:c r="V5" s="61" t="str">
        <x:v>与格局冲突</x:v>
      </x:c>
      <x:c r="W5" s="61" t="str">
        <x:v>前置条件</x:v>
      </x:c>
      <x:c r="X5" s="61" t="str">
        <x:v>必要条件</x:v>
      </x:c>
      <x:c r="Y5" s="61" t="str">
        <x:v>增强条件</x:v>
      </x:c>
      <x:c r="Z5" s="61" t="str">
        <x:v>削弱条件</x:v>
      </x:c>
      <x:c r="AA5" s="61" t="str">
        <x:v>否决条件</x:v>
      </x:c>
      <x:c r="AB5" s="61" t="str">
        <x:v>例外条件</x:v>
      </x:c>
      <x:c r="AC5" s="61" t="str">
        <x:v>结论标签</x:v>
      </x:c>
      <x:c r="AD5" s="61" t="str">
        <x:v>标准输出</x:v>
      </x:c>
      <x:c r="AE5" s="61" t="str">
        <x:v>置信等级</x:v>
      </x:c>
      <x:c r="AF5" s="61" t="str">
        <x:v>流派标签</x:v>
      </x:c>
      <x:c r="AG5" s="61" t="str">
        <x:v>依据说明</x:v>
      </x:c>
      <x:c r="AH5" s="61" t="str">
        <x:v>正例</x:v>
      </x:c>
      <x:c r="AI5" s="61" t="str">
        <x:v>反例</x:v>
      </x:c>
      <x:c r="AJ5" s="61" t="str">
        <x:v>规则状态</x:v>
      </x:c>
      <x:c r="AK5" s="61" t="str">
        <x:v>审核状态</x:v>
      </x:c>
      <x:c r="AL5" s="61" t="str">
        <x:v>更新日期</x:v>
      </x:c>
    </x:row>
    <x:row r="6" ht="66" customHeight="1">
      <x:c r="A6" s="76" t="str">
        <x:f>IF(OR(C6="",D6=""),"",B6&amp;"-"&amp;UPPER(C6)&amp;"-"&amp;TEXT(D6,"0000")&amp;"-"&amp;E6)</x:f>
        <x:v>M13-DEMO-9999-V0.1</x:v>
      </x:c>
      <x:c r="B6" s="76" t="str">
        <x:v>M13</x:v>
      </x:c>
      <x:c r="C6" s="76" t="str">
        <x:v>DEMO</x:v>
      </x:c>
      <x:c r="D6" s="78" t="n">
        <x:v>9999</x:v>
      </x:c>
      <x:c r="E6" s="76" t="str">
        <x:v>V0.1</x:v>
      </x:c>
      <x:c r="F6" s="76" t="str">
        <x:v>寒暖与燥湿必须分别定级</x:v>
      </x:c>
      <x:c r="G6" s="76" t="str">
        <x:v>结构层</x:v>
      </x:c>
      <x:c r="H6" s="76" t="str">
        <x:v>寒暖燥湿综合</x:v>
      </x:c>
      <x:c r="I6" s="76" t="str">
        <x:v>冬月示例</x:v>
      </x:c>
      <x:c r="J6" s="76" t="str">
        <x:v>金水成势且火弱、湿土多</x:v>
      </x:c>
      <x:c r="K6" s="76" t="str">
        <x:v>偏寒</x:v>
      </x:c>
      <x:c r="L6" s="76" t="str">
        <x:v>偏湿</x:v>
      </x:c>
      <x:c r="M6" s="76" t="str">
        <x:v>偏寒</x:v>
      </x:c>
      <x:c r="N6" s="76" t="str">
        <x:v>偏湿</x:v>
      </x:c>
      <x:c r="O6" s="76" t="str">
        <x:v>寒湿可能使木火生化不畅</x:v>
      </x:c>
      <x:c r="P6" s="76" t="str">
        <x:v>火</x:v>
      </x:c>
      <x:c r="Q6" s="76" t="str">
        <x:v>暖局并促进生化</x:v>
      </x:c>
      <x:c r="R6" s="76" t="str">
        <x:v>条件性</x:v>
      </x:c>
      <x:c r="S6" s="76" t="str">
        <x:v>待定</x:v>
      </x:c>
      <x:c r="T6" s="76" t="str">
        <x:v>高</x:v>
      </x:c>
      <x:c r="U6" s="76" t="str">
        <x:v>条件性</x:v>
      </x:c>
      <x:c r="V6" s="76" t="str">
        <x:v>条件性</x:v>
      </x:c>
      <x:c r="W6" s="76" t="str">
        <x:v>M08与M12完成</x:v>
      </x:c>
      <x:c r="X6" s="76" t="str">
        <x:v>确认寒湿已实质影响全局功能</x:v>
      </x:c>
      <x:c r="Y6" s="76" t="str">
        <x:v>火有根有源、木可引火</x:v>
      </x:c>
      <x:c r="Z6" s="76" t="str">
        <x:v>火被强水压制或无根</x:v>
      </x:c>
      <x:c r="AA6" s="76" t="str">
        <x:v>不得只看月份就忽略全局火土及合化后的气候</x:v>
      </x:c>
      <x:c r="AB6" s="76" t="str">
        <x:v>若特殊格局严格成立，调候需接受格局硬约束</x:v>
      </x:c>
      <x:c r="AC6" s="76" t="str">
        <x:v>双轴调候</x:v>
      </x:c>
      <x:c r="AD6" s="76" t="str">
        <x:v>全局偏寒且偏湿，调候重点在暖而兼顾化湿；火是否成为主用仍需审查扶抑与格局副作用。</x:v>
      </x:c>
      <x:c r="AE6" s="76" t="str">
        <x:v>中等</x:v>
      </x:c>
      <x:c r="AF6" s="76" t="str">
        <x:v>调候</x:v>
      </x:c>
      <x:c r="AG6" s="76" t="str">
        <x:v>寒暖与燥湿是两个独立维度，调候需求不自动等于全局主用神。</x:v>
      </x:c>
      <x:c r="AH6" s="76" t="str">
        <x:v>冬月金水旺、火弱且湿土多，可判寒湿。</x:v>
      </x:c>
      <x:c r="AI6" s="76" t="str">
        <x:v>只因冬月出生便直接判极寒湿。</x:v>
      </x:c>
      <x:c r="AJ6" s="76" t="str">
        <x:v>示例</x:v>
      </x:c>
      <x:c r="AK6" s="76" t="str">
        <x:v>未审核</x:v>
      </x:c>
      <x:c r="AL6" s="86" t="n">
        <x:v>46254</x:v>
      </x:c>
    </x:row>
    <x:row r="7">
      <x:c r="A7" s="72" t="str">
        <x:f>IF(OR(C7="",D7=""),"",B7&amp;"-"&amp;UPPER(C7)&amp;"-"&amp;TEXT(D7,"0000")&amp;"-"&amp;E7)</x:f>
        <x:v>M13-GEN-0001-V1.0</x:v>
      </x:c>
      <x:c r="B7" s="74" t="str">
        <x:v>M13</x:v>
      </x:c>
      <x:c r="C7" s="74" t="str">
        <x:v>GEN</x:v>
      </x:c>
      <x:c r="D7" s="215" t="n">
        <x:v>1</x:v>
      </x:c>
      <x:c r="E7" s="74" t="str">
        <x:v>V1.0</x:v>
      </x:c>
      <x:c r="F7" s="68" t="str">
        <x:v>寒暖与燥湿必须分成两个独立坐标</x:v>
      </x:c>
      <x:c r="G7" s="82" t="str">
        <x:v>结构层</x:v>
      </x:c>
      <x:c r="H7" s="82" t="str">
        <x:v>寒暖燥湿综合</x:v>
      </x:c>
      <x:c r="I7" s="68" t="str">
        <x:v>通用</x:v>
      </x:c>
      <x:c r="J7" s="68" t="str">
        <x:v>同一原局可能同时出现寒燥、暖湿等交叉状态</x:v>
      </x:c>
      <x:c r="K7" s="68" t="str">
        <x:v>待定</x:v>
      </x:c>
      <x:c r="L7" s="68" t="str">
        <x:v>待定</x:v>
      </x:c>
      <x:c r="M7" s="82" t="str">
        <x:v>待定</x:v>
      </x:c>
      <x:c r="N7" s="82" t="str">
        <x:v>待定</x:v>
      </x:c>
      <x:c r="O7" s="68" t="str">
        <x:v>禁止把温度和湿度合并成单一冷热标签</x:v>
      </x:c>
      <x:c r="P7" s="68" t="str">
        <x:v>待定</x:v>
      </x:c>
      <x:c r="Q7" s="68" t="str">
        <x:v>双轴分别定级</x:v>
      </x:c>
      <x:c r="R7" s="82" t="str">
        <x:v>待定</x:v>
      </x:c>
      <x:c r="S7" s="82" t="str">
        <x:v>待定</x:v>
      </x:c>
      <x:c r="T7" s="82" t="str">
        <x:v>待定</x:v>
      </x:c>
      <x:c r="U7" s="82" t="str">
        <x:v>待定</x:v>
      </x:c>
      <x:c r="V7" s="82" t="str">
        <x:v>待定</x:v>
      </x:c>
      <x:c r="W7" s="68" t="str">
        <x:v>M02基础映射、M08五行有效旺衰、M12流通卡点已完成</x:v>
      </x:c>
      <x:c r="X7" s="68" t="str">
        <x:v>月令基准与全局有效五行均已核查</x:v>
      </x:c>
      <x:c r="Y7" s="68" t="str">
        <x:v>相关调候五行有根有源、透达且能真实改善关键气候问题</x:v>
      </x:c>
      <x:c r="Z7" s="68" t="str">
        <x:v>调候五行无根、受强制、被合绊、改性或加入后产生新的寒热燥湿问题</x:v>
      </x:c>
      <x:c r="AA7" s="90" t="str">
        <x:v>不得只凭出生月份或某一五行数量直接下最终调候结论</x:v>
      </x:c>
      <x:c r="AB7" s="68" t="str">
        <x:v>特殊格局、核心格局用神或更高优先级病药约束转M16—M18裁决</x:v>
      </x:c>
      <x:c r="AC7" s="84" t="str">
        <x:v>调候双轴模型</x:v>
      </x:c>
      <x:c r="AD7" s="84" t="str">
        <x:v>寒暖与燥湿必须分成两个独立坐标：温度轴判“待定”，湿度轴判“待定”；调候候选为“待定”，是否成为最终用神仍转M16—M18。</x:v>
      </x:c>
      <x:c r="AE7" s="82" t="str">
        <x:v>较高</x:v>
      </x:c>
      <x:c r="AF7" s="82" t="str">
        <x:v>调候</x:v>
      </x:c>
      <x:c r="AG7" s="68" t="str">
        <x:v>调候以月令气候为起点，但必须结合M08五行有效力量与M12流通状态修正；寒暖与燥湿分轴判断，调候候选不自动等于全局主用神。</x:v>
      </x:c>
      <x:c r="AH7" s="68" t="str">
        <x:v>当“同一原局可能同时出现寒燥、暖湿等交叉状态”真实成立，且调候机制能改善主要气候问题时，可按“寒暖与燥湿必须分成两个独立坐标”记录。</x:v>
      </x:c>
      <x:c r="AI7" s="90" t="str">
        <x:v>仅见月份或表面五行标签，但未满足“同一原局可能同时出现寒燥、暖湿等交叉状态”及必要修正条件时，不得套用“寒暖与燥湿必须分成两个独立坐标”。</x:v>
      </x:c>
      <x:c r="AJ7" s="82" t="str">
        <x:v>采用</x:v>
      </x:c>
      <x:c r="AK7" s="82" t="str">
        <x:v>初审</x:v>
      </x:c>
      <x:c r="AL7" s="87" t="n">
        <x:v>46255</x:v>
      </x:c>
    </x:row>
    <x:row r="8">
      <x:c r="A8" s="72" t="str">
        <x:f>IF(OR(C8="",D8=""),"",B8&amp;"-"&amp;UPPER(C8)&amp;"-"&amp;TEXT(D8,"0000")&amp;"-"&amp;E8)</x:f>
        <x:v>M13-GEN-0002-V1.0</x:v>
      </x:c>
      <x:c r="B8" s="74" t="str">
        <x:v>M13</x:v>
      </x:c>
      <x:c r="C8" s="74" t="str">
        <x:v>GEN</x:v>
      </x:c>
      <x:c r="D8" s="215" t="n">
        <x:v>2</x:v>
      </x:c>
      <x:c r="E8" s="74" t="str">
        <x:v>V1.0</x:v>
      </x:c>
      <x:c r="F8" s="68" t="str">
        <x:v>月令只提供气候基准而非最终结论</x:v>
      </x:c>
      <x:c r="G8" s="82" t="str">
        <x:v>结构层</x:v>
      </x:c>
      <x:c r="H8" s="82" t="str">
        <x:v>寒暖燥湿综合</x:v>
      </x:c>
      <x:c r="I8" s="68" t="str">
        <x:v>通用</x:v>
      </x:c>
      <x:c r="J8" s="68" t="str">
        <x:v>月令季节倾向与全局有效火水土势可能一致或相反</x:v>
      </x:c>
      <x:c r="K8" s="68" t="str">
        <x:v>待定</x:v>
      </x:c>
      <x:c r="L8" s="68" t="str">
        <x:v>待定</x:v>
      </x:c>
      <x:c r="M8" s="82" t="str">
        <x:v>待定</x:v>
      </x:c>
      <x:c r="N8" s="82" t="str">
        <x:v>待定</x:v>
      </x:c>
      <x:c r="O8" s="68" t="str">
        <x:v>季节基准需要全局修正</x:v>
      </x:c>
      <x:c r="P8" s="68" t="str">
        <x:v>待定</x:v>
      </x:c>
      <x:c r="Q8" s="68" t="str">
        <x:v>以月令起点再叠加有效五行修正</x:v>
      </x:c>
      <x:c r="R8" s="82" t="str">
        <x:v>待定</x:v>
      </x:c>
      <x:c r="S8" s="82" t="str">
        <x:v>待定</x:v>
      </x:c>
      <x:c r="T8" s="82" t="str">
        <x:v>待定</x:v>
      </x:c>
      <x:c r="U8" s="82" t="str">
        <x:v>待定</x:v>
      </x:c>
      <x:c r="V8" s="82" t="str">
        <x:v>待定</x:v>
      </x:c>
      <x:c r="W8" s="68" t="str">
        <x:v>M02基础映射、M08五行有效旺衰、M12流通卡点已完成</x:v>
      </x:c>
      <x:c r="X8" s="68" t="str">
        <x:v>月令基准与全局有效五行均已核查</x:v>
      </x:c>
      <x:c r="Y8" s="68" t="str">
        <x:v>相关调候五行有根有源、透达且能真实改善关键气候问题</x:v>
      </x:c>
      <x:c r="Z8" s="68" t="str">
        <x:v>调候五行无根、受强制、被合绊、改性或加入后产生新的寒热燥湿问题</x:v>
      </x:c>
      <x:c r="AA8" s="90" t="str">
        <x:v>不得只凭出生月份或某一五行数量直接下最终调候结论</x:v>
      </x:c>
      <x:c r="AB8" s="68" t="str">
        <x:v>特殊格局、核心格局用神或更高优先级病药约束转M16—M18裁决</x:v>
      </x:c>
      <x:c r="AC8" s="84" t="str">
        <x:v>月令气候基准</x:v>
      </x:c>
      <x:c r="AD8" s="84" t="str">
        <x:v>月令只提供气候基准而非最终结论：温度轴判“待定”，湿度轴判“待定”；调候候选为“待定”，是否成为最终用神仍转M16—M18。</x:v>
      </x:c>
      <x:c r="AE8" s="82" t="str">
        <x:v>较高</x:v>
      </x:c>
      <x:c r="AF8" s="82" t="str">
        <x:v>调候</x:v>
      </x:c>
      <x:c r="AG8" s="68" t="str">
        <x:v>调候以月令气候为起点，但必须结合M08五行有效力量与M12流通状态修正；寒暖与燥湿分轴判断，调候候选不自动等于全局主用神。</x:v>
      </x:c>
      <x:c r="AH8" s="68" t="str">
        <x:v>当“月令季节倾向与全局有效火水土势可能一致或相反”真实成立，且调候机制能改善主要气候问题时，可按“月令只提供气候基准而非最终结论”记录。</x:v>
      </x:c>
      <x:c r="AI8" s="90" t="str">
        <x:v>仅见月份或表面五行标签，但未满足“月令季节倾向与全局有效火水土势可能一致或相反”及必要修正条件时，不得套用“月令只提供气候基准而非最终结论”。</x:v>
      </x:c>
      <x:c r="AJ8" s="82" t="str">
        <x:v>采用</x:v>
      </x:c>
      <x:c r="AK8" s="82" t="str">
        <x:v>初审</x:v>
      </x:c>
      <x:c r="AL8" s="87" t="n">
        <x:v>46255</x:v>
      </x:c>
    </x:row>
    <x:row r="9">
      <x:c r="A9" s="72" t="str">
        <x:f>IF(OR(C9="",D9=""),"",B9&amp;"-"&amp;UPPER(C9)&amp;"-"&amp;TEXT(D9,"0000")&amp;"-"&amp;E9)</x:f>
        <x:v>M13-GEN-0003-V1.0</x:v>
      </x:c>
      <x:c r="B9" s="74" t="str">
        <x:v>M13</x:v>
      </x:c>
      <x:c r="C9" s="74" t="str">
        <x:v>GEN</x:v>
      </x:c>
      <x:c r="D9" s="215" t="n">
        <x:v>3</x:v>
      </x:c>
      <x:c r="E9" s="74" t="str">
        <x:v>V1.0</x:v>
      </x:c>
      <x:c r="F9" s="68" t="str">
        <x:v>寒暖采用极寒至极热五级制</x:v>
      </x:c>
      <x:c r="G9" s="82" t="str">
        <x:v>结构层</x:v>
      </x:c>
      <x:c r="H9" s="82" t="str">
        <x:v>寒暖轴</x:v>
      </x:c>
      <x:c r="I9" s="68" t="str">
        <x:v>通用</x:v>
      </x:c>
      <x:c r="J9" s="68" t="str">
        <x:v>完成月令与全局火水修正</x:v>
      </x:c>
      <x:c r="K9" s="68" t="str">
        <x:v>待定</x:v>
      </x:c>
      <x:c r="L9" s="68" t="str">
        <x:v>待定</x:v>
      </x:c>
      <x:c r="M9" s="82" t="str">
        <x:v>待定</x:v>
      </x:c>
      <x:c r="N9" s="82" t="str">
        <x:v>待定</x:v>
      </x:c>
      <x:c r="O9" s="68" t="str">
        <x:v>温度状态需要标准化</x:v>
      </x:c>
      <x:c r="P9" s="68" t="str">
        <x:v>待定</x:v>
      </x:c>
      <x:c r="Q9" s="68" t="str">
        <x:v>输出极寒/偏寒/平衡/偏暖/极热</x:v>
      </x:c>
      <x:c r="R9" s="82" t="str">
        <x:v>待定</x:v>
      </x:c>
      <x:c r="S9" s="82" t="str">
        <x:v>待定</x:v>
      </x:c>
      <x:c r="T9" s="82" t="str">
        <x:v>待定</x:v>
      </x:c>
      <x:c r="U9" s="82" t="str">
        <x:v>待定</x:v>
      </x:c>
      <x:c r="V9" s="82" t="str">
        <x:v>待定</x:v>
      </x:c>
      <x:c r="W9" s="68" t="str">
        <x:v>M02基础映射、M08五行有效旺衰、M12流通卡点已完成</x:v>
      </x:c>
      <x:c r="X9" s="68" t="str">
        <x:v>月令基准与全局有效五行均已核查</x:v>
      </x:c>
      <x:c r="Y9" s="68" t="str">
        <x:v>相关调候五行有根有源、透达且能真实改善关键气候问题</x:v>
      </x:c>
      <x:c r="Z9" s="68" t="str">
        <x:v>调候五行无根、受强制、被合绊、改性或加入后产生新的寒热燥湿问题</x:v>
      </x:c>
      <x:c r="AA9" s="90" t="str">
        <x:v>不得只凭出生月份或某一五行数量直接下最终调候结论</x:v>
      </x:c>
      <x:c r="AB9" s="68" t="str">
        <x:v>特殊格局、核心格局用神或更高优先级病药约束转M16—M18裁决</x:v>
      </x:c>
      <x:c r="AC9" s="84" t="str">
        <x:v>温度五级制</x:v>
      </x:c>
      <x:c r="AD9" s="84" t="str">
        <x:v>寒暖采用极寒至极热五级制：温度轴判“待定”，湿度轴判“待定”；调候候选为“待定”，是否成为最终用神仍转M16—M18。</x:v>
      </x:c>
      <x:c r="AE9" s="82" t="str">
        <x:v>较高</x:v>
      </x:c>
      <x:c r="AF9" s="82" t="str">
        <x:v>调候</x:v>
      </x:c>
      <x:c r="AG9" s="68" t="str">
        <x:v>调候以月令气候为起点，但必须结合M08五行有效力量与M12流通状态修正；寒暖与燥湿分轴判断，调候候选不自动等于全局主用神。</x:v>
      </x:c>
      <x:c r="AH9" s="68" t="str">
        <x:v>当“完成月令与全局火水修正”真实成立，且调候机制能改善主要气候问题时，可按“寒暖采用极寒至极热五级制”记录。</x:v>
      </x:c>
      <x:c r="AI9" s="90" t="str">
        <x:v>仅见月份或表面五行标签，但未满足“完成月令与全局火水修正”及必要修正条件时，不得套用“寒暖采用极寒至极热五级制”。</x:v>
      </x:c>
      <x:c r="AJ9" s="82" t="str">
        <x:v>采用</x:v>
      </x:c>
      <x:c r="AK9" s="82" t="str">
        <x:v>初审</x:v>
      </x:c>
      <x:c r="AL9" s="87" t="n">
        <x:v>46255</x:v>
      </x:c>
    </x:row>
    <x:row r="10">
      <x:c r="A10" s="72" t="str">
        <x:f>IF(OR(C10="",D10=""),"",B10&amp;"-"&amp;UPPER(C10)&amp;"-"&amp;TEXT(D10,"0000")&amp;"-"&amp;E10)</x:f>
        <x:v>M13-GEN-0004-V1.0</x:v>
      </x:c>
      <x:c r="B10" s="74" t="str">
        <x:v>M13</x:v>
      </x:c>
      <x:c r="C10" s="74" t="str">
        <x:v>GEN</x:v>
      </x:c>
      <x:c r="D10" s="215" t="n">
        <x:v>4</x:v>
      </x:c>
      <x:c r="E10" s="74" t="str">
        <x:v>V1.0</x:v>
      </x:c>
      <x:c r="F10" s="68" t="str">
        <x:v>燥湿采用极湿至极燥五级制</x:v>
      </x:c>
      <x:c r="G10" s="82" t="str">
        <x:v>结构层</x:v>
      </x:c>
      <x:c r="H10" s="82" t="str">
        <x:v>燥湿轴</x:v>
      </x:c>
      <x:c r="I10" s="68" t="str">
        <x:v>通用</x:v>
      </x:c>
      <x:c r="J10" s="68" t="str">
        <x:v>完成月令、土性、水势与火势修正</x:v>
      </x:c>
      <x:c r="K10" s="68" t="str">
        <x:v>待定</x:v>
      </x:c>
      <x:c r="L10" s="68" t="str">
        <x:v>待定</x:v>
      </x:c>
      <x:c r="M10" s="82" t="str">
        <x:v>待定</x:v>
      </x:c>
      <x:c r="N10" s="82" t="str">
        <x:v>待定</x:v>
      </x:c>
      <x:c r="O10" s="68" t="str">
        <x:v>湿度状态需要标准化</x:v>
      </x:c>
      <x:c r="P10" s="68" t="str">
        <x:v>待定</x:v>
      </x:c>
      <x:c r="Q10" s="68" t="str">
        <x:v>输出极湿/偏湿/平衡/偏燥/极燥</x:v>
      </x:c>
      <x:c r="R10" s="82" t="str">
        <x:v>待定</x:v>
      </x:c>
      <x:c r="S10" s="82" t="str">
        <x:v>待定</x:v>
      </x:c>
      <x:c r="T10" s="82" t="str">
        <x:v>待定</x:v>
      </x:c>
      <x:c r="U10" s="82" t="str">
        <x:v>待定</x:v>
      </x:c>
      <x:c r="V10" s="82" t="str">
        <x:v>待定</x:v>
      </x:c>
      <x:c r="W10" s="68" t="str">
        <x:v>M02基础映射、M08五行有效旺衰、M12流通卡点已完成</x:v>
      </x:c>
      <x:c r="X10" s="68" t="str">
        <x:v>月令基准与全局有效五行均已核查</x:v>
      </x:c>
      <x:c r="Y10" s="68" t="str">
        <x:v>相关调候五行有根有源、透达且能真实改善关键气候问题</x:v>
      </x:c>
      <x:c r="Z10" s="68" t="str">
        <x:v>调候五行无根、受强制、被合绊、改性或加入后产生新的寒热燥湿问题</x:v>
      </x:c>
      <x:c r="AA10" s="90" t="str">
        <x:v>不得只凭出生月份或某一五行数量直接下最终调候结论</x:v>
      </x:c>
      <x:c r="AB10" s="68" t="str">
        <x:v>特殊格局、核心格局用神或更高优先级病药约束转M16—M18裁决</x:v>
      </x:c>
      <x:c r="AC10" s="84" t="str">
        <x:v>湿度五级制</x:v>
      </x:c>
      <x:c r="AD10" s="84" t="str">
        <x:v>燥湿采用极湿至极燥五级制：温度轴判“待定”，湿度轴判“待定”；调候候选为“待定”，是否成为最终用神仍转M16—M18。</x:v>
      </x:c>
      <x:c r="AE10" s="82" t="str">
        <x:v>较高</x:v>
      </x:c>
      <x:c r="AF10" s="82" t="str">
        <x:v>调候</x:v>
      </x:c>
      <x:c r="AG10" s="68" t="str">
        <x:v>调候以月令气候为起点，但必须结合M08五行有效力量与M12流通状态修正；寒暖与燥湿分轴判断，调候候选不自动等于全局主用神。</x:v>
      </x:c>
      <x:c r="AH10" s="68" t="str">
        <x:v>当“完成月令、土性、水势与火势修正”真实成立，且调候机制能改善主要气候问题时，可按“燥湿采用极湿至极燥五级制”记录。</x:v>
      </x:c>
      <x:c r="AI10" s="90" t="str">
        <x:v>仅见月份或表面五行标签，但未满足“完成月令、土性、水势与火势修正”及必要修正条件时，不得套用“燥湿采用极湿至极燥五级制”。</x:v>
      </x:c>
      <x:c r="AJ10" s="82" t="str">
        <x:v>采用</x:v>
      </x:c>
      <x:c r="AK10" s="82" t="str">
        <x:v>初审</x:v>
      </x:c>
      <x:c r="AL10" s="87" t="n">
        <x:v>46255</x:v>
      </x:c>
    </x:row>
    <x:row r="11">
      <x:c r="A11" s="72" t="str">
        <x:f>IF(OR(C11="",D11=""),"",B11&amp;"-"&amp;UPPER(C11)&amp;"-"&amp;TEXT(D11,"0000")&amp;"-"&amp;E11)</x:f>
        <x:v>M13-GEN-0005-V1.0</x:v>
      </x:c>
      <x:c r="B11" s="74" t="str">
        <x:v>M13</x:v>
      </x:c>
      <x:c r="C11" s="74" t="str">
        <x:v>GEN</x:v>
      </x:c>
      <x:c r="D11" s="215" t="n">
        <x:v>5</x:v>
      </x:c>
      <x:c r="E11" s="74" t="str">
        <x:v>V1.0</x:v>
      </x:c>
      <x:c r="F11" s="68" t="str">
        <x:v>调候判断只读取有效五行而非名义存在</x:v>
      </x:c>
      <x:c r="G11" s="82" t="str">
        <x:v>结构层</x:v>
      </x:c>
      <x:c r="H11" s="82" t="str">
        <x:v>寒暖燥湿综合</x:v>
      </x:c>
      <x:c r="I11" s="68" t="str">
        <x:v>通用</x:v>
      </x:c>
      <x:c r="J11" s="68" t="str">
        <x:v>某火、水或土虽在原局出现但M08已判受限、失效或改性</x:v>
      </x:c>
      <x:c r="K11" s="68" t="str">
        <x:v>待定</x:v>
      </x:c>
      <x:c r="L11" s="68" t="str">
        <x:v>待定</x:v>
      </x:c>
      <x:c r="M11" s="82" t="str">
        <x:v>待定</x:v>
      </x:c>
      <x:c r="N11" s="82" t="str">
        <x:v>待定</x:v>
      </x:c>
      <x:c r="O11" s="68" t="str">
        <x:v>名义调候元素不能承担真实调候</x:v>
      </x:c>
      <x:c r="P11" s="68" t="str">
        <x:v>待定</x:v>
      </x:c>
      <x:c r="Q11" s="68" t="str">
        <x:v>按M08有效性重新评价</x:v>
      </x:c>
      <x:c r="R11" s="82" t="str">
        <x:v>待定</x:v>
      </x:c>
      <x:c r="S11" s="82" t="str">
        <x:v>待定</x:v>
      </x:c>
      <x:c r="T11" s="82" t="str">
        <x:v>待定</x:v>
      </x:c>
      <x:c r="U11" s="82" t="str">
        <x:v>待定</x:v>
      </x:c>
      <x:c r="V11" s="82" t="str">
        <x:v>待定</x:v>
      </x:c>
      <x:c r="W11" s="68" t="str">
        <x:v>M02基础映射、M08五行有效旺衰、M12流通卡点已完成</x:v>
      </x:c>
      <x:c r="X11" s="68" t="str">
        <x:v>月令基准与全局有效五行均已核查</x:v>
      </x:c>
      <x:c r="Y11" s="68" t="str">
        <x:v>相关调候五行有根有源、透达且能真实改善关键气候问题</x:v>
      </x:c>
      <x:c r="Z11" s="68" t="str">
        <x:v>调候五行无根、受强制、被合绊、改性或加入后产生新的寒热燥湿问题</x:v>
      </x:c>
      <x:c r="AA11" s="90" t="str">
        <x:v>不得只凭出生月份或某一五行数量直接下最终调候结论</x:v>
      </x:c>
      <x:c r="AB11" s="68" t="str">
        <x:v>特殊格局、核心格局用神或更高优先级病药约束转M16—M18裁决</x:v>
      </x:c>
      <x:c r="AC11" s="84" t="str">
        <x:v>调候有效力量优先</x:v>
      </x:c>
      <x:c r="AD11" s="84" t="str">
        <x:v>调候判断只读取有效五行而非名义存在：温度轴判“待定”，湿度轴判“待定”；调候候选为“待定”，是否成为最终用神仍转M16—M18。</x:v>
      </x:c>
      <x:c r="AE11" s="82" t="str">
        <x:v>较高</x:v>
      </x:c>
      <x:c r="AF11" s="82" t="str">
        <x:v>调候</x:v>
      </x:c>
      <x:c r="AG11" s="68" t="str">
        <x:v>调候以月令气候为起点，但必须结合M08五行有效力量与M12流通状态修正；寒暖与燥湿分轴判断，调候候选不自动等于全局主用神。</x:v>
      </x:c>
      <x:c r="AH11" s="68" t="str">
        <x:v>当“某火、水或土虽在原局出现但M08已判受限、失效或改性”真实成立，且调候机制能改善主要气候问题时，可按“调候判断只读取有效五行而非名义存在”记录。</x:v>
      </x:c>
      <x:c r="AI11" s="90" t="str">
        <x:v>仅见月份或表面五行标签，但未满足“某火、水或土虽在原局出现但M08已判受限、失效或改性”及必要修正条件时，不得套用“调候判断只读取有效五行而非名义存在”。</x:v>
      </x:c>
      <x:c r="AJ11" s="82" t="str">
        <x:v>采用</x:v>
      </x:c>
      <x:c r="AK11" s="82" t="str">
        <x:v>初审</x:v>
      </x:c>
      <x:c r="AL11" s="87" t="n">
        <x:v>46255</x:v>
      </x:c>
    </x:row>
    <x:row r="12">
      <x:c r="A12" s="72" t="str">
        <x:f>IF(OR(C12="",D12=""),"",B12&amp;"-"&amp;UPPER(C12)&amp;"-"&amp;TEXT(D12,"0000")&amp;"-"&amp;E12)</x:f>
        <x:v>M13-GEN-0006-V1.0</x:v>
      </x:c>
      <x:c r="B12" s="74" t="str">
        <x:v>M13</x:v>
      </x:c>
      <x:c r="C12" s="74" t="str">
        <x:v>GEN</x:v>
      </x:c>
      <x:c r="D12" s="215" t="n">
        <x:v>6</x:v>
      </x:c>
      <x:c r="E12" s="74" t="str">
        <x:v>V1.0</x:v>
      </x:c>
      <x:c r="F12" s="68" t="str">
        <x:v>气候平衡不等于五行力量平衡</x:v>
      </x:c>
      <x:c r="G12" s="82" t="str">
        <x:v>结构层</x:v>
      </x:c>
      <x:c r="H12" s="82" t="str">
        <x:v>寒暖燥湿综合</x:v>
      </x:c>
      <x:c r="I12" s="68" t="str">
        <x:v>通用</x:v>
      </x:c>
      <x:c r="J12" s="68" t="str">
        <x:v>寒暖燥湿适中，但日主或某五行仍明显偏旺偏弱</x:v>
      </x:c>
      <x:c r="K12" s="68" t="str">
        <x:v>待定</x:v>
      </x:c>
      <x:c r="L12" s="68" t="str">
        <x:v>待定</x:v>
      </x:c>
      <x:c r="M12" s="82" t="str">
        <x:v>平衡</x:v>
      </x:c>
      <x:c r="N12" s="82" t="str">
        <x:v>平衡</x:v>
      </x:c>
      <x:c r="O12" s="68" t="str">
        <x:v>调候与扶抑属于不同问题</x:v>
      </x:c>
      <x:c r="P12" s="68" t="str">
        <x:v>待定</x:v>
      </x:c>
      <x:c r="Q12" s="68" t="str">
        <x:v>调候不介入非气候性旺衰问题</x:v>
      </x:c>
      <x:c r="R12" s="82" t="str">
        <x:v>待定</x:v>
      </x:c>
      <x:c r="S12" s="82" t="str">
        <x:v>待定</x:v>
      </x:c>
      <x:c r="T12" s="82" t="str">
        <x:v>待定</x:v>
      </x:c>
      <x:c r="U12" s="82" t="str">
        <x:v>待定</x:v>
      </x:c>
      <x:c r="V12" s="82" t="str">
        <x:v>待定</x:v>
      </x:c>
      <x:c r="W12" s="68" t="str">
        <x:v>M02基础映射、M08五行有效旺衰、M12流通卡点已完成</x:v>
      </x:c>
      <x:c r="X12" s="68" t="str">
        <x:v>月令基准与全局有效五行均已核查</x:v>
      </x:c>
      <x:c r="Y12" s="68" t="str">
        <x:v>相关调候五行有根有源、透达且能真实改善关键气候问题</x:v>
      </x:c>
      <x:c r="Z12" s="68" t="str">
        <x:v>调候五行无根、受强制、被合绊、改性或加入后产生新的寒热燥湿问题</x:v>
      </x:c>
      <x:c r="AA12" s="90" t="str">
        <x:v>不得只凭出生月份或某一五行数量直接下最终调候结论</x:v>
      </x:c>
      <x:c r="AB12" s="68" t="str">
        <x:v>特殊格局、核心格局用神或更高优先级病药约束转M16—M18裁决</x:v>
      </x:c>
      <x:c r="AC12" s="84" t="str">
        <x:v>调候扶抑分离</x:v>
      </x:c>
      <x:c r="AD12" s="84" t="str">
        <x:v>气候平衡不等于五行力量平衡：温度轴判“平衡”，湿度轴判“平衡”；调候候选为“待定”，是否成为最终用神仍转M16—M18。</x:v>
      </x:c>
      <x:c r="AE12" s="82" t="str">
        <x:v>较高</x:v>
      </x:c>
      <x:c r="AF12" s="82" t="str">
        <x:v>调候</x:v>
      </x:c>
      <x:c r="AG12" s="68" t="str">
        <x:v>调候以月令气候为起点，但必须结合M08五行有效力量与M12流通状态修正；寒暖与燥湿分轴判断，调候候选不自动等于全局主用神。</x:v>
      </x:c>
      <x:c r="AH12" s="68" t="str">
        <x:v>当“寒暖燥湿适中，但日主或某五行仍明显偏旺偏弱”真实成立，且调候机制能改善主要气候问题时，可按“气候平衡不等于五行力量平衡”记录。</x:v>
      </x:c>
      <x:c r="AI12" s="90" t="str">
        <x:v>仅见月份或表面五行标签，但未满足“寒暖燥湿适中，但日主或某五行仍明显偏旺偏弱”及必要修正条件时，不得套用“气候平衡不等于五行力量平衡”。</x:v>
      </x:c>
      <x:c r="AJ12" s="82" t="str">
        <x:v>采用</x:v>
      </x:c>
      <x:c r="AK12" s="82" t="str">
        <x:v>初审</x:v>
      </x:c>
      <x:c r="AL12" s="87" t="n">
        <x:v>46255</x:v>
      </x:c>
    </x:row>
    <x:row r="13">
      <x:c r="A13" s="72" t="str">
        <x:f>IF(OR(C13="",D13=""),"",B13&amp;"-"&amp;UPPER(C13)&amp;"-"&amp;TEXT(D13,"0000")&amp;"-"&amp;E13)</x:f>
        <x:v>M13-GEN-0007-V1.0</x:v>
      </x:c>
      <x:c r="B13" s="74" t="str">
        <x:v>M13</x:v>
      </x:c>
      <x:c r="C13" s="74" t="str">
        <x:v>GEN</x:v>
      </x:c>
      <x:c r="D13" s="215" t="n">
        <x:v>7</x:v>
      </x:c>
      <x:c r="E13" s="74" t="str">
        <x:v>V1.0</x:v>
      </x:c>
      <x:c r="F13" s="68" t="str">
        <x:v>调候候选不等于主用神</x:v>
      </x:c>
      <x:c r="G13" s="82" t="str">
        <x:v>结构层</x:v>
      </x:c>
      <x:c r="H13" s="82" t="str">
        <x:v>寒暖燥湿综合</x:v>
      </x:c>
      <x:c r="I13" s="68" t="str">
        <x:v>通用</x:v>
      </x:c>
      <x:c r="J13" s="68" t="str">
        <x:v>某五行能改善寒暖燥湿，但可能破坏格局、加重日主失衡或制造新病</x:v>
      </x:c>
      <x:c r="K13" s="68" t="str">
        <x:v>待定</x:v>
      </x:c>
      <x:c r="L13" s="68" t="str">
        <x:v>待定</x:v>
      </x:c>
      <x:c r="M13" s="82" t="str">
        <x:v>待定</x:v>
      </x:c>
      <x:c r="N13" s="82" t="str">
        <x:v>待定</x:v>
      </x:c>
      <x:c r="O13" s="68" t="str">
        <x:v>调候收益与结构副作用并存</x:v>
      </x:c>
      <x:c r="P13" s="68" t="str">
        <x:v>待定</x:v>
      </x:c>
      <x:c r="Q13" s="68" t="str">
        <x:v>生成调候候选并转M17/M18</x:v>
      </x:c>
      <x:c r="R13" s="82" t="str">
        <x:v>待定</x:v>
      </x:c>
      <x:c r="S13" s="82" t="str">
        <x:v>待定</x:v>
      </x:c>
      <x:c r="T13" s="82" t="str">
        <x:v>待定</x:v>
      </x:c>
      <x:c r="U13" s="82" t="str">
        <x:v>待定</x:v>
      </x:c>
      <x:c r="V13" s="82" t="str">
        <x:v>待定</x:v>
      </x:c>
      <x:c r="W13" s="68" t="str">
        <x:v>M02基础映射、M08五行有效旺衰、M12流通卡点已完成</x:v>
      </x:c>
      <x:c r="X13" s="68" t="str">
        <x:v>月令基准与全局有效五行均已核查</x:v>
      </x:c>
      <x:c r="Y13" s="68" t="str">
        <x:v>相关调候五行有根有源、透达且能真实改善关键气候问题</x:v>
      </x:c>
      <x:c r="Z13" s="68" t="str">
        <x:v>调候五行无根、受强制、被合绊、改性或加入后产生新的寒热燥湿问题</x:v>
      </x:c>
      <x:c r="AA13" s="90" t="str">
        <x:v>不得只凭出生月份或某一五行数量直接下最终调候结论</x:v>
      </x:c>
      <x:c r="AB13" s="68" t="str">
        <x:v>特殊格局、核心格局用神或更高优先级病药约束转M16—M18裁决</x:v>
      </x:c>
      <x:c r="AC13" s="84" t="str">
        <x:v>调候候选与用神分离</x:v>
      </x:c>
      <x:c r="AD13" s="84" t="str">
        <x:v>调候候选不等于主用神：温度轴判“待定”，湿度轴判“待定”；调候候选为“待定”，是否成为最终用神仍转M16—M18。</x:v>
      </x:c>
      <x:c r="AE13" s="82" t="str">
        <x:v>较高</x:v>
      </x:c>
      <x:c r="AF13" s="82" t="str">
        <x:v>调候</x:v>
      </x:c>
      <x:c r="AG13" s="68" t="str">
        <x:v>调候以月令气候为起点，但必须结合M08五行有效力量与M12流通状态修正；寒暖与燥湿分轴判断，调候候选不自动等于全局主用神。</x:v>
      </x:c>
      <x:c r="AH13" s="68" t="str">
        <x:v>当“某五行能改善寒暖燥湿，但可能破坏格局、加重日主失衡或制造新病”真实成立，且调候机制能改善主要气候问题时，可按“调候候选不等于主用神”记录。</x:v>
      </x:c>
      <x:c r="AI13" s="90" t="str">
        <x:v>仅见月份或表面五行标签，但未满足“某五行能改善寒暖燥湿，但可能破坏格局、加重日主失衡或制造新病”及必要修正条件时，不得套用“调候候选不等于主用神”。</x:v>
      </x:c>
      <x:c r="AJ13" s="82" t="str">
        <x:v>采用</x:v>
      </x:c>
      <x:c r="AK13" s="82" t="str">
        <x:v>初审</x:v>
      </x:c>
      <x:c r="AL13" s="87" t="n">
        <x:v>46255</x:v>
      </x:c>
    </x:row>
    <x:row r="14">
      <x:c r="A14" s="72" t="str">
        <x:f>IF(OR(C14="",D14=""),"",B14&amp;"-"&amp;UPPER(C14)&amp;"-"&amp;TEXT(D14,"0000")&amp;"-"&amp;E14)</x:f>
        <x:v>M13-GEN-0008-V1.0</x:v>
      </x:c>
      <x:c r="B14" s="74" t="str">
        <x:v>M13</x:v>
      </x:c>
      <x:c r="C14" s="74" t="str">
        <x:v>GEN</x:v>
      </x:c>
      <x:c r="D14" s="215" t="n">
        <x:v>8</x:v>
      </x:c>
      <x:c r="E14" s="74" t="str">
        <x:v>V1.0</x:v>
      </x:c>
      <x:c r="F14" s="68" t="str">
        <x:v>极端气候达到功能阻断时调候优先级上升</x:v>
      </x:c>
      <x:c r="G14" s="82" t="str">
        <x:v>结构层</x:v>
      </x:c>
      <x:c r="H14" s="82" t="str">
        <x:v>寒暖燥湿综合</x:v>
      </x:c>
      <x:c r="I14" s="68" t="str">
        <x:v>通用</x:v>
      </x:c>
      <x:c r="J14" s="68" t="str">
        <x:v>极寒、极热、极湿或极燥已明显导致M12主路径寒凝、燥枯或失去生化</x:v>
      </x:c>
      <x:c r="K14" s="68" t="str">
        <x:v>待定</x:v>
      </x:c>
      <x:c r="L14" s="68" t="str">
        <x:v>待定</x:v>
      </x:c>
      <x:c r="M14" s="82" t="str">
        <x:v>待定</x:v>
      </x:c>
      <x:c r="N14" s="82" t="str">
        <x:v>待定</x:v>
      </x:c>
      <x:c r="O14" s="68" t="str">
        <x:v>气候问题成为全局功能瓶颈</x:v>
      </x:c>
      <x:c r="P14" s="68" t="str">
        <x:v>待定</x:v>
      </x:c>
      <x:c r="Q14" s="68" t="str">
        <x:v>优先恢复基本生化条件</x:v>
      </x:c>
      <x:c r="R14" s="82" t="str">
        <x:v>待定</x:v>
      </x:c>
      <x:c r="S14" s="82" t="str">
        <x:v>待定</x:v>
      </x:c>
      <x:c r="T14" s="82" t="str">
        <x:v>首要</x:v>
      </x:c>
      <x:c r="U14" s="82" t="str">
        <x:v>待定</x:v>
      </x:c>
      <x:c r="V14" s="82" t="str">
        <x:v>待定</x:v>
      </x:c>
      <x:c r="W14" s="68" t="str">
        <x:v>M02基础映射、M08五行有效旺衰、M12流通卡点已完成</x:v>
      </x:c>
      <x:c r="X14" s="68" t="str">
        <x:v>月令基准与全局有效五行均已核查</x:v>
      </x:c>
      <x:c r="Y14" s="68" t="str">
        <x:v>相关调候五行有根有源、透达且能真实改善关键气候问题</x:v>
      </x:c>
      <x:c r="Z14" s="68" t="str">
        <x:v>调候五行无根、受强制、被合绊、改性或加入后产生新的寒热燥湿问题</x:v>
      </x:c>
      <x:c r="AA14" s="90" t="str">
        <x:v>不得只凭出生月份或某一五行数量直接下最终调候结论</x:v>
      </x:c>
      <x:c r="AB14" s="68" t="str">
        <x:v>特殊格局、核心格局用神或更高优先级病药约束转M16—M18裁决</x:v>
      </x:c>
      <x:c r="AC14" s="84" t="str">
        <x:v>极端调候优先级</x:v>
      </x:c>
      <x:c r="AD14" s="84" t="str">
        <x:v>极端气候达到功能阻断时调候优先级上升：温度轴判“待定”，湿度轴判“待定”；调候候选为“待定”，是否成为最终用神仍转M16—M18。</x:v>
      </x:c>
      <x:c r="AE14" s="82" t="str">
        <x:v>较高</x:v>
      </x:c>
      <x:c r="AF14" s="82" t="str">
        <x:v>调候</x:v>
      </x:c>
      <x:c r="AG14" s="68" t="str">
        <x:v>调候以月令气候为起点，但必须结合M08五行有效力量与M12流通状态修正；寒暖与燥湿分轴判断，调候候选不自动等于全局主用神。</x:v>
      </x:c>
      <x:c r="AH14" s="68" t="str">
        <x:v>当“极寒、极热、极湿或极燥已明显导致M12主路径寒凝、燥枯或失去生化”真实成立，且调候机制能改善主要气候问题时，可按“极端气候达到功能阻断时调候优先级上升”记录。</x:v>
      </x:c>
      <x:c r="AI14" s="90" t="str">
        <x:v>仅见月份或表面五行标签，但未满足“极寒、极热、极湿或极燥已明显导致M12主路径寒凝、燥枯或失去生化”及必要修正条件时，不得套用“极端气候达到功能阻断时调候优先级上升”。</x:v>
      </x:c>
      <x:c r="AJ14" s="82" t="str">
        <x:v>采用</x:v>
      </x:c>
      <x:c r="AK14" s="82" t="str">
        <x:v>初审</x:v>
      </x:c>
      <x:c r="AL14" s="87" t="n">
        <x:v>46255</x:v>
      </x:c>
    </x:row>
    <x:row r="15">
      <x:c r="A15" s="72" t="str">
        <x:f>IF(OR(C15="",D15=""),"",B15&amp;"-"&amp;UPPER(C15)&amp;"-"&amp;TEXT(D15,"0000")&amp;"-"&amp;E15)</x:f>
        <x:v>M13-SEASON-0009-V1.0</x:v>
      </x:c>
      <x:c r="B15" s="74" t="str">
        <x:v>M13</x:v>
      </x:c>
      <x:c r="C15" s="74" t="str">
        <x:v>SEASON</x:v>
      </x:c>
      <x:c r="D15" s="215" t="n">
        <x:v>9</x:v>
      </x:c>
      <x:c r="E15" s="74" t="str">
        <x:v>V1.0</x:v>
      </x:c>
      <x:c r="F15" s="68" t="str">
        <x:v>寅月气候基准</x:v>
      </x:c>
      <x:c r="G15" s="82" t="str">
        <x:v>结构层</x:v>
      </x:c>
      <x:c r="H15" s="82" t="str">
        <x:v>寒暖燥湿综合</x:v>
      </x:c>
      <x:c r="I15" s="68" t="str">
        <x:v>寅月</x:v>
      </x:c>
      <x:c r="J15" s="68" t="str">
        <x:v>初春木旺，寒气未尽</x:v>
      </x:c>
      <x:c r="K15" s="68" t="str">
        <x:v>月令基准</x:v>
      </x:c>
      <x:c r="L15" s="68" t="str">
        <x:v>月令基准</x:v>
      </x:c>
      <x:c r="M15" s="82" t="str">
        <x:v>偏暖</x:v>
      </x:c>
      <x:c r="N15" s="82" t="str">
        <x:v>平衡</x:v>
      </x:c>
      <x:c r="O15" s="68" t="str">
        <x:v>木气初升但余寒仍可能存在</x:v>
      </x:c>
      <x:c r="P15" s="68" t="str">
        <x:v>火</x:v>
      </x:c>
      <x:c r="Q15" s="68" t="str">
        <x:v>暖木助生发</x:v>
      </x:c>
      <x:c r="R15" s="82" t="str">
        <x:v>条件性</x:v>
      </x:c>
      <x:c r="S15" s="82" t="str">
        <x:v>待定</x:v>
      </x:c>
      <x:c r="T15" s="82" t="str">
        <x:v>待定</x:v>
      </x:c>
      <x:c r="U15" s="82" t="str">
        <x:v>待定</x:v>
      </x:c>
      <x:c r="V15" s="82" t="str">
        <x:v>待定</x:v>
      </x:c>
      <x:c r="W15" s="68" t="str">
        <x:v>M02基础映射、M08五行有效旺衰、M12流通卡点已完成</x:v>
      </x:c>
      <x:c r="X15" s="68" t="str">
        <x:v>月令基准与全局有效五行均已核查</x:v>
      </x:c>
      <x:c r="Y15" s="68" t="str">
        <x:v>相关调候五行有根有源、透达且能真实改善关键气候问题</x:v>
      </x:c>
      <x:c r="Z15" s="68" t="str">
        <x:v>调候五行无根、受强制、被合绊、改性或加入后产生新的寒热燥湿问题</x:v>
      </x:c>
      <x:c r="AA15" s="90" t="str">
        <x:v>月令仅提供初始倾向，必须结合全局火水燥湿土与合化成势修正</x:v>
      </x:c>
      <x:c r="AB15" s="68" t="str">
        <x:v>特殊格局、核心格局用神或更高优先级病药约束转M16—M18裁决</x:v>
      </x:c>
      <x:c r="AC15" s="84" t="str">
        <x:v>寅月_气候基准</x:v>
      </x:c>
      <x:c r="AD15" s="84" t="str">
        <x:v>寅月气候基准：温度轴判“偏暖”，湿度轴判“平衡”；调候候选为“火”，是否成为最终用神仍转M16—M18。</x:v>
      </x:c>
      <x:c r="AE15" s="82" t="str">
        <x:v>中等</x:v>
      </x:c>
      <x:c r="AF15" s="82" t="str">
        <x:v>调候</x:v>
      </x:c>
      <x:c r="AG15" s="68" t="str">
        <x:v>调候以月令气候为起点，但必须结合M08五行有效力量与M12流通状态修正；寒暖与燥湿分轴判断，调候候选不自动等于全局主用神。</x:v>
      </x:c>
      <x:c r="AH15" s="68" t="str">
        <x:v>当“初春木旺，寒气未尽”真实成立，且调候机制能改善主要气候问题时，可按“寅月气候基准”记录。</x:v>
      </x:c>
      <x:c r="AI15" s="90" t="str">
        <x:v>仅见月份或表面五行标签，但未满足“初春木旺，寒气未尽”及必要修正条件时，不得套用“寅月气候基准”。</x:v>
      </x:c>
      <x:c r="AJ15" s="82" t="str">
        <x:v>采用</x:v>
      </x:c>
      <x:c r="AK15" s="82" t="str">
        <x:v>初审</x:v>
      </x:c>
      <x:c r="AL15" s="87" t="n">
        <x:v>46255</x:v>
      </x:c>
    </x:row>
    <x:row r="16">
      <x:c r="A16" s="72" t="str">
        <x:f>IF(OR(C16="",D16=""),"",B16&amp;"-"&amp;UPPER(C16)&amp;"-"&amp;TEXT(D16,"0000")&amp;"-"&amp;E16)</x:f>
        <x:v>M13-SEASON-0010-V1.0</x:v>
      </x:c>
      <x:c r="B16" s="74" t="str">
        <x:v>M13</x:v>
      </x:c>
      <x:c r="C16" s="74" t="str">
        <x:v>SEASON</x:v>
      </x:c>
      <x:c r="D16" s="215" t="n">
        <x:v>10</x:v>
      </x:c>
      <x:c r="E16" s="74" t="str">
        <x:v>V1.0</x:v>
      </x:c>
      <x:c r="F16" s="68" t="str">
        <x:v>卯月气候基准</x:v>
      </x:c>
      <x:c r="G16" s="82" t="str">
        <x:v>结构层</x:v>
      </x:c>
      <x:c r="H16" s="82" t="str">
        <x:v>寒暖燥湿综合</x:v>
      </x:c>
      <x:c r="I16" s="68" t="str">
        <x:v>卯月</x:v>
      </x:c>
      <x:c r="J16" s="68" t="str">
        <x:v>仲春木旺，气温上升</x:v>
      </x:c>
      <x:c r="K16" s="68" t="str">
        <x:v>月令基准</x:v>
      </x:c>
      <x:c r="L16" s="68" t="str">
        <x:v>月令基准</x:v>
      </x:c>
      <x:c r="M16" s="82" t="str">
        <x:v>偏暖</x:v>
      </x:c>
      <x:c r="N16" s="82" t="str">
        <x:v>平衡</x:v>
      </x:c>
      <x:c r="O16" s="68" t="str">
        <x:v>木旺生发，通常不以寒为主</x:v>
      </x:c>
      <x:c r="P16" s="68" t="str">
        <x:v>待定</x:v>
      </x:c>
      <x:c r="Q16" s="68" t="str">
        <x:v>视全局修正</x:v>
      </x:c>
      <x:c r="R16" s="82" t="str">
        <x:v>条件性</x:v>
      </x:c>
      <x:c r="S16" s="82" t="str">
        <x:v>待定</x:v>
      </x:c>
      <x:c r="T16" s="82" t="str">
        <x:v>待定</x:v>
      </x:c>
      <x:c r="U16" s="82" t="str">
        <x:v>待定</x:v>
      </x:c>
      <x:c r="V16" s="82" t="str">
        <x:v>待定</x:v>
      </x:c>
      <x:c r="W16" s="68" t="str">
        <x:v>M02基础映射、M08五行有效旺衰、M12流通卡点已完成</x:v>
      </x:c>
      <x:c r="X16" s="68" t="str">
        <x:v>月令基准与全局有效五行均已核查</x:v>
      </x:c>
      <x:c r="Y16" s="68" t="str">
        <x:v>相关调候五行有根有源、透达且能真实改善关键气候问题</x:v>
      </x:c>
      <x:c r="Z16" s="68" t="str">
        <x:v>调候五行无根、受强制、被合绊、改性或加入后产生新的寒热燥湿问题</x:v>
      </x:c>
      <x:c r="AA16" s="90" t="str">
        <x:v>月令仅提供初始倾向，必须结合全局火水燥湿土与合化成势修正</x:v>
      </x:c>
      <x:c r="AB16" s="68" t="str">
        <x:v>特殊格局、核心格局用神或更高优先级病药约束转M16—M18裁决</x:v>
      </x:c>
      <x:c r="AC16" s="84" t="str">
        <x:v>卯月_气候基准</x:v>
      </x:c>
      <x:c r="AD16" s="84" t="str">
        <x:v>卯月气候基准：温度轴判“偏暖”，湿度轴判“平衡”；调候候选为“待定”，是否成为最终用神仍转M16—M18。</x:v>
      </x:c>
      <x:c r="AE16" s="82" t="str">
        <x:v>中等</x:v>
      </x:c>
      <x:c r="AF16" s="82" t="str">
        <x:v>调候</x:v>
      </x:c>
      <x:c r="AG16" s="68" t="str">
        <x:v>调候以月令气候为起点，但必须结合M08五行有效力量与M12流通状态修正；寒暖与燥湿分轴判断，调候候选不自动等于全局主用神。</x:v>
      </x:c>
      <x:c r="AH16" s="68" t="str">
        <x:v>当“仲春木旺，气温上升”真实成立，且调候机制能改善主要气候问题时，可按“卯月气候基准”记录。</x:v>
      </x:c>
      <x:c r="AI16" s="90" t="str">
        <x:v>仅见月份或表面五行标签，但未满足“仲春木旺，气温上升”及必要修正条件时，不得套用“卯月气候基准”。</x:v>
      </x:c>
      <x:c r="AJ16" s="82" t="str">
        <x:v>采用</x:v>
      </x:c>
      <x:c r="AK16" s="82" t="str">
        <x:v>初审</x:v>
      </x:c>
      <x:c r="AL16" s="87" t="n">
        <x:v>46255</x:v>
      </x:c>
    </x:row>
    <x:row r="17">
      <x:c r="A17" s="72" t="str">
        <x:f>IF(OR(C17="",D17=""),"",B17&amp;"-"&amp;UPPER(C17)&amp;"-"&amp;TEXT(D17,"0000")&amp;"-"&amp;E17)</x:f>
        <x:v>M13-SEASON-0011-V1.0</x:v>
      </x:c>
      <x:c r="B17" s="74" t="str">
        <x:v>M13</x:v>
      </x:c>
      <x:c r="C17" s="74" t="str">
        <x:v>SEASON</x:v>
      </x:c>
      <x:c r="D17" s="215" t="n">
        <x:v>11</x:v>
      </x:c>
      <x:c r="E17" s="74" t="str">
        <x:v>V1.0</x:v>
      </x:c>
      <x:c r="F17" s="68" t="str">
        <x:v>辰月气候基准</x:v>
      </x:c>
      <x:c r="G17" s="82" t="str">
        <x:v>结构层</x:v>
      </x:c>
      <x:c r="H17" s="82" t="str">
        <x:v>寒暖燥湿综合</x:v>
      </x:c>
      <x:c r="I17" s="68" t="str">
        <x:v>辰月</x:v>
      </x:c>
      <x:c r="J17" s="68" t="str">
        <x:v>季春湿土当令</x:v>
      </x:c>
      <x:c r="K17" s="68" t="str">
        <x:v>月令基准</x:v>
      </x:c>
      <x:c r="L17" s="68" t="str">
        <x:v>月令基准</x:v>
      </x:c>
      <x:c r="M17" s="82" t="str">
        <x:v>偏暖</x:v>
      </x:c>
      <x:c r="N17" s="82" t="str">
        <x:v>偏湿</x:v>
      </x:c>
      <x:c r="O17" s="68" t="str">
        <x:v>湿土与春水余气可能使湿度升高</x:v>
      </x:c>
      <x:c r="P17" s="68" t="str">
        <x:v>火/木</x:v>
      </x:c>
      <x:c r="Q17" s="68" t="str">
        <x:v>暖土疏湿并维持生发</x:v>
      </x:c>
      <x:c r="R17" s="82" t="str">
        <x:v>条件性</x:v>
      </x:c>
      <x:c r="S17" s="82" t="str">
        <x:v>待定</x:v>
      </x:c>
      <x:c r="T17" s="82" t="str">
        <x:v>待定</x:v>
      </x:c>
      <x:c r="U17" s="82" t="str">
        <x:v>待定</x:v>
      </x:c>
      <x:c r="V17" s="82" t="str">
        <x:v>待定</x:v>
      </x:c>
      <x:c r="W17" s="68" t="str">
        <x:v>M02基础映射、M08五行有效旺衰、M12流通卡点已完成</x:v>
      </x:c>
      <x:c r="X17" s="68" t="str">
        <x:v>月令基准与全局有效五行均已核查</x:v>
      </x:c>
      <x:c r="Y17" s="68" t="str">
        <x:v>相关调候五行有根有源、透达且能真实改善关键气候问题</x:v>
      </x:c>
      <x:c r="Z17" s="68" t="str">
        <x:v>调候五行无根、受强制、被合绊、改性或加入后产生新的寒热燥湿问题</x:v>
      </x:c>
      <x:c r="AA17" s="90" t="str">
        <x:v>月令仅提供初始倾向，必须结合全局火水燥湿土与合化成势修正</x:v>
      </x:c>
      <x:c r="AB17" s="68" t="str">
        <x:v>特殊格局、核心格局用神或更高优先级病药约束转M16—M18裁决</x:v>
      </x:c>
      <x:c r="AC17" s="84" t="str">
        <x:v>辰月_气候基准</x:v>
      </x:c>
      <x:c r="AD17" s="84" t="str">
        <x:v>辰月气候基准：温度轴判“偏暖”，湿度轴判“偏湿”；调候候选为“火/木”，是否成为最终用神仍转M16—M18。</x:v>
      </x:c>
      <x:c r="AE17" s="82" t="str">
        <x:v>中等</x:v>
      </x:c>
      <x:c r="AF17" s="82" t="str">
        <x:v>调候</x:v>
      </x:c>
      <x:c r="AG17" s="68" t="str">
        <x:v>调候以月令气候为起点，但必须结合M08五行有效力量与M12流通状态修正；寒暖与燥湿分轴判断，调候候选不自动等于全局主用神。</x:v>
      </x:c>
      <x:c r="AH17" s="68" t="str">
        <x:v>当“季春湿土当令”真实成立，且调候机制能改善主要气候问题时，可按“辰月气候基准”记录。</x:v>
      </x:c>
      <x:c r="AI17" s="90" t="str">
        <x:v>仅见月份或表面五行标签，但未满足“季春湿土当令”及必要修正条件时，不得套用“辰月气候基准”。</x:v>
      </x:c>
      <x:c r="AJ17" s="82" t="str">
        <x:v>采用</x:v>
      </x:c>
      <x:c r="AK17" s="82" t="str">
        <x:v>初审</x:v>
      </x:c>
      <x:c r="AL17" s="87" t="n">
        <x:v>46255</x:v>
      </x:c>
    </x:row>
    <x:row r="18">
      <x:c r="A18" s="72" t="str">
        <x:f>IF(OR(C18="",D18=""),"",B18&amp;"-"&amp;UPPER(C18)&amp;"-"&amp;TEXT(D18,"0000")&amp;"-"&amp;E18)</x:f>
        <x:v>M13-SEASON-0012-V1.0</x:v>
      </x:c>
      <x:c r="B18" s="74" t="str">
        <x:v>M13</x:v>
      </x:c>
      <x:c r="C18" s="74" t="str">
        <x:v>SEASON</x:v>
      </x:c>
      <x:c r="D18" s="215" t="n">
        <x:v>12</x:v>
      </x:c>
      <x:c r="E18" s="74" t="str">
        <x:v>V1.0</x:v>
      </x:c>
      <x:c r="F18" s="68" t="str">
        <x:v>巳月气候基准</x:v>
      </x:c>
      <x:c r="G18" s="82" t="str">
        <x:v>结构层</x:v>
      </x:c>
      <x:c r="H18" s="82" t="str">
        <x:v>寒暖燥湿综合</x:v>
      </x:c>
      <x:c r="I18" s="68" t="str">
        <x:v>巳月</x:v>
      </x:c>
      <x:c r="J18" s="68" t="str">
        <x:v>初夏火旺</x:v>
      </x:c>
      <x:c r="K18" s="68" t="str">
        <x:v>月令基准</x:v>
      </x:c>
      <x:c r="L18" s="68" t="str">
        <x:v>月令基准</x:v>
      </x:c>
      <x:c r="M18" s="82" t="str">
        <x:v>偏暖</x:v>
      </x:c>
      <x:c r="N18" s="82" t="str">
        <x:v>偏燥</x:v>
      </x:c>
      <x:c r="O18" s="68" t="str">
        <x:v>火升温并逐渐增燥</x:v>
      </x:c>
      <x:c r="P18" s="68" t="str">
        <x:v>水</x:v>
      </x:c>
      <x:c r="Q18" s="68" t="str">
        <x:v>润燥降温</x:v>
      </x:c>
      <x:c r="R18" s="82" t="str">
        <x:v>条件性</x:v>
      </x:c>
      <x:c r="S18" s="82" t="str">
        <x:v>待定</x:v>
      </x:c>
      <x:c r="T18" s="82" t="str">
        <x:v>待定</x:v>
      </x:c>
      <x:c r="U18" s="82" t="str">
        <x:v>待定</x:v>
      </x:c>
      <x:c r="V18" s="82" t="str">
        <x:v>待定</x:v>
      </x:c>
      <x:c r="W18" s="68" t="str">
        <x:v>M02基础映射、M08五行有效旺衰、M12流通卡点已完成</x:v>
      </x:c>
      <x:c r="X18" s="68" t="str">
        <x:v>月令基准与全局有效五行均已核查</x:v>
      </x:c>
      <x:c r="Y18" s="68" t="str">
        <x:v>相关调候五行有根有源、透达且能真实改善关键气候问题</x:v>
      </x:c>
      <x:c r="Z18" s="68" t="str">
        <x:v>调候五行无根、受强制、被合绊、改性或加入后产生新的寒热燥湿问题</x:v>
      </x:c>
      <x:c r="AA18" s="90" t="str">
        <x:v>月令仅提供初始倾向，必须结合全局火水燥湿土与合化成势修正</x:v>
      </x:c>
      <x:c r="AB18" s="68" t="str">
        <x:v>特殊格局、核心格局用神或更高优先级病药约束转M16—M18裁决</x:v>
      </x:c>
      <x:c r="AC18" s="84" t="str">
        <x:v>巳月_气候基准</x:v>
      </x:c>
      <x:c r="AD18" s="84" t="str">
        <x:v>巳月气候基准：温度轴判“偏暖”，湿度轴判“偏燥”；调候候选为“水”，是否成为最终用神仍转M16—M18。</x:v>
      </x:c>
      <x:c r="AE18" s="82" t="str">
        <x:v>中等</x:v>
      </x:c>
      <x:c r="AF18" s="82" t="str">
        <x:v>调候</x:v>
      </x:c>
      <x:c r="AG18" s="68" t="str">
        <x:v>调候以月令气候为起点，但必须结合M08五行有效力量与M12流通状态修正；寒暖与燥湿分轴判断，调候候选不自动等于全局主用神。</x:v>
      </x:c>
      <x:c r="AH18" s="68" t="str">
        <x:v>当“初夏火旺”真实成立，且调候机制能改善主要气候问题时，可按“巳月气候基准”记录。</x:v>
      </x:c>
      <x:c r="AI18" s="90" t="str">
        <x:v>仅见月份或表面五行标签，但未满足“初夏火旺”及必要修正条件时，不得套用“巳月气候基准”。</x:v>
      </x:c>
      <x:c r="AJ18" s="82" t="str">
        <x:v>采用</x:v>
      </x:c>
      <x:c r="AK18" s="82" t="str">
        <x:v>初审</x:v>
      </x:c>
      <x:c r="AL18" s="87" t="n">
        <x:v>46255</x:v>
      </x:c>
    </x:row>
    <x:row r="19">
      <x:c r="A19" s="72" t="str">
        <x:f>IF(OR(C19="",D19=""),"",B19&amp;"-"&amp;UPPER(C19)&amp;"-"&amp;TEXT(D19,"0000")&amp;"-"&amp;E19)</x:f>
        <x:v>M13-SEASON-0013-V1.0</x:v>
      </x:c>
      <x:c r="B19" s="74" t="str">
        <x:v>M13</x:v>
      </x:c>
      <x:c r="C19" s="74" t="str">
        <x:v>SEASON</x:v>
      </x:c>
      <x:c r="D19" s="215" t="n">
        <x:v>13</x:v>
      </x:c>
      <x:c r="E19" s="74" t="str">
        <x:v>V1.0</x:v>
      </x:c>
      <x:c r="F19" s="68" t="str">
        <x:v>午月气候基准</x:v>
      </x:c>
      <x:c r="G19" s="82" t="str">
        <x:v>结构层</x:v>
      </x:c>
      <x:c r="H19" s="82" t="str">
        <x:v>寒暖燥湿综合</x:v>
      </x:c>
      <x:c r="I19" s="68" t="str">
        <x:v>午月</x:v>
      </x:c>
      <x:c r="J19" s="68" t="str">
        <x:v>盛夏火极旺</x:v>
      </x:c>
      <x:c r="K19" s="68" t="str">
        <x:v>月令基准</x:v>
      </x:c>
      <x:c r="L19" s="68" t="str">
        <x:v>月令基准</x:v>
      </x:c>
      <x:c r="M19" s="82" t="str">
        <x:v>极热</x:v>
      </x:c>
      <x:c r="N19" s="82" t="str">
        <x:v>偏燥</x:v>
      </x:c>
      <x:c r="O19" s="68" t="str">
        <x:v>火势最强，易热燥</x:v>
      </x:c>
      <x:c r="P19" s="68" t="str">
        <x:v>水</x:v>
      </x:c>
      <x:c r="Q19" s="68" t="str">
        <x:v>降温润燥</x:v>
      </x:c>
      <x:c r="R19" s="82" t="str">
        <x:v>条件性</x:v>
      </x:c>
      <x:c r="S19" s="82" t="str">
        <x:v>待定</x:v>
      </x:c>
      <x:c r="T19" s="82" t="str">
        <x:v>待定</x:v>
      </x:c>
      <x:c r="U19" s="82" t="str">
        <x:v>待定</x:v>
      </x:c>
      <x:c r="V19" s="82" t="str">
        <x:v>待定</x:v>
      </x:c>
      <x:c r="W19" s="68" t="str">
        <x:v>M02基础映射、M08五行有效旺衰、M12流通卡点已完成</x:v>
      </x:c>
      <x:c r="X19" s="68" t="str">
        <x:v>月令基准与全局有效五行均已核查</x:v>
      </x:c>
      <x:c r="Y19" s="68" t="str">
        <x:v>相关调候五行有根有源、透达且能真实改善关键气候问题</x:v>
      </x:c>
      <x:c r="Z19" s="68" t="str">
        <x:v>调候五行无根、受强制、被合绊、改性或加入后产生新的寒热燥湿问题</x:v>
      </x:c>
      <x:c r="AA19" s="90" t="str">
        <x:v>月令仅提供初始倾向，必须结合全局火水燥湿土与合化成势修正</x:v>
      </x:c>
      <x:c r="AB19" s="68" t="str">
        <x:v>特殊格局、核心格局用神或更高优先级病药约束转M16—M18裁决</x:v>
      </x:c>
      <x:c r="AC19" s="84" t="str">
        <x:v>午月_气候基准</x:v>
      </x:c>
      <x:c r="AD19" s="84" t="str">
        <x:v>午月气候基准：温度轴判“极热”，湿度轴判“偏燥”；调候候选为“水”，是否成为最终用神仍转M16—M18。</x:v>
      </x:c>
      <x:c r="AE19" s="82" t="str">
        <x:v>中等</x:v>
      </x:c>
      <x:c r="AF19" s="82" t="str">
        <x:v>调候</x:v>
      </x:c>
      <x:c r="AG19" s="68" t="str">
        <x:v>调候以月令气候为起点，但必须结合M08五行有效力量与M12流通状态修正；寒暖与燥湿分轴判断，调候候选不自动等于全局主用神。</x:v>
      </x:c>
      <x:c r="AH19" s="68" t="str">
        <x:v>当“盛夏火极旺”真实成立，且调候机制能改善主要气候问题时，可按“午月气候基准”记录。</x:v>
      </x:c>
      <x:c r="AI19" s="90" t="str">
        <x:v>仅见月份或表面五行标签，但未满足“盛夏火极旺”及必要修正条件时，不得套用“午月气候基准”。</x:v>
      </x:c>
      <x:c r="AJ19" s="82" t="str">
        <x:v>采用</x:v>
      </x:c>
      <x:c r="AK19" s="82" t="str">
        <x:v>初审</x:v>
      </x:c>
      <x:c r="AL19" s="87" t="n">
        <x:v>46255</x:v>
      </x:c>
    </x:row>
    <x:row r="20">
      <x:c r="A20" s="72" t="str">
        <x:f>IF(OR(C20="",D20=""),"",B20&amp;"-"&amp;UPPER(C20)&amp;"-"&amp;TEXT(D20,"0000")&amp;"-"&amp;E20)</x:f>
        <x:v>M13-SEASON-0014-V1.0</x:v>
      </x:c>
      <x:c r="B20" s="74" t="str">
        <x:v>M13</x:v>
      </x:c>
      <x:c r="C20" s="74" t="str">
        <x:v>SEASON</x:v>
      </x:c>
      <x:c r="D20" s="215" t="n">
        <x:v>14</x:v>
      </x:c>
      <x:c r="E20" s="74" t="str">
        <x:v>V1.0</x:v>
      </x:c>
      <x:c r="F20" s="68" t="str">
        <x:v>未月气候基准</x:v>
      </x:c>
      <x:c r="G20" s="82" t="str">
        <x:v>结构层</x:v>
      </x:c>
      <x:c r="H20" s="82" t="str">
        <x:v>寒暖燥湿综合</x:v>
      </x:c>
      <x:c r="I20" s="68" t="str">
        <x:v>未月</x:v>
      </x:c>
      <x:c r="J20" s="68" t="str">
        <x:v>季夏燥土偏重</x:v>
      </x:c>
      <x:c r="K20" s="68" t="str">
        <x:v>月令基准</x:v>
      </x:c>
      <x:c r="L20" s="68" t="str">
        <x:v>月令基准</x:v>
      </x:c>
      <x:c r="M20" s="82" t="str">
        <x:v>偏暖</x:v>
      </x:c>
      <x:c r="N20" s="82" t="str">
        <x:v>偏燥</x:v>
      </x:c>
      <x:c r="O20" s="68" t="str">
        <x:v>余火与燥土并见时燥性突出</x:v>
      </x:c>
      <x:c r="P20" s="68" t="str">
        <x:v>水</x:v>
      </x:c>
      <x:c r="Q20" s="68" t="str">
        <x:v>润燥制热</x:v>
      </x:c>
      <x:c r="R20" s="82" t="str">
        <x:v>条件性</x:v>
      </x:c>
      <x:c r="S20" s="82" t="str">
        <x:v>待定</x:v>
      </x:c>
      <x:c r="T20" s="82" t="str">
        <x:v>待定</x:v>
      </x:c>
      <x:c r="U20" s="82" t="str">
        <x:v>待定</x:v>
      </x:c>
      <x:c r="V20" s="82" t="str">
        <x:v>待定</x:v>
      </x:c>
      <x:c r="W20" s="68" t="str">
        <x:v>M02基础映射、M08五行有效旺衰、M12流通卡点已完成</x:v>
      </x:c>
      <x:c r="X20" s="68" t="str">
        <x:v>月令基准与全局有效五行均已核查</x:v>
      </x:c>
      <x:c r="Y20" s="68" t="str">
        <x:v>相关调候五行有根有源、透达且能真实改善关键气候问题</x:v>
      </x:c>
      <x:c r="Z20" s="68" t="str">
        <x:v>调候五行无根、受强制、被合绊、改性或加入后产生新的寒热燥湿问题</x:v>
      </x:c>
      <x:c r="AA20" s="90" t="str">
        <x:v>月令仅提供初始倾向，必须结合全局火水燥湿土与合化成势修正</x:v>
      </x:c>
      <x:c r="AB20" s="68" t="str">
        <x:v>特殊格局、核心格局用神或更高优先级病药约束转M16—M18裁决</x:v>
      </x:c>
      <x:c r="AC20" s="84" t="str">
        <x:v>未月_气候基准</x:v>
      </x:c>
      <x:c r="AD20" s="84" t="str">
        <x:v>未月气候基准：温度轴判“偏暖”，湿度轴判“偏燥”；调候候选为“水”，是否成为最终用神仍转M16—M18。</x:v>
      </x:c>
      <x:c r="AE20" s="82" t="str">
        <x:v>中等</x:v>
      </x:c>
      <x:c r="AF20" s="82" t="str">
        <x:v>调候</x:v>
      </x:c>
      <x:c r="AG20" s="68" t="str">
        <x:v>调候以月令气候为起点，但必须结合M08五行有效力量与M12流通状态修正；寒暖与燥湿分轴判断，调候候选不自动等于全局主用神。</x:v>
      </x:c>
      <x:c r="AH20" s="68" t="str">
        <x:v>当“季夏燥土偏重”真实成立，且调候机制能改善主要气候问题时，可按“未月气候基准”记录。</x:v>
      </x:c>
      <x:c r="AI20" s="90" t="str">
        <x:v>仅见月份或表面五行标签，但未满足“季夏燥土偏重”及必要修正条件时，不得套用“未月气候基准”。</x:v>
      </x:c>
      <x:c r="AJ20" s="82" t="str">
        <x:v>采用</x:v>
      </x:c>
      <x:c r="AK20" s="82" t="str">
        <x:v>初审</x:v>
      </x:c>
      <x:c r="AL20" s="87" t="n">
        <x:v>46255</x:v>
      </x:c>
    </x:row>
    <x:row r="21">
      <x:c r="A21" s="72" t="str">
        <x:f>IF(OR(C21="",D21=""),"",B21&amp;"-"&amp;UPPER(C21)&amp;"-"&amp;TEXT(D21,"0000")&amp;"-"&amp;E21)</x:f>
        <x:v>M13-SEASON-0015-V1.0</x:v>
      </x:c>
      <x:c r="B21" s="74" t="str">
        <x:v>M13</x:v>
      </x:c>
      <x:c r="C21" s="74" t="str">
        <x:v>SEASON</x:v>
      </x:c>
      <x:c r="D21" s="215" t="n">
        <x:v>15</x:v>
      </x:c>
      <x:c r="E21" s="74" t="str">
        <x:v>V1.0</x:v>
      </x:c>
      <x:c r="F21" s="68" t="str">
        <x:v>申月气候基准</x:v>
      </x:c>
      <x:c r="G21" s="82" t="str">
        <x:v>结构层</x:v>
      </x:c>
      <x:c r="H21" s="82" t="str">
        <x:v>寒暖燥湿综合</x:v>
      </x:c>
      <x:c r="I21" s="68" t="str">
        <x:v>申月</x:v>
      </x:c>
      <x:c r="J21" s="68" t="str">
        <x:v>初秋金旺，暑气渐退</x:v>
      </x:c>
      <x:c r="K21" s="68" t="str">
        <x:v>月令基准</x:v>
      </x:c>
      <x:c r="L21" s="68" t="str">
        <x:v>月令基准</x:v>
      </x:c>
      <x:c r="M21" s="82" t="str">
        <x:v>平衡</x:v>
      </x:c>
      <x:c r="N21" s="82" t="str">
        <x:v>偏燥</x:v>
      </x:c>
      <x:c r="O21" s="68" t="str">
        <x:v>金旺而秋燥渐显</x:v>
      </x:c>
      <x:c r="P21" s="68" t="str">
        <x:v>水</x:v>
      </x:c>
      <x:c r="Q21" s="68" t="str">
        <x:v>润金润燥</x:v>
      </x:c>
      <x:c r="R21" s="82" t="str">
        <x:v>条件性</x:v>
      </x:c>
      <x:c r="S21" s="82" t="str">
        <x:v>待定</x:v>
      </x:c>
      <x:c r="T21" s="82" t="str">
        <x:v>待定</x:v>
      </x:c>
      <x:c r="U21" s="82" t="str">
        <x:v>待定</x:v>
      </x:c>
      <x:c r="V21" s="82" t="str">
        <x:v>待定</x:v>
      </x:c>
      <x:c r="W21" s="68" t="str">
        <x:v>M02基础映射、M08五行有效旺衰、M12流通卡点已完成</x:v>
      </x:c>
      <x:c r="X21" s="68" t="str">
        <x:v>月令基准与全局有效五行均已核查</x:v>
      </x:c>
      <x:c r="Y21" s="68" t="str">
        <x:v>相关调候五行有根有源、透达且能真实改善关键气候问题</x:v>
      </x:c>
      <x:c r="Z21" s="68" t="str">
        <x:v>调候五行无根、受强制、被合绊、改性或加入后产生新的寒热燥湿问题</x:v>
      </x:c>
      <x:c r="AA21" s="90" t="str">
        <x:v>月令仅提供初始倾向，必须结合全局火水燥湿土与合化成势修正</x:v>
      </x:c>
      <x:c r="AB21" s="68" t="str">
        <x:v>特殊格局、核心格局用神或更高优先级病药约束转M16—M18裁决</x:v>
      </x:c>
      <x:c r="AC21" s="84" t="str">
        <x:v>申月_气候基准</x:v>
      </x:c>
      <x:c r="AD21" s="84" t="str">
        <x:v>申月气候基准：温度轴判“平衡”，湿度轴判“偏燥”；调候候选为“水”，是否成为最终用神仍转M16—M18。</x:v>
      </x:c>
      <x:c r="AE21" s="82" t="str">
        <x:v>中等</x:v>
      </x:c>
      <x:c r="AF21" s="82" t="str">
        <x:v>调候</x:v>
      </x:c>
      <x:c r="AG21" s="68" t="str">
        <x:v>调候以月令气候为起点，但必须结合M08五行有效力量与M12流通状态修正；寒暖与燥湿分轴判断，调候候选不自动等于全局主用神。</x:v>
      </x:c>
      <x:c r="AH21" s="68" t="str">
        <x:v>当“初秋金旺，暑气渐退”真实成立，且调候机制能改善主要气候问题时，可按“申月气候基准”记录。</x:v>
      </x:c>
      <x:c r="AI21" s="90" t="str">
        <x:v>仅见月份或表面五行标签，但未满足“初秋金旺，暑气渐退”及必要修正条件时，不得套用“申月气候基准”。</x:v>
      </x:c>
      <x:c r="AJ21" s="82" t="str">
        <x:v>采用</x:v>
      </x:c>
      <x:c r="AK21" s="82" t="str">
        <x:v>初审</x:v>
      </x:c>
      <x:c r="AL21" s="87" t="n">
        <x:v>46255</x:v>
      </x:c>
    </x:row>
    <x:row r="22">
      <x:c r="A22" s="72" t="str">
        <x:f>IF(OR(C22="",D22=""),"",B22&amp;"-"&amp;UPPER(C22)&amp;"-"&amp;TEXT(D22,"0000")&amp;"-"&amp;E22)</x:f>
        <x:v>M13-SEASON-0016-V1.0</x:v>
      </x:c>
      <x:c r="B22" s="74" t="str">
        <x:v>M13</x:v>
      </x:c>
      <x:c r="C22" s="74" t="str">
        <x:v>SEASON</x:v>
      </x:c>
      <x:c r="D22" s="215" t="n">
        <x:v>16</x:v>
      </x:c>
      <x:c r="E22" s="74" t="str">
        <x:v>V1.0</x:v>
      </x:c>
      <x:c r="F22" s="68" t="str">
        <x:v>酉月气候基准</x:v>
      </x:c>
      <x:c r="G22" s="82" t="str">
        <x:v>结构层</x:v>
      </x:c>
      <x:c r="H22" s="82" t="str">
        <x:v>寒暖燥湿综合</x:v>
      </x:c>
      <x:c r="I22" s="68" t="str">
        <x:v>酉月</x:v>
      </x:c>
      <x:c r="J22" s="68" t="str">
        <x:v>仲秋金旺，燥气明显</x:v>
      </x:c>
      <x:c r="K22" s="68" t="str">
        <x:v>月令基准</x:v>
      </x:c>
      <x:c r="L22" s="68" t="str">
        <x:v>月令基准</x:v>
      </x:c>
      <x:c r="M22" s="82" t="str">
        <x:v>偏寒</x:v>
      </x:c>
      <x:c r="N22" s="82" t="str">
        <x:v>偏燥</x:v>
      </x:c>
      <x:c r="O22" s="68" t="str">
        <x:v>秋凉与燥金并见</x:v>
      </x:c>
      <x:c r="P22" s="68" t="str">
        <x:v>水/火</x:v>
      </x:c>
      <x:c r="Q22" s="68" t="str">
        <x:v>润燥同时防寒过度</x:v>
      </x:c>
      <x:c r="R22" s="82" t="str">
        <x:v>条件性</x:v>
      </x:c>
      <x:c r="S22" s="82" t="str">
        <x:v>待定</x:v>
      </x:c>
      <x:c r="T22" s="82" t="str">
        <x:v>待定</x:v>
      </x:c>
      <x:c r="U22" s="82" t="str">
        <x:v>待定</x:v>
      </x:c>
      <x:c r="V22" s="82" t="str">
        <x:v>待定</x:v>
      </x:c>
      <x:c r="W22" s="68" t="str">
        <x:v>M02基础映射、M08五行有效旺衰、M12流通卡点已完成</x:v>
      </x:c>
      <x:c r="X22" s="68" t="str">
        <x:v>月令基准与全局有效五行均已核查</x:v>
      </x:c>
      <x:c r="Y22" s="68" t="str">
        <x:v>相关调候五行有根有源、透达且能真实改善关键气候问题</x:v>
      </x:c>
      <x:c r="Z22" s="68" t="str">
        <x:v>调候五行无根、受强制、被合绊、改性或加入后产生新的寒热燥湿问题</x:v>
      </x:c>
      <x:c r="AA22" s="90" t="str">
        <x:v>月令仅提供初始倾向，必须结合全局火水燥湿土与合化成势修正</x:v>
      </x:c>
      <x:c r="AB22" s="68" t="str">
        <x:v>特殊格局、核心格局用神或更高优先级病药约束转M16—M18裁决</x:v>
      </x:c>
      <x:c r="AC22" s="84" t="str">
        <x:v>酉月_气候基准</x:v>
      </x:c>
      <x:c r="AD22" s="84" t="str">
        <x:v>酉月气候基准：温度轴判“偏寒”，湿度轴判“偏燥”；调候候选为“水/火”，是否成为最终用神仍转M16—M18。</x:v>
      </x:c>
      <x:c r="AE22" s="82" t="str">
        <x:v>中等</x:v>
      </x:c>
      <x:c r="AF22" s="82" t="str">
        <x:v>调候</x:v>
      </x:c>
      <x:c r="AG22" s="68" t="str">
        <x:v>调候以月令气候为起点，但必须结合M08五行有效力量与M12流通状态修正；寒暖与燥湿分轴判断，调候候选不自动等于全局主用神。</x:v>
      </x:c>
      <x:c r="AH22" s="68" t="str">
        <x:v>当“仲秋金旺，燥气明显”真实成立，且调候机制能改善主要气候问题时，可按“酉月气候基准”记录。</x:v>
      </x:c>
      <x:c r="AI22" s="90" t="str">
        <x:v>仅见月份或表面五行标签，但未满足“仲秋金旺，燥气明显”及必要修正条件时，不得套用“酉月气候基准”。</x:v>
      </x:c>
      <x:c r="AJ22" s="82" t="str">
        <x:v>采用</x:v>
      </x:c>
      <x:c r="AK22" s="82" t="str">
        <x:v>初审</x:v>
      </x:c>
      <x:c r="AL22" s="87" t="n">
        <x:v>46255</x:v>
      </x:c>
    </x:row>
    <x:row r="23">
      <x:c r="A23" s="72" t="str">
        <x:f>IF(OR(C23="",D23=""),"",B23&amp;"-"&amp;UPPER(C23)&amp;"-"&amp;TEXT(D23,"0000")&amp;"-"&amp;E23)</x:f>
        <x:v>M13-SEASON-0017-V1.0</x:v>
      </x:c>
      <x:c r="B23" s="74" t="str">
        <x:v>M13</x:v>
      </x:c>
      <x:c r="C23" s="74" t="str">
        <x:v>SEASON</x:v>
      </x:c>
      <x:c r="D23" s="215" t="n">
        <x:v>17</x:v>
      </x:c>
      <x:c r="E23" s="74" t="str">
        <x:v>V1.0</x:v>
      </x:c>
      <x:c r="F23" s="68" t="str">
        <x:v>戌月气候基准</x:v>
      </x:c>
      <x:c r="G23" s="82" t="str">
        <x:v>结构层</x:v>
      </x:c>
      <x:c r="H23" s="82" t="str">
        <x:v>寒暖燥湿综合</x:v>
      </x:c>
      <x:c r="I23" s="68" t="str">
        <x:v>戌月</x:v>
      </x:c>
      <x:c r="J23" s="68" t="str">
        <x:v>季秋燥土当令</x:v>
      </x:c>
      <x:c r="K23" s="68" t="str">
        <x:v>月令基准</x:v>
      </x:c>
      <x:c r="L23" s="68" t="str">
        <x:v>月令基准</x:v>
      </x:c>
      <x:c r="M23" s="82" t="str">
        <x:v>偏寒</x:v>
      </x:c>
      <x:c r="N23" s="82" t="str">
        <x:v>偏燥</x:v>
      </x:c>
      <x:c r="O23" s="68" t="str">
        <x:v>燥土与秋凉并重</x:v>
      </x:c>
      <x:c r="P23" s="68" t="str">
        <x:v>水/火</x:v>
      </x:c>
      <x:c r="Q23" s="68" t="str">
        <x:v>润燥并视寒暖取火</x:v>
      </x:c>
      <x:c r="R23" s="82" t="str">
        <x:v>条件性</x:v>
      </x:c>
      <x:c r="S23" s="82" t="str">
        <x:v>待定</x:v>
      </x:c>
      <x:c r="T23" s="82" t="str">
        <x:v>待定</x:v>
      </x:c>
      <x:c r="U23" s="82" t="str">
        <x:v>待定</x:v>
      </x:c>
      <x:c r="V23" s="82" t="str">
        <x:v>待定</x:v>
      </x:c>
      <x:c r="W23" s="68" t="str">
        <x:v>M02基础映射、M08五行有效旺衰、M12流通卡点已完成</x:v>
      </x:c>
      <x:c r="X23" s="68" t="str">
        <x:v>月令基准与全局有效五行均已核查</x:v>
      </x:c>
      <x:c r="Y23" s="68" t="str">
        <x:v>相关调候五行有根有源、透达且能真实改善关键气候问题</x:v>
      </x:c>
      <x:c r="Z23" s="68" t="str">
        <x:v>调候五行无根、受强制、被合绊、改性或加入后产生新的寒热燥湿问题</x:v>
      </x:c>
      <x:c r="AA23" s="90" t="str">
        <x:v>月令仅提供初始倾向，必须结合全局火水燥湿土与合化成势修正</x:v>
      </x:c>
      <x:c r="AB23" s="68" t="str">
        <x:v>特殊格局、核心格局用神或更高优先级病药约束转M16—M18裁决</x:v>
      </x:c>
      <x:c r="AC23" s="84" t="str">
        <x:v>戌月_气候基准</x:v>
      </x:c>
      <x:c r="AD23" s="84" t="str">
        <x:v>戌月气候基准：温度轴判“偏寒”，湿度轴判“偏燥”；调候候选为“水/火”，是否成为最终用神仍转M16—M18。</x:v>
      </x:c>
      <x:c r="AE23" s="82" t="str">
        <x:v>中等</x:v>
      </x:c>
      <x:c r="AF23" s="82" t="str">
        <x:v>调候</x:v>
      </x:c>
      <x:c r="AG23" s="68" t="str">
        <x:v>调候以月令气候为起点，但必须结合M08五行有效力量与M12流通状态修正；寒暖与燥湿分轴判断，调候候选不自动等于全局主用神。</x:v>
      </x:c>
      <x:c r="AH23" s="68" t="str">
        <x:v>当“季秋燥土当令”真实成立，且调候机制能改善主要气候问题时，可按“戌月气候基准”记录。</x:v>
      </x:c>
      <x:c r="AI23" s="90" t="str">
        <x:v>仅见月份或表面五行标签，但未满足“季秋燥土当令”及必要修正条件时，不得套用“戌月气候基准”。</x:v>
      </x:c>
      <x:c r="AJ23" s="82" t="str">
        <x:v>采用</x:v>
      </x:c>
      <x:c r="AK23" s="82" t="str">
        <x:v>初审</x:v>
      </x:c>
      <x:c r="AL23" s="87" t="n">
        <x:v>46255</x:v>
      </x:c>
    </x:row>
    <x:row r="24">
      <x:c r="A24" s="72" t="str">
        <x:f>IF(OR(C24="",D24=""),"",B24&amp;"-"&amp;UPPER(C24)&amp;"-"&amp;TEXT(D24,"0000")&amp;"-"&amp;E24)</x:f>
        <x:v>M13-SEASON-0018-V1.0</x:v>
      </x:c>
      <x:c r="B24" s="74" t="str">
        <x:v>M13</x:v>
      </x:c>
      <x:c r="C24" s="74" t="str">
        <x:v>SEASON</x:v>
      </x:c>
      <x:c r="D24" s="215" t="n">
        <x:v>18</x:v>
      </x:c>
      <x:c r="E24" s="74" t="str">
        <x:v>V1.0</x:v>
      </x:c>
      <x:c r="F24" s="68" t="str">
        <x:v>亥月气候基准</x:v>
      </x:c>
      <x:c r="G24" s="82" t="str">
        <x:v>结构层</x:v>
      </x:c>
      <x:c r="H24" s="82" t="str">
        <x:v>寒暖燥湿综合</x:v>
      </x:c>
      <x:c r="I24" s="68" t="str">
        <x:v>亥月</x:v>
      </x:c>
      <x:c r="J24" s="68" t="str">
        <x:v>初冬水旺</x:v>
      </x:c>
      <x:c r="K24" s="68" t="str">
        <x:v>月令基准</x:v>
      </x:c>
      <x:c r="L24" s="68" t="str">
        <x:v>月令基准</x:v>
      </x:c>
      <x:c r="M24" s="82" t="str">
        <x:v>偏寒</x:v>
      </x:c>
      <x:c r="N24" s="82" t="str">
        <x:v>偏湿</x:v>
      </x:c>
      <x:c r="O24" s="68" t="str">
        <x:v>水气增强，寒湿倾向上升</x:v>
      </x:c>
      <x:c r="P24" s="68" t="str">
        <x:v>火</x:v>
      </x:c>
      <x:c r="Q24" s="68" t="str">
        <x:v>暖局化寒湿</x:v>
      </x:c>
      <x:c r="R24" s="82" t="str">
        <x:v>条件性</x:v>
      </x:c>
      <x:c r="S24" s="82" t="str">
        <x:v>待定</x:v>
      </x:c>
      <x:c r="T24" s="82" t="str">
        <x:v>待定</x:v>
      </x:c>
      <x:c r="U24" s="82" t="str">
        <x:v>待定</x:v>
      </x:c>
      <x:c r="V24" s="82" t="str">
        <x:v>待定</x:v>
      </x:c>
      <x:c r="W24" s="68" t="str">
        <x:v>M02基础映射、M08五行有效旺衰、M12流通卡点已完成</x:v>
      </x:c>
      <x:c r="X24" s="68" t="str">
        <x:v>月令基准与全局有效五行均已核查</x:v>
      </x:c>
      <x:c r="Y24" s="68" t="str">
        <x:v>相关调候五行有根有源、透达且能真实改善关键气候问题</x:v>
      </x:c>
      <x:c r="Z24" s="68" t="str">
        <x:v>调候五行无根、受强制、被合绊、改性或加入后产生新的寒热燥湿问题</x:v>
      </x:c>
      <x:c r="AA24" s="90" t="str">
        <x:v>月令仅提供初始倾向，必须结合全局火水燥湿土与合化成势修正</x:v>
      </x:c>
      <x:c r="AB24" s="68" t="str">
        <x:v>特殊格局、核心格局用神或更高优先级病药约束转M16—M18裁决</x:v>
      </x:c>
      <x:c r="AC24" s="84" t="str">
        <x:v>亥月_气候基准</x:v>
      </x:c>
      <x:c r="AD24" s="84" t="str">
        <x:v>亥月气候基准：温度轴判“偏寒”，湿度轴判“偏湿”；调候候选为“火”，是否成为最终用神仍转M16—M18。</x:v>
      </x:c>
      <x:c r="AE24" s="82" t="str">
        <x:v>中等</x:v>
      </x:c>
      <x:c r="AF24" s="82" t="str">
        <x:v>调候</x:v>
      </x:c>
      <x:c r="AG24" s="68" t="str">
        <x:v>调候以月令气候为起点，但必须结合M08五行有效力量与M12流通状态修正；寒暖与燥湿分轴判断，调候候选不自动等于全局主用神。</x:v>
      </x:c>
      <x:c r="AH24" s="68" t="str">
        <x:v>当“初冬水旺”真实成立，且调候机制能改善主要气候问题时，可按“亥月气候基准”记录。</x:v>
      </x:c>
      <x:c r="AI24" s="90" t="str">
        <x:v>仅见月份或表面五行标签，但未满足“初冬水旺”及必要修正条件时，不得套用“亥月气候基准”。</x:v>
      </x:c>
      <x:c r="AJ24" s="82" t="str">
        <x:v>采用</x:v>
      </x:c>
      <x:c r="AK24" s="82" t="str">
        <x:v>初审</x:v>
      </x:c>
      <x:c r="AL24" s="87" t="n">
        <x:v>46255</x:v>
      </x:c>
    </x:row>
    <x:row r="25">
      <x:c r="A25" s="72" t="str">
        <x:f>IF(OR(C25="",D25=""),"",B25&amp;"-"&amp;UPPER(C25)&amp;"-"&amp;TEXT(D25,"0000")&amp;"-"&amp;E25)</x:f>
        <x:v>M13-SEASON-0019-V1.0</x:v>
      </x:c>
      <x:c r="B25" s="74" t="str">
        <x:v>M13</x:v>
      </x:c>
      <x:c r="C25" s="74" t="str">
        <x:v>SEASON</x:v>
      </x:c>
      <x:c r="D25" s="215" t="n">
        <x:v>19</x:v>
      </x:c>
      <x:c r="E25" s="74" t="str">
        <x:v>V1.0</x:v>
      </x:c>
      <x:c r="F25" s="68" t="str">
        <x:v>子月气候基准</x:v>
      </x:c>
      <x:c r="G25" s="82" t="str">
        <x:v>结构层</x:v>
      </x:c>
      <x:c r="H25" s="82" t="str">
        <x:v>寒暖燥湿综合</x:v>
      </x:c>
      <x:c r="I25" s="68" t="str">
        <x:v>子月</x:v>
      </x:c>
      <x:c r="J25" s="68" t="str">
        <x:v>仲冬水旺至极</x:v>
      </x:c>
      <x:c r="K25" s="68" t="str">
        <x:v>月令基准</x:v>
      </x:c>
      <x:c r="L25" s="68" t="str">
        <x:v>月令基准</x:v>
      </x:c>
      <x:c r="M25" s="82" t="str">
        <x:v>极寒</x:v>
      </x:c>
      <x:c r="N25" s="82" t="str">
        <x:v>偏湿</x:v>
      </x:c>
      <x:c r="O25" s="68" t="str">
        <x:v>寒水最盛，若无火调候易寒凝</x:v>
      </x:c>
      <x:c r="P25" s="68" t="str">
        <x:v>火</x:v>
      </x:c>
      <x:c r="Q25" s="68" t="str">
        <x:v>暖局并恢复生化</x:v>
      </x:c>
      <x:c r="R25" s="82" t="str">
        <x:v>条件性</x:v>
      </x:c>
      <x:c r="S25" s="82" t="str">
        <x:v>待定</x:v>
      </x:c>
      <x:c r="T25" s="82" t="str">
        <x:v>待定</x:v>
      </x:c>
      <x:c r="U25" s="82" t="str">
        <x:v>待定</x:v>
      </x:c>
      <x:c r="V25" s="82" t="str">
        <x:v>待定</x:v>
      </x:c>
      <x:c r="W25" s="68" t="str">
        <x:v>M02基础映射、M08五行有效旺衰、M12流通卡点已完成</x:v>
      </x:c>
      <x:c r="X25" s="68" t="str">
        <x:v>月令基准与全局有效五行均已核查</x:v>
      </x:c>
      <x:c r="Y25" s="68" t="str">
        <x:v>相关调候五行有根有源、透达且能真实改善关键气候问题</x:v>
      </x:c>
      <x:c r="Z25" s="68" t="str">
        <x:v>调候五行无根、受强制、被合绊、改性或加入后产生新的寒热燥湿问题</x:v>
      </x:c>
      <x:c r="AA25" s="90" t="str">
        <x:v>月令仅提供初始倾向，必须结合全局火水燥湿土与合化成势修正</x:v>
      </x:c>
      <x:c r="AB25" s="68" t="str">
        <x:v>特殊格局、核心格局用神或更高优先级病药约束转M16—M18裁决</x:v>
      </x:c>
      <x:c r="AC25" s="84" t="str">
        <x:v>子月_气候基准</x:v>
      </x:c>
      <x:c r="AD25" s="84" t="str">
        <x:v>子月气候基准：温度轴判“极寒”，湿度轴判“偏湿”；调候候选为“火”，是否成为最终用神仍转M16—M18。</x:v>
      </x:c>
      <x:c r="AE25" s="82" t="str">
        <x:v>中等</x:v>
      </x:c>
      <x:c r="AF25" s="82" t="str">
        <x:v>调候</x:v>
      </x:c>
      <x:c r="AG25" s="68" t="str">
        <x:v>调候以月令气候为起点，但必须结合M08五行有效力量与M12流通状态修正；寒暖与燥湿分轴判断，调候候选不自动等于全局主用神。</x:v>
      </x:c>
      <x:c r="AH25" s="68" t="str">
        <x:v>当“仲冬水旺至极”真实成立，且调候机制能改善主要气候问题时，可按“子月气候基准”记录。</x:v>
      </x:c>
      <x:c r="AI25" s="90" t="str">
        <x:v>仅见月份或表面五行标签，但未满足“仲冬水旺至极”及必要修正条件时，不得套用“子月气候基准”。</x:v>
      </x:c>
      <x:c r="AJ25" s="82" t="str">
        <x:v>采用</x:v>
      </x:c>
      <x:c r="AK25" s="82" t="str">
        <x:v>初审</x:v>
      </x:c>
      <x:c r="AL25" s="87" t="n">
        <x:v>46255</x:v>
      </x:c>
    </x:row>
    <x:row r="26">
      <x:c r="A26" s="72" t="str">
        <x:f>IF(OR(C26="",D26=""),"",B26&amp;"-"&amp;UPPER(C26)&amp;"-"&amp;TEXT(D26,"0000")&amp;"-"&amp;E26)</x:f>
        <x:v>M13-SEASON-0020-V1.0</x:v>
      </x:c>
      <x:c r="B26" s="74" t="str">
        <x:v>M13</x:v>
      </x:c>
      <x:c r="C26" s="74" t="str">
        <x:v>SEASON</x:v>
      </x:c>
      <x:c r="D26" s="215" t="n">
        <x:v>20</x:v>
      </x:c>
      <x:c r="E26" s="74" t="str">
        <x:v>V1.0</x:v>
      </x:c>
      <x:c r="F26" s="68" t="str">
        <x:v>丑月气候基准</x:v>
      </x:c>
      <x:c r="G26" s="82" t="str">
        <x:v>结构层</x:v>
      </x:c>
      <x:c r="H26" s="82" t="str">
        <x:v>寒暖燥湿综合</x:v>
      </x:c>
      <x:c r="I26" s="68" t="str">
        <x:v>丑月</x:v>
      </x:c>
      <x:c r="J26" s="68" t="str">
        <x:v>季冬湿土寒湿</x:v>
      </x:c>
      <x:c r="K26" s="68" t="str">
        <x:v>月令基准</x:v>
      </x:c>
      <x:c r="L26" s="68" t="str">
        <x:v>月令基准</x:v>
      </x:c>
      <x:c r="M26" s="82" t="str">
        <x:v>极寒</x:v>
      </x:c>
      <x:c r="N26" s="82" t="str">
        <x:v>偏湿</x:v>
      </x:c>
      <x:c r="O26" s="68" t="str">
        <x:v>寒土湿水并见时寒湿显著</x:v>
      </x:c>
      <x:c r="P26" s="68" t="str">
        <x:v>火</x:v>
      </x:c>
      <x:c r="Q26" s="68" t="str">
        <x:v>暖土化湿</x:v>
      </x:c>
      <x:c r="R26" s="82" t="str">
        <x:v>条件性</x:v>
      </x:c>
      <x:c r="S26" s="82" t="str">
        <x:v>待定</x:v>
      </x:c>
      <x:c r="T26" s="82" t="str">
        <x:v>待定</x:v>
      </x:c>
      <x:c r="U26" s="82" t="str">
        <x:v>待定</x:v>
      </x:c>
      <x:c r="V26" s="82" t="str">
        <x:v>待定</x:v>
      </x:c>
      <x:c r="W26" s="68" t="str">
        <x:v>M02基础映射、M08五行有效旺衰、M12流通卡点已完成</x:v>
      </x:c>
      <x:c r="X26" s="68" t="str">
        <x:v>月令基准与全局有效五行均已核查</x:v>
      </x:c>
      <x:c r="Y26" s="68" t="str">
        <x:v>相关调候五行有根有源、透达且能真实改善关键气候问题</x:v>
      </x:c>
      <x:c r="Z26" s="68" t="str">
        <x:v>调候五行无根、受强制、被合绊、改性或加入后产生新的寒热燥湿问题</x:v>
      </x:c>
      <x:c r="AA26" s="90" t="str">
        <x:v>月令仅提供初始倾向，必须结合全局火水燥湿土与合化成势修正</x:v>
      </x:c>
      <x:c r="AB26" s="68" t="str">
        <x:v>特殊格局、核心格局用神或更高优先级病药约束转M16—M18裁决</x:v>
      </x:c>
      <x:c r="AC26" s="84" t="str">
        <x:v>丑月_气候基准</x:v>
      </x:c>
      <x:c r="AD26" s="84" t="str">
        <x:v>丑月气候基准：温度轴判“极寒”，湿度轴判“偏湿”；调候候选为“火”，是否成为最终用神仍转M16—M18。</x:v>
      </x:c>
      <x:c r="AE26" s="82" t="str">
        <x:v>中等</x:v>
      </x:c>
      <x:c r="AF26" s="82" t="str">
        <x:v>调候</x:v>
      </x:c>
      <x:c r="AG26" s="68" t="str">
        <x:v>调候以月令气候为起点，但必须结合M08五行有效力量与M12流通状态修正；寒暖与燥湿分轴判断，调候候选不自动等于全局主用神。</x:v>
      </x:c>
      <x:c r="AH26" s="68" t="str">
        <x:v>当“季冬湿土寒湿”真实成立，且调候机制能改善主要气候问题时，可按“丑月气候基准”记录。</x:v>
      </x:c>
      <x:c r="AI26" s="90" t="str">
        <x:v>仅见月份或表面五行标签，但未满足“季冬湿土寒湿”及必要修正条件时，不得套用“丑月气候基准”。</x:v>
      </x:c>
      <x:c r="AJ26" s="82" t="str">
        <x:v>采用</x:v>
      </x:c>
      <x:c r="AK26" s="82" t="str">
        <x:v>初审</x:v>
      </x:c>
      <x:c r="AL26" s="87" t="n">
        <x:v>46255</x:v>
      </x:c>
    </x:row>
    <x:row r="27">
      <x:c r="A27" s="72" t="str">
        <x:f>IF(OR(C27="",D27=""),"",B27&amp;"-"&amp;UPPER(C27)&amp;"-"&amp;TEXT(D27,"0000")&amp;"-"&amp;E27)</x:f>
        <x:v>M13-TEMP-0021-V1.0</x:v>
      </x:c>
      <x:c r="B27" s="74" t="str">
        <x:v>M13</x:v>
      </x:c>
      <x:c r="C27" s="74" t="str">
        <x:v>TEMP</x:v>
      </x:c>
      <x:c r="D27" s="215" t="n">
        <x:v>21</x:v>
      </x:c>
      <x:c r="E27" s="74" t="str">
        <x:v>V1.0</x:v>
      </x:c>
      <x:c r="F27" s="68" t="str">
        <x:v>强火成势可将偏寒局向平衡或偏暖修正</x:v>
      </x:c>
      <x:c r="G27" s="82" t="str">
        <x:v>结构层</x:v>
      </x:c>
      <x:c r="H27" s="82" t="str">
        <x:v>寒暖轴</x:v>
      </x:c>
      <x:c r="I27" s="68" t="str">
        <x:v>通用</x:v>
      </x:c>
      <x:c r="J27" s="68" t="str">
        <x:v>原局火达到旺或极旺且真实透达</x:v>
      </x:c>
      <x:c r="K27" s="68" t="str">
        <x:v>明显升温</x:v>
      </x:c>
      <x:c r="L27" s="68" t="str">
        <x:v>视土水关系另判</x:v>
      </x:c>
      <x:c r="M27" s="82" t="str">
        <x:v>待定</x:v>
      </x:c>
      <x:c r="N27" s="82" t="str">
        <x:v>待定</x:v>
      </x:c>
      <x:c r="O27" s="68" t="str">
        <x:v>寒气被强火缓解</x:v>
      </x:c>
      <x:c r="P27" s="68" t="str">
        <x:v>火</x:v>
      </x:c>
      <x:c r="Q27" s="68" t="str">
        <x:v>直接暖局</x:v>
      </x:c>
      <x:c r="R27" s="82" t="str">
        <x:v>是</x:v>
      </x:c>
      <x:c r="S27" s="82" t="str">
        <x:v>有效</x:v>
      </x:c>
      <x:c r="T27" s="82" t="str">
        <x:v>待定</x:v>
      </x:c>
      <x:c r="U27" s="82" t="str">
        <x:v>待定</x:v>
      </x:c>
      <x:c r="V27" s="82" t="str">
        <x:v>待定</x:v>
      </x:c>
      <x:c r="W27" s="68" t="str">
        <x:v>M02基础映射、M08五行有效旺衰、M12流通卡点已完成</x:v>
      </x:c>
      <x:c r="X27" s="68" t="str">
        <x:v>月令基准与全局有效五行均已核查</x:v>
      </x:c>
      <x:c r="Y27" s="68" t="str">
        <x:v>相关调候五行有根有源、透达且能真实改善关键气候问题</x:v>
      </x:c>
      <x:c r="Z27" s="68" t="str">
        <x:v>调候五行无根、受强制、被合绊、改性或加入后产生新的寒热燥湿问题</x:v>
      </x:c>
      <x:c r="AA27" s="90" t="str">
        <x:v>不得只凭出生月份或某一五行数量直接下最终调候结论</x:v>
      </x:c>
      <x:c r="AB27" s="68" t="str">
        <x:v>特殊格局、核心格局用神或更高优先级病药约束转M16—M18裁决</x:v>
      </x:c>
      <x:c r="AC27" s="84" t="str">
        <x:v>强火升温修正</x:v>
      </x:c>
      <x:c r="AD27" s="84" t="str">
        <x:v>强火成势可将偏寒局向平衡或偏暖修正：温度轴判“待定”，湿度轴判“待定”；调候候选为“火”，是否成为最终用神仍转M16—M18。</x:v>
      </x:c>
      <x:c r="AE27" s="82" t="str">
        <x:v>较高</x:v>
      </x:c>
      <x:c r="AF27" s="82" t="str">
        <x:v>调候</x:v>
      </x:c>
      <x:c r="AG27" s="68" t="str">
        <x:v>调候以月令气候为起点，但必须结合M08五行有效力量与M12流通状态修正；寒暖与燥湿分轴判断，调候候选不自动等于全局主用神。</x:v>
      </x:c>
      <x:c r="AH27" s="68" t="str">
        <x:v>当“原局火达到旺或极旺且真实透达”真实成立，且调候机制能改善主要气候问题时，可按“强火成势可将偏寒局向平衡或偏暖修正”记录。</x:v>
      </x:c>
      <x:c r="AI27" s="90" t="str">
        <x:v>仅见月份或表面五行标签，但未满足“原局火达到旺或极旺且真实透达”及必要修正条件时，不得套用“强火成势可将偏寒局向平衡或偏暖修正”。</x:v>
      </x:c>
      <x:c r="AJ27" s="82" t="str">
        <x:v>采用</x:v>
      </x:c>
      <x:c r="AK27" s="82" t="str">
        <x:v>初审</x:v>
      </x:c>
      <x:c r="AL27" s="87" t="n">
        <x:v>46255</x:v>
      </x:c>
    </x:row>
    <x:row r="28">
      <x:c r="A28" s="72" t="str">
        <x:f>IF(OR(C28="",D28=""),"",B28&amp;"-"&amp;UPPER(C28)&amp;"-"&amp;TEXT(D28,"0000")&amp;"-"&amp;E28)</x:f>
        <x:v>M13-TEMP-0022-V1.0</x:v>
      </x:c>
      <x:c r="B28" s="74" t="str">
        <x:v>M13</x:v>
      </x:c>
      <x:c r="C28" s="74" t="str">
        <x:v>TEMP</x:v>
      </x:c>
      <x:c r="D28" s="215" t="n">
        <x:v>22</x:v>
      </x:c>
      <x:c r="E28" s="74" t="str">
        <x:v>V1.0</x:v>
      </x:c>
      <x:c r="F28" s="68" t="str">
        <x:v>弱火无根不足以改变极寒基准</x:v>
      </x:c>
      <x:c r="G28" s="82" t="str">
        <x:v>结构层</x:v>
      </x:c>
      <x:c r="H28" s="82" t="str">
        <x:v>寒暖轴</x:v>
      </x:c>
      <x:c r="I28" s="68" t="str">
        <x:v>通用</x:v>
      </x:c>
      <x:c r="J28" s="68" t="str">
        <x:v>冬月极寒基准下仅见无根弱火或火被强水压制</x:v>
      </x:c>
      <x:c r="K28" s="68" t="str">
        <x:v>升温有限</x:v>
      </x:c>
      <x:c r="L28" s="68" t="str">
        <x:v>待定</x:v>
      </x:c>
      <x:c r="M28" s="82" t="str">
        <x:v>极寒</x:v>
      </x:c>
      <x:c r="N28" s="82" t="str">
        <x:v>待定</x:v>
      </x:c>
      <x:c r="O28" s="68" t="str">
        <x:v>名义有火但不足以暖局</x:v>
      </x:c>
      <x:c r="P28" s="68" t="str">
        <x:v>火</x:v>
      </x:c>
      <x:c r="Q28" s="68" t="str">
        <x:v>需强化有效火而非只看火字</x:v>
      </x:c>
      <x:c r="R28" s="82" t="str">
        <x:v>是</x:v>
      </x:c>
      <x:c r="S28" s="82" t="str">
        <x:v>受限</x:v>
      </x:c>
      <x:c r="T28" s="82" t="str">
        <x:v>高</x:v>
      </x:c>
      <x:c r="U28" s="82" t="str">
        <x:v>待定</x:v>
      </x:c>
      <x:c r="V28" s="82" t="str">
        <x:v>待定</x:v>
      </x:c>
      <x:c r="W28" s="68" t="str">
        <x:v>M02基础映射、M08五行有效旺衰、M12流通卡点已完成</x:v>
      </x:c>
      <x:c r="X28" s="68" t="str">
        <x:v>月令基准与全局有效五行均已核查</x:v>
      </x:c>
      <x:c r="Y28" s="68" t="str">
        <x:v>相关调候五行有根有源、透达且能真实改善关键气候问题</x:v>
      </x:c>
      <x:c r="Z28" s="68" t="str">
        <x:v>调候五行无根、受强制、被合绊、改性或加入后产生新的寒热燥湿问题</x:v>
      </x:c>
      <x:c r="AA28" s="90" t="str">
        <x:v>不得只凭出生月份或某一五行数量直接下最终调候结论</x:v>
      </x:c>
      <x:c r="AB28" s="68" t="str">
        <x:v>特殊格局、核心格局用神或更高优先级病药约束转M16—M18裁决</x:v>
      </x:c>
      <x:c r="AC28" s="84" t="str">
        <x:v>弱火不足暖局</x:v>
      </x:c>
      <x:c r="AD28" s="84" t="str">
        <x:v>弱火无根不足以改变极寒基准：温度轴判“极寒”，湿度轴判“待定”；调候候选为“火”，是否成为最终用神仍转M16—M18。</x:v>
      </x:c>
      <x:c r="AE28" s="82" t="str">
        <x:v>较高</x:v>
      </x:c>
      <x:c r="AF28" s="82" t="str">
        <x:v>调候</x:v>
      </x:c>
      <x:c r="AG28" s="68" t="str">
        <x:v>调候以月令气候为起点，但必须结合M08五行有效力量与M12流通状态修正；寒暖与燥湿分轴判断，调候候选不自动等于全局主用神。</x:v>
      </x:c>
      <x:c r="AH28" s="68" t="str">
        <x:v>当“冬月极寒基准下仅见无根弱火或火被强水压制”真实成立，且调候机制能改善主要气候问题时，可按“弱火无根不足以改变极寒基准”记录。</x:v>
      </x:c>
      <x:c r="AI28" s="90" t="str">
        <x:v>仅见月份或表面五行标签，但未满足“冬月极寒基准下仅见无根弱火或火被强水压制”及必要修正条件时，不得套用“弱火无根不足以改变极寒基准”。</x:v>
      </x:c>
      <x:c r="AJ28" s="82" t="str">
        <x:v>采用</x:v>
      </x:c>
      <x:c r="AK28" s="82" t="str">
        <x:v>初审</x:v>
      </x:c>
      <x:c r="AL28" s="87" t="n">
        <x:v>46255</x:v>
      </x:c>
    </x:row>
    <x:row r="29">
      <x:c r="A29" s="72" t="str">
        <x:f>IF(OR(C29="",D29=""),"",B29&amp;"-"&amp;UPPER(C29)&amp;"-"&amp;TEXT(D29,"0000")&amp;"-"&amp;E29)</x:f>
        <x:v>M13-TEMP-0023-V1.0</x:v>
      </x:c>
      <x:c r="B29" s="74" t="str">
        <x:v>M13</x:v>
      </x:c>
      <x:c r="C29" s="74" t="str">
        <x:v>TEMP</x:v>
      </x:c>
      <x:c r="D29" s="215" t="n">
        <x:v>23</x:v>
      </x:c>
      <x:c r="E29" s="74" t="str">
        <x:v>V1.0</x:v>
      </x:c>
      <x:c r="F29" s="68" t="str">
        <x:v>强水成势可将偏暖局向平衡或偏寒修正</x:v>
      </x:c>
      <x:c r="G29" s="82" t="str">
        <x:v>结构层</x:v>
      </x:c>
      <x:c r="H29" s="82" t="str">
        <x:v>寒暖轴</x:v>
      </x:c>
      <x:c r="I29" s="68" t="str">
        <x:v>通用</x:v>
      </x:c>
      <x:c r="J29" s="68" t="str">
        <x:v>水旺极旺且有根有源、未被燥土火势压制</x:v>
      </x:c>
      <x:c r="K29" s="68" t="str">
        <x:v>明显降温</x:v>
      </x:c>
      <x:c r="L29" s="68" t="str">
        <x:v>待定</x:v>
      </x:c>
      <x:c r="M29" s="82" t="str">
        <x:v>待定</x:v>
      </x:c>
      <x:c r="N29" s="82" t="str">
        <x:v>待定</x:v>
      </x:c>
      <x:c r="O29" s="68" t="str">
        <x:v>水势降低全局温度</x:v>
      </x:c>
      <x:c r="P29" s="68" t="str">
        <x:v>待定</x:v>
      </x:c>
      <x:c r="Q29" s="68" t="str">
        <x:v>按需要控制降温幅度</x:v>
      </x:c>
      <x:c r="R29" s="82" t="str">
        <x:v>待定</x:v>
      </x:c>
      <x:c r="S29" s="82" t="str">
        <x:v>待定</x:v>
      </x:c>
      <x:c r="T29" s="82" t="str">
        <x:v>待定</x:v>
      </x:c>
      <x:c r="U29" s="82" t="str">
        <x:v>待定</x:v>
      </x:c>
      <x:c r="V29" s="82" t="str">
        <x:v>待定</x:v>
      </x:c>
      <x:c r="W29" s="68" t="str">
        <x:v>M02基础映射、M08五行有效旺衰、M12流通卡点已完成</x:v>
      </x:c>
      <x:c r="X29" s="68" t="str">
        <x:v>月令基准与全局有效五行均已核查</x:v>
      </x:c>
      <x:c r="Y29" s="68" t="str">
        <x:v>相关调候五行有根有源、透达且能真实改善关键气候问题</x:v>
      </x:c>
      <x:c r="Z29" s="68" t="str">
        <x:v>调候五行无根、受强制、被合绊、改性或加入后产生新的寒热燥湿问题</x:v>
      </x:c>
      <x:c r="AA29" s="90" t="str">
        <x:v>不得只凭出生月份或某一五行数量直接下最终调候结论</x:v>
      </x:c>
      <x:c r="AB29" s="68" t="str">
        <x:v>特殊格局、核心格局用神或更高优先级病药约束转M16—M18裁决</x:v>
      </x:c>
      <x:c r="AC29" s="84" t="str">
        <x:v>强水降温修正</x:v>
      </x:c>
      <x:c r="AD29" s="84" t="str">
        <x:v>强水成势可将偏暖局向平衡或偏寒修正：温度轴判“待定”，湿度轴判“待定”；调候候选为“待定”，是否成为最终用神仍转M16—M18。</x:v>
      </x:c>
      <x:c r="AE29" s="82" t="str">
        <x:v>较高</x:v>
      </x:c>
      <x:c r="AF29" s="82" t="str">
        <x:v>调候</x:v>
      </x:c>
      <x:c r="AG29" s="68" t="str">
        <x:v>调候以月令气候为起点，但必须结合M08五行有效力量与M12流通状态修正；寒暖与燥湿分轴判断，调候候选不自动等于全局主用神。</x:v>
      </x:c>
      <x:c r="AH29" s="68" t="str">
        <x:v>当“水旺极旺且有根有源、未被燥土火势压制”真实成立，且调候机制能改善主要气候问题时，可按“强水成势可将偏暖局向平衡或偏寒修正”记录。</x:v>
      </x:c>
      <x:c r="AI29" s="90" t="str">
        <x:v>仅见月份或表面五行标签，但未满足“水旺极旺且有根有源、未被燥土火势压制”及必要修正条件时，不得套用“强水成势可将偏暖局向平衡或偏寒修正”。</x:v>
      </x:c>
      <x:c r="AJ29" s="82" t="str">
        <x:v>采用</x:v>
      </x:c>
      <x:c r="AK29" s="82" t="str">
        <x:v>初审</x:v>
      </x:c>
      <x:c r="AL29" s="87" t="n">
        <x:v>46255</x:v>
      </x:c>
    </x:row>
    <x:row r="30">
      <x:c r="A30" s="72" t="str">
        <x:f>IF(OR(C30="",D30=""),"",B30&amp;"-"&amp;UPPER(C30)&amp;"-"&amp;TEXT(D30,"0000")&amp;"-"&amp;E30)</x:f>
        <x:v>M13-TEMP-0024-V1.0</x:v>
      </x:c>
      <x:c r="B30" s="74" t="str">
        <x:v>M13</x:v>
      </x:c>
      <x:c r="C30" s="74" t="str">
        <x:v>TEMP</x:v>
      </x:c>
      <x:c r="D30" s="215" t="n">
        <x:v>24</x:v>
      </x:c>
      <x:c r="E30" s="74" t="str">
        <x:v>V1.0</x:v>
      </x:c>
      <x:c r="F30" s="68" t="str">
        <x:v>夏局弱水无根不足以解除极热</x:v>
      </x:c>
      <x:c r="G30" s="82" t="str">
        <x:v>结构层</x:v>
      </x:c>
      <x:c r="H30" s="82" t="str">
        <x:v>寒暖轴</x:v>
      </x:c>
      <x:c r="I30" s="68" t="str">
        <x:v>通用</x:v>
      </x:c>
      <x:c r="J30" s="68" t="str">
        <x:v>午未等热局中水仅微弱存在且被火土制耗</x:v>
      </x:c>
      <x:c r="K30" s="68" t="str">
        <x:v>降温有限</x:v>
      </x:c>
      <x:c r="L30" s="68" t="str">
        <x:v>待定</x:v>
      </x:c>
      <x:c r="M30" s="82" t="str">
        <x:v>极热</x:v>
      </x:c>
      <x:c r="N30" s="82" t="str">
        <x:v>待定</x:v>
      </x:c>
      <x:c r="O30" s="68" t="str">
        <x:v>名义水难以实际降温</x:v>
      </x:c>
      <x:c r="P30" s="68" t="str">
        <x:v>水</x:v>
      </x:c>
      <x:c r="Q30" s="68" t="str">
        <x:v>需要有效水源</x:v>
      </x:c>
      <x:c r="R30" s="82" t="str">
        <x:v>是</x:v>
      </x:c>
      <x:c r="S30" s="82" t="str">
        <x:v>受限</x:v>
      </x:c>
      <x:c r="T30" s="82" t="str">
        <x:v>高</x:v>
      </x:c>
      <x:c r="U30" s="82" t="str">
        <x:v>待定</x:v>
      </x:c>
      <x:c r="V30" s="82" t="str">
        <x:v>待定</x:v>
      </x:c>
      <x:c r="W30" s="68" t="str">
        <x:v>M02基础映射、M08五行有效旺衰、M12流通卡点已完成</x:v>
      </x:c>
      <x:c r="X30" s="68" t="str">
        <x:v>月令基准与全局有效五行均已核查</x:v>
      </x:c>
      <x:c r="Y30" s="68" t="str">
        <x:v>相关调候五行有根有源、透达且能真实改善关键气候问题</x:v>
      </x:c>
      <x:c r="Z30" s="68" t="str">
        <x:v>调候五行无根、受强制、被合绊、改性或加入后产生新的寒热燥湿问题</x:v>
      </x:c>
      <x:c r="AA30" s="90" t="str">
        <x:v>不得只凭出生月份或某一五行数量直接下最终调候结论</x:v>
      </x:c>
      <x:c r="AB30" s="68" t="str">
        <x:v>特殊格局、核心格局用神或更高优先级病药约束转M16—M18裁决</x:v>
      </x:c>
      <x:c r="AC30" s="84" t="str">
        <x:v>弱水不足制热</x:v>
      </x:c>
      <x:c r="AD30" s="84" t="str">
        <x:v>夏局弱水无根不足以解除极热：温度轴判“极热”，湿度轴判“待定”；调候候选为“水”，是否成为最终用神仍转M16—M18。</x:v>
      </x:c>
      <x:c r="AE30" s="82" t="str">
        <x:v>较高</x:v>
      </x:c>
      <x:c r="AF30" s="82" t="str">
        <x:v>调候</x:v>
      </x:c>
      <x:c r="AG30" s="68" t="str">
        <x:v>调候以月令气候为起点，但必须结合M08五行有效力量与M12流通状态修正；寒暖与燥湿分轴判断，调候候选不自动等于全局主用神。</x:v>
      </x:c>
      <x:c r="AH30" s="68" t="str">
        <x:v>当“午未等热局中水仅微弱存在且被火土制耗”真实成立，且调候机制能改善主要气候问题时，可按“夏局弱水无根不足以解除极热”记录。</x:v>
      </x:c>
      <x:c r="AI30" s="90" t="str">
        <x:v>仅见月份或表面五行标签，但未满足“午未等热局中水仅微弱存在且被火土制耗”及必要修正条件时，不得套用“夏局弱水无根不足以解除极热”。</x:v>
      </x:c>
      <x:c r="AJ30" s="82" t="str">
        <x:v>采用</x:v>
      </x:c>
      <x:c r="AK30" s="82" t="str">
        <x:v>初审</x:v>
      </x:c>
      <x:c r="AL30" s="87" t="n">
        <x:v>46255</x:v>
      </x:c>
    </x:row>
    <x:row r="31">
      <x:c r="A31" s="72" t="str">
        <x:f>IF(OR(C31="",D31=""),"",B31&amp;"-"&amp;UPPER(C31)&amp;"-"&amp;TEXT(D31,"0000")&amp;"-"&amp;E31)</x:f>
        <x:v>M13-TEMP-0025-V1.0</x:v>
      </x:c>
      <x:c r="B31" s="74" t="str">
        <x:v>M13</x:v>
      </x:c>
      <x:c r="C31" s="74" t="str">
        <x:v>TEMP</x:v>
      </x:c>
      <x:c r="D31" s="215" t="n">
        <x:v>25</x:v>
      </x:c>
      <x:c r="E31" s="74" t="str">
        <x:v>V1.0</x:v>
      </x:c>
      <x:c r="F31" s="68" t="str">
        <x:v>木旺可通过生火间接提高温度</x:v>
      </x:c>
      <x:c r="G31" s="82" t="str">
        <x:v>结构层</x:v>
      </x:c>
      <x:c r="H31" s="82" t="str">
        <x:v>寒暖轴</x:v>
      </x:c>
      <x:c r="I31" s="68" t="str">
        <x:v>通用</x:v>
      </x:c>
      <x:c r="J31" s="68" t="str">
        <x:v>木有力且火有根可承接木生火</x:v>
      </x:c>
      <x:c r="K31" s="68" t="str">
        <x:v>间接升温</x:v>
      </x:c>
      <x:c r="L31" s="68" t="str">
        <x:v>待定</x:v>
      </x:c>
      <x:c r="M31" s="82" t="str">
        <x:v>待定</x:v>
      </x:c>
      <x:c r="N31" s="82" t="str">
        <x:v>待定</x:v>
      </x:c>
      <x:c r="O31" s="68" t="str">
        <x:v>木为火源，可能强化暖势</x:v>
      </x:c>
      <x:c r="P31" s="68" t="str">
        <x:v>待定</x:v>
      </x:c>
      <x:c r="Q31" s="68" t="str">
        <x:v>通过木→火链修正温度</x:v>
      </x:c>
      <x:c r="R31" s="82" t="str">
        <x:v>待定</x:v>
      </x:c>
      <x:c r="S31" s="82" t="str">
        <x:v>待定</x:v>
      </x:c>
      <x:c r="T31" s="82" t="str">
        <x:v>待定</x:v>
      </x:c>
      <x:c r="U31" s="82" t="str">
        <x:v>待定</x:v>
      </x:c>
      <x:c r="V31" s="82" t="str">
        <x:v>待定</x:v>
      </x:c>
      <x:c r="W31" s="68" t="str">
        <x:v>M02基础映射、M08五行有效旺衰、M12流通卡点已完成</x:v>
      </x:c>
      <x:c r="X31" s="68" t="str">
        <x:v>月令基准与全局有效五行均已核查</x:v>
      </x:c>
      <x:c r="Y31" s="68" t="str">
        <x:v>相关调候五行有根有源、透达且能真实改善关键气候问题</x:v>
      </x:c>
      <x:c r="Z31" s="68" t="str">
        <x:v>调候五行无根、受强制、被合绊、改性或加入后产生新的寒热燥湿问题</x:v>
      </x:c>
      <x:c r="AA31" s="90" t="str">
        <x:v>不得只凭出生月份或某一五行数量直接下最终调候结论</x:v>
      </x:c>
      <x:c r="AB31" s="68" t="str">
        <x:v>特殊格局、核心格局用神或更高优先级病药约束转M16—M18裁决</x:v>
      </x:c>
      <x:c r="AC31" s="84" t="str">
        <x:v>木生火升温</x:v>
      </x:c>
      <x:c r="AD31" s="84" t="str">
        <x:v>木旺可通过生火间接提高温度：温度轴判“待定”，湿度轴判“待定”；调候候选为“待定”，是否成为最终用神仍转M16—M18。</x:v>
      </x:c>
      <x:c r="AE31" s="82" t="str">
        <x:v>较高</x:v>
      </x:c>
      <x:c r="AF31" s="82" t="str">
        <x:v>调候</x:v>
      </x:c>
      <x:c r="AG31" s="68" t="str">
        <x:v>调候以月令气候为起点，但必须结合M08五行有效力量与M12流通状态修正；寒暖与燥湿分轴判断，调候候选不自动等于全局主用神。</x:v>
      </x:c>
      <x:c r="AH31" s="68" t="str">
        <x:v>当“木有力且火有根可承接木生火”真实成立，且调候机制能改善主要气候问题时，可按“木旺可通过生火间接提高温度”记录。</x:v>
      </x:c>
      <x:c r="AI31" s="90" t="str">
        <x:v>仅见月份或表面五行标签，但未满足“木有力且火有根可承接木生火”及必要修正条件时，不得套用“木旺可通过生火间接提高温度”。</x:v>
      </x:c>
      <x:c r="AJ31" s="82" t="str">
        <x:v>采用</x:v>
      </x:c>
      <x:c r="AK31" s="82" t="str">
        <x:v>初审</x:v>
      </x:c>
      <x:c r="AL31" s="87" t="n">
        <x:v>46255</x:v>
      </x:c>
    </x:row>
    <x:row r="32">
      <x:c r="A32" s="72" t="str">
        <x:f>IF(OR(C32="",D32=""),"",B32&amp;"-"&amp;UPPER(C32)&amp;"-"&amp;TEXT(D32,"0000")&amp;"-"&amp;E32)</x:f>
        <x:v>M13-TEMP-0026-V1.0</x:v>
      </x:c>
      <x:c r="B32" s="74" t="str">
        <x:v>M13</x:v>
      </x:c>
      <x:c r="C32" s="74" t="str">
        <x:v>TEMP</x:v>
      </x:c>
      <x:c r="D32" s="215" t="n">
        <x:v>26</x:v>
      </x:c>
      <x:c r="E32" s="74" t="str">
        <x:v>V1.0</x:v>
      </x:c>
      <x:c r="F32" s="68" t="str">
        <x:v>湿土重可晦火并降低实际暖局效率</x:v>
      </x:c>
      <x:c r="G32" s="82" t="str">
        <x:v>结构层</x:v>
      </x:c>
      <x:c r="H32" s="82" t="str">
        <x:v>寒暖轴</x:v>
      </x:c>
      <x:c r="I32" s="68" t="str">
        <x:v>通用</x:v>
      </x:c>
      <x:c r="J32" s="68" t="str">
        <x:v>辰丑湿土成势且火弱或火被湿土晦</x:v>
      </x:c>
      <x:c r="K32" s="68" t="str">
        <x:v>降温或暖效受限</x:v>
      </x:c>
      <x:c r="L32" s="68" t="str">
        <x:v>增湿</x:v>
      </x:c>
      <x:c r="M32" s="82" t="str">
        <x:v>待定</x:v>
      </x:c>
      <x:c r="N32" s="82" t="str">
        <x:v>偏湿</x:v>
      </x:c>
      <x:c r="O32" s="68" t="str">
        <x:v>湿土使火力难以透达</x:v>
      </x:c>
      <x:c r="P32" s="68" t="str">
        <x:v>火/木</x:v>
      </x:c>
      <x:c r="Q32" s="68" t="str">
        <x:v>暖土、疏土并恢复火势</x:v>
      </x:c>
      <x:c r="R32" s="82" t="str">
        <x:v>待定</x:v>
      </x:c>
      <x:c r="S32" s="82" t="str">
        <x:v>待定</x:v>
      </x:c>
      <x:c r="T32" s="82" t="str">
        <x:v>待定</x:v>
      </x:c>
      <x:c r="U32" s="82" t="str">
        <x:v>待定</x:v>
      </x:c>
      <x:c r="V32" s="82" t="str">
        <x:v>待定</x:v>
      </x:c>
      <x:c r="W32" s="68" t="str">
        <x:v>M02基础映射、M08五行有效旺衰、M12流通卡点已完成</x:v>
      </x:c>
      <x:c r="X32" s="68" t="str">
        <x:v>月令基准与全局有效五行均已核查</x:v>
      </x:c>
      <x:c r="Y32" s="68" t="str">
        <x:v>相关调候五行有根有源、透达且能真实改善关键气候问题</x:v>
      </x:c>
      <x:c r="Z32" s="68" t="str">
        <x:v>调候五行无根、受强制、被合绊、改性或加入后产生新的寒热燥湿问题</x:v>
      </x:c>
      <x:c r="AA32" s="90" t="str">
        <x:v>不得只凭出生月份或某一五行数量直接下最终调候结论</x:v>
      </x:c>
      <x:c r="AB32" s="68" t="str">
        <x:v>特殊格局、核心格局用神或更高优先级病药约束转M16—M18裁决</x:v>
      </x:c>
      <x:c r="AC32" s="84" t="str">
        <x:v>湿土晦火</x:v>
      </x:c>
      <x:c r="AD32" s="84" t="str">
        <x:v>湿土重可晦火并降低实际暖局效率：温度轴判“待定”，湿度轴判“偏湿”；调候候选为“火/木”，是否成为最终用神仍转M16—M18。</x:v>
      </x:c>
      <x:c r="AE32" s="82" t="str">
        <x:v>较高</x:v>
      </x:c>
      <x:c r="AF32" s="82" t="str">
        <x:v>调候</x:v>
      </x:c>
      <x:c r="AG32" s="68" t="str">
        <x:v>调候以月令气候为起点，但必须结合M08五行有效力量与M12流通状态修正；寒暖与燥湿分轴判断，调候候选不自动等于全局主用神。</x:v>
      </x:c>
      <x:c r="AH32" s="68" t="str">
        <x:v>当“辰丑湿土成势且火弱或火被湿土晦”真实成立，且调候机制能改善主要气候问题时，可按“湿土重可晦火并降低实际暖局效率”记录。</x:v>
      </x:c>
      <x:c r="AI32" s="90" t="str">
        <x:v>仅见月份或表面五行标签，但未满足“辰丑湿土成势且火弱或火被湿土晦”及必要修正条件时，不得套用“湿土重可晦火并降低实际暖局效率”。</x:v>
      </x:c>
      <x:c r="AJ32" s="82" t="str">
        <x:v>采用</x:v>
      </x:c>
      <x:c r="AK32" s="82" t="str">
        <x:v>初审</x:v>
      </x:c>
      <x:c r="AL32" s="87" t="n">
        <x:v>46255</x:v>
      </x:c>
    </x:row>
    <x:row r="33">
      <x:c r="A33" s="72" t="str">
        <x:f>IF(OR(C33="",D33=""),"",B33&amp;"-"&amp;UPPER(C33)&amp;"-"&amp;TEXT(D33,"0000")&amp;"-"&amp;E33)</x:f>
        <x:v>M13-TEMP-0027-V1.0</x:v>
      </x:c>
      <x:c r="B33" s="74" t="str">
        <x:v>M13</x:v>
      </x:c>
      <x:c r="C33" s="74" t="str">
        <x:v>TEMP</x:v>
      </x:c>
      <x:c r="D33" s="215" t="n">
        <x:v>27</x:v>
      </x:c>
      <x:c r="E33" s="74" t="str">
        <x:v>V1.0</x:v>
      </x:c>
      <x:c r="F33" s="68" t="str">
        <x:v>燥土与强火并见会放大热势</x:v>
      </x:c>
      <x:c r="G33" s="82" t="str">
        <x:v>结构层</x:v>
      </x:c>
      <x:c r="H33" s="82" t="str">
        <x:v>寒暖轴</x:v>
      </x:c>
      <x:c r="I33" s="68" t="str">
        <x:v>通用</x:v>
      </x:c>
      <x:c r="J33" s="68" t="str">
        <x:v>未戌燥土有力且火旺</x:v>
      </x:c>
      <x:c r="K33" s="68" t="str">
        <x:v>明显升温</x:v>
      </x:c>
      <x:c r="L33" s="68" t="str">
        <x:v>增燥</x:v>
      </x:c>
      <x:c r="M33" s="82" t="str">
        <x:v>极热</x:v>
      </x:c>
      <x:c r="N33" s="82" t="str">
        <x:v>偏燥</x:v>
      </x:c>
      <x:c r="O33" s="68" t="str">
        <x:v>热燥相互强化</x:v>
      </x:c>
      <x:c r="P33" s="68" t="str">
        <x:v>水</x:v>
      </x:c>
      <x:c r="Q33" s="68" t="str">
        <x:v>降温润燥</x:v>
      </x:c>
      <x:c r="R33" s="82" t="str">
        <x:v>待定</x:v>
      </x:c>
      <x:c r="S33" s="82" t="str">
        <x:v>待定</x:v>
      </x:c>
      <x:c r="T33" s="82" t="str">
        <x:v>高</x:v>
      </x:c>
      <x:c r="U33" s="82" t="str">
        <x:v>待定</x:v>
      </x:c>
      <x:c r="V33" s="82" t="str">
        <x:v>待定</x:v>
      </x:c>
      <x:c r="W33" s="68" t="str">
        <x:v>M02基础映射、M08五行有效旺衰、M12流通卡点已完成</x:v>
      </x:c>
      <x:c r="X33" s="68" t="str">
        <x:v>月令基准与全局有效五行均已核查</x:v>
      </x:c>
      <x:c r="Y33" s="68" t="str">
        <x:v>相关调候五行有根有源、透达且能真实改善关键气候问题</x:v>
      </x:c>
      <x:c r="Z33" s="68" t="str">
        <x:v>调候五行无根、受强制、被合绊、改性或加入后产生新的寒热燥湿问题</x:v>
      </x:c>
      <x:c r="AA33" s="90" t="str">
        <x:v>不得只凭出生月份或某一五行数量直接下最终调候结论</x:v>
      </x:c>
      <x:c r="AB33" s="68" t="str">
        <x:v>特殊格局、核心格局用神或更高优先级病药约束转M16—M18裁决</x:v>
      </x:c>
      <x:c r="AC33" s="84" t="str">
        <x:v>火燥土增热</x:v>
      </x:c>
      <x:c r="AD33" s="84" t="str">
        <x:v>燥土与强火并见会放大热势：温度轴判“极热”，湿度轴判“偏燥”；调候候选为“水”，是否成为最终用神仍转M16—M18。</x:v>
      </x:c>
      <x:c r="AE33" s="82" t="str">
        <x:v>较高</x:v>
      </x:c>
      <x:c r="AF33" s="82" t="str">
        <x:v>调候</x:v>
      </x:c>
      <x:c r="AG33" s="68" t="str">
        <x:v>调候以月令气候为起点，但必须结合M08五行有效力量与M12流通状态修正；寒暖与燥湿分轴判断，调候候选不自动等于全局主用神。</x:v>
      </x:c>
      <x:c r="AH33" s="68" t="str">
        <x:v>当“未戌燥土有力且火旺”真实成立，且调候机制能改善主要气候问题时，可按“燥土与强火并见会放大热势”记录。</x:v>
      </x:c>
      <x:c r="AI33" s="90" t="str">
        <x:v>仅见月份或表面五行标签，但未满足“未戌燥土有力且火旺”及必要修正条件时，不得套用“燥土与强火并见会放大热势”。</x:v>
      </x:c>
      <x:c r="AJ33" s="82" t="str">
        <x:v>采用</x:v>
      </x:c>
      <x:c r="AK33" s="82" t="str">
        <x:v>初审</x:v>
      </x:c>
      <x:c r="AL33" s="87" t="n">
        <x:v>46255</x:v>
      </x:c>
    </x:row>
    <x:row r="34">
      <x:c r="A34" s="72" t="str">
        <x:f>IF(OR(C34="",D34=""),"",B34&amp;"-"&amp;UPPER(C34)&amp;"-"&amp;TEXT(D34,"0000")&amp;"-"&amp;E34)</x:f>
        <x:v>M13-TEMP-0028-V1.0</x:v>
      </x:c>
      <x:c r="B34" s="74" t="str">
        <x:v>M13</x:v>
      </x:c>
      <x:c r="C34" s="74" t="str">
        <x:v>TEMP</x:v>
      </x:c>
      <x:c r="D34" s="215" t="n">
        <x:v>28</x:v>
      </x:c>
      <x:c r="E34" s="74" t="str">
        <x:v>V1.0</x:v>
      </x:c>
      <x:c r="F34" s="68" t="str">
        <x:v>金旺本身不直接等同寒但秋令可增强凉性</x:v>
      </x:c>
      <x:c r="G34" s="82" t="str">
        <x:v>结构层</x:v>
      </x:c>
      <x:c r="H34" s="82" t="str">
        <x:v>寒暖轴</x:v>
      </x:c>
      <x:c r="I34" s="68" t="str">
        <x:v>通用</x:v>
      </x:c>
      <x:c r="J34" s="68" t="str">
        <x:v>申酉金旺，且全局火弱、水势又偏强</x:v>
      </x:c>
      <x:c r="K34" s="68" t="str">
        <x:v>偏向降温</x:v>
      </x:c>
      <x:c r="L34" s="68" t="str">
        <x:v>待定</x:v>
      </x:c>
      <x:c r="M34" s="82" t="str">
        <x:v>偏寒</x:v>
      </x:c>
      <x:c r="N34" s="82" t="str">
        <x:v>待定</x:v>
      </x:c>
      <x:c r="O34" s="68" t="str">
        <x:v>秋凉在水强火弱时更明显</x:v>
      </x:c>
      <x:c r="P34" s="68" t="str">
        <x:v>火</x:v>
      </x:c>
      <x:c r="Q34" s="68" t="str">
        <x:v>适度暖局</x:v>
      </x:c>
      <x:c r="R34" s="82" t="str">
        <x:v>待定</x:v>
      </x:c>
      <x:c r="S34" s="82" t="str">
        <x:v>待定</x:v>
      </x:c>
      <x:c r="T34" s="82" t="str">
        <x:v>待定</x:v>
      </x:c>
      <x:c r="U34" s="82" t="str">
        <x:v>待定</x:v>
      </x:c>
      <x:c r="V34" s="82" t="str">
        <x:v>待定</x:v>
      </x:c>
      <x:c r="W34" s="68" t="str">
        <x:v>M02基础映射、M08五行有效旺衰、M12流通卡点已完成</x:v>
      </x:c>
      <x:c r="X34" s="68" t="str">
        <x:v>月令基准与全局有效五行均已核查</x:v>
      </x:c>
      <x:c r="Y34" s="68" t="str">
        <x:v>相关调候五行有根有源、透达且能真实改善关键气候问题</x:v>
      </x:c>
      <x:c r="Z34" s="68" t="str">
        <x:v>调候五行无根、受强制、被合绊、改性或加入后产生新的寒热燥湿问题</x:v>
      </x:c>
      <x:c r="AA34" s="90" t="str">
        <x:v>不得只凭出生月份或某一五行数量直接下最终调候结论</x:v>
      </x:c>
      <x:c r="AB34" s="68" t="str">
        <x:v>特殊格局、核心格局用神或更高优先级病药约束转M16—M18裁决</x:v>
      </x:c>
      <x:c r="AC34" s="84" t="str">
        <x:v>秋金凉性条件化</x:v>
      </x:c>
      <x:c r="AD34" s="84" t="str">
        <x:v>金旺本身不直接等同寒但秋令可增强凉性：温度轴判“偏寒”，湿度轴判“待定”；调候候选为“火”，是否成为最终用神仍转M16—M18。</x:v>
      </x:c>
      <x:c r="AE34" s="82" t="str">
        <x:v>较高</x:v>
      </x:c>
      <x:c r="AF34" s="82" t="str">
        <x:v>调候</x:v>
      </x:c>
      <x:c r="AG34" s="68" t="str">
        <x:v>调候以月令气候为起点，但必须结合M08五行有效力量与M12流通状态修正；寒暖与燥湿分轴判断，调候候选不自动等于全局主用神。</x:v>
      </x:c>
      <x:c r="AH34" s="68" t="str">
        <x:v>当“申酉金旺，且全局火弱、水势又偏强”真实成立，且调候机制能改善主要气候问题时，可按“金旺本身不直接等同寒但秋令可增强凉性”记录。</x:v>
      </x:c>
      <x:c r="AI34" s="90" t="str">
        <x:v>仅见月份或表面五行标签，但未满足“申酉金旺，且全局火弱、水势又偏强”及必要修正条件时，不得套用“金旺本身不直接等同寒但秋令可增强凉性”。</x:v>
      </x:c>
      <x:c r="AJ34" s="82" t="str">
        <x:v>采用</x:v>
      </x:c>
      <x:c r="AK34" s="82" t="str">
        <x:v>初审</x:v>
      </x:c>
      <x:c r="AL34" s="87" t="n">
        <x:v>46255</x:v>
      </x:c>
    </x:row>
    <x:row r="35">
      <x:c r="A35" s="72" t="str">
        <x:f>IF(OR(C35="",D35=""),"",B35&amp;"-"&amp;UPPER(C35)&amp;"-"&amp;TEXT(D35,"0000")&amp;"-"&amp;E35)</x:f>
        <x:v>M13-TEMP-0029-V1.0</x:v>
      </x:c>
      <x:c r="B35" s="74" t="str">
        <x:v>M13</x:v>
      </x:c>
      <x:c r="C35" s="74" t="str">
        <x:v>TEMP</x:v>
      </x:c>
      <x:c r="D35" s="215" t="n">
        <x:v>29</x:v>
      </x:c>
      <x:c r="E35" s="74" t="str">
        <x:v>V1.0</x:v>
      </x:c>
      <x:c r="F35" s="68" t="str">
        <x:v>寒暖平衡必须同时排除极端火水集团</x:v>
      </x:c>
      <x:c r="G35" s="82" t="str">
        <x:v>结构层</x:v>
      </x:c>
      <x:c r="H35" s="82" t="str">
        <x:v>寒暖轴</x:v>
      </x:c>
      <x:c r="I35" s="68" t="str">
        <x:v>通用</x:v>
      </x:c>
      <x:c r="J35" s="68" t="str">
        <x:v>月令基准经火水修正后无一方形成决定性热寒优势</x:v>
      </x:c>
      <x:c r="K35" s="68" t="str">
        <x:v>相互抵消</x:v>
      </x:c>
      <x:c r="L35" s="68" t="str">
        <x:v>待定</x:v>
      </x:c>
      <x:c r="M35" s="82" t="str">
        <x:v>平衡</x:v>
      </x:c>
      <x:c r="N35" s="82" t="str">
        <x:v>待定</x:v>
      </x:c>
      <x:c r="O35" s="68" t="str">
        <x:v>无明显温度病</x:v>
      </x:c>
      <x:c r="P35" s="68" t="str">
        <x:v>待定</x:v>
      </x:c>
      <x:c r="Q35" s="68" t="str">
        <x:v>通常不需以调温为首要</x:v>
      </x:c>
      <x:c r="R35" s="82" t="str">
        <x:v>待定</x:v>
      </x:c>
      <x:c r="S35" s="82" t="str">
        <x:v>待定</x:v>
      </x:c>
      <x:c r="T35" s="82" t="str">
        <x:v>低</x:v>
      </x:c>
      <x:c r="U35" s="82" t="str">
        <x:v>待定</x:v>
      </x:c>
      <x:c r="V35" s="82" t="str">
        <x:v>待定</x:v>
      </x:c>
      <x:c r="W35" s="68" t="str">
        <x:v>M02基础映射、M08五行有效旺衰、M12流通卡点已完成</x:v>
      </x:c>
      <x:c r="X35" s="68" t="str">
        <x:v>月令基准与全局有效五行均已核查</x:v>
      </x:c>
      <x:c r="Y35" s="68" t="str">
        <x:v>相关调候五行有根有源、透达且能真实改善关键气候问题</x:v>
      </x:c>
      <x:c r="Z35" s="68" t="str">
        <x:v>调候五行无根、受强制、被合绊、改性或加入后产生新的寒热燥湿问题</x:v>
      </x:c>
      <x:c r="AA35" s="90" t="str">
        <x:v>不得只凭出生月份或某一五行数量直接下最终调候结论</x:v>
      </x:c>
      <x:c r="AB35" s="68" t="str">
        <x:v>特殊格局、核心格局用神或更高优先级病药约束转M16—M18裁决</x:v>
      </x:c>
      <x:c r="AC35" s="84" t="str">
        <x:v>寒暖平衡</x:v>
      </x:c>
      <x:c r="AD35" s="84" t="str">
        <x:v>寒暖平衡必须同时排除极端火水集团：温度轴判“平衡”，湿度轴判“待定”；调候候选为“待定”，是否成为最终用神仍转M16—M18。</x:v>
      </x:c>
      <x:c r="AE35" s="82" t="str">
        <x:v>较高</x:v>
      </x:c>
      <x:c r="AF35" s="82" t="str">
        <x:v>调候</x:v>
      </x:c>
      <x:c r="AG35" s="68" t="str">
        <x:v>调候以月令气候为起点，但必须结合M08五行有效力量与M12流通状态修正；寒暖与燥湿分轴判断，调候候选不自动等于全局主用神。</x:v>
      </x:c>
      <x:c r="AH35" s="68" t="str">
        <x:v>当“月令基准经火水修正后无一方形成决定性热寒优势”真实成立，且调候机制能改善主要气候问题时，可按“寒暖平衡必须同时排除极端火水集团”记录。</x:v>
      </x:c>
      <x:c r="AI35" s="90" t="str">
        <x:v>仅见月份或表面五行标签，但未满足“月令基准经火水修正后无一方形成决定性热寒优势”及必要修正条件时，不得套用“寒暖平衡必须同时排除极端火水集团”。</x:v>
      </x:c>
      <x:c r="AJ35" s="82" t="str">
        <x:v>采用</x:v>
      </x:c>
      <x:c r="AK35" s="82" t="str">
        <x:v>初审</x:v>
      </x:c>
      <x:c r="AL35" s="87" t="n">
        <x:v>46255</x:v>
      </x:c>
    </x:row>
    <x:row r="36">
      <x:c r="A36" s="72" t="str">
        <x:f>IF(OR(C36="",D36=""),"",B36&amp;"-"&amp;UPPER(C36)&amp;"-"&amp;TEXT(D36,"0000")&amp;"-"&amp;E36)</x:f>
        <x:v>M13-TEMP-0030-V1.0</x:v>
      </x:c>
      <x:c r="B36" s="74" t="str">
        <x:v>M13</x:v>
      </x:c>
      <x:c r="C36" s="74" t="str">
        <x:v>TEMP</x:v>
      </x:c>
      <x:c r="D36" s="215" t="n">
        <x:v>30</x:v>
      </x:c>
      <x:c r="E36" s="74" t="str">
        <x:v>V1.0</x:v>
      </x:c>
      <x:c r="F36" s="68" t="str">
        <x:v>温度极端只有影响功能时才升格为首要病</x:v>
      </x:c>
      <x:c r="G36" s="82" t="str">
        <x:v>结构层</x:v>
      </x:c>
      <x:c r="H36" s="82" t="str">
        <x:v>寒暖轴</x:v>
      </x:c>
      <x:c r="I36" s="68" t="str">
        <x:v>通用</x:v>
      </x:c>
      <x:c r="J36" s="68" t="str">
        <x:v>极寒或极热同时造成M12主路径寒凝、燥枯、火熄或水涸等功能问题</x:v>
      </x:c>
      <x:c r="K36" s="68" t="str">
        <x:v>待定</x:v>
      </x:c>
      <x:c r="L36" s="68" t="str">
        <x:v>待定</x:v>
      </x:c>
      <x:c r="M36" s="82" t="str">
        <x:v>待定</x:v>
      </x:c>
      <x:c r="N36" s="82" t="str">
        <x:v>待定</x:v>
      </x:c>
      <x:c r="O36" s="68" t="str">
        <x:v>温度极端已阻断生化</x:v>
      </x:c>
      <x:c r="P36" s="68" t="str">
        <x:v>火/水</x:v>
      </x:c>
      <x:c r="Q36" s="68" t="str">
        <x:v>恢复基本温度条件</x:v>
      </x:c>
      <x:c r="R36" s="82" t="str">
        <x:v>待定</x:v>
      </x:c>
      <x:c r="S36" s="82" t="str">
        <x:v>待定</x:v>
      </x:c>
      <x:c r="T36" s="82" t="str">
        <x:v>首要</x:v>
      </x:c>
      <x:c r="U36" s="82" t="str">
        <x:v>待定</x:v>
      </x:c>
      <x:c r="V36" s="82" t="str">
        <x:v>待定</x:v>
      </x:c>
      <x:c r="W36" s="68" t="str">
        <x:v>M02基础映射、M08五行有效旺衰、M12流通卡点已完成</x:v>
      </x:c>
      <x:c r="X36" s="68" t="str">
        <x:v>月令基准与全局有效五行均已核查</x:v>
      </x:c>
      <x:c r="Y36" s="68" t="str">
        <x:v>相关调候五行有根有源、透达且能真实改善关键气候问题</x:v>
      </x:c>
      <x:c r="Z36" s="68" t="str">
        <x:v>调候五行无根、受强制、被合绊、改性或加入后产生新的寒热燥湿问题</x:v>
      </x:c>
      <x:c r="AA36" s="90" t="str">
        <x:v>不得只凭出生月份或某一五行数量直接下最终调候结论</x:v>
      </x:c>
      <x:c r="AB36" s="68" t="str">
        <x:v>特殊格局、核心格局用神或更高优先级病药约束转M16—M18裁决</x:v>
      </x:c>
      <x:c r="AC36" s="84" t="str">
        <x:v>温度极端功能化</x:v>
      </x:c>
      <x:c r="AD36" s="84" t="str">
        <x:v>温度极端只有影响功能时才升格为首要病：温度轴判“待定”，湿度轴判“待定”；调候候选为“火/水”，是否成为最终用神仍转M16—M18。</x:v>
      </x:c>
      <x:c r="AE36" s="82" t="str">
        <x:v>较高</x:v>
      </x:c>
      <x:c r="AF36" s="82" t="str">
        <x:v>调候</x:v>
      </x:c>
      <x:c r="AG36" s="68" t="str">
        <x:v>调候以月令气候为起点，但必须结合M08五行有效力量与M12流通状态修正；寒暖与燥湿分轴判断，调候候选不自动等于全局主用神。</x:v>
      </x:c>
      <x:c r="AH36" s="68" t="str">
        <x:v>当“极寒或极热同时造成M12主路径寒凝、燥枯、火熄或水涸等功能问题”真实成立，且调候机制能改善主要气候问题时，可按“温度极端只有影响功能时才升格为首要病”记录。</x:v>
      </x:c>
      <x:c r="AI36" s="90" t="str">
        <x:v>仅见月份或表面五行标签，但未满足“极寒或极热同时造成M12主路径寒凝、燥枯、火熄或水涸等功能问题”及必要修正条件时，不得套用“温度极端只有影响功能时才升格为首要病”。</x:v>
      </x:c>
      <x:c r="AJ36" s="82" t="str">
        <x:v>采用</x:v>
      </x:c>
      <x:c r="AK36" s="82" t="str">
        <x:v>初审</x:v>
      </x:c>
      <x:c r="AL36" s="87" t="n">
        <x:v>46255</x:v>
      </x:c>
    </x:row>
    <x:row r="37">
      <x:c r="A37" s="72" t="str">
        <x:f>IF(OR(C37="",D37=""),"",B37&amp;"-"&amp;UPPER(C37)&amp;"-"&amp;TEXT(D37,"0000")&amp;"-"&amp;E37)</x:f>
        <x:v>M13-HUMID-0031-V1.0</x:v>
      </x:c>
      <x:c r="B37" s="74" t="str">
        <x:v>M13</x:v>
      </x:c>
      <x:c r="C37" s="74" t="str">
        <x:v>HUMID</x:v>
      </x:c>
      <x:c r="D37" s="215" t="n">
        <x:v>31</x:v>
      </x:c>
      <x:c r="E37" s="74" t="str">
        <x:v>V1.0</x:v>
      </x:c>
      <x:c r="F37" s="68" t="str">
        <x:v>强水与湿土同势会显著提高湿度</x:v>
      </x:c>
      <x:c r="G37" s="82" t="str">
        <x:v>结构层</x:v>
      </x:c>
      <x:c r="H37" s="82" t="str">
        <x:v>燥湿轴</x:v>
      </x:c>
      <x:c r="I37" s="68" t="str">
        <x:v>通用</x:v>
      </x:c>
      <x:c r="J37" s="68" t="str">
        <x:v>水旺且辰丑湿土有力，或湿土重复成势</x:v>
      </x:c>
      <x:c r="K37" s="68" t="str">
        <x:v>待定</x:v>
      </x:c>
      <x:c r="L37" s="68" t="str">
        <x:v>明显增湿</x:v>
      </x:c>
      <x:c r="M37" s="82" t="str">
        <x:v>待定</x:v>
      </x:c>
      <x:c r="N37" s="82" t="str">
        <x:v>极湿</x:v>
      </x:c>
      <x:c r="O37" s="68" t="str">
        <x:v>水湿壅滞、火木生化受阻</x:v>
      </x:c>
      <x:c r="P37" s="68" t="str">
        <x:v>火/木</x:v>
      </x:c>
      <x:c r="Q37" s="68" t="str">
        <x:v>暖湿、疏土、推动生化</x:v>
      </x:c>
      <x:c r="R37" s="82" t="str">
        <x:v>待定</x:v>
      </x:c>
      <x:c r="S37" s="82" t="str">
        <x:v>待定</x:v>
      </x:c>
      <x:c r="T37" s="82" t="str">
        <x:v>高</x:v>
      </x:c>
      <x:c r="U37" s="82" t="str">
        <x:v>待定</x:v>
      </x:c>
      <x:c r="V37" s="82" t="str">
        <x:v>待定</x:v>
      </x:c>
      <x:c r="W37" s="68" t="str">
        <x:v>M02基础映射、M08五行有效旺衰、M12流通卡点已完成</x:v>
      </x:c>
      <x:c r="X37" s="68" t="str">
        <x:v>月令基准与全局有效五行均已核查</x:v>
      </x:c>
      <x:c r="Y37" s="68" t="str">
        <x:v>相关调候五行有根有源、透达且能真实改善关键气候问题</x:v>
      </x:c>
      <x:c r="Z37" s="68" t="str">
        <x:v>调候五行无根、受强制、被合绊、改性或加入后产生新的寒热燥湿问题</x:v>
      </x:c>
      <x:c r="AA37" s="90" t="str">
        <x:v>不得只凭出生月份或某一五行数量直接下最终调候结论</x:v>
      </x:c>
      <x:c r="AB37" s="68" t="str">
        <x:v>特殊格局、核心格局用神或更高优先级病药约束转M16—M18裁决</x:v>
      </x:c>
      <x:c r="AC37" s="84" t="str">
        <x:v>水湿同势</x:v>
      </x:c>
      <x:c r="AD37" s="84" t="str">
        <x:v>强水与湿土同势会显著提高湿度：温度轴判“待定”，湿度轴判“极湿”；调候候选为“火/木”，是否成为最终用神仍转M16—M18。</x:v>
      </x:c>
      <x:c r="AE37" s="82" t="str">
        <x:v>较高</x:v>
      </x:c>
      <x:c r="AF37" s="82" t="str">
        <x:v>调候</x:v>
      </x:c>
      <x:c r="AG37" s="68" t="str">
        <x:v>调候以月令气候为起点，但必须结合M08五行有效力量与M12流通状态修正；寒暖与燥湿分轴判断，调候候选不自动等于全局主用神。</x:v>
      </x:c>
      <x:c r="AH37" s="68" t="str">
        <x:v>当“水旺且辰丑湿土有力，或湿土重复成势”真实成立，且调候机制能改善主要气候问题时，可按“强水与湿土同势会显著提高湿度”记录。</x:v>
      </x:c>
      <x:c r="AI37" s="90" t="str">
        <x:v>仅见月份或表面五行标签，但未满足“水旺且辰丑湿土有力，或湿土重复成势”及必要修正条件时，不得套用“强水与湿土同势会显著提高湿度”。</x:v>
      </x:c>
      <x:c r="AJ37" s="82" t="str">
        <x:v>采用</x:v>
      </x:c>
      <x:c r="AK37" s="82" t="str">
        <x:v>初审</x:v>
      </x:c>
      <x:c r="AL37" s="87" t="n">
        <x:v>46255</x:v>
      </x:c>
    </x:row>
    <x:row r="38">
      <x:c r="A38" s="72" t="str">
        <x:f>IF(OR(C38="",D38=""),"",B38&amp;"-"&amp;UPPER(C38)&amp;"-"&amp;TEXT(D38,"0000")&amp;"-"&amp;E38)</x:f>
        <x:v>M13-HUMID-0032-V1.0</x:v>
      </x:c>
      <x:c r="B38" s="74" t="str">
        <x:v>M13</x:v>
      </x:c>
      <x:c r="C38" s="74" t="str">
        <x:v>HUMID</x:v>
      </x:c>
      <x:c r="D38" s="215" t="n">
        <x:v>32</x:v>
      </x:c>
      <x:c r="E38" s="74" t="str">
        <x:v>V1.0</x:v>
      </x:c>
      <x:c r="F38" s="68" t="str">
        <x:v>水旺但土不湿未必达到极湿</x:v>
      </x:c>
      <x:c r="G38" s="82" t="str">
        <x:v>结构层</x:v>
      </x:c>
      <x:c r="H38" s="82" t="str">
        <x:v>燥湿轴</x:v>
      </x:c>
      <x:c r="I38" s="68" t="str">
        <x:v>通用</x:v>
      </x:c>
      <x:c r="J38" s="68" t="str">
        <x:v>水旺但湿土不足，且火木仍能有效流通</x:v>
      </x:c>
      <x:c r="K38" s="68" t="str">
        <x:v>待定</x:v>
      </x:c>
      <x:c r="L38" s="68" t="str">
        <x:v>增湿有限</x:v>
      </x:c>
      <x:c r="M38" s="82" t="str">
        <x:v>待定</x:v>
      </x:c>
      <x:c r="N38" s="82" t="str">
        <x:v>偏湿</x:v>
      </x:c>
      <x:c r="O38" s="68" t="str">
        <x:v>湿度增加但未形成壅滞</x:v>
      </x:c>
      <x:c r="P38" s="68" t="str">
        <x:v>待定</x:v>
      </x:c>
      <x:c r="Q38" s="68" t="str">
        <x:v>视流通是否受阻决定</x:v>
      </x:c>
      <x:c r="R38" s="82" t="str">
        <x:v>待定</x:v>
      </x:c>
      <x:c r="S38" s="82" t="str">
        <x:v>待定</x:v>
      </x:c>
      <x:c r="T38" s="82" t="str">
        <x:v>中</x:v>
      </x:c>
      <x:c r="U38" s="82" t="str">
        <x:v>待定</x:v>
      </x:c>
      <x:c r="V38" s="82" t="str">
        <x:v>待定</x:v>
      </x:c>
      <x:c r="W38" s="68" t="str">
        <x:v>M02基础映射、M08五行有效旺衰、M12流通卡点已完成</x:v>
      </x:c>
      <x:c r="X38" s="68" t="str">
        <x:v>月令基准与全局有效五行均已核查</x:v>
      </x:c>
      <x:c r="Y38" s="68" t="str">
        <x:v>相关调候五行有根有源、透达且能真实改善关键气候问题</x:v>
      </x:c>
      <x:c r="Z38" s="68" t="str">
        <x:v>调候五行无根、受强制、被合绊、改性或加入后产生新的寒热燥湿问题</x:v>
      </x:c>
      <x:c r="AA38" s="90" t="str">
        <x:v>不得只凭出生月份或某一五行数量直接下最终调候结论</x:v>
      </x:c>
      <x:c r="AB38" s="68" t="str">
        <x:v>特殊格局、核心格局用神或更高优先级病药约束转M16—M18裁决</x:v>
      </x:c>
      <x:c r="AC38" s="84" t="str">
        <x:v>水旺非极湿</x:v>
      </x:c>
      <x:c r="AD38" s="84" t="str">
        <x:v>水旺但土不湿未必达到极湿：温度轴判“待定”，湿度轴判“偏湿”；调候候选为“待定”，是否成为最终用神仍转M16—M18。</x:v>
      </x:c>
      <x:c r="AE38" s="82" t="str">
        <x:v>较高</x:v>
      </x:c>
      <x:c r="AF38" s="82" t="str">
        <x:v>调候</x:v>
      </x:c>
      <x:c r="AG38" s="68" t="str">
        <x:v>调候以月令气候为起点，但必须结合M08五行有效力量与M12流通状态修正；寒暖与燥湿分轴判断，调候候选不自动等于全局主用神。</x:v>
      </x:c>
      <x:c r="AH38" s="68" t="str">
        <x:v>当“水旺但湿土不足，且火木仍能有效流通”真实成立，且调候机制能改善主要气候问题时，可按“水旺但土不湿未必达到极湿”记录。</x:v>
      </x:c>
      <x:c r="AI38" s="90" t="str">
        <x:v>仅见月份或表面五行标签，但未满足“水旺但湿土不足，且火木仍能有效流通”及必要修正条件时，不得套用“水旺但土不湿未必达到极湿”。</x:v>
      </x:c>
      <x:c r="AJ38" s="82" t="str">
        <x:v>采用</x:v>
      </x:c>
      <x:c r="AK38" s="82" t="str">
        <x:v>初审</x:v>
      </x:c>
      <x:c r="AL38" s="87" t="n">
        <x:v>46255</x:v>
      </x:c>
    </x:row>
    <x:row r="39">
      <x:c r="A39" s="72" t="str">
        <x:f>IF(OR(C39="",D39=""),"",B39&amp;"-"&amp;UPPER(C39)&amp;"-"&amp;TEXT(D39,"0000")&amp;"-"&amp;E39)</x:f>
        <x:v>M13-HUMID-0033-V1.0</x:v>
      </x:c>
      <x:c r="B39" s="74" t="str">
        <x:v>M13</x:v>
      </x:c>
      <x:c r="C39" s="74" t="str">
        <x:v>HUMID</x:v>
      </x:c>
      <x:c r="D39" s="215" t="n">
        <x:v>33</x:v>
      </x:c>
      <x:c r="E39" s="74" t="str">
        <x:v>V1.0</x:v>
      </x:c>
      <x:c r="F39" s="68" t="str">
        <x:v>辰丑湿土成势属于增湿的重要证据</x:v>
      </x:c>
      <x:c r="G39" s="82" t="str">
        <x:v>结构层</x:v>
      </x:c>
      <x:c r="H39" s="82" t="str">
        <x:v>燥湿轴</x:v>
      </x:c>
      <x:c r="I39" s="68" t="str">
        <x:v>通用</x:v>
      </x:c>
      <x:c r="J39" s="68" t="str">
        <x:v>辰丑多现且有效，未被强火燥化</x:v>
      </x:c>
      <x:c r="K39" s="68" t="str">
        <x:v>待定</x:v>
      </x:c>
      <x:c r="L39" s="68" t="str">
        <x:v>明显增湿</x:v>
      </x:c>
      <x:c r="M39" s="82" t="str">
        <x:v>待定</x:v>
      </x:c>
      <x:c r="N39" s="82" t="str">
        <x:v>偏湿</x:v>
      </x:c>
      <x:c r="O39" s="68" t="str">
        <x:v>湿土储湿、滞气</x:v>
      </x:c>
      <x:c r="P39" s="68" t="str">
        <x:v>火/木</x:v>
      </x:c>
      <x:c r="Q39" s="68" t="str">
        <x:v>暖土疏湿</x:v>
      </x:c>
      <x:c r="R39" s="82" t="str">
        <x:v>待定</x:v>
      </x:c>
      <x:c r="S39" s="82" t="str">
        <x:v>待定</x:v>
      </x:c>
      <x:c r="T39" s="82" t="str">
        <x:v>待定</x:v>
      </x:c>
      <x:c r="U39" s="82" t="str">
        <x:v>待定</x:v>
      </x:c>
      <x:c r="V39" s="82" t="str">
        <x:v>待定</x:v>
      </x:c>
      <x:c r="W39" s="68" t="str">
        <x:v>M02基础映射、M08五行有效旺衰、M12流通卡点已完成</x:v>
      </x:c>
      <x:c r="X39" s="68" t="str">
        <x:v>月令基准与全局有效五行均已核查</x:v>
      </x:c>
      <x:c r="Y39" s="68" t="str">
        <x:v>相关调候五行有根有源、透达且能真实改善关键气候问题</x:v>
      </x:c>
      <x:c r="Z39" s="68" t="str">
        <x:v>调候五行无根、受强制、被合绊、改性或加入后产生新的寒热燥湿问题</x:v>
      </x:c>
      <x:c r="AA39" s="90" t="str">
        <x:v>不得只凭出生月份或某一五行数量直接下最终调候结论</x:v>
      </x:c>
      <x:c r="AB39" s="68" t="str">
        <x:v>特殊格局、核心格局用神或更高优先级病药约束转M16—M18裁决</x:v>
      </x:c>
      <x:c r="AC39" s="84" t="str">
        <x:v>辰丑湿土</x:v>
      </x:c>
      <x:c r="AD39" s="84" t="str">
        <x:v>辰丑湿土成势属于增湿的重要证据：温度轴判“待定”，湿度轴判“偏湿”；调候候选为“火/木”，是否成为最终用神仍转M16—M18。</x:v>
      </x:c>
      <x:c r="AE39" s="82" t="str">
        <x:v>较高</x:v>
      </x:c>
      <x:c r="AF39" s="82" t="str">
        <x:v>调候</x:v>
      </x:c>
      <x:c r="AG39" s="68" t="str">
        <x:v>调候以月令气候为起点，但必须结合M08五行有效力量与M12流通状态修正；寒暖与燥湿分轴判断，调候候选不自动等于全局主用神。</x:v>
      </x:c>
      <x:c r="AH39" s="68" t="str">
        <x:v>当“辰丑多现且有效，未被强火燥化”真实成立，且调候机制能改善主要气候问题时，可按“辰丑湿土成势属于增湿的重要证据”记录。</x:v>
      </x:c>
      <x:c r="AI39" s="90" t="str">
        <x:v>仅见月份或表面五行标签，但未满足“辰丑多现且有效，未被强火燥化”及必要修正条件时，不得套用“辰丑湿土成势属于增湿的重要证据”。</x:v>
      </x:c>
      <x:c r="AJ39" s="82" t="str">
        <x:v>采用</x:v>
      </x:c>
      <x:c r="AK39" s="82" t="str">
        <x:v>初审</x:v>
      </x:c>
      <x:c r="AL39" s="87" t="n">
        <x:v>46255</x:v>
      </x:c>
    </x:row>
    <x:row r="40">
      <x:c r="A40" s="72" t="str">
        <x:f>IF(OR(C40="",D40=""),"",B40&amp;"-"&amp;UPPER(C40)&amp;"-"&amp;TEXT(D40,"0000")&amp;"-"&amp;E40)</x:f>
        <x:v>M13-HUMID-0034-V1.0</x:v>
      </x:c>
      <x:c r="B40" s="74" t="str">
        <x:v>M13</x:v>
      </x:c>
      <x:c r="C40" s="74" t="str">
        <x:v>HUMID</x:v>
      </x:c>
      <x:c r="D40" s="215" t="n">
        <x:v>34</x:v>
      </x:c>
      <x:c r="E40" s="74" t="str">
        <x:v>V1.0</x:v>
      </x:c>
      <x:c r="F40" s="68" t="str">
        <x:v>未戌燥土成势属于增燥的重要证据</x:v>
      </x:c>
      <x:c r="G40" s="82" t="str">
        <x:v>结构层</x:v>
      </x:c>
      <x:c r="H40" s="82" t="str">
        <x:v>燥湿轴</x:v>
      </x:c>
      <x:c r="I40" s="68" t="str">
        <x:v>通用</x:v>
      </x:c>
      <x:c r="J40" s="68" t="str">
        <x:v>未戌多现且有效，水弱</x:v>
      </x:c>
      <x:c r="K40" s="68" t="str">
        <x:v>待定</x:v>
      </x:c>
      <x:c r="L40" s="68" t="str">
        <x:v>明显增燥</x:v>
      </x:c>
      <x:c r="M40" s="82" t="str">
        <x:v>待定</x:v>
      </x:c>
      <x:c r="N40" s="82" t="str">
        <x:v>偏燥</x:v>
      </x:c>
      <x:c r="O40" s="68" t="str">
        <x:v>土燥失润</x:v>
      </x:c>
      <x:c r="P40" s="68" t="str">
        <x:v>水</x:v>
      </x:c>
      <x:c r="Q40" s="68" t="str">
        <x:v>润燥</x:v>
      </x:c>
      <x:c r="R40" s="82" t="str">
        <x:v>待定</x:v>
      </x:c>
      <x:c r="S40" s="82" t="str">
        <x:v>待定</x:v>
      </x:c>
      <x:c r="T40" s="82" t="str">
        <x:v>待定</x:v>
      </x:c>
      <x:c r="U40" s="82" t="str">
        <x:v>待定</x:v>
      </x:c>
      <x:c r="V40" s="82" t="str">
        <x:v>待定</x:v>
      </x:c>
      <x:c r="W40" s="68" t="str">
        <x:v>M02基础映射、M08五行有效旺衰、M12流通卡点已完成</x:v>
      </x:c>
      <x:c r="X40" s="68" t="str">
        <x:v>月令基准与全局有效五行均已核查</x:v>
      </x:c>
      <x:c r="Y40" s="68" t="str">
        <x:v>相关调候五行有根有源、透达且能真实改善关键气候问题</x:v>
      </x:c>
      <x:c r="Z40" s="68" t="str">
        <x:v>调候五行无根、受强制、被合绊、改性或加入后产生新的寒热燥湿问题</x:v>
      </x:c>
      <x:c r="AA40" s="90" t="str">
        <x:v>不得只凭出生月份或某一五行数量直接下最终调候结论</x:v>
      </x:c>
      <x:c r="AB40" s="68" t="str">
        <x:v>特殊格局、核心格局用神或更高优先级病药约束转M16—M18裁决</x:v>
      </x:c>
      <x:c r="AC40" s="84" t="str">
        <x:v>未戌燥土</x:v>
      </x:c>
      <x:c r="AD40" s="84" t="str">
        <x:v>未戌燥土成势属于增燥的重要证据：温度轴判“待定”，湿度轴判“偏燥”；调候候选为“水”，是否成为最终用神仍转M16—M18。</x:v>
      </x:c>
      <x:c r="AE40" s="82" t="str">
        <x:v>较高</x:v>
      </x:c>
      <x:c r="AF40" s="82" t="str">
        <x:v>调候</x:v>
      </x:c>
      <x:c r="AG40" s="68" t="str">
        <x:v>调候以月令气候为起点，但必须结合M08五行有效力量与M12流通状态修正；寒暖与燥湿分轴判断，调候候选不自动等于全局主用神。</x:v>
      </x:c>
      <x:c r="AH40" s="68" t="str">
        <x:v>当“未戌多现且有效，水弱”真实成立，且调候机制能改善主要气候问题时，可按“未戌燥土成势属于增燥的重要证据”记录。</x:v>
      </x:c>
      <x:c r="AI40" s="90" t="str">
        <x:v>仅见月份或表面五行标签，但未满足“未戌多现且有效，水弱”及必要修正条件时，不得套用“未戌燥土成势属于增燥的重要证据”。</x:v>
      </x:c>
      <x:c r="AJ40" s="82" t="str">
        <x:v>采用</x:v>
      </x:c>
      <x:c r="AK40" s="82" t="str">
        <x:v>初审</x:v>
      </x:c>
      <x:c r="AL40" s="87" t="n">
        <x:v>46255</x:v>
      </x:c>
    </x:row>
    <x:row r="41">
      <x:c r="A41" s="72" t="str">
        <x:f>IF(OR(C41="",D41=""),"",B41&amp;"-"&amp;UPPER(C41)&amp;"-"&amp;TEXT(D41,"0000")&amp;"-"&amp;E41)</x:f>
        <x:v>M13-HUMID-0035-V1.0</x:v>
      </x:c>
      <x:c r="B41" s="74" t="str">
        <x:v>M13</x:v>
      </x:c>
      <x:c r="C41" s="74" t="str">
        <x:v>HUMID</x:v>
      </x:c>
      <x:c r="D41" s="215" t="n">
        <x:v>35</x:v>
      </x:c>
      <x:c r="E41" s="74" t="str">
        <x:v>V1.0</x:v>
      </x:c>
      <x:c r="F41" s="68" t="str">
        <x:v>强火会蒸耗水分并提高燥度</x:v>
      </x:c>
      <x:c r="G41" s="82" t="str">
        <x:v>结构层</x:v>
      </x:c>
      <x:c r="H41" s="82" t="str">
        <x:v>燥湿轴</x:v>
      </x:c>
      <x:c r="I41" s="68" t="str">
        <x:v>通用</x:v>
      </x:c>
      <x:c r="J41" s="68" t="str">
        <x:v>火旺极旺且水弱、湿土少</x:v>
      </x:c>
      <x:c r="K41" s="68" t="str">
        <x:v>待定</x:v>
      </x:c>
      <x:c r="L41" s="68" t="str">
        <x:v>明显增燥</x:v>
      </x:c>
      <x:c r="M41" s="82" t="str">
        <x:v>待定</x:v>
      </x:c>
      <x:c r="N41" s="82" t="str">
        <x:v>偏燥</x:v>
      </x:c>
      <x:c r="O41" s="68" t="str">
        <x:v>火旺耗津，生化偏枯</x:v>
      </x:c>
      <x:c r="P41" s="68" t="str">
        <x:v>水</x:v>
      </x:c>
      <x:c r="Q41" s="68" t="str">
        <x:v>润燥制火</x:v>
      </x:c>
      <x:c r="R41" s="82" t="str">
        <x:v>待定</x:v>
      </x:c>
      <x:c r="S41" s="82" t="str">
        <x:v>待定</x:v>
      </x:c>
      <x:c r="T41" s="82" t="str">
        <x:v>待定</x:v>
      </x:c>
      <x:c r="U41" s="82" t="str">
        <x:v>待定</x:v>
      </x:c>
      <x:c r="V41" s="82" t="str">
        <x:v>待定</x:v>
      </x:c>
      <x:c r="W41" s="68" t="str">
        <x:v>M02基础映射、M08五行有效旺衰、M12流通卡点已完成</x:v>
      </x:c>
      <x:c r="X41" s="68" t="str">
        <x:v>月令基准与全局有效五行均已核查</x:v>
      </x:c>
      <x:c r="Y41" s="68" t="str">
        <x:v>相关调候五行有根有源、透达且能真实改善关键气候问题</x:v>
      </x:c>
      <x:c r="Z41" s="68" t="str">
        <x:v>调候五行无根、受强制、被合绊、改性或加入后产生新的寒热燥湿问题</x:v>
      </x:c>
      <x:c r="AA41" s="90" t="str">
        <x:v>不得只凭出生月份或某一五行数量直接下最终调候结论</x:v>
      </x:c>
      <x:c r="AB41" s="68" t="str">
        <x:v>特殊格局、核心格局用神或更高优先级病药约束转M16—M18裁决</x:v>
      </x:c>
      <x:c r="AC41" s="84" t="str">
        <x:v>强火增燥</x:v>
      </x:c>
      <x:c r="AD41" s="84" t="str">
        <x:v>强火会蒸耗水分并提高燥度：温度轴判“待定”，湿度轴判“偏燥”；调候候选为“水”，是否成为最终用神仍转M16—M18。</x:v>
      </x:c>
      <x:c r="AE41" s="82" t="str">
        <x:v>较高</x:v>
      </x:c>
      <x:c r="AF41" s="82" t="str">
        <x:v>调候</x:v>
      </x:c>
      <x:c r="AG41" s="68" t="str">
        <x:v>调候以月令气候为起点，但必须结合M08五行有效力量与M12流通状态修正；寒暖与燥湿分轴判断，调候候选不自动等于全局主用神。</x:v>
      </x:c>
      <x:c r="AH41" s="68" t="str">
        <x:v>当“火旺极旺且水弱、湿土少”真实成立，且调候机制能改善主要气候问题时，可按“强火会蒸耗水分并提高燥度”记录。</x:v>
      </x:c>
      <x:c r="AI41" s="90" t="str">
        <x:v>仅见月份或表面五行标签，但未满足“火旺极旺且水弱、湿土少”及必要修正条件时，不得套用“强火会蒸耗水分并提高燥度”。</x:v>
      </x:c>
      <x:c r="AJ41" s="82" t="str">
        <x:v>采用</x:v>
      </x:c>
      <x:c r="AK41" s="82" t="str">
        <x:v>初审</x:v>
      </x:c>
      <x:c r="AL41" s="87" t="n">
        <x:v>46255</x:v>
      </x:c>
    </x:row>
    <x:row r="42">
      <x:c r="A42" s="72" t="str">
        <x:f>IF(OR(C42="",D42=""),"",B42&amp;"-"&amp;UPPER(C42)&amp;"-"&amp;TEXT(D42,"0000")&amp;"-"&amp;E42)</x:f>
        <x:v>M13-HUMID-0036-V1.0</x:v>
      </x:c>
      <x:c r="B42" s="74" t="str">
        <x:v>M13</x:v>
      </x:c>
      <x:c r="C42" s="74" t="str">
        <x:v>HUMID</x:v>
      </x:c>
      <x:c r="D42" s="215" t="n">
        <x:v>36</x:v>
      </x:c>
      <x:c r="E42" s="74" t="str">
        <x:v>V1.0</x:v>
      </x:c>
      <x:c r="F42" s="68" t="str">
        <x:v>有效水可缓解燥局但过量会转为湿病</x:v>
      </x:c>
      <x:c r="G42" s="82" t="str">
        <x:v>结构层</x:v>
      </x:c>
      <x:c r="H42" s="82" t="str">
        <x:v>燥湿轴</x:v>
      </x:c>
      <x:c r="I42" s="68" t="str">
        <x:v>通用</x:v>
      </x:c>
      <x:c r="J42" s="68" t="str">
        <x:v>原局偏燥，水能真实进入关键节点</x:v>
      </x:c>
      <x:c r="K42" s="68" t="str">
        <x:v>待定</x:v>
      </x:c>
      <x:c r="L42" s="68" t="str">
        <x:v>向平衡修正</x:v>
      </x:c>
      <x:c r="M42" s="82" t="str">
        <x:v>待定</x:v>
      </x:c>
      <x:c r="N42" s="82" t="str">
        <x:v>平衡</x:v>
      </x:c>
      <x:c r="O42" s="68" t="str">
        <x:v>润燥有效但需控制水量</x:v>
      </x:c>
      <x:c r="P42" s="68" t="str">
        <x:v>水</x:v>
      </x:c>
      <x:c r="Q42" s="68" t="str">
        <x:v>润燥</x:v>
      </x:c>
      <x:c r="R42" s="82" t="str">
        <x:v>条件性</x:v>
      </x:c>
      <x:c r="S42" s="82" t="str">
        <x:v>有效</x:v>
      </x:c>
      <x:c r="T42" s="82" t="str">
        <x:v>待定</x:v>
      </x:c>
      <x:c r="U42" s="82" t="str">
        <x:v>待定</x:v>
      </x:c>
      <x:c r="V42" s="82" t="str">
        <x:v>待定</x:v>
      </x:c>
      <x:c r="W42" s="68" t="str">
        <x:v>M02基础映射、M08五行有效旺衰、M12流通卡点已完成</x:v>
      </x:c>
      <x:c r="X42" s="68" t="str">
        <x:v>月令基准与全局有效五行均已核查</x:v>
      </x:c>
      <x:c r="Y42" s="68" t="str">
        <x:v>相关调候五行有根有源、透达且能真实改善关键气候问题</x:v>
      </x:c>
      <x:c r="Z42" s="68" t="str">
        <x:v>调候五行无根、受强制、被合绊、改性或加入后产生新的寒热燥湿问题</x:v>
      </x:c>
      <x:c r="AA42" s="90" t="str">
        <x:v>不得只凭出生月份或某一五行数量直接下最终调候结论</x:v>
      </x:c>
      <x:c r="AB42" s="68" t="str">
        <x:v>特殊格局、核心格局用神或更高优先级病药约束转M16—M18裁决</x:v>
      </x:c>
      <x:c r="AC42" s="84" t="str">
        <x:v>水润燥适量</x:v>
      </x:c>
      <x:c r="AD42" s="84" t="str">
        <x:v>有效水可缓解燥局但过量会转为湿病：温度轴判“待定”，湿度轴判“平衡”；调候候选为“水”，是否成为最终用神仍转M16—M18。</x:v>
      </x:c>
      <x:c r="AE42" s="82" t="str">
        <x:v>较高</x:v>
      </x:c>
      <x:c r="AF42" s="82" t="str">
        <x:v>调候</x:v>
      </x:c>
      <x:c r="AG42" s="68" t="str">
        <x:v>调候以月令气候为起点，但必须结合M08五行有效力量与M12流通状态修正；寒暖与燥湿分轴判断，调候候选不自动等于全局主用神。</x:v>
      </x:c>
      <x:c r="AH42" s="68" t="str">
        <x:v>当“原局偏燥，水能真实进入关键节点”真实成立，且调候机制能改善主要气候问题时，可按“有效水可缓解燥局但过量会转为湿病”记录。</x:v>
      </x:c>
      <x:c r="AI42" s="90" t="str">
        <x:v>仅见月份或表面五行标签，但未满足“原局偏燥，水能真实进入关键节点”及必要修正条件时，不得套用“有效水可缓解燥局但过量会转为湿病”。</x:v>
      </x:c>
      <x:c r="AJ42" s="82" t="str">
        <x:v>采用</x:v>
      </x:c>
      <x:c r="AK42" s="82" t="str">
        <x:v>初审</x:v>
      </x:c>
      <x:c r="AL42" s="87" t="n">
        <x:v>46255</x:v>
      </x:c>
    </x:row>
    <x:row r="43">
      <x:c r="A43" s="72" t="str">
        <x:f>IF(OR(C43="",D43=""),"",B43&amp;"-"&amp;UPPER(C43)&amp;"-"&amp;TEXT(D43,"0000")&amp;"-"&amp;E43)</x:f>
        <x:v>M13-HUMID-0037-V1.0</x:v>
      </x:c>
      <x:c r="B43" s="74" t="str">
        <x:v>M13</x:v>
      </x:c>
      <x:c r="C43" s="74" t="str">
        <x:v>HUMID</x:v>
      </x:c>
      <x:c r="D43" s="215" t="n">
        <x:v>37</x:v>
      </x:c>
      <x:c r="E43" s="74" t="str">
        <x:v>V1.0</x:v>
      </x:c>
      <x:c r="F43" s="68" t="str">
        <x:v>有效火可化湿但过量会由湿转燥</x:v>
      </x:c>
      <x:c r="G43" s="82" t="str">
        <x:v>结构层</x:v>
      </x:c>
      <x:c r="H43" s="82" t="str">
        <x:v>燥湿轴</x:v>
      </x:c>
      <x:c r="I43" s="68" t="str">
        <x:v>通用</x:v>
      </x:c>
      <x:c r="J43" s="68" t="str">
        <x:v>原局偏湿，火有根有源并能暖土化湿</x:v>
      </x:c>
      <x:c r="K43" s="68" t="str">
        <x:v>待定</x:v>
      </x:c>
      <x:c r="L43" s="68" t="str">
        <x:v>向平衡修正</x:v>
      </x:c>
      <x:c r="M43" s="82" t="str">
        <x:v>待定</x:v>
      </x:c>
      <x:c r="N43" s="82" t="str">
        <x:v>平衡</x:v>
      </x:c>
      <x:c r="O43" s="68" t="str">
        <x:v>化湿有效但需防过燥</x:v>
      </x:c>
      <x:c r="P43" s="68" t="str">
        <x:v>火</x:v>
      </x:c>
      <x:c r="Q43" s="68" t="str">
        <x:v>暖燥化湿</x:v>
      </x:c>
      <x:c r="R43" s="82" t="str">
        <x:v>条件性</x:v>
      </x:c>
      <x:c r="S43" s="82" t="str">
        <x:v>有效</x:v>
      </x:c>
      <x:c r="T43" s="82" t="str">
        <x:v>待定</x:v>
      </x:c>
      <x:c r="U43" s="82" t="str">
        <x:v>待定</x:v>
      </x:c>
      <x:c r="V43" s="82" t="str">
        <x:v>待定</x:v>
      </x:c>
      <x:c r="W43" s="68" t="str">
        <x:v>M02基础映射、M08五行有效旺衰、M12流通卡点已完成</x:v>
      </x:c>
      <x:c r="X43" s="68" t="str">
        <x:v>月令基准与全局有效五行均已核查</x:v>
      </x:c>
      <x:c r="Y43" s="68" t="str">
        <x:v>相关调候五行有根有源、透达且能真实改善关键气候问题</x:v>
      </x:c>
      <x:c r="Z43" s="68" t="str">
        <x:v>调候五行无根、受强制、被合绊、改性或加入后产生新的寒热燥湿问题</x:v>
      </x:c>
      <x:c r="AA43" s="90" t="str">
        <x:v>不得只凭出生月份或某一五行数量直接下最终调候结论</x:v>
      </x:c>
      <x:c r="AB43" s="68" t="str">
        <x:v>特殊格局、核心格局用神或更高优先级病药约束转M16—M18裁决</x:v>
      </x:c>
      <x:c r="AC43" s="84" t="str">
        <x:v>火化湿适量</x:v>
      </x:c>
      <x:c r="AD43" s="84" t="str">
        <x:v>有效火可化湿但过量会由湿转燥：温度轴判“待定”，湿度轴判“平衡”；调候候选为“火”，是否成为最终用神仍转M16—M18。</x:v>
      </x:c>
      <x:c r="AE43" s="82" t="str">
        <x:v>较高</x:v>
      </x:c>
      <x:c r="AF43" s="82" t="str">
        <x:v>调候</x:v>
      </x:c>
      <x:c r="AG43" s="68" t="str">
        <x:v>调候以月令气候为起点，但必须结合M08五行有效力量与M12流通状态修正；寒暖与燥湿分轴判断，调候候选不自动等于全局主用神。</x:v>
      </x:c>
      <x:c r="AH43" s="68" t="str">
        <x:v>当“原局偏湿，火有根有源并能暖土化湿”真实成立，且调候机制能改善主要气候问题时，可按“有效火可化湿但过量会由湿转燥”记录。</x:v>
      </x:c>
      <x:c r="AI43" s="90" t="str">
        <x:v>仅见月份或表面五行标签，但未满足“原局偏湿，火有根有源并能暖土化湿”及必要修正条件时，不得套用“有效火可化湿但过量会由湿转燥”。</x:v>
      </x:c>
      <x:c r="AJ43" s="82" t="str">
        <x:v>采用</x:v>
      </x:c>
      <x:c r="AK43" s="82" t="str">
        <x:v>初审</x:v>
      </x:c>
      <x:c r="AL43" s="87" t="n">
        <x:v>46255</x:v>
      </x:c>
    </x:row>
    <x:row r="44">
      <x:c r="A44" s="72" t="str">
        <x:f>IF(OR(C44="",D44=""),"",B44&amp;"-"&amp;UPPER(C44)&amp;"-"&amp;TEXT(D44,"0000")&amp;"-"&amp;E44)</x:f>
        <x:v>M13-HUMID-0038-V1.0</x:v>
      </x:c>
      <x:c r="B44" s="74" t="str">
        <x:v>M13</x:v>
      </x:c>
      <x:c r="C44" s="74" t="str">
        <x:v>HUMID</x:v>
      </x:c>
      <x:c r="D44" s="215" t="n">
        <x:v>38</x:v>
      </x:c>
      <x:c r="E44" s="74" t="str">
        <x:v>V1.0</x:v>
      </x:c>
      <x:c r="F44" s="68" t="str">
        <x:v>木可疏湿土但必须自身有生发条件</x:v>
      </x:c>
      <x:c r="G44" s="82" t="str">
        <x:v>结构层</x:v>
      </x:c>
      <x:c r="H44" s="82" t="str">
        <x:v>燥湿轴</x:v>
      </x:c>
      <x:c r="I44" s="68" t="str">
        <x:v>通用</x:v>
      </x:c>
      <x:c r="J44" s="68" t="str">
        <x:v>湿土壅滞，木有效且未被金强制或寒凝</x:v>
      </x:c>
      <x:c r="K44" s="68" t="str">
        <x:v>待定</x:v>
      </x:c>
      <x:c r="L44" s="68" t="str">
        <x:v>降低湿滞</x:v>
      </x:c>
      <x:c r="M44" s="82" t="str">
        <x:v>待定</x:v>
      </x:c>
      <x:c r="N44" s="82" t="str">
        <x:v>待定</x:v>
      </x:c>
      <x:c r="O44" s="68" t="str">
        <x:v>土湿壅滞可由木疏泄</x:v>
      </x:c>
      <x:c r="P44" s="68" t="str">
        <x:v>木</x:v>
      </x:c>
      <x:c r="Q44" s="68" t="str">
        <x:v>疏土导湿</x:v>
      </x:c>
      <x:c r="R44" s="82" t="str">
        <x:v>条件性</x:v>
      </x:c>
      <x:c r="S44" s="82" t="str">
        <x:v>有效</x:v>
      </x:c>
      <x:c r="T44" s="82" t="str">
        <x:v>待定</x:v>
      </x:c>
      <x:c r="U44" s="82" t="str">
        <x:v>待定</x:v>
      </x:c>
      <x:c r="V44" s="82" t="str">
        <x:v>待定</x:v>
      </x:c>
      <x:c r="W44" s="68" t="str">
        <x:v>M02基础映射、M08五行有效旺衰、M12流通卡点已完成</x:v>
      </x:c>
      <x:c r="X44" s="68" t="str">
        <x:v>月令基准与全局有效五行均已核查</x:v>
      </x:c>
      <x:c r="Y44" s="68" t="str">
        <x:v>相关调候五行有根有源、透达且能真实改善关键气候问题</x:v>
      </x:c>
      <x:c r="Z44" s="68" t="str">
        <x:v>调候五行无根、受强制、被合绊、改性或加入后产生新的寒热燥湿问题</x:v>
      </x:c>
      <x:c r="AA44" s="90" t="str">
        <x:v>不得只凭出生月份或某一五行数量直接下最终调候结论</x:v>
      </x:c>
      <x:c r="AB44" s="68" t="str">
        <x:v>特殊格局、核心格局用神或更高优先级病药约束转M16—M18裁决</x:v>
      </x:c>
      <x:c r="AC44" s="84" t="str">
        <x:v>木疏湿土</x:v>
      </x:c>
      <x:c r="AD44" s="84" t="str">
        <x:v>木可疏湿土但必须自身有生发条件：温度轴判“待定”，湿度轴判“待定”；调候候选为“木”，是否成为最终用神仍转M16—M18。</x:v>
      </x:c>
      <x:c r="AE44" s="82" t="str">
        <x:v>较高</x:v>
      </x:c>
      <x:c r="AF44" s="82" t="str">
        <x:v>调候</x:v>
      </x:c>
      <x:c r="AG44" s="68" t="str">
        <x:v>调候以月令气候为起点，但必须结合M08五行有效力量与M12流通状态修正；寒暖与燥湿分轴判断，调候候选不自动等于全局主用神。</x:v>
      </x:c>
      <x:c r="AH44" s="68" t="str">
        <x:v>当“湿土壅滞，木有效且未被金强制或寒凝”真实成立，且调候机制能改善主要气候问题时，可按“木可疏湿土但必须自身有生发条件”记录。</x:v>
      </x:c>
      <x:c r="AI44" s="90" t="str">
        <x:v>仅见月份或表面五行标签，但未满足“湿土壅滞，木有效且未被金强制或寒凝”及必要修正条件时，不得套用“木可疏湿土但必须自身有生发条件”。</x:v>
      </x:c>
      <x:c r="AJ44" s="82" t="str">
        <x:v>采用</x:v>
      </x:c>
      <x:c r="AK44" s="82" t="str">
        <x:v>初审</x:v>
      </x:c>
      <x:c r="AL44" s="87" t="n">
        <x:v>46255</x:v>
      </x:c>
    </x:row>
    <x:row r="45">
      <x:c r="A45" s="72" t="str">
        <x:f>IF(OR(C45="",D45=""),"",B45&amp;"-"&amp;UPPER(C45)&amp;"-"&amp;TEXT(D45,"0000")&amp;"-"&amp;E45)</x:f>
        <x:v>M13-HUMID-0039-V1.0</x:v>
      </x:c>
      <x:c r="B45" s="74" t="str">
        <x:v>M13</x:v>
      </x:c>
      <x:c r="C45" s="74" t="str">
        <x:v>HUMID</x:v>
      </x:c>
      <x:c r="D45" s="215" t="n">
        <x:v>39</x:v>
      </x:c>
      <x:c r="E45" s="74" t="str">
        <x:v>V1.0</x:v>
      </x:c>
      <x:c r="F45" s="68" t="str">
        <x:v>燥湿平衡必须排除局部湿库或燥土集团</x:v>
      </x:c>
      <x:c r="G45" s="82" t="str">
        <x:v>结构层</x:v>
      </x:c>
      <x:c r="H45" s="82" t="str">
        <x:v>燥湿轴</x:v>
      </x:c>
      <x:c r="I45" s="68" t="str">
        <x:v>通用</x:v>
      </x:c>
      <x:c r="J45" s="68" t="str">
        <x:v>全局水火土性相对协调，未出现湿土或燥土成势阻断</x:v>
      </x:c>
      <x:c r="K45" s="68" t="str">
        <x:v>待定</x:v>
      </x:c>
      <x:c r="L45" s="68" t="str">
        <x:v>待定</x:v>
      </x:c>
      <x:c r="M45" s="82" t="str">
        <x:v>待定</x:v>
      </x:c>
      <x:c r="N45" s="82" t="str">
        <x:v>平衡</x:v>
      </x:c>
      <x:c r="O45" s="68" t="str">
        <x:v>无明显湿度病</x:v>
      </x:c>
      <x:c r="P45" s="68" t="str">
        <x:v>待定</x:v>
      </x:c>
      <x:c r="Q45" s="68" t="str">
        <x:v>通常不需以润燥化湿为首要</x:v>
      </x:c>
      <x:c r="R45" s="82" t="str">
        <x:v>待定</x:v>
      </x:c>
      <x:c r="S45" s="82" t="str">
        <x:v>待定</x:v>
      </x:c>
      <x:c r="T45" s="82" t="str">
        <x:v>低</x:v>
      </x:c>
      <x:c r="U45" s="82" t="str">
        <x:v>待定</x:v>
      </x:c>
      <x:c r="V45" s="82" t="str">
        <x:v>待定</x:v>
      </x:c>
      <x:c r="W45" s="68" t="str">
        <x:v>M02基础映射、M08五行有效旺衰、M12流通卡点已完成</x:v>
      </x:c>
      <x:c r="X45" s="68" t="str">
        <x:v>月令基准与全局有效五行均已核查</x:v>
      </x:c>
      <x:c r="Y45" s="68" t="str">
        <x:v>相关调候五行有根有源、透达且能真实改善关键气候问题</x:v>
      </x:c>
      <x:c r="Z45" s="68" t="str">
        <x:v>调候五行无根、受强制、被合绊、改性或加入后产生新的寒热燥湿问题</x:v>
      </x:c>
      <x:c r="AA45" s="90" t="str">
        <x:v>不得只凭出生月份或某一五行数量直接下最终调候结论</x:v>
      </x:c>
      <x:c r="AB45" s="68" t="str">
        <x:v>特殊格局、核心格局用神或更高优先级病药约束转M16—M18裁决</x:v>
      </x:c>
      <x:c r="AC45" s="84" t="str">
        <x:v>燥湿平衡</x:v>
      </x:c>
      <x:c r="AD45" s="84" t="str">
        <x:v>燥湿平衡必须排除局部湿库或燥土集团：温度轴判“待定”，湿度轴判“平衡”；调候候选为“待定”，是否成为最终用神仍转M16—M18。</x:v>
      </x:c>
      <x:c r="AE45" s="82" t="str">
        <x:v>较高</x:v>
      </x:c>
      <x:c r="AF45" s="82" t="str">
        <x:v>调候</x:v>
      </x:c>
      <x:c r="AG45" s="68" t="str">
        <x:v>调候以月令气候为起点，但必须结合M08五行有效力量与M12流通状态修正；寒暖与燥湿分轴判断，调候候选不自动等于全局主用神。</x:v>
      </x:c>
      <x:c r="AH45" s="68" t="str">
        <x:v>当“全局水火土性相对协调，未出现湿土或燥土成势阻断”真实成立，且调候机制能改善主要气候问题时，可按“燥湿平衡必须排除局部湿库或燥土集团”记录。</x:v>
      </x:c>
      <x:c r="AI45" s="90" t="str">
        <x:v>仅见月份或表面五行标签，但未满足“全局水火土性相对协调，未出现湿土或燥土成势阻断”及必要修正条件时，不得套用“燥湿平衡必须排除局部湿库或燥土集团”。</x:v>
      </x:c>
      <x:c r="AJ45" s="82" t="str">
        <x:v>采用</x:v>
      </x:c>
      <x:c r="AK45" s="82" t="str">
        <x:v>初审</x:v>
      </x:c>
      <x:c r="AL45" s="87" t="n">
        <x:v>46255</x:v>
      </x:c>
    </x:row>
    <x:row r="46">
      <x:c r="A46" s="72" t="str">
        <x:f>IF(OR(C46="",D46=""),"",B46&amp;"-"&amp;UPPER(C46)&amp;"-"&amp;TEXT(D46,"0000")&amp;"-"&amp;E46)</x:f>
        <x:v>M13-HUMID-0040-V1.0</x:v>
      </x:c>
      <x:c r="B46" s="74" t="str">
        <x:v>M13</x:v>
      </x:c>
      <x:c r="C46" s="74" t="str">
        <x:v>HUMID</x:v>
      </x:c>
      <x:c r="D46" s="215" t="n">
        <x:v>40</x:v>
      </x:c>
      <x:c r="E46" s="74" t="str">
        <x:v>V1.0</x:v>
      </x:c>
      <x:c r="F46" s="68" t="str">
        <x:v>极湿极燥只有影响流通时才提高紧急度</x:v>
      </x:c>
      <x:c r="G46" s="82" t="str">
        <x:v>结构层</x:v>
      </x:c>
      <x:c r="H46" s="82" t="str">
        <x:v>燥湿轴</x:v>
      </x:c>
      <x:c r="I46" s="68" t="str">
        <x:v>通用</x:v>
      </x:c>
      <x:c r="J46" s="68" t="str">
        <x:v>极湿或极燥造成M12寒凝、燥枯、桥梁失效或终点不能承载</x:v>
      </x:c>
      <x:c r="K46" s="68" t="str">
        <x:v>待定</x:v>
      </x:c>
      <x:c r="L46" s="68" t="str">
        <x:v>待定</x:v>
      </x:c>
      <x:c r="M46" s="82" t="str">
        <x:v>待定</x:v>
      </x:c>
      <x:c r="N46" s="82" t="str">
        <x:v>待定</x:v>
      </x:c>
      <x:c r="O46" s="68" t="str">
        <x:v>湿度极端已转化为功能障碍</x:v>
      </x:c>
      <x:c r="P46" s="68" t="str">
        <x:v>火/水/木</x:v>
      </x:c>
      <x:c r="Q46" s="68" t="str">
        <x:v>针对性暖湿、润燥或疏湿</x:v>
      </x:c>
      <x:c r="R46" s="82" t="str">
        <x:v>待定</x:v>
      </x:c>
      <x:c r="S46" s="82" t="str">
        <x:v>待定</x:v>
      </x:c>
      <x:c r="T46" s="82" t="str">
        <x:v>首要</x:v>
      </x:c>
      <x:c r="U46" s="82" t="str">
        <x:v>待定</x:v>
      </x:c>
      <x:c r="V46" s="82" t="str">
        <x:v>待定</x:v>
      </x:c>
      <x:c r="W46" s="68" t="str">
        <x:v>M02基础映射、M08五行有效旺衰、M12流通卡点已完成</x:v>
      </x:c>
      <x:c r="X46" s="68" t="str">
        <x:v>月令基准与全局有效五行均已核查</x:v>
      </x:c>
      <x:c r="Y46" s="68" t="str">
        <x:v>相关调候五行有根有源、透达且能真实改善关键气候问题</x:v>
      </x:c>
      <x:c r="Z46" s="68" t="str">
        <x:v>调候五行无根、受强制、被合绊、改性或加入后产生新的寒热燥湿问题</x:v>
      </x:c>
      <x:c r="AA46" s="90" t="str">
        <x:v>不得只凭出生月份或某一五行数量直接下最终调候结论</x:v>
      </x:c>
      <x:c r="AB46" s="68" t="str">
        <x:v>特殊格局、核心格局用神或更高优先级病药约束转M16—M18裁决</x:v>
      </x:c>
      <x:c r="AC46" s="84" t="str">
        <x:v>湿度极端功能化</x:v>
      </x:c>
      <x:c r="AD46" s="84" t="str">
        <x:v>极湿极燥只有影响流通时才提高紧急度：温度轴判“待定”，湿度轴判“待定”；调候候选为“火/水/木”，是否成为最终用神仍转M16—M18。</x:v>
      </x:c>
      <x:c r="AE46" s="82" t="str">
        <x:v>较高</x:v>
      </x:c>
      <x:c r="AF46" s="82" t="str">
        <x:v>调候</x:v>
      </x:c>
      <x:c r="AG46" s="68" t="str">
        <x:v>调候以月令气候为起点，但必须结合M08五行有效力量与M12流通状态修正；寒暖与燥湿分轴判断，调候候选不自动等于全局主用神。</x:v>
      </x:c>
      <x:c r="AH46" s="68" t="str">
        <x:v>当“极湿或极燥造成M12寒凝、燥枯、桥梁失效或终点不能承载”真实成立，且调候机制能改善主要气候问题时，可按“极湿极燥只有影响流通时才提高紧急度”记录。</x:v>
      </x:c>
      <x:c r="AI46" s="90" t="str">
        <x:v>仅见月份或表面五行标签，但未满足“极湿或极燥造成M12寒凝、燥枯、桥梁失效或终点不能承载”及必要修正条件时，不得套用“极湿极燥只有影响流通时才提高紧急度”。</x:v>
      </x:c>
      <x:c r="AJ46" s="82" t="str">
        <x:v>采用</x:v>
      </x:c>
      <x:c r="AK46" s="82" t="str">
        <x:v>初审</x:v>
      </x:c>
      <x:c r="AL46" s="87" t="n">
        <x:v>46255</x:v>
      </x:c>
    </x:row>
    <x:row r="47">
      <x:c r="A47" s="72" t="str">
        <x:f>IF(OR(C47="",D47=""),"",B47&amp;"-"&amp;UPPER(C47)&amp;"-"&amp;TEXT(D47,"0000")&amp;"-"&amp;E47)</x:f>
        <x:v>M13-COMBO-0041-V1.0</x:v>
      </x:c>
      <x:c r="B47" s="74" t="str">
        <x:v>M13</x:v>
      </x:c>
      <x:c r="C47" s="74" t="str">
        <x:v>COMBO</x:v>
      </x:c>
      <x:c r="D47" s="215" t="n">
        <x:v>41</x:v>
      </x:c>
      <x:c r="E47" s="74" t="str">
        <x:v>V1.0</x:v>
      </x:c>
      <x:c r="F47" s="68" t="str">
        <x:v>寒湿状态识别</x:v>
      </x:c>
      <x:c r="G47" s="82" t="str">
        <x:v>结构层</x:v>
      </x:c>
      <x:c r="H47" s="82" t="str">
        <x:v>寒暖燥湿综合</x:v>
      </x:c>
      <x:c r="I47" s="68" t="str">
        <x:v>通用</x:v>
      </x:c>
      <x:c r="J47" s="68" t="str">
        <x:v>温度轴=偏寒且湿度轴=偏湿</x:v>
      </x:c>
      <x:c r="K47" s="68" t="str">
        <x:v>待定</x:v>
      </x:c>
      <x:c r="L47" s="68" t="str">
        <x:v>待定</x:v>
      </x:c>
      <x:c r="M47" s="82" t="str">
        <x:v>偏寒</x:v>
      </x:c>
      <x:c r="N47" s="82" t="str">
        <x:v>偏湿</x:v>
      </x:c>
      <x:c r="O47" s="68" t="str">
        <x:v>寒与湿同时形成主矛盾</x:v>
      </x:c>
      <x:c r="P47" s="68" t="str">
        <x:v>火/木</x:v>
      </x:c>
      <x:c r="Q47" s="68" t="str">
        <x:v>以火暖局化湿，木辅助疏湿生火</x:v>
      </x:c>
      <x:c r="R47" s="82" t="str">
        <x:v>待定</x:v>
      </x:c>
      <x:c r="S47" s="82" t="str">
        <x:v>待定</x:v>
      </x:c>
      <x:c r="T47" s="82" t="str">
        <x:v>中</x:v>
      </x:c>
      <x:c r="U47" s="82" t="str">
        <x:v>待定</x:v>
      </x:c>
      <x:c r="V47" s="82" t="str">
        <x:v>待定</x:v>
      </x:c>
      <x:c r="W47" s="68" t="str">
        <x:v>M02基础映射、M08五行有效旺衰、M12流通卡点已完成</x:v>
      </x:c>
      <x:c r="X47" s="68" t="str">
        <x:v>月令基准与全局有效五行均已核查</x:v>
      </x:c>
      <x:c r="Y47" s="68" t="str">
        <x:v>相关调候五行有根有源、透达且能真实改善关键气候问题</x:v>
      </x:c>
      <x:c r="Z47" s="68" t="str">
        <x:v>调候五行无根、受强制、被合绊、改性或加入后产生新的寒热燥湿问题</x:v>
      </x:c>
      <x:c r="AA47" s="90" t="str">
        <x:v>不得只凭出生月份或某一五行数量直接下最终调候结论</x:v>
      </x:c>
      <x:c r="AB47" s="68" t="str">
        <x:v>特殊格局、核心格局用神或更高优先级病药约束转M16—M18裁决</x:v>
      </x:c>
      <x:c r="AC47" s="84" t="str">
        <x:v>寒湿_双轴状态</x:v>
      </x:c>
      <x:c r="AD47" s="84" t="str">
        <x:v>寒湿状态识别：温度轴判“偏寒”，湿度轴判“偏湿”；调候候选为“火/木”，是否成为最终用神仍转M16—M18。</x:v>
      </x:c>
      <x:c r="AE47" s="82" t="str">
        <x:v>较高</x:v>
      </x:c>
      <x:c r="AF47" s="82" t="str">
        <x:v>调候</x:v>
      </x:c>
      <x:c r="AG47" s="68" t="str">
        <x:v>调候以月令气候为起点，但必须结合M08五行有效力量与M12流通状态修正；寒暖与燥湿分轴判断，调候候选不自动等于全局主用神。</x:v>
      </x:c>
      <x:c r="AH47" s="68" t="str">
        <x:v>当“温度轴=偏寒且湿度轴=偏湿”真实成立，且调候机制能改善主要气候问题时，可按“寒湿状态识别”记录。</x:v>
      </x:c>
      <x:c r="AI47" s="90" t="str">
        <x:v>仅见月份或表面五行标签，但未满足“温度轴=偏寒且湿度轴=偏湿”及必要修正条件时，不得套用“寒湿状态识别”。</x:v>
      </x:c>
      <x:c r="AJ47" s="82" t="str">
        <x:v>采用</x:v>
      </x:c>
      <x:c r="AK47" s="82" t="str">
        <x:v>初审</x:v>
      </x:c>
      <x:c r="AL47" s="87" t="n">
        <x:v>46255</x:v>
      </x:c>
    </x:row>
    <x:row r="48">
      <x:c r="A48" s="72" t="str">
        <x:f>IF(OR(C48="",D48=""),"",B48&amp;"-"&amp;UPPER(C48)&amp;"-"&amp;TEXT(D48,"0000")&amp;"-"&amp;E48)</x:f>
        <x:v>M13-COMBO-0042-V1.0</x:v>
      </x:c>
      <x:c r="B48" s="74" t="str">
        <x:v>M13</x:v>
      </x:c>
      <x:c r="C48" s="74" t="str">
        <x:v>COMBO</x:v>
      </x:c>
      <x:c r="D48" s="215" t="n">
        <x:v>42</x:v>
      </x:c>
      <x:c r="E48" s="74" t="str">
        <x:v>V1.0</x:v>
      </x:c>
      <x:c r="F48" s="68" t="str">
        <x:v>寒燥状态识别</x:v>
      </x:c>
      <x:c r="G48" s="82" t="str">
        <x:v>结构层</x:v>
      </x:c>
      <x:c r="H48" s="82" t="str">
        <x:v>寒暖燥湿综合</x:v>
      </x:c>
      <x:c r="I48" s="68" t="str">
        <x:v>通用</x:v>
      </x:c>
      <x:c r="J48" s="68" t="str">
        <x:v>温度轴=偏寒且湿度轴=偏燥</x:v>
      </x:c>
      <x:c r="K48" s="68" t="str">
        <x:v>待定</x:v>
      </x:c>
      <x:c r="L48" s="68" t="str">
        <x:v>待定</x:v>
      </x:c>
      <x:c r="M48" s="82" t="str">
        <x:v>偏寒</x:v>
      </x:c>
      <x:c r="N48" s="82" t="str">
        <x:v>偏燥</x:v>
      </x:c>
      <x:c r="O48" s="68" t="str">
        <x:v>温度低但水分不足、燥性明显</x:v>
      </x:c>
      <x:c r="P48" s="68" t="str">
        <x:v>火/水</x:v>
      </x:c>
      <x:c r="Q48" s="68" t="str">
        <x:v>暖而兼润，避免单纯加火更燥</x:v>
      </x:c>
      <x:c r="R48" s="82" t="str">
        <x:v>待定</x:v>
      </x:c>
      <x:c r="S48" s="82" t="str">
        <x:v>待定</x:v>
      </x:c>
      <x:c r="T48" s="82" t="str">
        <x:v>中</x:v>
      </x:c>
      <x:c r="U48" s="82" t="str">
        <x:v>待定</x:v>
      </x:c>
      <x:c r="V48" s="82" t="str">
        <x:v>待定</x:v>
      </x:c>
      <x:c r="W48" s="68" t="str">
        <x:v>M02基础映射、M08五行有效旺衰、M12流通卡点已完成</x:v>
      </x:c>
      <x:c r="X48" s="68" t="str">
        <x:v>月令基准与全局有效五行均已核查</x:v>
      </x:c>
      <x:c r="Y48" s="68" t="str">
        <x:v>相关调候五行有根有源、透达且能真实改善关键气候问题</x:v>
      </x:c>
      <x:c r="Z48" s="68" t="str">
        <x:v>调候五行无根、受强制、被合绊、改性或加入后产生新的寒热燥湿问题</x:v>
      </x:c>
      <x:c r="AA48" s="90" t="str">
        <x:v>不得只凭出生月份或某一五行数量直接下最终调候结论</x:v>
      </x:c>
      <x:c r="AB48" s="68" t="str">
        <x:v>特殊格局、核心格局用神或更高优先级病药约束转M16—M18裁决</x:v>
      </x:c>
      <x:c r="AC48" s="84" t="str">
        <x:v>寒燥_双轴状态</x:v>
      </x:c>
      <x:c r="AD48" s="84" t="str">
        <x:v>寒燥状态识别：温度轴判“偏寒”，湿度轴判“偏燥”；调候候选为“火/水”，是否成为最终用神仍转M16—M18。</x:v>
      </x:c>
      <x:c r="AE48" s="82" t="str">
        <x:v>较高</x:v>
      </x:c>
      <x:c r="AF48" s="82" t="str">
        <x:v>调候</x:v>
      </x:c>
      <x:c r="AG48" s="68" t="str">
        <x:v>调候以月令气候为起点，但必须结合M08五行有效力量与M12流通状态修正；寒暖与燥湿分轴判断，调候候选不自动等于全局主用神。</x:v>
      </x:c>
      <x:c r="AH48" s="68" t="str">
        <x:v>当“温度轴=偏寒且湿度轴=偏燥”真实成立，且调候机制能改善主要气候问题时，可按“寒燥状态识别”记录。</x:v>
      </x:c>
      <x:c r="AI48" s="90" t="str">
        <x:v>仅见月份或表面五行标签，但未满足“温度轴=偏寒且湿度轴=偏燥”及必要修正条件时，不得套用“寒燥状态识别”。</x:v>
      </x:c>
      <x:c r="AJ48" s="82" t="str">
        <x:v>采用</x:v>
      </x:c>
      <x:c r="AK48" s="82" t="str">
        <x:v>初审</x:v>
      </x:c>
      <x:c r="AL48" s="87" t="n">
        <x:v>46255</x:v>
      </x:c>
    </x:row>
    <x:row r="49">
      <x:c r="A49" s="72" t="str">
        <x:f>IF(OR(C49="",D49=""),"",B49&amp;"-"&amp;UPPER(C49)&amp;"-"&amp;TEXT(D49,"0000")&amp;"-"&amp;E49)</x:f>
        <x:v>M13-COMBO-0043-V1.0</x:v>
      </x:c>
      <x:c r="B49" s="74" t="str">
        <x:v>M13</x:v>
      </x:c>
      <x:c r="C49" s="74" t="str">
        <x:v>COMBO</x:v>
      </x:c>
      <x:c r="D49" s="215" t="n">
        <x:v>43</x:v>
      </x:c>
      <x:c r="E49" s="74" t="str">
        <x:v>V1.0</x:v>
      </x:c>
      <x:c r="F49" s="68" t="str">
        <x:v>暖湿状态识别</x:v>
      </x:c>
      <x:c r="G49" s="82" t="str">
        <x:v>结构层</x:v>
      </x:c>
      <x:c r="H49" s="82" t="str">
        <x:v>寒暖燥湿综合</x:v>
      </x:c>
      <x:c r="I49" s="68" t="str">
        <x:v>通用</x:v>
      </x:c>
      <x:c r="J49" s="68" t="str">
        <x:v>温度轴=偏暖且湿度轴=偏湿</x:v>
      </x:c>
      <x:c r="K49" s="68" t="str">
        <x:v>待定</x:v>
      </x:c>
      <x:c r="L49" s="68" t="str">
        <x:v>待定</x:v>
      </x:c>
      <x:c r="M49" s="82" t="str">
        <x:v>偏暖</x:v>
      </x:c>
      <x:c r="N49" s="82" t="str">
        <x:v>偏湿</x:v>
      </x:c>
      <x:c r="O49" s="68" t="str">
        <x:v>温度偏高但湿气壅滞</x:v>
      </x:c>
      <x:c r="P49" s="68" t="str">
        <x:v>木/土性调节/适度火</x:v>
      </x:c>
      <x:c r="Q49" s="68" t="str">
        <x:v>疏湿优先，火须防进一步升温</x:v>
      </x:c>
      <x:c r="R49" s="82" t="str">
        <x:v>待定</x:v>
      </x:c>
      <x:c r="S49" s="82" t="str">
        <x:v>待定</x:v>
      </x:c>
      <x:c r="T49" s="82" t="str">
        <x:v>中</x:v>
      </x:c>
      <x:c r="U49" s="82" t="str">
        <x:v>待定</x:v>
      </x:c>
      <x:c r="V49" s="82" t="str">
        <x:v>待定</x:v>
      </x:c>
      <x:c r="W49" s="68" t="str">
        <x:v>M02基础映射、M08五行有效旺衰、M12流通卡点已完成</x:v>
      </x:c>
      <x:c r="X49" s="68" t="str">
        <x:v>月令基准与全局有效五行均已核查</x:v>
      </x:c>
      <x:c r="Y49" s="68" t="str">
        <x:v>相关调候五行有根有源、透达且能真实改善关键气候问题</x:v>
      </x:c>
      <x:c r="Z49" s="68" t="str">
        <x:v>调候五行无根、受强制、被合绊、改性或加入后产生新的寒热燥湿问题</x:v>
      </x:c>
      <x:c r="AA49" s="90" t="str">
        <x:v>不得只凭出生月份或某一五行数量直接下最终调候结论</x:v>
      </x:c>
      <x:c r="AB49" s="68" t="str">
        <x:v>特殊格局、核心格局用神或更高优先级病药约束转M16—M18裁决</x:v>
      </x:c>
      <x:c r="AC49" s="84" t="str">
        <x:v>暖湿_双轴状态</x:v>
      </x:c>
      <x:c r="AD49" s="84" t="str">
        <x:v>暖湿状态识别：温度轴判“偏暖”，湿度轴判“偏湿”；调候候选为“木/土性调节/适度火”，是否成为最终用神仍转M16—M18。</x:v>
      </x:c>
      <x:c r="AE49" s="82" t="str">
        <x:v>较高</x:v>
      </x:c>
      <x:c r="AF49" s="82" t="str">
        <x:v>调候</x:v>
      </x:c>
      <x:c r="AG49" s="68" t="str">
        <x:v>调候以月令气候为起点，但必须结合M08五行有效力量与M12流通状态修正；寒暖与燥湿分轴判断，调候候选不自动等于全局主用神。</x:v>
      </x:c>
      <x:c r="AH49" s="68" t="str">
        <x:v>当“温度轴=偏暖且湿度轴=偏湿”真实成立，且调候机制能改善主要气候问题时，可按“暖湿状态识别”记录。</x:v>
      </x:c>
      <x:c r="AI49" s="90" t="str">
        <x:v>仅见月份或表面五行标签，但未满足“温度轴=偏暖且湿度轴=偏湿”及必要修正条件时，不得套用“暖湿状态识别”。</x:v>
      </x:c>
      <x:c r="AJ49" s="82" t="str">
        <x:v>采用</x:v>
      </x:c>
      <x:c r="AK49" s="82" t="str">
        <x:v>初审</x:v>
      </x:c>
      <x:c r="AL49" s="87" t="n">
        <x:v>46255</x:v>
      </x:c>
    </x:row>
    <x:row r="50">
      <x:c r="A50" s="72" t="str">
        <x:f>IF(OR(C50="",D50=""),"",B50&amp;"-"&amp;UPPER(C50)&amp;"-"&amp;TEXT(D50,"0000")&amp;"-"&amp;E50)</x:f>
        <x:v>M13-COMBO-0044-V1.0</x:v>
      </x:c>
      <x:c r="B50" s="74" t="str">
        <x:v>M13</x:v>
      </x:c>
      <x:c r="C50" s="74" t="str">
        <x:v>COMBO</x:v>
      </x:c>
      <x:c r="D50" s="215" t="n">
        <x:v>44</x:v>
      </x:c>
      <x:c r="E50" s="74" t="str">
        <x:v>V1.0</x:v>
      </x:c>
      <x:c r="F50" s="68" t="str">
        <x:v>暖燥状态识别</x:v>
      </x:c>
      <x:c r="G50" s="82" t="str">
        <x:v>结构层</x:v>
      </x:c>
      <x:c r="H50" s="82" t="str">
        <x:v>寒暖燥湿综合</x:v>
      </x:c>
      <x:c r="I50" s="68" t="str">
        <x:v>通用</x:v>
      </x:c>
      <x:c r="J50" s="68" t="str">
        <x:v>温度轴=偏暖且湿度轴=偏燥</x:v>
      </x:c>
      <x:c r="K50" s="68" t="str">
        <x:v>待定</x:v>
      </x:c>
      <x:c r="L50" s="68" t="str">
        <x:v>待定</x:v>
      </x:c>
      <x:c r="M50" s="82" t="str">
        <x:v>偏暖</x:v>
      </x:c>
      <x:c r="N50" s="82" t="str">
        <x:v>偏燥</x:v>
      </x:c>
      <x:c r="O50" s="68" t="str">
        <x:v>热与燥叠加</x:v>
      </x:c>
      <x:c r="P50" s="68" t="str">
        <x:v>水</x:v>
      </x:c>
      <x:c r="Q50" s="68" t="str">
        <x:v>降温润燥</x:v>
      </x:c>
      <x:c r="R50" s="82" t="str">
        <x:v>待定</x:v>
      </x:c>
      <x:c r="S50" s="82" t="str">
        <x:v>待定</x:v>
      </x:c>
      <x:c r="T50" s="82" t="str">
        <x:v>中</x:v>
      </x:c>
      <x:c r="U50" s="82" t="str">
        <x:v>待定</x:v>
      </x:c>
      <x:c r="V50" s="82" t="str">
        <x:v>待定</x:v>
      </x:c>
      <x:c r="W50" s="68" t="str">
        <x:v>M02基础映射、M08五行有效旺衰、M12流通卡点已完成</x:v>
      </x:c>
      <x:c r="X50" s="68" t="str">
        <x:v>月令基准与全局有效五行均已核查</x:v>
      </x:c>
      <x:c r="Y50" s="68" t="str">
        <x:v>相关调候五行有根有源、透达且能真实改善关键气候问题</x:v>
      </x:c>
      <x:c r="Z50" s="68" t="str">
        <x:v>调候五行无根、受强制、被合绊、改性或加入后产生新的寒热燥湿问题</x:v>
      </x:c>
      <x:c r="AA50" s="90" t="str">
        <x:v>不得只凭出生月份或某一五行数量直接下最终调候结论</x:v>
      </x:c>
      <x:c r="AB50" s="68" t="str">
        <x:v>特殊格局、核心格局用神或更高优先级病药约束转M16—M18裁决</x:v>
      </x:c>
      <x:c r="AC50" s="84" t="str">
        <x:v>暖燥_双轴状态</x:v>
      </x:c>
      <x:c r="AD50" s="84" t="str">
        <x:v>暖燥状态识别：温度轴判“偏暖”，湿度轴判“偏燥”；调候候选为“水”，是否成为最终用神仍转M16—M18。</x:v>
      </x:c>
      <x:c r="AE50" s="82" t="str">
        <x:v>较高</x:v>
      </x:c>
      <x:c r="AF50" s="82" t="str">
        <x:v>调候</x:v>
      </x:c>
      <x:c r="AG50" s="68" t="str">
        <x:v>调候以月令气候为起点，但必须结合M08五行有效力量与M12流通状态修正；寒暖与燥湿分轴判断，调候候选不自动等于全局主用神。</x:v>
      </x:c>
      <x:c r="AH50" s="68" t="str">
        <x:v>当“温度轴=偏暖且湿度轴=偏燥”真实成立，且调候机制能改善主要气候问题时，可按“暖燥状态识别”记录。</x:v>
      </x:c>
      <x:c r="AI50" s="90" t="str">
        <x:v>仅见月份或表面五行标签，但未满足“温度轴=偏暖且湿度轴=偏燥”及必要修正条件时，不得套用“暖燥状态识别”。</x:v>
      </x:c>
      <x:c r="AJ50" s="82" t="str">
        <x:v>采用</x:v>
      </x:c>
      <x:c r="AK50" s="82" t="str">
        <x:v>初审</x:v>
      </x:c>
      <x:c r="AL50" s="87" t="n">
        <x:v>46255</x:v>
      </x:c>
    </x:row>
    <x:row r="51">
      <x:c r="A51" s="72" t="str">
        <x:f>IF(OR(C51="",D51=""),"",B51&amp;"-"&amp;UPPER(C51)&amp;"-"&amp;TEXT(D51,"0000")&amp;"-"&amp;E51)</x:f>
        <x:v>M13-COMBO-0045-V1.0</x:v>
      </x:c>
      <x:c r="B51" s="74" t="str">
        <x:v>M13</x:v>
      </x:c>
      <x:c r="C51" s="74" t="str">
        <x:v>COMBO</x:v>
      </x:c>
      <x:c r="D51" s="215" t="n">
        <x:v>45</x:v>
      </x:c>
      <x:c r="E51" s="74" t="str">
        <x:v>V1.0</x:v>
      </x:c>
      <x:c r="F51" s="68" t="str">
        <x:v>极寒湿状态识别</x:v>
      </x:c>
      <x:c r="G51" s="82" t="str">
        <x:v>结构层</x:v>
      </x:c>
      <x:c r="H51" s="82" t="str">
        <x:v>寒暖燥湿综合</x:v>
      </x:c>
      <x:c r="I51" s="68" t="str">
        <x:v>通用</x:v>
      </x:c>
      <x:c r="J51" s="68" t="str">
        <x:v>温度轴=极寒且湿度轴=极湿</x:v>
      </x:c>
      <x:c r="K51" s="68" t="str">
        <x:v>待定</x:v>
      </x:c>
      <x:c r="L51" s="68" t="str">
        <x:v>待定</x:v>
      </x:c>
      <x:c r="M51" s="82" t="str">
        <x:v>极寒</x:v>
      </x:c>
      <x:c r="N51" s="82" t="str">
        <x:v>极湿</x:v>
      </x:c>
      <x:c r="O51" s="68" t="str">
        <x:v>寒湿已明显阻断木火和整体生化</x:v>
      </x:c>
      <x:c r="P51" s="68" t="str">
        <x:v>火</x:v>
      </x:c>
      <x:c r="Q51" s="68" t="str">
        <x:v>优先暖局，必要时木辅助引火疏湿</x:v>
      </x:c>
      <x:c r="R51" s="82" t="str">
        <x:v>待定</x:v>
      </x:c>
      <x:c r="S51" s="82" t="str">
        <x:v>待定</x:v>
      </x:c>
      <x:c r="T51" s="82" t="str">
        <x:v>高</x:v>
      </x:c>
      <x:c r="U51" s="82" t="str">
        <x:v>待定</x:v>
      </x:c>
      <x:c r="V51" s="82" t="str">
        <x:v>待定</x:v>
      </x:c>
      <x:c r="W51" s="68" t="str">
        <x:v>M02基础映射、M08五行有效旺衰、M12流通卡点已完成</x:v>
      </x:c>
      <x:c r="X51" s="68" t="str">
        <x:v>月令基准与全局有效五行均已核查</x:v>
      </x:c>
      <x:c r="Y51" s="68" t="str">
        <x:v>相关调候五行有根有源、透达且能真实改善关键气候问题</x:v>
      </x:c>
      <x:c r="Z51" s="68" t="str">
        <x:v>调候五行无根、受强制、被合绊、改性或加入后产生新的寒热燥湿问题</x:v>
      </x:c>
      <x:c r="AA51" s="90" t="str">
        <x:v>不得只凭出生月份或某一五行数量直接下最终调候结论</x:v>
      </x:c>
      <x:c r="AB51" s="68" t="str">
        <x:v>特殊格局、核心格局用神或更高优先级病药约束转M16—M18裁决</x:v>
      </x:c>
      <x:c r="AC51" s="84" t="str">
        <x:v>极寒湿_双轴状态</x:v>
      </x:c>
      <x:c r="AD51" s="84" t="str">
        <x:v>极寒湿状态识别：温度轴判“极寒”，湿度轴判“极湿”；调候候选为“火”，是否成为最终用神仍转M16—M18。</x:v>
      </x:c>
      <x:c r="AE51" s="82" t="str">
        <x:v>较高</x:v>
      </x:c>
      <x:c r="AF51" s="82" t="str">
        <x:v>调候</x:v>
      </x:c>
      <x:c r="AG51" s="68" t="str">
        <x:v>调候以月令气候为起点，但必须结合M08五行有效力量与M12流通状态修正；寒暖与燥湿分轴判断，调候候选不自动等于全局主用神。</x:v>
      </x:c>
      <x:c r="AH51" s="68" t="str">
        <x:v>当“温度轴=极寒且湿度轴=极湿”真实成立，且调候机制能改善主要气候问题时，可按“极寒湿状态识别”记录。</x:v>
      </x:c>
      <x:c r="AI51" s="90" t="str">
        <x:v>仅见月份或表面五行标签，但未满足“温度轴=极寒且湿度轴=极湿”及必要修正条件时，不得套用“极寒湿状态识别”。</x:v>
      </x:c>
      <x:c r="AJ51" s="82" t="str">
        <x:v>采用</x:v>
      </x:c>
      <x:c r="AK51" s="82" t="str">
        <x:v>初审</x:v>
      </x:c>
      <x:c r="AL51" s="87" t="n">
        <x:v>46255</x:v>
      </x:c>
    </x:row>
    <x:row r="52">
      <x:c r="A52" s="72" t="str">
        <x:f>IF(OR(C52="",D52=""),"",B52&amp;"-"&amp;UPPER(C52)&amp;"-"&amp;TEXT(D52,"0000")&amp;"-"&amp;E52)</x:f>
        <x:v>M13-COMBO-0046-V1.0</x:v>
      </x:c>
      <x:c r="B52" s="74" t="str">
        <x:v>M13</x:v>
      </x:c>
      <x:c r="C52" s="74" t="str">
        <x:v>COMBO</x:v>
      </x:c>
      <x:c r="D52" s="215" t="n">
        <x:v>46</x:v>
      </x:c>
      <x:c r="E52" s="74" t="str">
        <x:v>V1.0</x:v>
      </x:c>
      <x:c r="F52" s="68" t="str">
        <x:v>极热燥状态识别</x:v>
      </x:c>
      <x:c r="G52" s="82" t="str">
        <x:v>结构层</x:v>
      </x:c>
      <x:c r="H52" s="82" t="str">
        <x:v>寒暖燥湿综合</x:v>
      </x:c>
      <x:c r="I52" s="68" t="str">
        <x:v>通用</x:v>
      </x:c>
      <x:c r="J52" s="68" t="str">
        <x:v>温度轴=极热且湿度轴=极燥</x:v>
      </x:c>
      <x:c r="K52" s="68" t="str">
        <x:v>待定</x:v>
      </x:c>
      <x:c r="L52" s="68" t="str">
        <x:v>待定</x:v>
      </x:c>
      <x:c r="M52" s="82" t="str">
        <x:v>极热</x:v>
      </x:c>
      <x:c r="N52" s="82" t="str">
        <x:v>极燥</x:v>
      </x:c>
      <x:c r="O52" s="68" t="str">
        <x:v>热燥已造成水木失养与生化枯竭</x:v>
      </x:c>
      <x:c r="P52" s="68" t="str">
        <x:v>水</x:v>
      </x:c>
      <x:c r="Q52" s="68" t="str">
        <x:v>优先降温润燥</x:v>
      </x:c>
      <x:c r="R52" s="82" t="str">
        <x:v>待定</x:v>
      </x:c>
      <x:c r="S52" s="82" t="str">
        <x:v>待定</x:v>
      </x:c>
      <x:c r="T52" s="82" t="str">
        <x:v>高</x:v>
      </x:c>
      <x:c r="U52" s="82" t="str">
        <x:v>待定</x:v>
      </x:c>
      <x:c r="V52" s="82" t="str">
        <x:v>待定</x:v>
      </x:c>
      <x:c r="W52" s="68" t="str">
        <x:v>M02基础映射、M08五行有效旺衰、M12流通卡点已完成</x:v>
      </x:c>
      <x:c r="X52" s="68" t="str">
        <x:v>月令基准与全局有效五行均已核查</x:v>
      </x:c>
      <x:c r="Y52" s="68" t="str">
        <x:v>相关调候五行有根有源、透达且能真实改善关键气候问题</x:v>
      </x:c>
      <x:c r="Z52" s="68" t="str">
        <x:v>调候五行无根、受强制、被合绊、改性或加入后产生新的寒热燥湿问题</x:v>
      </x:c>
      <x:c r="AA52" s="90" t="str">
        <x:v>不得只凭出生月份或某一五行数量直接下最终调候结论</x:v>
      </x:c>
      <x:c r="AB52" s="68" t="str">
        <x:v>特殊格局、核心格局用神或更高优先级病药约束转M16—M18裁决</x:v>
      </x:c>
      <x:c r="AC52" s="84" t="str">
        <x:v>极热燥_双轴状态</x:v>
      </x:c>
      <x:c r="AD52" s="84" t="str">
        <x:v>极热燥状态识别：温度轴判“极热”，湿度轴判“极燥”；调候候选为“水”，是否成为最终用神仍转M16—M18。</x:v>
      </x:c>
      <x:c r="AE52" s="82" t="str">
        <x:v>较高</x:v>
      </x:c>
      <x:c r="AF52" s="82" t="str">
        <x:v>调候</x:v>
      </x:c>
      <x:c r="AG52" s="68" t="str">
        <x:v>调候以月令气候为起点，但必须结合M08五行有效力量与M12流通状态修正；寒暖与燥湿分轴判断，调候候选不自动等于全局主用神。</x:v>
      </x:c>
      <x:c r="AH52" s="68" t="str">
        <x:v>当“温度轴=极热且湿度轴=极燥”真实成立，且调候机制能改善主要气候问题时，可按“极热燥状态识别”记录。</x:v>
      </x:c>
      <x:c r="AI52" s="90" t="str">
        <x:v>仅见月份或表面五行标签，但未满足“温度轴=极热且湿度轴=极燥”及必要修正条件时，不得套用“极热燥状态识别”。</x:v>
      </x:c>
      <x:c r="AJ52" s="82" t="str">
        <x:v>采用</x:v>
      </x:c>
      <x:c r="AK52" s="82" t="str">
        <x:v>初审</x:v>
      </x:c>
      <x:c r="AL52" s="87" t="n">
        <x:v>46255</x:v>
      </x:c>
    </x:row>
    <x:row r="53">
      <x:c r="A53" s="72" t="str">
        <x:f>IF(OR(C53="",D53=""),"",B53&amp;"-"&amp;UPPER(C53)&amp;"-"&amp;TEXT(D53,"0000")&amp;"-"&amp;E53)</x:f>
        <x:v>M13-COMBO-0047-V1.0</x:v>
      </x:c>
      <x:c r="B53" s="74" t="str">
        <x:v>M13</x:v>
      </x:c>
      <x:c r="C53" s="74" t="str">
        <x:v>COMBO</x:v>
      </x:c>
      <x:c r="D53" s="215" t="n">
        <x:v>47</x:v>
      </x:c>
      <x:c r="E53" s="74" t="str">
        <x:v>V1.0</x:v>
      </x:c>
      <x:c r="F53" s="68" t="str">
        <x:v>寒暖平衡偏湿状态识别</x:v>
      </x:c>
      <x:c r="G53" s="82" t="str">
        <x:v>结构层</x:v>
      </x:c>
      <x:c r="H53" s="82" t="str">
        <x:v>寒暖燥湿综合</x:v>
      </x:c>
      <x:c r="I53" s="68" t="str">
        <x:v>通用</x:v>
      </x:c>
      <x:c r="J53" s="68" t="str">
        <x:v>温度轴=平衡且湿度轴=偏湿</x:v>
      </x:c>
      <x:c r="K53" s="68" t="str">
        <x:v>待定</x:v>
      </x:c>
      <x:c r="L53" s="68" t="str">
        <x:v>待定</x:v>
      </x:c>
      <x:c r="M53" s="82" t="str">
        <x:v>平衡</x:v>
      </x:c>
      <x:c r="N53" s="82" t="str">
        <x:v>偏湿</x:v>
      </x:c>
      <x:c r="O53" s="68" t="str">
        <x:v>温度适中但湿度问题独立存在</x:v>
      </x:c>
      <x:c r="P53" s="68" t="str">
        <x:v>木/火</x:v>
      </x:c>
      <x:c r="Q53" s="68" t="str">
        <x:v>针对湿度而非继续调温</x:v>
      </x:c>
      <x:c r="R53" s="82" t="str">
        <x:v>待定</x:v>
      </x:c>
      <x:c r="S53" s="82" t="str">
        <x:v>待定</x:v>
      </x:c>
      <x:c r="T53" s="82" t="str">
        <x:v>中</x:v>
      </x:c>
      <x:c r="U53" s="82" t="str">
        <x:v>待定</x:v>
      </x:c>
      <x:c r="V53" s="82" t="str">
        <x:v>待定</x:v>
      </x:c>
      <x:c r="W53" s="68" t="str">
        <x:v>M02基础映射、M08五行有效旺衰、M12流通卡点已完成</x:v>
      </x:c>
      <x:c r="X53" s="68" t="str">
        <x:v>月令基准与全局有效五行均已核查</x:v>
      </x:c>
      <x:c r="Y53" s="68" t="str">
        <x:v>相关调候五行有根有源、透达且能真实改善关键气候问题</x:v>
      </x:c>
      <x:c r="Z53" s="68" t="str">
        <x:v>调候五行无根、受强制、被合绊、改性或加入后产生新的寒热燥湿问题</x:v>
      </x:c>
      <x:c r="AA53" s="90" t="str">
        <x:v>不得只凭出生月份或某一五行数量直接下最终调候结论</x:v>
      </x:c>
      <x:c r="AB53" s="68" t="str">
        <x:v>特殊格局、核心格局用神或更高优先级病药约束转M16—M18裁决</x:v>
      </x:c>
      <x:c r="AC53" s="84" t="str">
        <x:v>寒暖平衡偏湿_双轴状态</x:v>
      </x:c>
      <x:c r="AD53" s="84" t="str">
        <x:v>寒暖平衡偏湿状态识别：温度轴判“平衡”，湿度轴判“偏湿”；调候候选为“木/火”，是否成为最终用神仍转M16—M18。</x:v>
      </x:c>
      <x:c r="AE53" s="82" t="str">
        <x:v>较高</x:v>
      </x:c>
      <x:c r="AF53" s="82" t="str">
        <x:v>调候</x:v>
      </x:c>
      <x:c r="AG53" s="68" t="str">
        <x:v>调候以月令气候为起点，但必须结合M08五行有效力量与M12流通状态修正；寒暖与燥湿分轴判断，调候候选不自动等于全局主用神。</x:v>
      </x:c>
      <x:c r="AH53" s="68" t="str">
        <x:v>当“温度轴=平衡且湿度轴=偏湿”真实成立，且调候机制能改善主要气候问题时，可按“寒暖平衡偏湿状态识别”记录。</x:v>
      </x:c>
      <x:c r="AI53" s="90" t="str">
        <x:v>仅见月份或表面五行标签，但未满足“温度轴=平衡且湿度轴=偏湿”及必要修正条件时，不得套用“寒暖平衡偏湿状态识别”。</x:v>
      </x:c>
      <x:c r="AJ53" s="82" t="str">
        <x:v>采用</x:v>
      </x:c>
      <x:c r="AK53" s="82" t="str">
        <x:v>初审</x:v>
      </x:c>
      <x:c r="AL53" s="87" t="n">
        <x:v>46255</x:v>
      </x:c>
    </x:row>
    <x:row r="54">
      <x:c r="A54" s="72" t="str">
        <x:f>IF(OR(C54="",D54=""),"",B54&amp;"-"&amp;UPPER(C54)&amp;"-"&amp;TEXT(D54,"0000")&amp;"-"&amp;E54)</x:f>
        <x:v>M13-COMBO-0048-V1.0</x:v>
      </x:c>
      <x:c r="B54" s="74" t="str">
        <x:v>M13</x:v>
      </x:c>
      <x:c r="C54" s="74" t="str">
        <x:v>COMBO</x:v>
      </x:c>
      <x:c r="D54" s="215" t="n">
        <x:v>48</x:v>
      </x:c>
      <x:c r="E54" s="74" t="str">
        <x:v>V1.0</x:v>
      </x:c>
      <x:c r="F54" s="68" t="str">
        <x:v>寒暖平衡偏燥状态识别</x:v>
      </x:c>
      <x:c r="G54" s="82" t="str">
        <x:v>结构层</x:v>
      </x:c>
      <x:c r="H54" s="82" t="str">
        <x:v>寒暖燥湿综合</x:v>
      </x:c>
      <x:c r="I54" s="68" t="str">
        <x:v>通用</x:v>
      </x:c>
      <x:c r="J54" s="68" t="str">
        <x:v>温度轴=平衡且湿度轴=偏燥</x:v>
      </x:c>
      <x:c r="K54" s="68" t="str">
        <x:v>待定</x:v>
      </x:c>
      <x:c r="L54" s="68" t="str">
        <x:v>待定</x:v>
      </x:c>
      <x:c r="M54" s="82" t="str">
        <x:v>平衡</x:v>
      </x:c>
      <x:c r="N54" s="82" t="str">
        <x:v>偏燥</x:v>
      </x:c>
      <x:c r="O54" s="68" t="str">
        <x:v>温度适中但燥性独立存在</x:v>
      </x:c>
      <x:c r="P54" s="68" t="str">
        <x:v>水</x:v>
      </x:c>
      <x:c r="Q54" s="68" t="str">
        <x:v>只解决润燥，不额外改变温度过多</x:v>
      </x:c>
      <x:c r="R54" s="82" t="str">
        <x:v>待定</x:v>
      </x:c>
      <x:c r="S54" s="82" t="str">
        <x:v>待定</x:v>
      </x:c>
      <x:c r="T54" s="82" t="str">
        <x:v>中</x:v>
      </x:c>
      <x:c r="U54" s="82" t="str">
        <x:v>待定</x:v>
      </x:c>
      <x:c r="V54" s="82" t="str">
        <x:v>待定</x:v>
      </x:c>
      <x:c r="W54" s="68" t="str">
        <x:v>M02基础映射、M08五行有效旺衰、M12流通卡点已完成</x:v>
      </x:c>
      <x:c r="X54" s="68" t="str">
        <x:v>月令基准与全局有效五行均已核查</x:v>
      </x:c>
      <x:c r="Y54" s="68" t="str">
        <x:v>相关调候五行有根有源、透达且能真实改善关键气候问题</x:v>
      </x:c>
      <x:c r="Z54" s="68" t="str">
        <x:v>调候五行无根、受强制、被合绊、改性或加入后产生新的寒热燥湿问题</x:v>
      </x:c>
      <x:c r="AA54" s="90" t="str">
        <x:v>不得只凭出生月份或某一五行数量直接下最终调候结论</x:v>
      </x:c>
      <x:c r="AB54" s="68" t="str">
        <x:v>特殊格局、核心格局用神或更高优先级病药约束转M16—M18裁决</x:v>
      </x:c>
      <x:c r="AC54" s="84" t="str">
        <x:v>寒暖平衡偏燥_双轴状态</x:v>
      </x:c>
      <x:c r="AD54" s="84" t="str">
        <x:v>寒暖平衡偏燥状态识别：温度轴判“平衡”，湿度轴判“偏燥”；调候候选为“水”，是否成为最终用神仍转M16—M18。</x:v>
      </x:c>
      <x:c r="AE54" s="82" t="str">
        <x:v>较高</x:v>
      </x:c>
      <x:c r="AF54" s="82" t="str">
        <x:v>调候</x:v>
      </x:c>
      <x:c r="AG54" s="68" t="str">
        <x:v>调候以月令气候为起点，但必须结合M08五行有效力量与M12流通状态修正；寒暖与燥湿分轴判断，调候候选不自动等于全局主用神。</x:v>
      </x:c>
      <x:c r="AH54" s="68" t="str">
        <x:v>当“温度轴=平衡且湿度轴=偏燥”真实成立，且调候机制能改善主要气候问题时，可按“寒暖平衡偏燥状态识别”记录。</x:v>
      </x:c>
      <x:c r="AI54" s="90" t="str">
        <x:v>仅见月份或表面五行标签，但未满足“温度轴=平衡且湿度轴=偏燥”及必要修正条件时，不得套用“寒暖平衡偏燥状态识别”。</x:v>
      </x:c>
      <x:c r="AJ54" s="82" t="str">
        <x:v>采用</x:v>
      </x:c>
      <x:c r="AK54" s="82" t="str">
        <x:v>初审</x:v>
      </x:c>
      <x:c r="AL54" s="87" t="n">
        <x:v>46255</x:v>
      </x:c>
    </x:row>
    <x:row r="55">
      <x:c r="A55" s="72" t="str">
        <x:f>IF(OR(C55="",D55=""),"",B55&amp;"-"&amp;UPPER(C55)&amp;"-"&amp;TEXT(D55,"0000")&amp;"-"&amp;E55)</x:f>
        <x:v>M13-EFFECT-0049-V1.0</x:v>
      </x:c>
      <x:c r="B55" s="74" t="str">
        <x:v>M13</x:v>
      </x:c>
      <x:c r="C55" s="74" t="str">
        <x:v>EFFECT</x:v>
      </x:c>
      <x:c r="D55" s="215" t="n">
        <x:v>49</x:v>
      </x:c>
      <x:c r="E55" s="74" t="str">
        <x:v>V1.0</x:v>
      </x:c>
      <x:c r="F55" s="68" t="str">
        <x:v>调候五行完全不现只表示原局无现成调候资源</x:v>
      </x:c>
      <x:c r="G55" s="82" t="str">
        <x:v>结构层</x:v>
      </x:c>
      <x:c r="H55" s="82" t="str">
        <x:v>寒暖燥湿综合</x:v>
      </x:c>
      <x:c r="I55" s="68" t="str">
        <x:v>通用</x:v>
      </x:c>
      <x:c r="J55" s="68" t="str">
        <x:v>主要气候问题已成立，但候选调候五行四柱明藏均不现</x:v>
      </x:c>
      <x:c r="K55" s="68" t="str">
        <x:v>待定</x:v>
      </x:c>
      <x:c r="L55" s="68" t="str">
        <x:v>待定</x:v>
      </x:c>
      <x:c r="M55" s="82" t="str">
        <x:v>待定</x:v>
      </x:c>
      <x:c r="N55" s="82" t="str">
        <x:v>待定</x:v>
      </x:c>
      <x:c r="O55" s="68" t="str">
        <x:v>调候资源缺失</x:v>
      </x:c>
      <x:c r="P55" s="68" t="str">
        <x:v>对应调候五行</x:v>
      </x:c>
      <x:c r="Q55" s="68" t="str">
        <x:v>记录缺失而非直接判喜神</x:v>
      </x:c>
      <x:c r="R55" s="82" t="str">
        <x:v>否</x:v>
      </x:c>
      <x:c r="S55" s="82" t="str">
        <x:v>失效</x:v>
      </x:c>
      <x:c r="T55" s="82" t="str">
        <x:v>待定</x:v>
      </x:c>
      <x:c r="U55" s="82" t="str">
        <x:v>待定</x:v>
      </x:c>
      <x:c r="V55" s="82" t="str">
        <x:v>待定</x:v>
      </x:c>
      <x:c r="W55" s="68" t="str">
        <x:v>M02基础映射、M08五行有效旺衰、M12流通卡点已完成</x:v>
      </x:c>
      <x:c r="X55" s="68" t="str">
        <x:v>月令基准与全局有效五行均已核查</x:v>
      </x:c>
      <x:c r="Y55" s="68" t="str">
        <x:v>相关调候五行有根有源、透达且能真实改善关键气候问题</x:v>
      </x:c>
      <x:c r="Z55" s="68" t="str">
        <x:v>调候五行无根、受强制、被合绊、改性或加入后产生新的寒热燥湿问题</x:v>
      </x:c>
      <x:c r="AA55" s="90" t="str">
        <x:v>不得只凭出生月份或某一五行数量直接下最终调候结论</x:v>
      </x:c>
      <x:c r="AB55" s="68" t="str">
        <x:v>特殊格局、核心格局用神或更高优先级病药约束转M16—M18裁决</x:v>
      </x:c>
      <x:c r="AC55" s="84" t="str">
        <x:v>调候五行不现</x:v>
      </x:c>
      <x:c r="AD55" s="84" t="str">
        <x:v>调候五行完全不现只表示原局无现成调候资源：温度轴判“待定”，湿度轴判“待定”；调候候选为“对应调候五行”，是否成为最终用神仍转M16—M18。</x:v>
      </x:c>
      <x:c r="AE55" s="82" t="str">
        <x:v>较高</x:v>
      </x:c>
      <x:c r="AF55" s="82" t="str">
        <x:v>调候</x:v>
      </x:c>
      <x:c r="AG55" s="68" t="str">
        <x:v>调候以月令气候为起点，但必须结合M08五行有效力量与M12流通状态修正；寒暖与燥湿分轴判断，调候候选不自动等于全局主用神。</x:v>
      </x:c>
      <x:c r="AH55" s="68" t="str">
        <x:v>当“主要气候问题已成立，但候选调候五行四柱明藏均不现”真实成立，且调候机制能改善主要气候问题时，可按“调候五行完全不现只表示原局无现成调候资源”记录。</x:v>
      </x:c>
      <x:c r="AI55" s="90" t="str">
        <x:v>仅见月份或表面五行标签，但未满足“主要气候问题已成立，但候选调候五行四柱明藏均不现”及必要修正条件时，不得套用“调候五行完全不现只表示原局无现成调候资源”。</x:v>
      </x:c>
      <x:c r="AJ55" s="82" t="str">
        <x:v>采用</x:v>
      </x:c>
      <x:c r="AK55" s="82" t="str">
        <x:v>初审</x:v>
      </x:c>
      <x:c r="AL55" s="87" t="n">
        <x:v>46255</x:v>
      </x:c>
    </x:row>
    <x:row r="56">
      <x:c r="A56" s="72" t="str">
        <x:f>IF(OR(C56="",D56=""),"",B56&amp;"-"&amp;UPPER(C56)&amp;"-"&amp;TEXT(D56,"0000")&amp;"-"&amp;E56)</x:f>
        <x:v>M13-EFFECT-0050-V1.0</x:v>
      </x:c>
      <x:c r="B56" s="74" t="str">
        <x:v>M13</x:v>
      </x:c>
      <x:c r="C56" s="74" t="str">
        <x:v>EFFECT</x:v>
      </x:c>
      <x:c r="D56" s="215" t="n">
        <x:v>50</x:v>
      </x:c>
      <x:c r="E56" s="74" t="str">
        <x:v>V1.0</x:v>
      </x:c>
      <x:c r="F56" s="68" t="str">
        <x:v>调候五行存在但无根时有效性偏低</x:v>
      </x:c>
      <x:c r="G56" s="82" t="str">
        <x:v>结构层</x:v>
      </x:c>
      <x:c r="H56" s="82" t="str">
        <x:v>寒暖燥湿综合</x:v>
      </x:c>
      <x:c r="I56" s="68" t="str">
        <x:v>通用</x:v>
      </x:c>
      <x:c r="J56" s="68" t="str">
        <x:v>候选调候五行透干或藏支，但M08判无根无源</x:v>
      </x:c>
      <x:c r="K56" s="68" t="str">
        <x:v>待定</x:v>
      </x:c>
      <x:c r="L56" s="68" t="str">
        <x:v>待定</x:v>
      </x:c>
      <x:c r="M56" s="82" t="str">
        <x:v>待定</x:v>
      </x:c>
      <x:c r="N56" s="82" t="str">
        <x:v>待定</x:v>
      </x:c>
      <x:c r="O56" s="68" t="str">
        <x:v>有名义调候资源但持续性不足</x:v>
      </x:c>
      <x:c r="P56" s="68" t="str">
        <x:v>对应调候五行</x:v>
      </x:c>
      <x:c r="Q56" s="68" t="str">
        <x:v>调候能力有限</x:v>
      </x:c>
      <x:c r="R56" s="82" t="str">
        <x:v>是</x:v>
      </x:c>
      <x:c r="S56" s="82" t="str">
        <x:v>受限</x:v>
      </x:c>
      <x:c r="T56" s="82" t="str">
        <x:v>待定</x:v>
      </x:c>
      <x:c r="U56" s="82" t="str">
        <x:v>待定</x:v>
      </x:c>
      <x:c r="V56" s="82" t="str">
        <x:v>待定</x:v>
      </x:c>
      <x:c r="W56" s="68" t="str">
        <x:v>M02基础映射、M08五行有效旺衰、M12流通卡点已完成</x:v>
      </x:c>
      <x:c r="X56" s="68" t="str">
        <x:v>月令基准与全局有效五行均已核查</x:v>
      </x:c>
      <x:c r="Y56" s="68" t="str">
        <x:v>相关调候五行有根有源、透达且能真实改善关键气候问题</x:v>
      </x:c>
      <x:c r="Z56" s="68" t="str">
        <x:v>调候五行无根、受强制、被合绊、改性或加入后产生新的寒热燥湿问题</x:v>
      </x:c>
      <x:c r="AA56" s="90" t="str">
        <x:v>不得只凭出生月份或某一五行数量直接下最终调候结论</x:v>
      </x:c>
      <x:c r="AB56" s="68" t="str">
        <x:v>特殊格局、核心格局用神或更高优先级病药约束转M16—M18裁决</x:v>
      </x:c>
      <x:c r="AC56" s="84" t="str">
        <x:v>调候五行无根</x:v>
      </x:c>
      <x:c r="AD56" s="84" t="str">
        <x:v>调候五行存在但无根时有效性偏低：温度轴判“待定”，湿度轴判“待定”；调候候选为“对应调候五行”，是否成为最终用神仍转M16—M18。</x:v>
      </x:c>
      <x:c r="AE56" s="82" t="str">
        <x:v>较高</x:v>
      </x:c>
      <x:c r="AF56" s="82" t="str">
        <x:v>调候</x:v>
      </x:c>
      <x:c r="AG56" s="68" t="str">
        <x:v>调候以月令气候为起点，但必须结合M08五行有效力量与M12流通状态修正；寒暖与燥湿分轴判断，调候候选不自动等于全局主用神。</x:v>
      </x:c>
      <x:c r="AH56" s="68" t="str">
        <x:v>当“候选调候五行透干或藏支，但M08判无根无源”真实成立，且调候机制能改善主要气候问题时，可按“调候五行存在但无根时有效性偏低”记录。</x:v>
      </x:c>
      <x:c r="AI56" s="90" t="str">
        <x:v>仅见月份或表面五行标签，但未满足“候选调候五行透干或藏支，但M08判无根无源”及必要修正条件时，不得套用“调候五行存在但无根时有效性偏低”。</x:v>
      </x:c>
      <x:c r="AJ56" s="82" t="str">
        <x:v>采用</x:v>
      </x:c>
      <x:c r="AK56" s="82" t="str">
        <x:v>初审</x:v>
      </x:c>
      <x:c r="AL56" s="87" t="n">
        <x:v>46255</x:v>
      </x:c>
    </x:row>
    <x:row r="57">
      <x:c r="A57" s="72" t="str">
        <x:f>IF(OR(C57="",D57=""),"",B57&amp;"-"&amp;UPPER(C57)&amp;"-"&amp;TEXT(D57,"0000")&amp;"-"&amp;E57)</x:f>
        <x:v>M13-EFFECT-0051-V1.0</x:v>
      </x:c>
      <x:c r="B57" s="74" t="str">
        <x:v>M13</x:v>
      </x:c>
      <x:c r="C57" s="74" t="str">
        <x:v>EFFECT</x:v>
      </x:c>
      <x:c r="D57" s="215" t="n">
        <x:v>51</x:v>
      </x:c>
      <x:c r="E57" s="74" t="str">
        <x:v>V1.0</x:v>
      </x:c>
      <x:c r="F57" s="68" t="str">
        <x:v>调候五行有根有源且透达时有效性高</x:v>
      </x:c>
      <x:c r="G57" s="82" t="str">
        <x:v>结构层</x:v>
      </x:c>
      <x:c r="H57" s="82" t="str">
        <x:v>寒暖燥湿综合</x:v>
      </x:c>
      <x:c r="I57" s="68" t="str">
        <x:v>通用</x:v>
      </x:c>
      <x:c r="J57" s="68" t="str">
        <x:v>候选调候五行有有效根、生源并能作用关键气候节点</x:v>
      </x:c>
      <x:c r="K57" s="68" t="str">
        <x:v>待定</x:v>
      </x:c>
      <x:c r="L57" s="68" t="str">
        <x:v>待定</x:v>
      </x:c>
      <x:c r="M57" s="82" t="str">
        <x:v>待定</x:v>
      </x:c>
      <x:c r="N57" s="82" t="str">
        <x:v>待定</x:v>
      </x:c>
      <x:c r="O57" s="68" t="str">
        <x:v>调候资源可稳定发挥</x:v>
      </x:c>
      <x:c r="P57" s="68" t="str">
        <x:v>对应调候五行</x:v>
      </x:c>
      <x:c r="Q57" s="68" t="str">
        <x:v>直接改善气候失衡</x:v>
      </x:c>
      <x:c r="R57" s="82" t="str">
        <x:v>是</x:v>
      </x:c>
      <x:c r="S57" s="82" t="str">
        <x:v>有效</x:v>
      </x:c>
      <x:c r="T57" s="82" t="str">
        <x:v>待定</x:v>
      </x:c>
      <x:c r="U57" s="82" t="str">
        <x:v>待定</x:v>
      </x:c>
      <x:c r="V57" s="82" t="str">
        <x:v>待定</x:v>
      </x:c>
      <x:c r="W57" s="68" t="str">
        <x:v>M02基础映射、M08五行有效旺衰、M12流通卡点已完成</x:v>
      </x:c>
      <x:c r="X57" s="68" t="str">
        <x:v>月令基准与全局有效五行均已核查</x:v>
      </x:c>
      <x:c r="Y57" s="68" t="str">
        <x:v>相关调候五行有根有源、透达且能真实改善关键气候问题</x:v>
      </x:c>
      <x:c r="Z57" s="68" t="str">
        <x:v>调候五行无根、受强制、被合绊、改性或加入后产生新的寒热燥湿问题</x:v>
      </x:c>
      <x:c r="AA57" s="90" t="str">
        <x:v>不得只凭出生月份或某一五行数量直接下最终调候结论</x:v>
      </x:c>
      <x:c r="AB57" s="68" t="str">
        <x:v>特殊格局、核心格局用神或更高优先级病药约束转M16—M18裁决</x:v>
      </x:c>
      <x:c r="AC57" s="84" t="str">
        <x:v>调候五行有效</x:v>
      </x:c>
      <x:c r="AD57" s="84" t="str">
        <x:v>调候五行有根有源且透达时有效性高：温度轴判“待定”，湿度轴判“待定”；调候候选为“对应调候五行”，是否成为最终用神仍转M16—M18。</x:v>
      </x:c>
      <x:c r="AE57" s="82" t="str">
        <x:v>较高</x:v>
      </x:c>
      <x:c r="AF57" s="82" t="str">
        <x:v>调候</x:v>
      </x:c>
      <x:c r="AG57" s="68" t="str">
        <x:v>调候以月令气候为起点，但必须结合M08五行有效力量与M12流通状态修正；寒暖与燥湿分轴判断，调候候选不自动等于全局主用神。</x:v>
      </x:c>
      <x:c r="AH57" s="68" t="str">
        <x:v>当“候选调候五行有有效根、生源并能作用关键气候节点”真实成立，且调候机制能改善主要气候问题时，可按“调候五行有根有源且透达时有效性高”记录。</x:v>
      </x:c>
      <x:c r="AI57" s="90" t="str">
        <x:v>仅见月份或表面五行标签，但未满足“候选调候五行有有效根、生源并能作用关键气候节点”及必要修正条件时，不得套用“调候五行有根有源且透达时有效性高”。</x:v>
      </x:c>
      <x:c r="AJ57" s="82" t="str">
        <x:v>采用</x:v>
      </x:c>
      <x:c r="AK57" s="82" t="str">
        <x:v>初审</x:v>
      </x:c>
      <x:c r="AL57" s="87" t="n">
        <x:v>46255</x:v>
      </x:c>
    </x:row>
    <x:row r="58">
      <x:c r="A58" s="72" t="str">
        <x:f>IF(OR(C58="",D58=""),"",B58&amp;"-"&amp;UPPER(C58)&amp;"-"&amp;TEXT(D58,"0000")&amp;"-"&amp;E58)</x:f>
        <x:v>M13-EFFECT-0052-V1.0</x:v>
      </x:c>
      <x:c r="B58" s="74" t="str">
        <x:v>M13</x:v>
      </x:c>
      <x:c r="C58" s="74" t="str">
        <x:v>EFFECT</x:v>
      </x:c>
      <x:c r="D58" s="215" t="n">
        <x:v>52</x:v>
      </x:c>
      <x:c r="E58" s="74" t="str">
        <x:v>V1.0</x:v>
      </x:c>
      <x:c r="F58" s="68" t="str">
        <x:v>调候五行被强克时需降低有效性</x:v>
      </x:c>
      <x:c r="G58" s="82" t="str">
        <x:v>结构层</x:v>
      </x:c>
      <x:c r="H58" s="82" t="str">
        <x:v>寒暖燥湿综合</x:v>
      </x:c>
      <x:c r="I58" s="68" t="str">
        <x:v>通用</x:v>
      </x:c>
      <x:c r="J58" s="68" t="str">
        <x:v>候选调候五行虽存在，但受到更强五行直接有效克制</x:v>
      </x:c>
      <x:c r="K58" s="68" t="str">
        <x:v>待定</x:v>
      </x:c>
      <x:c r="L58" s="68" t="str">
        <x:v>待定</x:v>
      </x:c>
      <x:c r="M58" s="82" t="str">
        <x:v>待定</x:v>
      </x:c>
      <x:c r="N58" s="82" t="str">
        <x:v>待定</x:v>
      </x:c>
      <x:c r="O58" s="68" t="str">
        <x:v>调候功能被压制</x:v>
      </x:c>
      <x:c r="P58" s="68" t="str">
        <x:v>对应调候五行</x:v>
      </x:c>
      <x:c r="Q58" s="68" t="str">
        <x:v>需先解除强制或增强根源</x:v>
      </x:c>
      <x:c r="R58" s="82" t="str">
        <x:v>是</x:v>
      </x:c>
      <x:c r="S58" s="82" t="str">
        <x:v>受限</x:v>
      </x:c>
      <x:c r="T58" s="82" t="str">
        <x:v>待定</x:v>
      </x:c>
      <x:c r="U58" s="82" t="str">
        <x:v>待定</x:v>
      </x:c>
      <x:c r="V58" s="82" t="str">
        <x:v>待定</x:v>
      </x:c>
      <x:c r="W58" s="68" t="str">
        <x:v>M02基础映射、M08五行有效旺衰、M12流通卡点已完成</x:v>
      </x:c>
      <x:c r="X58" s="68" t="str">
        <x:v>月令基准与全局有效五行均已核查</x:v>
      </x:c>
      <x:c r="Y58" s="68" t="str">
        <x:v>相关调候五行有根有源、透达且能真实改善关键气候问题</x:v>
      </x:c>
      <x:c r="Z58" s="68" t="str">
        <x:v>调候五行无根、受强制、被合绊、改性或加入后产生新的寒热燥湿问题</x:v>
      </x:c>
      <x:c r="AA58" s="90" t="str">
        <x:v>不得只凭出生月份或某一五行数量直接下最终调候结论</x:v>
      </x:c>
      <x:c r="AB58" s="68" t="str">
        <x:v>特殊格局、核心格局用神或更高优先级病药约束转M16—M18裁决</x:v>
      </x:c>
      <x:c r="AC58" s="84" t="str">
        <x:v>调候五行受克</x:v>
      </x:c>
      <x:c r="AD58" s="84" t="str">
        <x:v>调候五行被强克时需降低有效性：温度轴判“待定”，湿度轴判“待定”；调候候选为“对应调候五行”，是否成为最终用神仍转M16—M18。</x:v>
      </x:c>
      <x:c r="AE58" s="82" t="str">
        <x:v>较高</x:v>
      </x:c>
      <x:c r="AF58" s="82" t="str">
        <x:v>调候</x:v>
      </x:c>
      <x:c r="AG58" s="68" t="str">
        <x:v>调候以月令气候为起点，但必须结合M08五行有效力量与M12流通状态修正；寒暖与燥湿分轴判断，调候候选不自动等于全局主用神。</x:v>
      </x:c>
      <x:c r="AH58" s="68" t="str">
        <x:v>当“候选调候五行虽存在，但受到更强五行直接有效克制”真实成立，且调候机制能改善主要气候问题时，可按“调候五行被强克时需降低有效性”记录。</x:v>
      </x:c>
      <x:c r="AI58" s="90" t="str">
        <x:v>仅见月份或表面五行标签，但未满足“候选调候五行虽存在，但受到更强五行直接有效克制”及必要修正条件时，不得套用“调候五行被强克时需降低有效性”。</x:v>
      </x:c>
      <x:c r="AJ58" s="82" t="str">
        <x:v>采用</x:v>
      </x:c>
      <x:c r="AK58" s="82" t="str">
        <x:v>初审</x:v>
      </x:c>
      <x:c r="AL58" s="87" t="n">
        <x:v>46255</x:v>
      </x:c>
    </x:row>
    <x:row r="59">
      <x:c r="A59" s="72" t="str">
        <x:f>IF(OR(C59="",D59=""),"",B59&amp;"-"&amp;UPPER(C59)&amp;"-"&amp;TEXT(D59,"0000")&amp;"-"&amp;E59)</x:f>
        <x:v>M13-EFFECT-0053-V1.0</x:v>
      </x:c>
      <x:c r="B59" s="74" t="str">
        <x:v>M13</x:v>
      </x:c>
      <x:c r="C59" s="74" t="str">
        <x:v>EFFECT</x:v>
      </x:c>
      <x:c r="D59" s="215" t="n">
        <x:v>53</x:v>
      </x:c>
      <x:c r="E59" s="74" t="str">
        <x:v>V1.0</x:v>
      </x:c>
      <x:c r="F59" s="68" t="str">
        <x:v>调候五行被合绊时功能受限但不等于消失</x:v>
      </x:c>
      <x:c r="G59" s="82" t="str">
        <x:v>结构层</x:v>
      </x:c>
      <x:c r="H59" s="82" t="str">
        <x:v>寒暖燥湿综合</x:v>
      </x:c>
      <x:c r="I59" s="68" t="str">
        <x:v>通用</x:v>
      </x:c>
      <x:c r="J59" s="68" t="str">
        <x:v>候选调候五行被合绊，M06未判实质合化消失</x:v>
      </x:c>
      <x:c r="K59" s="68" t="str">
        <x:v>待定</x:v>
      </x:c>
      <x:c r="L59" s="68" t="str">
        <x:v>待定</x:v>
      </x:c>
      <x:c r="M59" s="82" t="str">
        <x:v>待定</x:v>
      </x:c>
      <x:c r="N59" s="82" t="str">
        <x:v>待定</x:v>
      </x:c>
      <x:c r="O59" s="68" t="str">
        <x:v>调候资源被牵制</x:v>
      </x:c>
      <x:c r="P59" s="68" t="str">
        <x:v>对应调候五行</x:v>
      </x:c>
      <x:c r="Q59" s="68" t="str">
        <x:v>仍可有限调候</x:v>
      </x:c>
      <x:c r="R59" s="82" t="str">
        <x:v>是</x:v>
      </x:c>
      <x:c r="S59" s="82" t="str">
        <x:v>受限</x:v>
      </x:c>
      <x:c r="T59" s="82" t="str">
        <x:v>待定</x:v>
      </x:c>
      <x:c r="U59" s="82" t="str">
        <x:v>待定</x:v>
      </x:c>
      <x:c r="V59" s="82" t="str">
        <x:v>待定</x:v>
      </x:c>
      <x:c r="W59" s="68" t="str">
        <x:v>M02基础映射、M08五行有效旺衰、M12流通卡点已完成</x:v>
      </x:c>
      <x:c r="X59" s="68" t="str">
        <x:v>月令基准与全局有效五行均已核查</x:v>
      </x:c>
      <x:c r="Y59" s="68" t="str">
        <x:v>相关调候五行有根有源、透达且能真实改善关键气候问题</x:v>
      </x:c>
      <x:c r="Z59" s="68" t="str">
        <x:v>调候五行无根、受强制、被合绊、改性或加入后产生新的寒热燥湿问题</x:v>
      </x:c>
      <x:c r="AA59" s="90" t="str">
        <x:v>不得只凭出生月份或某一五行数量直接下最终调候结论</x:v>
      </x:c>
      <x:c r="AB59" s="68" t="str">
        <x:v>特殊格局、核心格局用神或更高优先级病药约束转M16—M18裁决</x:v>
      </x:c>
      <x:c r="AC59" s="84" t="str">
        <x:v>调候五行合绊</x:v>
      </x:c>
      <x:c r="AD59" s="84" t="str">
        <x:v>调候五行被合绊时功能受限但不等于消失：温度轴判“待定”，湿度轴判“待定”；调候候选为“对应调候五行”，是否成为最终用神仍转M16—M18。</x:v>
      </x:c>
      <x:c r="AE59" s="82" t="str">
        <x:v>较高</x:v>
      </x:c>
      <x:c r="AF59" s="82" t="str">
        <x:v>调候</x:v>
      </x:c>
      <x:c r="AG59" s="68" t="str">
        <x:v>调候以月令气候为起点，但必须结合M08五行有效力量与M12流通状态修正；寒暖与燥湿分轴判断，调候候选不自动等于全局主用神。</x:v>
      </x:c>
      <x:c r="AH59" s="68" t="str">
        <x:v>当“候选调候五行被合绊，M06未判实质合化消失”真实成立，且调候机制能改善主要气候问题时，可按“调候五行被合绊时功能受限但不等于消失”记录。</x:v>
      </x:c>
      <x:c r="AI59" s="90" t="str">
        <x:v>仅见月份或表面五行标签，但未满足“候选调候五行被合绊，M06未判实质合化消失”及必要修正条件时，不得套用“调候五行被合绊时功能受限但不等于消失”。</x:v>
      </x:c>
      <x:c r="AJ59" s="82" t="str">
        <x:v>采用</x:v>
      </x:c>
      <x:c r="AK59" s="82" t="str">
        <x:v>初审</x:v>
      </x:c>
      <x:c r="AL59" s="87" t="n">
        <x:v>46255</x:v>
      </x:c>
    </x:row>
    <x:row r="60">
      <x:c r="A60" s="72" t="str">
        <x:f>IF(OR(C60="",D60=""),"",B60&amp;"-"&amp;UPPER(C60)&amp;"-"&amp;TEXT(D60,"0000")&amp;"-"&amp;E60)</x:f>
        <x:v>M13-EFFECT-0054-V1.0</x:v>
      </x:c>
      <x:c r="B60" s="74" t="str">
        <x:v>M13</x:v>
      </x:c>
      <x:c r="C60" s="74" t="str">
        <x:v>EFFECT</x:v>
      </x:c>
      <x:c r="D60" s="215" t="n">
        <x:v>54</x:v>
      </x:c>
      <x:c r="E60" s="74" t="str">
        <x:v>V1.0</x:v>
      </x:c>
      <x:c r="F60" s="68" t="str">
        <x:v>调候五行实质合化后必须按新五行重判</x:v>
      </x:c>
      <x:c r="G60" s="82" t="str">
        <x:v>结构层</x:v>
      </x:c>
      <x:c r="H60" s="82" t="str">
        <x:v>寒暖燥湿综合</x:v>
      </x:c>
      <x:c r="I60" s="68" t="str">
        <x:v>通用</x:v>
      </x:c>
      <x:c r="J60" s="68" t="str">
        <x:v>候选调候五行经M06确认实质合化或会局改性</x:v>
      </x:c>
      <x:c r="K60" s="68" t="str">
        <x:v>待定</x:v>
      </x:c>
      <x:c r="L60" s="68" t="str">
        <x:v>待定</x:v>
      </x:c>
      <x:c r="M60" s="82" t="str">
        <x:v>待定</x:v>
      </x:c>
      <x:c r="N60" s="82" t="str">
        <x:v>待定</x:v>
      </x:c>
      <x:c r="O60" s="68" t="str">
        <x:v>原调候属性发生变化</x:v>
      </x:c>
      <x:c r="P60" s="68" t="str">
        <x:v>按化神重算</x:v>
      </x:c>
      <x:c r="Q60" s="68" t="str">
        <x:v>重建寒暖燥湿修正</x:v>
      </x:c>
      <x:c r="R60" s="82" t="str">
        <x:v>条件性</x:v>
      </x:c>
      <x:c r="S60" s="82" t="str">
        <x:v>待定</x:v>
      </x:c>
      <x:c r="T60" s="82" t="str">
        <x:v>待定</x:v>
      </x:c>
      <x:c r="U60" s="82" t="str">
        <x:v>待定</x:v>
      </x:c>
      <x:c r="V60" s="82" t="str">
        <x:v>待定</x:v>
      </x:c>
      <x:c r="W60" s="68" t="str">
        <x:v>M02基础映射、M08五行有效旺衰、M12流通卡点已完成</x:v>
      </x:c>
      <x:c r="X60" s="68" t="str">
        <x:v>月令基准与全局有效五行均已核查</x:v>
      </x:c>
      <x:c r="Y60" s="68" t="str">
        <x:v>相关调候五行有根有源、透达且能真实改善关键气候问题</x:v>
      </x:c>
      <x:c r="Z60" s="68" t="str">
        <x:v>调候五行无根、受强制、被合绊、改性或加入后产生新的寒热燥湿问题</x:v>
      </x:c>
      <x:c r="AA60" s="90" t="str">
        <x:v>不得只凭出生月份或某一五行数量直接下最终调候结论</x:v>
      </x:c>
      <x:c r="AB60" s="68" t="str">
        <x:v>特殊格局、核心格局用神或更高优先级病药约束转M16—M18裁决</x:v>
      </x:c>
      <x:c r="AC60" s="84" t="str">
        <x:v>调候五行改性</x:v>
      </x:c>
      <x:c r="AD60" s="84" t="str">
        <x:v>调候五行实质合化后必须按新五行重判：温度轴判“待定”，湿度轴判“待定”；调候候选为“按化神重算”，是否成为最终用神仍转M16—M18。</x:v>
      </x:c>
      <x:c r="AE60" s="82" t="str">
        <x:v>较高</x:v>
      </x:c>
      <x:c r="AF60" s="82" t="str">
        <x:v>调候</x:v>
      </x:c>
      <x:c r="AG60" s="68" t="str">
        <x:v>调候以月令气候为起点，但必须结合M08五行有效力量与M12流通状态修正；寒暖与燥湿分轴判断，调候候选不自动等于全局主用神。</x:v>
      </x:c>
      <x:c r="AH60" s="68" t="str">
        <x:v>当“候选调候五行经M06确认实质合化或会局改性”真实成立，且调候机制能改善主要气候问题时，可按“调候五行实质合化后必须按新五行重判”记录。</x:v>
      </x:c>
      <x:c r="AI60" s="90" t="str">
        <x:v>仅见月份或表面五行标签，但未满足“候选调候五行经M06确认实质合化或会局改性”及必要修正条件时，不得套用“调候五行实质合化后必须按新五行重判”。</x:v>
      </x:c>
      <x:c r="AJ60" s="82" t="str">
        <x:v>采用</x:v>
      </x:c>
      <x:c r="AK60" s="82" t="str">
        <x:v>初审</x:v>
      </x:c>
      <x:c r="AL60" s="87" t="n">
        <x:v>46255</x:v>
      </x:c>
    </x:row>
    <x:row r="61">
      <x:c r="A61" s="72" t="str">
        <x:f>IF(OR(C61="",D61=""),"",B61&amp;"-"&amp;UPPER(C61)&amp;"-"&amp;TEXT(D61,"0000")&amp;"-"&amp;E61)</x:f>
        <x:v>M13-EFFECT-0055-V1.0</x:v>
      </x:c>
      <x:c r="B61" s="74" t="str">
        <x:v>M13</x:v>
      </x:c>
      <x:c r="C61" s="74" t="str">
        <x:v>EFFECT</x:v>
      </x:c>
      <x:c r="D61" s="215" t="n">
        <x:v>55</x:v>
      </x:c>
      <x:c r="E61" s="74" t="str">
        <x:v>V1.0</x:v>
      </x:c>
      <x:c r="F61" s="68" t="str">
        <x:v>调候五行过强可制造反向气候新病</x:v>
      </x:c>
      <x:c r="G61" s="82" t="str">
        <x:v>结构层</x:v>
      </x:c>
      <x:c r="H61" s="82" t="str">
        <x:v>寒暖燥湿综合</x:v>
      </x:c>
      <x:c r="I61" s="68" t="str">
        <x:v>通用</x:v>
      </x:c>
      <x:c r="J61" s="68" t="str">
        <x:v>候选调候五行加入后达到旺极旺并使原问题跨越平衡点</x:v>
      </x:c>
      <x:c r="K61" s="68" t="str">
        <x:v>待定</x:v>
      </x:c>
      <x:c r="L61" s="68" t="str">
        <x:v>待定</x:v>
      </x:c>
      <x:c r="M61" s="82" t="str">
        <x:v>待定</x:v>
      </x:c>
      <x:c r="N61" s="82" t="str">
        <x:v>待定</x:v>
      </x:c>
      <x:c r="O61" s="68" t="str">
        <x:v>药过量转成新寒热燥湿病</x:v>
      </x:c>
      <x:c r="P61" s="68" t="str">
        <x:v>原调候五行</x:v>
      </x:c>
      <x:c r="Q61" s="68" t="str">
        <x:v>降低使用优先级或改为条件性</x:v>
      </x:c>
      <x:c r="R61" s="82" t="str">
        <x:v>是</x:v>
      </x:c>
      <x:c r="S61" s="82" t="str">
        <x:v>过度</x:v>
      </x:c>
      <x:c r="T61" s="82" t="str">
        <x:v>待定</x:v>
      </x:c>
      <x:c r="U61" s="82" t="str">
        <x:v>待定</x:v>
      </x:c>
      <x:c r="V61" s="82" t="str">
        <x:v>待定</x:v>
      </x:c>
      <x:c r="W61" s="68" t="str">
        <x:v>M02基础映射、M08五行有效旺衰、M12流通卡点已完成</x:v>
      </x:c>
      <x:c r="X61" s="68" t="str">
        <x:v>月令基准与全局有效五行均已核查</x:v>
      </x:c>
      <x:c r="Y61" s="68" t="str">
        <x:v>相关调候五行有根有源、透达且能真实改善关键气候问题</x:v>
      </x:c>
      <x:c r="Z61" s="68" t="str">
        <x:v>调候五行无根、受强制、被合绊、改性或加入后产生新的寒热燥湿问题</x:v>
      </x:c>
      <x:c r="AA61" s="90" t="str">
        <x:v>不得只凭出生月份或某一五行数量直接下最终调候结论</x:v>
      </x:c>
      <x:c r="AB61" s="68" t="str">
        <x:v>特殊格局、核心格局用神或更高优先级病药约束转M16—M18裁决</x:v>
      </x:c>
      <x:c r="AC61" s="84" t="str">
        <x:v>调候过度</x:v>
      </x:c>
      <x:c r="AD61" s="84" t="str">
        <x:v>调候五行过强可制造反向气候新病：温度轴判“待定”，湿度轴判“待定”；调候候选为“原调候五行”，是否成为最终用神仍转M16—M18。</x:v>
      </x:c>
      <x:c r="AE61" s="82" t="str">
        <x:v>较高</x:v>
      </x:c>
      <x:c r="AF61" s="82" t="str">
        <x:v>调候</x:v>
      </x:c>
      <x:c r="AG61" s="68" t="str">
        <x:v>调候以月令气候为起点，但必须结合M08五行有效力量与M12流通状态修正；寒暖与燥湿分轴判断，调候候选不自动等于全局主用神。</x:v>
      </x:c>
      <x:c r="AH61" s="68" t="str">
        <x:v>当“候选调候五行加入后达到旺极旺并使原问题跨越平衡点”真实成立，且调候机制能改善主要气候问题时，可按“调候五行过强可制造反向气候新病”记录。</x:v>
      </x:c>
      <x:c r="AI61" s="90" t="str">
        <x:v>仅见月份或表面五行标签，但未满足“候选调候五行加入后达到旺极旺并使原问题跨越平衡点”及必要修正条件时，不得套用“调候五行过强可制造反向气候新病”。</x:v>
      </x:c>
      <x:c r="AJ61" s="82" t="str">
        <x:v>采用</x:v>
      </x:c>
      <x:c r="AK61" s="82" t="str">
        <x:v>初审</x:v>
      </x:c>
      <x:c r="AL61" s="87" t="n">
        <x:v>46255</x:v>
      </x:c>
    </x:row>
    <x:row r="62">
      <x:c r="A62" s="72" t="str">
        <x:f>IF(OR(C62="",D62=""),"",B62&amp;"-"&amp;UPPER(C62)&amp;"-"&amp;TEXT(D62,"0000")&amp;"-"&amp;E62)</x:f>
        <x:v>M13-EFFECT-0056-V1.0</x:v>
      </x:c>
      <x:c r="B62" s="74" t="str">
        <x:v>M13</x:v>
      </x:c>
      <x:c r="C62" s="74" t="str">
        <x:v>EFFECT</x:v>
      </x:c>
      <x:c r="D62" s="215" t="n">
        <x:v>56</x:v>
      </x:c>
      <x:c r="E62" s="74" t="str">
        <x:v>V1.0</x:v>
      </x:c>
      <x:c r="F62" s="68" t="str">
        <x:v>调候元素必须作用于关键卡点才算功能有效</x:v>
      </x:c>
      <x:c r="G62" s="82" t="str">
        <x:v>结构层</x:v>
      </x:c>
      <x:c r="H62" s="82" t="str">
        <x:v>寒暖燥湿综合</x:v>
      </x:c>
      <x:c r="I62" s="68" t="str">
        <x:v>通用</x:v>
      </x:c>
      <x:c r="J62" s="68" t="str">
        <x:v>候选五行虽能理论上暖、润、燥湿，但无法进入M12主卡点或主要生化路径</x:v>
      </x:c>
      <x:c r="K62" s="68" t="str">
        <x:v>待定</x:v>
      </x:c>
      <x:c r="L62" s="68" t="str">
        <x:v>待定</x:v>
      </x:c>
      <x:c r="M62" s="82" t="str">
        <x:v>待定</x:v>
      </x:c>
      <x:c r="N62" s="82" t="str">
        <x:v>待定</x:v>
      </x:c>
      <x:c r="O62" s="68" t="str">
        <x:v>理论调候与实际路径脱节</x:v>
      </x:c>
      <x:c r="P62" s="68" t="str">
        <x:v>候选五行</x:v>
      </x:c>
      <x:c r="Q62" s="68" t="str">
        <x:v>不能有效触达病位</x:v>
      </x:c>
      <x:c r="R62" s="82" t="str">
        <x:v>是</x:v>
      </x:c>
      <x:c r="S62" s="82" t="str">
        <x:v>受限</x:v>
      </x:c>
      <x:c r="T62" s="82" t="str">
        <x:v>待定</x:v>
      </x:c>
      <x:c r="U62" s="82" t="str">
        <x:v>待定</x:v>
      </x:c>
      <x:c r="V62" s="82" t="str">
        <x:v>待定</x:v>
      </x:c>
      <x:c r="W62" s="68" t="str">
        <x:v>M02基础映射、M08五行有效旺衰、M12流通卡点已完成</x:v>
      </x:c>
      <x:c r="X62" s="68" t="str">
        <x:v>月令基准与全局有效五行均已核查</x:v>
      </x:c>
      <x:c r="Y62" s="68" t="str">
        <x:v>相关调候五行有根有源、透达且能真实改善关键气候问题</x:v>
      </x:c>
      <x:c r="Z62" s="68" t="str">
        <x:v>调候五行无根、受强制、被合绊、改性或加入后产生新的寒热燥湿问题</x:v>
      </x:c>
      <x:c r="AA62" s="90" t="str">
        <x:v>不得只凭出生月份或某一五行数量直接下最终调候结论</x:v>
      </x:c>
      <x:c r="AB62" s="68" t="str">
        <x:v>特殊格局、核心格局用神或更高优先级病药约束转M16—M18裁决</x:v>
      </x:c>
      <x:c r="AC62" s="84" t="str">
        <x:v>调候作用路径要求</x:v>
      </x:c>
      <x:c r="AD62" s="84" t="str">
        <x:v>调候元素必须作用于关键卡点才算功能有效：温度轴判“待定”，湿度轴判“待定”；调候候选为“候选五行”，是否成为最终用神仍转M16—M18。</x:v>
      </x:c>
      <x:c r="AE62" s="82" t="str">
        <x:v>较高</x:v>
      </x:c>
      <x:c r="AF62" s="82" t="str">
        <x:v>调候</x:v>
      </x:c>
      <x:c r="AG62" s="68" t="str">
        <x:v>调候以月令气候为起点，但必须结合M08五行有效力量与M12流通状态修正；寒暖与燥湿分轴判断，调候候选不自动等于全局主用神。</x:v>
      </x:c>
      <x:c r="AH62" s="68" t="str">
        <x:v>当“候选五行虽能理论上暖、润、燥湿，但无法进入M12主卡点或主要生化路径”真实成立，且调候机制能改善主要气候问题时，可按“调候元素必须作用于关键卡点才算功能有效”记录。</x:v>
      </x:c>
      <x:c r="AI62" s="90" t="str">
        <x:v>仅见月份或表面五行标签，但未满足“候选五行虽能理论上暖、润、燥湿，但无法进入M12主卡点或主要生化路径”及必要修正条件时，不得套用“调候元素必须作用于关键卡点才算功能有效”。</x:v>
      </x:c>
      <x:c r="AJ62" s="82" t="str">
        <x:v>采用</x:v>
      </x:c>
      <x:c r="AK62" s="82" t="str">
        <x:v>初审</x:v>
      </x:c>
      <x:c r="AL62" s="87" t="n">
        <x:v>46255</x:v>
      </x:c>
    </x:row>
    <x:row r="63">
      <x:c r="A63" s="72" t="str">
        <x:f>IF(OR(C63="",D63=""),"",B63&amp;"-"&amp;UPPER(C63)&amp;"-"&amp;TEXT(D63,"0000")&amp;"-"&amp;E63)</x:f>
        <x:v>M13-CONFLICT-0057-V1.0</x:v>
      </x:c>
      <x:c r="B63" s="74" t="str">
        <x:v>M13</x:v>
      </x:c>
      <x:c r="C63" s="74" t="str">
        <x:v>CONFLICT</x:v>
      </x:c>
      <x:c r="D63" s="215" t="n">
        <x:v>57</x:v>
      </x:c>
      <x:c r="E63" s="74" t="str">
        <x:v>V1.0</x:v>
      </x:c>
      <x:c r="F63" s="68" t="str">
        <x:v>调候候选与扶抑方向一致时优先级提高</x:v>
      </x:c>
      <x:c r="G63" s="82" t="str">
        <x:v>结构层</x:v>
      </x:c>
      <x:c r="H63" s="82" t="str">
        <x:v>寒暖燥湿综合</x:v>
      </x:c>
      <x:c r="I63" s="68" t="str">
        <x:v>通用</x:v>
      </x:c>
      <x:c r="J63" s="68" t="str">
        <x:v>同一五行既能改善寒暖燥湿，又能改善M09日主或全局旺衰失衡</x:v>
      </x:c>
      <x:c r="K63" s="68" t="str">
        <x:v>待定</x:v>
      </x:c>
      <x:c r="L63" s="68" t="str">
        <x:v>待定</x:v>
      </x:c>
      <x:c r="M63" s="82" t="str">
        <x:v>待定</x:v>
      </x:c>
      <x:c r="N63" s="82" t="str">
        <x:v>待定</x:v>
      </x:c>
      <x:c r="O63" s="68" t="str">
        <x:v>两种需求同向</x:v>
      </x:c>
      <x:c r="P63" s="68" t="str">
        <x:v>同一五行</x:v>
      </x:c>
      <x:c r="Q63" s="68" t="str">
        <x:v>一药多效</x:v>
      </x:c>
      <x:c r="R63" s="82" t="str">
        <x:v>待定</x:v>
      </x:c>
      <x:c r="S63" s="82" t="str">
        <x:v>待定</x:v>
      </x:c>
      <x:c r="T63" s="82" t="str">
        <x:v>高</x:v>
      </x:c>
      <x:c r="U63" s="82" t="str">
        <x:v>否</x:v>
      </x:c>
      <x:c r="V63" s="82" t="str">
        <x:v>待定</x:v>
      </x:c>
      <x:c r="W63" s="68" t="str">
        <x:v>M02基础映射、M08五行有效旺衰、M12流通卡点已完成</x:v>
      </x:c>
      <x:c r="X63" s="68" t="str">
        <x:v>月令基准与全局有效五行均已核查</x:v>
      </x:c>
      <x:c r="Y63" s="68" t="str">
        <x:v>相关调候五行有根有源、透达且能真实改善关键气候问题</x:v>
      </x:c>
      <x:c r="Z63" s="68" t="str">
        <x:v>调候五行无根、受强制、被合绊、改性或加入后产生新的寒热燥湿问题</x:v>
      </x:c>
      <x:c r="AA63" s="90" t="str">
        <x:v>不得只凭出生月份或某一五行数量直接下最终调候结论</x:v>
      </x:c>
      <x:c r="AB63" s="68" t="str">
        <x:v>特殊格局、核心格局用神或更高优先级病药约束转M16—M18裁决</x:v>
      </x:c>
      <x:c r="AC63" s="84" t="str">
        <x:v>调候扶抑一致</x:v>
      </x:c>
      <x:c r="AD63" s="84" t="str">
        <x:v>调候候选与扶抑方向一致时优先级提高：温度轴判“待定”，湿度轴判“待定”；调候候选为“同一五行”，是否成为最终用神仍转M16—M18。</x:v>
      </x:c>
      <x:c r="AE63" s="82" t="str">
        <x:v>较高</x:v>
      </x:c>
      <x:c r="AF63" s="82" t="str">
        <x:v>调候</x:v>
      </x:c>
      <x:c r="AG63" s="68" t="str">
        <x:v>调候以月令气候为起点，但必须结合M08五行有效力量与M12流通状态修正；寒暖与燥湿分轴判断，调候候选不自动等于全局主用神。</x:v>
      </x:c>
      <x:c r="AH63" s="68" t="str">
        <x:v>当“同一五行既能改善寒暖燥湿，又能改善M09日主或全局旺衰失衡”真实成立，且调候机制能改善主要气候问题时，可按“调候候选与扶抑方向一致时优先级提高”记录。</x:v>
      </x:c>
      <x:c r="AI63" s="90" t="str">
        <x:v>仅见月份或表面五行标签，但未满足“同一五行既能改善寒暖燥湿，又能改善M09日主或全局旺衰失衡”及必要修正条件时，不得套用“调候候选与扶抑方向一致时优先级提高”。</x:v>
      </x:c>
      <x:c r="AJ63" s="82" t="str">
        <x:v>采用</x:v>
      </x:c>
      <x:c r="AK63" s="82" t="str">
        <x:v>初审</x:v>
      </x:c>
      <x:c r="AL63" s="87" t="n">
        <x:v>46255</x:v>
      </x:c>
    </x:row>
    <x:row r="64">
      <x:c r="A64" s="72" t="str">
        <x:f>IF(OR(C64="",D64=""),"",B64&amp;"-"&amp;UPPER(C64)&amp;"-"&amp;TEXT(D64,"0000")&amp;"-"&amp;E64)</x:f>
        <x:v>M13-CONFLICT-0058-V1.0</x:v>
      </x:c>
      <x:c r="B64" s="74" t="str">
        <x:v>M13</x:v>
      </x:c>
      <x:c r="C64" s="74" t="str">
        <x:v>CONFLICT</x:v>
      </x:c>
      <x:c r="D64" s="215" t="n">
        <x:v>58</x:v>
      </x:c>
      <x:c r="E64" s="74" t="str">
        <x:v>V1.0</x:v>
      </x:c>
      <x:c r="F64" s="68" t="str">
        <x:v>调候候选与扶抑方向冲突时必须条件化</x:v>
      </x:c>
      <x:c r="G64" s="82" t="str">
        <x:v>结构层</x:v>
      </x:c>
      <x:c r="H64" s="82" t="str">
        <x:v>寒暖燥湿综合</x:v>
      </x:c>
      <x:c r="I64" s="68" t="str">
        <x:v>通用</x:v>
      </x:c>
      <x:c r="J64" s="68" t="str">
        <x:v>调候需要某五行，但该五行会明显加重日主或全局旺衰失衡</x:v>
      </x:c>
      <x:c r="K64" s="68" t="str">
        <x:v>待定</x:v>
      </x:c>
      <x:c r="L64" s="68" t="str">
        <x:v>待定</x:v>
      </x:c>
      <x:c r="M64" s="82" t="str">
        <x:v>待定</x:v>
      </x:c>
      <x:c r="N64" s="82" t="str">
        <x:v>待定</x:v>
      </x:c>
      <x:c r="O64" s="68" t="str">
        <x:v>调候收益与扶抑副作用冲突</x:v>
      </x:c>
      <x:c r="P64" s="68" t="str">
        <x:v>调候五行</x:v>
      </x:c>
      <x:c r="Q64" s="68" t="str">
        <x:v>限量或寻找替代调候路径</x:v>
      </x:c>
      <x:c r="R64" s="82" t="str">
        <x:v>待定</x:v>
      </x:c>
      <x:c r="S64" s="82" t="str">
        <x:v>待定</x:v>
      </x:c>
      <x:c r="T64" s="82" t="str">
        <x:v>待定</x:v>
      </x:c>
      <x:c r="U64" s="82" t="str">
        <x:v>是</x:v>
      </x:c>
      <x:c r="V64" s="82" t="str">
        <x:v>待定</x:v>
      </x:c>
      <x:c r="W64" s="68" t="str">
        <x:v>M02基础映射、M08五行有效旺衰、M12流通卡点已完成</x:v>
      </x:c>
      <x:c r="X64" s="68" t="str">
        <x:v>月令基准与全局有效五行均已核查</x:v>
      </x:c>
      <x:c r="Y64" s="68" t="str">
        <x:v>相关调候五行有根有源、透达且能真实改善关键气候问题</x:v>
      </x:c>
      <x:c r="Z64" s="68" t="str">
        <x:v>调候五行无根、受强制、被合绊、改性或加入后产生新的寒热燥湿问题</x:v>
      </x:c>
      <x:c r="AA64" s="90" t="str">
        <x:v>不得只凭出生月份或某一五行数量直接下最终调候结论</x:v>
      </x:c>
      <x:c r="AB64" s="68" t="str">
        <x:v>特殊格局、核心格局用神或更高优先级病药约束转M16—M18裁决</x:v>
      </x:c>
      <x:c r="AC64" s="84" t="str">
        <x:v>调候扶抑冲突</x:v>
      </x:c>
      <x:c r="AD64" s="84" t="str">
        <x:v>调候候选与扶抑方向冲突时必须条件化：温度轴判“待定”，湿度轴判“待定”；调候候选为“调候五行”，是否成为最终用神仍转M16—M18。</x:v>
      </x:c>
      <x:c r="AE64" s="82" t="str">
        <x:v>较高</x:v>
      </x:c>
      <x:c r="AF64" s="82" t="str">
        <x:v>调候</x:v>
      </x:c>
      <x:c r="AG64" s="68" t="str">
        <x:v>调候以月令气候为起点，但必须结合M08五行有效力量与M12流通状态修正；寒暖与燥湿分轴判断，调候候选不自动等于全局主用神。</x:v>
      </x:c>
      <x:c r="AH64" s="68" t="str">
        <x:v>当“调候需要某五行，但该五行会明显加重日主或全局旺衰失衡”真实成立，且调候机制能改善主要气候问题时，可按“调候候选与扶抑方向冲突时必须条件化”记录。</x:v>
      </x:c>
      <x:c r="AI64" s="90" t="str">
        <x:v>仅见月份或表面五行标签，但未满足“调候需要某五行，但该五行会明显加重日主或全局旺衰失衡”及必要修正条件时，不得套用“调候候选与扶抑方向冲突时必须条件化”。</x:v>
      </x:c>
      <x:c r="AJ64" s="82" t="str">
        <x:v>采用</x:v>
      </x:c>
      <x:c r="AK64" s="82" t="str">
        <x:v>初审</x:v>
      </x:c>
      <x:c r="AL64" s="87" t="n">
        <x:v>46255</x:v>
      </x:c>
    </x:row>
    <x:row r="65">
      <x:c r="A65" s="72" t="str">
        <x:f>IF(OR(C65="",D65=""),"",B65&amp;"-"&amp;UPPER(C65)&amp;"-"&amp;TEXT(D65,"0000")&amp;"-"&amp;E65)</x:f>
        <x:v>M13-CONFLICT-0059-V1.0</x:v>
      </x:c>
      <x:c r="B65" s="74" t="str">
        <x:v>M13</x:v>
      </x:c>
      <x:c r="C65" s="74" t="str">
        <x:v>CONFLICT</x:v>
      </x:c>
      <x:c r="D65" s="215" t="n">
        <x:v>59</x:v>
      </x:c>
      <x:c r="E65" s="74" t="str">
        <x:v>V1.0</x:v>
      </x:c>
      <x:c r="F65" s="68" t="str">
        <x:v>调候候选维护格局时可提高优先级</x:v>
      </x:c>
      <x:c r="G65" s="82" t="str">
        <x:v>结构层</x:v>
      </x:c>
      <x:c r="H65" s="82" t="str">
        <x:v>寒暖燥湿综合</x:v>
      </x:c>
      <x:c r="I65" s="68" t="str">
        <x:v>通用</x:v>
      </x:c>
      <x:c r="J65" s="68" t="str">
        <x:v>调候五行同时属于M14/M15格局所需或能保护核心格神</x:v>
      </x:c>
      <x:c r="K65" s="68" t="str">
        <x:v>待定</x:v>
      </x:c>
      <x:c r="L65" s="68" t="str">
        <x:v>待定</x:v>
      </x:c>
      <x:c r="M65" s="82" t="str">
        <x:v>待定</x:v>
      </x:c>
      <x:c r="N65" s="82" t="str">
        <x:v>待定</x:v>
      </x:c>
      <x:c r="O65" s="68" t="str">
        <x:v>调候与格局方向一致</x:v>
      </x:c>
      <x:c r="P65" s="68" t="str">
        <x:v>调候五行</x:v>
      </x:c>
      <x:c r="Q65" s="68" t="str">
        <x:v>兼顾气候与护格</x:v>
      </x:c>
      <x:c r="R65" s="82" t="str">
        <x:v>待定</x:v>
      </x:c>
      <x:c r="S65" s="82" t="str">
        <x:v>待定</x:v>
      </x:c>
      <x:c r="T65" s="82" t="str">
        <x:v>高</x:v>
      </x:c>
      <x:c r="U65" s="82" t="str">
        <x:v>待定</x:v>
      </x:c>
      <x:c r="V65" s="82" t="str">
        <x:v>否</x:v>
      </x:c>
      <x:c r="W65" s="68" t="str">
        <x:v>M02基础映射、M08五行有效旺衰、M12流通卡点已完成</x:v>
      </x:c>
      <x:c r="X65" s="68" t="str">
        <x:v>月令基准与全局有效五行均已核查</x:v>
      </x:c>
      <x:c r="Y65" s="68" t="str">
        <x:v>相关调候五行有根有源、透达且能真实改善关键气候问题</x:v>
      </x:c>
      <x:c r="Z65" s="68" t="str">
        <x:v>调候五行无根、受强制、被合绊、改性或加入后产生新的寒热燥湿问题</x:v>
      </x:c>
      <x:c r="AA65" s="90" t="str">
        <x:v>不得只凭出生月份或某一五行数量直接下最终调候结论</x:v>
      </x:c>
      <x:c r="AB65" s="68" t="str">
        <x:v>特殊格局、核心格局用神或更高优先级病药约束转M16—M18裁决</x:v>
      </x:c>
      <x:c r="AC65" s="84" t="str">
        <x:v>调候格局一致</x:v>
      </x:c>
      <x:c r="AD65" s="84" t="str">
        <x:v>调候候选维护格局时可提高优先级：温度轴判“待定”，湿度轴判“待定”；调候候选为“调候五行”，是否成为最终用神仍转M16—M18。</x:v>
      </x:c>
      <x:c r="AE65" s="82" t="str">
        <x:v>较高</x:v>
      </x:c>
      <x:c r="AF65" s="82" t="str">
        <x:v>调候</x:v>
      </x:c>
      <x:c r="AG65" s="68" t="str">
        <x:v>调候以月令气候为起点，但必须结合M08五行有效力量与M12流通状态修正；寒暖与燥湿分轴判断，调候候选不自动等于全局主用神。</x:v>
      </x:c>
      <x:c r="AH65" s="68" t="str">
        <x:v>当“调候五行同时属于M14/M15格局所需或能保护核心格神”真实成立，且调候机制能改善主要气候问题时，可按“调候候选维护格局时可提高优先级”记录。</x:v>
      </x:c>
      <x:c r="AI65" s="90" t="str">
        <x:v>仅见月份或表面五行标签，但未满足“调候五行同时属于M14/M15格局所需或能保护核心格神”及必要修正条件时，不得套用“调候候选维护格局时可提高优先级”。</x:v>
      </x:c>
      <x:c r="AJ65" s="82" t="str">
        <x:v>采用</x:v>
      </x:c>
      <x:c r="AK65" s="82" t="str">
        <x:v>初审</x:v>
      </x:c>
      <x:c r="AL65" s="87" t="n">
        <x:v>46255</x:v>
      </x:c>
    </x:row>
    <x:row r="66">
      <x:c r="A66" s="72" t="str">
        <x:f>IF(OR(C66="",D66=""),"",B66&amp;"-"&amp;UPPER(C66)&amp;"-"&amp;TEXT(D66,"0000")&amp;"-"&amp;E66)</x:f>
        <x:v>M13-CONFLICT-0060-V1.0</x:v>
      </x:c>
      <x:c r="B66" s="74" t="str">
        <x:v>M13</x:v>
      </x:c>
      <x:c r="C66" s="74" t="str">
        <x:v>CONFLICT</x:v>
      </x:c>
      <x:c r="D66" s="215" t="n">
        <x:v>60</x:v>
      </x:c>
      <x:c r="E66" s="74" t="str">
        <x:v>V1.0</x:v>
      </x:c>
      <x:c r="F66" s="68" t="str">
        <x:v>调候候选破坏核心格局时不得直接作为主用</x:v>
      </x:c>
      <x:c r="G66" s="82" t="str">
        <x:v>结构层</x:v>
      </x:c>
      <x:c r="H66" s="82" t="str">
        <x:v>寒暖燥湿综合</x:v>
      </x:c>
      <x:c r="I66" s="68" t="str">
        <x:v>通用</x:v>
      </x:c>
      <x:c r="J66" s="68" t="str">
        <x:v>调候五行虽能改善气候，但会强克、合去或泄损核心格神</x:v>
      </x:c>
      <x:c r="K66" s="68" t="str">
        <x:v>待定</x:v>
      </x:c>
      <x:c r="L66" s="68" t="str">
        <x:v>待定</x:v>
      </x:c>
      <x:c r="M66" s="82" t="str">
        <x:v>待定</x:v>
      </x:c>
      <x:c r="N66" s="82" t="str">
        <x:v>待定</x:v>
      </x:c>
      <x:c r="O66" s="68" t="str">
        <x:v>调候与格局冲突</x:v>
      </x:c>
      <x:c r="P66" s="68" t="str">
        <x:v>调候五行</x:v>
      </x:c>
      <x:c r="Q66" s="68" t="str">
        <x:v>降级为条件性或寻找替代方案</x:v>
      </x:c>
      <x:c r="R66" s="82" t="str">
        <x:v>待定</x:v>
      </x:c>
      <x:c r="S66" s="82" t="str">
        <x:v>待定</x:v>
      </x:c>
      <x:c r="T66" s="82" t="str">
        <x:v>待定</x:v>
      </x:c>
      <x:c r="U66" s="82" t="str">
        <x:v>待定</x:v>
      </x:c>
      <x:c r="V66" s="82" t="str">
        <x:v>是</x:v>
      </x:c>
      <x:c r="W66" s="68" t="str">
        <x:v>M02基础映射、M08五行有效旺衰、M12流通卡点已完成</x:v>
      </x:c>
      <x:c r="X66" s="68" t="str">
        <x:v>月令基准与全局有效五行均已核查</x:v>
      </x:c>
      <x:c r="Y66" s="68" t="str">
        <x:v>相关调候五行有根有源、透达且能真实改善关键气候问题</x:v>
      </x:c>
      <x:c r="Z66" s="68" t="str">
        <x:v>调候五行无根、受强制、被合绊、改性或加入后产生新的寒热燥湿问题</x:v>
      </x:c>
      <x:c r="AA66" s="90" t="str">
        <x:v>不得只凭出生月份或某一五行数量直接下最终调候结论</x:v>
      </x:c>
      <x:c r="AB66" s="68" t="str">
        <x:v>特殊格局、核心格局用神或更高优先级病药约束转M16—M18裁决</x:v>
      </x:c>
      <x:c r="AC66" s="84" t="str">
        <x:v>调候破格冲突</x:v>
      </x:c>
      <x:c r="AD66" s="84" t="str">
        <x:v>调候候选破坏核心格局时不得直接作为主用：温度轴判“待定”，湿度轴判“待定”；调候候选为“调候五行”，是否成为最终用神仍转M16—M18。</x:v>
      </x:c>
      <x:c r="AE66" s="82" t="str">
        <x:v>较高</x:v>
      </x:c>
      <x:c r="AF66" s="82" t="str">
        <x:v>调候</x:v>
      </x:c>
      <x:c r="AG66" s="68" t="str">
        <x:v>调候以月令气候为起点，但必须结合M08五行有效力量与M12流通状态修正；寒暖与燥湿分轴判断，调候候选不自动等于全局主用神。</x:v>
      </x:c>
      <x:c r="AH66" s="68" t="str">
        <x:v>当“调候五行虽能改善气候，但会强克、合去或泄损核心格神”真实成立，且调候机制能改善主要气候问题时，可按“调候候选破坏核心格局时不得直接作为主用”记录。</x:v>
      </x:c>
      <x:c r="AI66" s="90" t="str">
        <x:v>仅见月份或表面五行标签，但未满足“调候五行虽能改善气候，但会强克、合去或泄损核心格神”及必要修正条件时，不得套用“调候候选破坏核心格局时不得直接作为主用”。</x:v>
      </x:c>
      <x:c r="AJ66" s="82" t="str">
        <x:v>采用</x:v>
      </x:c>
      <x:c r="AK66" s="82" t="str">
        <x:v>初审</x:v>
      </x:c>
      <x:c r="AL66" s="87" t="n">
        <x:v>46255</x:v>
      </x:c>
    </x:row>
    <x:row r="67">
      <x:c r="A67" s="72" t="str">
        <x:f>IF(OR(C67="",D67=""),"",B67&amp;"-"&amp;UPPER(C67)&amp;"-"&amp;TEXT(D67,"0000")&amp;"-"&amp;E67)</x:f>
        <x:v>M13-CONFLICT-0061-V1.0</x:v>
      </x:c>
      <x:c r="B67" s="74" t="str">
        <x:v>M13</x:v>
      </x:c>
      <x:c r="C67" s="74" t="str">
        <x:v>CONFLICT</x:v>
      </x:c>
      <x:c r="D67" s="215" t="n">
        <x:v>61</x:v>
      </x:c>
      <x:c r="E67" s="74" t="str">
        <x:v>V1.0</x:v>
      </x:c>
      <x:c r="F67" s="68" t="str">
        <x:v>特殊格局严格成立时调候接受格局硬约束</x:v>
      </x:c>
      <x:c r="G67" s="82" t="str">
        <x:v>结构层</x:v>
      </x:c>
      <x:c r="H67" s="82" t="str">
        <x:v>寒暖燥湿综合</x:v>
      </x:c>
      <x:c r="I67" s="68" t="str">
        <x:v>通用</x:v>
      </x:c>
      <x:c r="J67" s="68" t="str">
        <x:v>M14/M15后续确认从格、化气等特殊格局严格成立</x:v>
      </x:c>
      <x:c r="K67" s="68" t="str">
        <x:v>待定</x:v>
      </x:c>
      <x:c r="L67" s="68" t="str">
        <x:v>待定</x:v>
      </x:c>
      <x:c r="M67" s="82" t="str">
        <x:v>待定</x:v>
      </x:c>
      <x:c r="N67" s="82" t="str">
        <x:v>待定</x:v>
      </x:c>
      <x:c r="O67" s="68" t="str">
        <x:v>普通调候可能破坏特殊格局气势</x:v>
      </x:c>
      <x:c r="P67" s="68" t="str">
        <x:v>待定</x:v>
      </x:c>
      <x:c r="Q67" s="68" t="str">
        <x:v>以不破特殊格局为前提</x:v>
      </x:c>
      <x:c r="R67" s="82" t="str">
        <x:v>待定</x:v>
      </x:c>
      <x:c r="S67" s="82" t="str">
        <x:v>待定</x:v>
      </x:c>
      <x:c r="T67" s="82" t="str">
        <x:v>待定</x:v>
      </x:c>
      <x:c r="U67" s="82" t="str">
        <x:v>待定</x:v>
      </x:c>
      <x:c r="V67" s="82" t="str">
        <x:v>是</x:v>
      </x:c>
      <x:c r="W67" s="68" t="str">
        <x:v>M02基础映射、M08五行有效旺衰、M12流通卡点已完成</x:v>
      </x:c>
      <x:c r="X67" s="68" t="str">
        <x:v>月令基准与全局有效五行均已核查</x:v>
      </x:c>
      <x:c r="Y67" s="68" t="str">
        <x:v>相关调候五行有根有源、透达且能真实改善关键气候问题</x:v>
      </x:c>
      <x:c r="Z67" s="68" t="str">
        <x:v>调候五行无根、受强制、被合绊、改性或加入后产生新的寒热燥湿问题</x:v>
      </x:c>
      <x:c r="AA67" s="90" t="str">
        <x:v>不得只凭出生月份或某一五行数量直接下最终调候结论</x:v>
      </x:c>
      <x:c r="AB67" s="68" t="str">
        <x:v>特殊格局、核心格局用神或更高优先级病药约束转M16—M18裁决</x:v>
      </x:c>
      <x:c r="AC67" s="84" t="str">
        <x:v>特殊格局调候约束</x:v>
      </x:c>
      <x:c r="AD67" s="84" t="str">
        <x:v>特殊格局严格成立时调候接受格局硬约束：温度轴判“待定”，湿度轴判“待定”；调候候选为“待定”，是否成为最终用神仍转M16—M18。</x:v>
      </x:c>
      <x:c r="AE67" s="82" t="str">
        <x:v>较高</x:v>
      </x:c>
      <x:c r="AF67" s="82" t="str">
        <x:v>调候</x:v>
      </x:c>
      <x:c r="AG67" s="68" t="str">
        <x:v>调候以月令气候为起点，但必须结合M08五行有效力量与M12流通状态修正；寒暖与燥湿分轴判断，调候候选不自动等于全局主用神。</x:v>
      </x:c>
      <x:c r="AH67" s="68" t="str">
        <x:v>当“M14/M15后续确认从格、化气等特殊格局严格成立”真实成立，且调候机制能改善主要气候问题时，可按“特殊格局严格成立时调候接受格局硬约束”记录。</x:v>
      </x:c>
      <x:c r="AI67" s="90" t="str">
        <x:v>仅见月份或表面五行标签，但未满足“M14/M15后续确认从格、化气等特殊格局严格成立”及必要修正条件时，不得套用“特殊格局严格成立时调候接受格局硬约束”。</x:v>
      </x:c>
      <x:c r="AJ67" s="82" t="str">
        <x:v>采用</x:v>
      </x:c>
      <x:c r="AK67" s="82" t="str">
        <x:v>初审</x:v>
      </x:c>
      <x:c r="AL67" s="87" t="n">
        <x:v>46255</x:v>
      </x:c>
    </x:row>
    <x:row r="68">
      <x:c r="A68" s="72" t="str">
        <x:f>IF(OR(C68="",D68=""),"",B68&amp;"-"&amp;UPPER(C68)&amp;"-"&amp;TEXT(D68,"0000")&amp;"-"&amp;E68)</x:f>
        <x:v>M13-CONFLICT-0062-V1.0</x:v>
      </x:c>
      <x:c r="B68" s="74" t="str">
        <x:v>M13</x:v>
      </x:c>
      <x:c r="C68" s="74" t="str">
        <x:v>CONFLICT</x:v>
      </x:c>
      <x:c r="D68" s="215" t="n">
        <x:v>62</x:v>
      </x:c>
      <x:c r="E68" s="74" t="str">
        <x:v>V1.0</x:v>
      </x:c>
      <x:c r="F68" s="68" t="str">
        <x:v>通关与调候同一五行时形成高价值复合候选</x:v>
      </x:c>
      <x:c r="G68" s="82" t="str">
        <x:v>结构层</x:v>
      </x:c>
      <x:c r="H68" s="82" t="str">
        <x:v>寒暖燥湿综合</x:v>
      </x:c>
      <x:c r="I68" s="68" t="str">
        <x:v>通用</x:v>
      </x:c>
      <x:c r="J68" s="68" t="str">
        <x:v>M12通关候选与M13调候候选五行一致，且无重大格局副作用</x:v>
      </x:c>
      <x:c r="K68" s="68" t="str">
        <x:v>待定</x:v>
      </x:c>
      <x:c r="L68" s="68" t="str">
        <x:v>待定</x:v>
      </x:c>
      <x:c r="M68" s="82" t="str">
        <x:v>待定</x:v>
      </x:c>
      <x:c r="N68" s="82" t="str">
        <x:v>待定</x:v>
      </x:c>
      <x:c r="O68" s="68" t="str">
        <x:v>同时解决流通和气候问题</x:v>
      </x:c>
      <x:c r="P68" s="68" t="str">
        <x:v>同一五行</x:v>
      </x:c>
      <x:c r="Q68" s="68" t="str">
        <x:v>通关＋调候复合</x:v>
      </x:c>
      <x:c r="R68" s="82" t="str">
        <x:v>待定</x:v>
      </x:c>
      <x:c r="S68" s="82" t="str">
        <x:v>待定</x:v>
      </x:c>
      <x:c r="T68" s="82" t="str">
        <x:v>高</x:v>
      </x:c>
      <x:c r="U68" s="82" t="str">
        <x:v>否</x:v>
      </x:c>
      <x:c r="V68" s="82" t="str">
        <x:v>否</x:v>
      </x:c>
      <x:c r="W68" s="68" t="str">
        <x:v>M02基础映射、M08五行有效旺衰、M12流通卡点已完成</x:v>
      </x:c>
      <x:c r="X68" s="68" t="str">
        <x:v>月令基准与全局有效五行均已核查</x:v>
      </x:c>
      <x:c r="Y68" s="68" t="str">
        <x:v>相关调候五行有根有源、透达且能真实改善关键气候问题</x:v>
      </x:c>
      <x:c r="Z68" s="68" t="str">
        <x:v>调候五行无根、受强制、被合绊、改性或加入后产生新的寒热燥湿问题</x:v>
      </x:c>
      <x:c r="AA68" s="90" t="str">
        <x:v>不得只凭出生月份或某一五行数量直接下最终调候结论</x:v>
      </x:c>
      <x:c r="AB68" s="68" t="str">
        <x:v>特殊格局、核心格局用神或更高优先级病药约束转M16—M18裁决</x:v>
      </x:c>
      <x:c r="AC68" s="84" t="str">
        <x:v>通关调候一致</x:v>
      </x:c>
      <x:c r="AD68" s="84" t="str">
        <x:v>通关与调候同一五行时形成高价值复合候选：温度轴判“待定”，湿度轴判“待定”；调候候选为“同一五行”，是否成为最终用神仍转M16—M18。</x:v>
      </x:c>
      <x:c r="AE68" s="82" t="str">
        <x:v>较高</x:v>
      </x:c>
      <x:c r="AF68" s="82" t="str">
        <x:v>调候</x:v>
      </x:c>
      <x:c r="AG68" s="68" t="str">
        <x:v>调候以月令气候为起点，但必须结合M08五行有效力量与M12流通状态修正；寒暖与燥湿分轴判断，调候候选不自动等于全局主用神。</x:v>
      </x:c>
      <x:c r="AH68" s="68" t="str">
        <x:v>当“M12通关候选与M13调候候选五行一致，且无重大格局副作用”真实成立，且调候机制能改善主要气候问题时，可按“通关与调候同一五行时形成高价值复合候选”记录。</x:v>
      </x:c>
      <x:c r="AI68" s="90" t="str">
        <x:v>仅见月份或表面五行标签，但未满足“M12通关候选与M13调候候选五行一致，且无重大格局副作用”及必要修正条件时，不得套用“通关与调候同一五行时形成高价值复合候选”。</x:v>
      </x:c>
      <x:c r="AJ68" s="82" t="str">
        <x:v>采用</x:v>
      </x:c>
      <x:c r="AK68" s="82" t="str">
        <x:v>初审</x:v>
      </x:c>
      <x:c r="AL68" s="87" t="n">
        <x:v>46255</x:v>
      </x:c>
    </x:row>
    <x:row r="69">
      <x:c r="A69" s="72" t="str">
        <x:f>IF(OR(C69="",D69=""),"",B69&amp;"-"&amp;UPPER(C69)&amp;"-"&amp;TEXT(D69,"0000")&amp;"-"&amp;E69)</x:f>
        <x:v>M13-CONFLICT-0063-V1.0</x:v>
      </x:c>
      <x:c r="B69" s="74" t="str">
        <x:v>M13</x:v>
      </x:c>
      <x:c r="C69" s="74" t="str">
        <x:v>CONFLICT</x:v>
      </x:c>
      <x:c r="D69" s="215" t="n">
        <x:v>63</x:v>
      </x:c>
      <x:c r="E69" s="74" t="str">
        <x:v>V1.0</x:v>
      </x:c>
      <x:c r="F69" s="68" t="str">
        <x:v>通关有效但会恶化气候时必须降级</x:v>
      </x:c>
      <x:c r="G69" s="82" t="str">
        <x:v>结构层</x:v>
      </x:c>
      <x:c r="H69" s="82" t="str">
        <x:v>寒暖燥湿综合</x:v>
      </x:c>
      <x:c r="I69" s="68" t="str">
        <x:v>通用</x:v>
      </x:c>
      <x:c r="J69" s="68" t="str">
        <x:v>M12通关候选能解决两强相战，但会把原局推向极寒湿或极热燥</x:v>
      </x:c>
      <x:c r="K69" s="68" t="str">
        <x:v>待定</x:v>
      </x:c>
      <x:c r="L69" s="68" t="str">
        <x:v>待定</x:v>
      </x:c>
      <x:c r="M69" s="82" t="str">
        <x:v>待定</x:v>
      </x:c>
      <x:c r="N69" s="82" t="str">
        <x:v>待定</x:v>
      </x:c>
      <x:c r="O69" s="68" t="str">
        <x:v>流通收益与气候副作用冲突</x:v>
      </x:c>
      <x:c r="P69" s="68" t="str">
        <x:v>通关五行</x:v>
      </x:c>
      <x:c r="Q69" s="68" t="str">
        <x:v>降低优先级或寻找替代桥梁</x:v>
      </x:c>
      <x:c r="R69" s="82" t="str">
        <x:v>待定</x:v>
      </x:c>
      <x:c r="S69" s="82" t="str">
        <x:v>待定</x:v>
      </x:c>
      <x:c r="T69" s="82" t="str">
        <x:v>待定</x:v>
      </x:c>
      <x:c r="U69" s="82" t="str">
        <x:v>待定</x:v>
      </x:c>
      <x:c r="V69" s="82" t="str">
        <x:v>条件性</x:v>
      </x:c>
      <x:c r="W69" s="68" t="str">
        <x:v>M02基础映射、M08五行有效旺衰、M12流通卡点已完成</x:v>
      </x:c>
      <x:c r="X69" s="68" t="str">
        <x:v>月令基准与全局有效五行均已核查</x:v>
      </x:c>
      <x:c r="Y69" s="68" t="str">
        <x:v>相关调候五行有根有源、透达且能真实改善关键气候问题</x:v>
      </x:c>
      <x:c r="Z69" s="68" t="str">
        <x:v>调候五行无根、受强制、被合绊、改性或加入后产生新的寒热燥湿问题</x:v>
      </x:c>
      <x:c r="AA69" s="90" t="str">
        <x:v>不得只凭出生月份或某一五行数量直接下最终调候结论</x:v>
      </x:c>
      <x:c r="AB69" s="68" t="str">
        <x:v>特殊格局、核心格局用神或更高优先级病药约束转M16—M18裁决</x:v>
      </x:c>
      <x:c r="AC69" s="84" t="str">
        <x:v>通关调候冲突</x:v>
      </x:c>
      <x:c r="AD69" s="84" t="str">
        <x:v>通关有效但会恶化气候时必须降级：温度轴判“待定”，湿度轴判“待定”；调候候选为“通关五行”，是否成为最终用神仍转M16—M18。</x:v>
      </x:c>
      <x:c r="AE69" s="82" t="str">
        <x:v>较高</x:v>
      </x:c>
      <x:c r="AF69" s="82" t="str">
        <x:v>调候</x:v>
      </x:c>
      <x:c r="AG69" s="68" t="str">
        <x:v>调候以月令气候为起点，但必须结合M08五行有效力量与M12流通状态修正；寒暖与燥湿分轴判断，调候候选不自动等于全局主用神。</x:v>
      </x:c>
      <x:c r="AH69" s="68" t="str">
        <x:v>当“M12通关候选能解决两强相战，但会把原局推向极寒湿或极热燥”真实成立，且调候机制能改善主要气候问题时，可按“通关有效但会恶化气候时必须降级”记录。</x:v>
      </x:c>
      <x:c r="AI69" s="90" t="str">
        <x:v>仅见月份或表面五行标签，但未满足“M12通关候选能解决两强相战，但会把原局推向极寒湿或极热燥”及必要修正条件时，不得套用“通关有效但会恶化气候时必须降级”。</x:v>
      </x:c>
      <x:c r="AJ69" s="82" t="str">
        <x:v>采用</x:v>
      </x:c>
      <x:c r="AK69" s="82" t="str">
        <x:v>初审</x:v>
      </x:c>
      <x:c r="AL69" s="87" t="n">
        <x:v>46255</x:v>
      </x:c>
    </x:row>
    <x:row r="70">
      <x:c r="A70" s="72" t="str">
        <x:f>IF(OR(C70="",D70=""),"",B70&amp;"-"&amp;UPPER(C70)&amp;"-"&amp;TEXT(D70,"0000")&amp;"-"&amp;E70)</x:f>
        <x:v>M13-CONFLICT-0064-V1.0</x:v>
      </x:c>
      <x:c r="B70" s="74" t="str">
        <x:v>M13</x:v>
      </x:c>
      <x:c r="C70" s="74" t="str">
        <x:v>CONFLICT</x:v>
      </x:c>
      <x:c r="D70" s="215" t="n">
        <x:v>64</x:v>
      </x:c>
      <x:c r="E70" s="74" t="str">
        <x:v>V1.0</x:v>
      </x:c>
      <x:c r="F70" s="68" t="str">
        <x:v>调候优先级只在气候成为根本病时上升到首要</x:v>
      </x:c>
      <x:c r="G70" s="82" t="str">
        <x:v>结构层</x:v>
      </x:c>
      <x:c r="H70" s="82" t="str">
        <x:v>寒暖燥湿综合</x:v>
      </x:c>
      <x:c r="I70" s="68" t="str">
        <x:v>通用</x:v>
      </x:c>
      <x:c r="J70" s="68" t="str">
        <x:v>气候失衡是M12多个卡点和M08功能受限的共同根因</x:v>
      </x:c>
      <x:c r="K70" s="68" t="str">
        <x:v>待定</x:v>
      </x:c>
      <x:c r="L70" s="68" t="str">
        <x:v>待定</x:v>
      </x:c>
      <x:c r="M70" s="82" t="str">
        <x:v>待定</x:v>
      </x:c>
      <x:c r="N70" s="82" t="str">
        <x:v>待定</x:v>
      </x:c>
      <x:c r="O70" s="68" t="str">
        <x:v>寒暖燥湿成为根本病而非表层现象</x:v>
      </x:c>
      <x:c r="P70" s="68" t="str">
        <x:v>对应调候五行</x:v>
      </x:c>
      <x:c r="Q70" s="68" t="str">
        <x:v>先恢复基础生化环境</x:v>
      </x:c>
      <x:c r="R70" s="82" t="str">
        <x:v>待定</x:v>
      </x:c>
      <x:c r="S70" s="82" t="str">
        <x:v>待定</x:v>
      </x:c>
      <x:c r="T70" s="82" t="str">
        <x:v>首要</x:v>
      </x:c>
      <x:c r="U70" s="82" t="str">
        <x:v>待定</x:v>
      </x:c>
      <x:c r="V70" s="82" t="str">
        <x:v>待定</x:v>
      </x:c>
      <x:c r="W70" s="68" t="str">
        <x:v>M02基础映射、M08五行有效旺衰、M12流通卡点已完成</x:v>
      </x:c>
      <x:c r="X70" s="68" t="str">
        <x:v>月令基准与全局有效五行均已核查</x:v>
      </x:c>
      <x:c r="Y70" s="68" t="str">
        <x:v>相关调候五行有根有源、透达且能真实改善关键气候问题</x:v>
      </x:c>
      <x:c r="Z70" s="68" t="str">
        <x:v>调候五行无根、受强制、被合绊、改性或加入后产生新的寒热燥湿问题</x:v>
      </x:c>
      <x:c r="AA70" s="90" t="str">
        <x:v>不得只凭出生月份或某一五行数量直接下最终调候结论</x:v>
      </x:c>
      <x:c r="AB70" s="68" t="str">
        <x:v>特殊格局、核心格局用神或更高优先级病药约束转M16—M18裁决</x:v>
      </x:c>
      <x:c r="AC70" s="84" t="str">
        <x:v>调候根本病升级</x:v>
      </x:c>
      <x:c r="AD70" s="84" t="str">
        <x:v>调候优先级只在气候成为根本病时上升到首要：温度轴判“待定”，湿度轴判“待定”；调候候选为“对应调候五行”，是否成为最终用神仍转M16—M18。</x:v>
      </x:c>
      <x:c r="AE70" s="82" t="str">
        <x:v>较高</x:v>
      </x:c>
      <x:c r="AF70" s="82" t="str">
        <x:v>调候</x:v>
      </x:c>
      <x:c r="AG70" s="68" t="str">
        <x:v>调候以月令气候为起点，但必须结合M08五行有效力量与M12流通状态修正；寒暖与燥湿分轴判断，调候候选不自动等于全局主用神。</x:v>
      </x:c>
      <x:c r="AH70" s="68" t="str">
        <x:v>当“气候失衡是M12多个卡点和M08功能受限的共同根因”真实成立，且调候机制能改善主要气候问题时，可按“调候优先级只在气候成为根本病时上升到首要”记录。</x:v>
      </x:c>
      <x:c r="AI70" s="90" t="str">
        <x:v>仅见月份或表面五行标签，但未满足“气候失衡是M12多个卡点和M08功能受限的共同根因”及必要修正条件时，不得套用“调候优先级只在气候成为根本病时上升到首要”。</x:v>
      </x:c>
      <x:c r="AJ70" s="82" t="str">
        <x:v>采用</x:v>
      </x:c>
      <x:c r="AK70" s="82" t="str">
        <x:v>初审</x:v>
      </x:c>
      <x:c r="AL70" s="87" t="n">
        <x:v>46255</x:v>
      </x:c>
    </x:row>
    <x:row r="71">
      <x:c r="A71" s="72" t="str">
        <x:f>IF(OR(C71="",D71=""),"",B71&amp;"-"&amp;UPPER(C71)&amp;"-"&amp;TEXT(D71,"0000")&amp;"-"&amp;E71)</x:f>
        <x:v>M13-BOUND-0065-V1.0</x:v>
      </x:c>
      <x:c r="B71" s="74" t="str">
        <x:v>M13</x:v>
      </x:c>
      <x:c r="C71" s="74" t="str">
        <x:v>BOUND</x:v>
      </x:c>
      <x:c r="D71" s="215" t="n">
        <x:v>65</x:v>
      </x:c>
      <x:c r="E71" s="74" t="str">
        <x:v>V1.0</x:v>
      </x:c>
      <x:c r="F71" s="68" t="str">
        <x:v>冬月不自动判极寒</x:v>
      </x:c>
      <x:c r="G71" s="82" t="str">
        <x:v>结构层</x:v>
      </x:c>
      <x:c r="H71" s="82" t="str">
        <x:v>寒暖燥湿综合</x:v>
      </x:c>
      <x:c r="I71" s="68" t="str">
        <x:v>通用</x:v>
      </x:c>
      <x:c r="J71" s="68" t="str">
        <x:v>冬月出生但火土有效、火有根有源且全局水势不强</x:v>
      </x:c>
      <x:c r="K71" s="68" t="str">
        <x:v>待定</x:v>
      </x:c>
      <x:c r="L71" s="68" t="str">
        <x:v>待定</x:v>
      </x:c>
      <x:c r="M71" s="82" t="str">
        <x:v>待定</x:v>
      </x:c>
      <x:c r="N71" s="82" t="str">
        <x:v>待定</x:v>
      </x:c>
      <x:c r="O71" s="68" t="str">
        <x:v>月份与全局可能相互抵消</x:v>
      </x:c>
      <x:c r="P71" s="68" t="str">
        <x:v>待定</x:v>
      </x:c>
      <x:c r="Q71" s="68" t="str">
        <x:v>需按全局修正</x:v>
      </x:c>
      <x:c r="R71" s="82" t="str">
        <x:v>待定</x:v>
      </x:c>
      <x:c r="S71" s="82" t="str">
        <x:v>待定</x:v>
      </x:c>
      <x:c r="T71" s="82" t="str">
        <x:v>待定</x:v>
      </x:c>
      <x:c r="U71" s="82" t="str">
        <x:v>待定</x:v>
      </x:c>
      <x:c r="V71" s="82" t="str">
        <x:v>待定</x:v>
      </x:c>
      <x:c r="W71" s="68" t="str">
        <x:v>M02基础映射、M08五行有效旺衰、M12流通卡点已完成</x:v>
      </x:c>
      <x:c r="X71" s="68" t="str">
        <x:v>月令基准与全局有效五行均已核查</x:v>
      </x:c>
      <x:c r="Y71" s="68" t="str">
        <x:v>相关调候五行有根有源、透达且能真实改善关键气候问题</x:v>
      </x:c>
      <x:c r="Z71" s="68" t="str">
        <x:v>调候五行无根、受强制、被合绊、改性或加入后产生新的寒热燥湿问题</x:v>
      </x:c>
      <x:c r="AA71" s="90" t="str">
        <x:v>不得只因亥子丑月出生直接判极寒</x:v>
      </x:c>
      <x:c r="AB71" s="68" t="str">
        <x:v>特殊格局、核心格局用神或更高优先级病药约束转M16—M18裁决</x:v>
      </x:c>
      <x:c r="AC71" s="84" t="str">
        <x:v>冬月非自动极寒</x:v>
      </x:c>
      <x:c r="AD71" s="84" t="str">
        <x:v>冬月不自动判极寒：温度轴判“待定”，湿度轴判“待定”；调候候选为“待定”，是否成为最终用神仍转M16—M18。</x:v>
      </x:c>
      <x:c r="AE71" s="82" t="str">
        <x:v>较高</x:v>
      </x:c>
      <x:c r="AF71" s="82" t="str">
        <x:v>调候</x:v>
      </x:c>
      <x:c r="AG71" s="68" t="str">
        <x:v>调候以月令气候为起点，但必须结合M08五行有效力量与M12流通状态修正；寒暖与燥湿分轴判断，调候候选不自动等于全局主用神。</x:v>
      </x:c>
      <x:c r="AH71" s="68" t="str">
        <x:v>当“冬月出生但火土有效、火有根有源且全局水势不强”真实成立，且调候机制能改善主要气候问题时，可按“冬月不自动判极寒”记录。</x:v>
      </x:c>
      <x:c r="AI71" s="90" t="str">
        <x:v>仅见月份或表面五行标签，但未满足“冬月出生但火土有效、火有根有源且全局水势不强”及必要修正条件时，不得套用“冬月不自动判极寒”。</x:v>
      </x:c>
      <x:c r="AJ71" s="82" t="str">
        <x:v>采用</x:v>
      </x:c>
      <x:c r="AK71" s="82" t="str">
        <x:v>初审</x:v>
      </x:c>
      <x:c r="AL71" s="87" t="n">
        <x:v>46255</x:v>
      </x:c>
    </x:row>
    <x:row r="72">
      <x:c r="A72" s="72" t="str">
        <x:f>IF(OR(C72="",D72=""),"",B72&amp;"-"&amp;UPPER(C72)&amp;"-"&amp;TEXT(D72,"0000")&amp;"-"&amp;E72)</x:f>
        <x:v>M13-BOUND-0066-V1.0</x:v>
      </x:c>
      <x:c r="B72" s="74" t="str">
        <x:v>M13</x:v>
      </x:c>
      <x:c r="C72" s="74" t="str">
        <x:v>BOUND</x:v>
      </x:c>
      <x:c r="D72" s="215" t="n">
        <x:v>66</x:v>
      </x:c>
      <x:c r="E72" s="74" t="str">
        <x:v>V1.0</x:v>
      </x:c>
      <x:c r="F72" s="68" t="str">
        <x:v>夏月不自动判极热</x:v>
      </x:c>
      <x:c r="G72" s="82" t="str">
        <x:v>结构层</x:v>
      </x:c>
      <x:c r="H72" s="82" t="str">
        <x:v>寒暖燥湿综合</x:v>
      </x:c>
      <x:c r="I72" s="68" t="str">
        <x:v>通用</x:v>
      </x:c>
      <x:c r="J72" s="68" t="str">
        <x:v>夏月出生但水旺有根、火受制且湿土能调节</x:v>
      </x:c>
      <x:c r="K72" s="68" t="str">
        <x:v>待定</x:v>
      </x:c>
      <x:c r="L72" s="68" t="str">
        <x:v>待定</x:v>
      </x:c>
      <x:c r="M72" s="82" t="str">
        <x:v>待定</x:v>
      </x:c>
      <x:c r="N72" s="82" t="str">
        <x:v>待定</x:v>
      </x:c>
      <x:c r="O72" s="68" t="str">
        <x:v>月份热势可能被全局水势修正</x:v>
      </x:c>
      <x:c r="P72" s="68" t="str">
        <x:v>待定</x:v>
      </x:c>
      <x:c r="Q72" s="68" t="str">
        <x:v>需按全局修正</x:v>
      </x:c>
      <x:c r="R72" s="82" t="str">
        <x:v>待定</x:v>
      </x:c>
      <x:c r="S72" s="82" t="str">
        <x:v>待定</x:v>
      </x:c>
      <x:c r="T72" s="82" t="str">
        <x:v>待定</x:v>
      </x:c>
      <x:c r="U72" s="82" t="str">
        <x:v>待定</x:v>
      </x:c>
      <x:c r="V72" s="82" t="str">
        <x:v>待定</x:v>
      </x:c>
      <x:c r="W72" s="68" t="str">
        <x:v>M02基础映射、M08五行有效旺衰、M12流通卡点已完成</x:v>
      </x:c>
      <x:c r="X72" s="68" t="str">
        <x:v>月令基准与全局有效五行均已核查</x:v>
      </x:c>
      <x:c r="Y72" s="68" t="str">
        <x:v>相关调候五行有根有源、透达且能真实改善关键气候问题</x:v>
      </x:c>
      <x:c r="Z72" s="68" t="str">
        <x:v>调候五行无根、受强制、被合绊、改性或加入后产生新的寒热燥湿问题</x:v>
      </x:c>
      <x:c r="AA72" s="90" t="str">
        <x:v>不得只因巳午未月出生直接判极热</x:v>
      </x:c>
      <x:c r="AB72" s="68" t="str">
        <x:v>特殊格局、核心格局用神或更高优先级病药约束转M16—M18裁决</x:v>
      </x:c>
      <x:c r="AC72" s="84" t="str">
        <x:v>夏月非自动极热</x:v>
      </x:c>
      <x:c r="AD72" s="84" t="str">
        <x:v>夏月不自动判极热：温度轴判“待定”，湿度轴判“待定”；调候候选为“待定”，是否成为最终用神仍转M16—M18。</x:v>
      </x:c>
      <x:c r="AE72" s="82" t="str">
        <x:v>较高</x:v>
      </x:c>
      <x:c r="AF72" s="82" t="str">
        <x:v>调候</x:v>
      </x:c>
      <x:c r="AG72" s="68" t="str">
        <x:v>调候以月令气候为起点，但必须结合M08五行有效力量与M12流通状态修正；寒暖与燥湿分轴判断，调候候选不自动等于全局主用神。</x:v>
      </x:c>
      <x:c r="AH72" s="68" t="str">
        <x:v>当“夏月出生但水旺有根、火受制且湿土能调节”真实成立，且调候机制能改善主要气候问题时，可按“夏月不自动判极热”记录。</x:v>
      </x:c>
      <x:c r="AI72" s="90" t="str">
        <x:v>仅见月份或表面五行标签，但未满足“夏月出生但水旺有根、火受制且湿土能调节”及必要修正条件时，不得套用“夏月不自动判极热”。</x:v>
      </x:c>
      <x:c r="AJ72" s="82" t="str">
        <x:v>采用</x:v>
      </x:c>
      <x:c r="AK72" s="82" t="str">
        <x:v>初审</x:v>
      </x:c>
      <x:c r="AL72" s="87" t="n">
        <x:v>46255</x:v>
      </x:c>
    </x:row>
    <x:row r="73">
      <x:c r="A73" s="72" t="str">
        <x:f>IF(OR(C73="",D73=""),"",B73&amp;"-"&amp;UPPER(C73)&amp;"-"&amp;TEXT(D73,"0000")&amp;"-"&amp;E73)</x:f>
        <x:v>M13-BOUND-0067-V1.0</x:v>
      </x:c>
      <x:c r="B73" s="74" t="str">
        <x:v>M13</x:v>
      </x:c>
      <x:c r="C73" s="74" t="str">
        <x:v>BOUND</x:v>
      </x:c>
      <x:c r="D73" s="215" t="n">
        <x:v>67</x:v>
      </x:c>
      <x:c r="E73" s="74" t="str">
        <x:v>V1.0</x:v>
      </x:c>
      <x:c r="F73" s="68" t="str">
        <x:v>调候需要某五行不等于越多越好</x:v>
      </x:c>
      <x:c r="G73" s="82" t="str">
        <x:v>结构层</x:v>
      </x:c>
      <x:c r="H73" s="82" t="str">
        <x:v>寒暖燥湿综合</x:v>
      </x:c>
      <x:c r="I73" s="68" t="str">
        <x:v>通用</x:v>
      </x:c>
      <x:c r="J73" s="68" t="str">
        <x:v>候选调候五行已能把气候推近平衡</x:v>
      </x:c>
      <x:c r="K73" s="68" t="str">
        <x:v>待定</x:v>
      </x:c>
      <x:c r="L73" s="68" t="str">
        <x:v>待定</x:v>
      </x:c>
      <x:c r="M73" s="82" t="str">
        <x:v>待定</x:v>
      </x:c>
      <x:c r="N73" s="82" t="str">
        <x:v>待定</x:v>
      </x:c>
      <x:c r="O73" s="68" t="str">
        <x:v>继续增强会越过平衡并制造反向病</x:v>
      </x:c>
      <x:c r="P73" s="68" t="str">
        <x:v>调候五行</x:v>
      </x:c>
      <x:c r="Q73" s="68" t="str">
        <x:v>控制强度</x:v>
      </x:c>
      <x:c r="R73" s="82" t="str">
        <x:v>待定</x:v>
      </x:c>
      <x:c r="S73" s="82" t="str">
        <x:v>过度</x:v>
      </x:c>
      <x:c r="T73" s="82" t="str">
        <x:v>待定</x:v>
      </x:c>
      <x:c r="U73" s="82" t="str">
        <x:v>待定</x:v>
      </x:c>
      <x:c r="V73" s="82" t="str">
        <x:v>待定</x:v>
      </x:c>
      <x:c r="W73" s="68" t="str">
        <x:v>M02基础映射、M08五行有效旺衰、M12流通卡点已完成</x:v>
      </x:c>
      <x:c r="X73" s="68" t="str">
        <x:v>月令基准与全局有效五行均已核查</x:v>
      </x:c>
      <x:c r="Y73" s="68" t="str">
        <x:v>相关调候五行有根有源、透达且能真实改善关键气候问题</x:v>
      </x:c>
      <x:c r="Z73" s="68" t="str">
        <x:v>调候五行无根、受强制、被合绊、改性或加入后产生新的寒热燥湿问题</x:v>
      </x:c>
      <x:c r="AA73" s="90" t="str">
        <x:v>不得只凭出生月份或某一五行数量直接下最终调候结论</x:v>
      </x:c>
      <x:c r="AB73" s="68" t="str">
        <x:v>特殊格局、核心格局用神或更高优先级病药约束转M16—M18裁决</x:v>
      </x:c>
      <x:c r="AC73" s="84" t="str">
        <x:v>调候剂量边界</x:v>
      </x:c>
      <x:c r="AD73" s="84" t="str">
        <x:v>调候需要某五行不等于越多越好：温度轴判“待定”，湿度轴判“待定”；调候候选为“调候五行”，是否成为最终用神仍转M16—M18。</x:v>
      </x:c>
      <x:c r="AE73" s="82" t="str">
        <x:v>较高</x:v>
      </x:c>
      <x:c r="AF73" s="82" t="str">
        <x:v>调候</x:v>
      </x:c>
      <x:c r="AG73" s="68" t="str">
        <x:v>调候以月令气候为起点，但必须结合M08五行有效力量与M12流通状态修正；寒暖与燥湿分轴判断，调候候选不自动等于全局主用神。</x:v>
      </x:c>
      <x:c r="AH73" s="68" t="str">
        <x:v>当“候选调候五行已能把气候推近平衡”真实成立，且调候机制能改善主要气候问题时，可按“调候需要某五行不等于越多越好”记录。</x:v>
      </x:c>
      <x:c r="AI73" s="90" t="str">
        <x:v>仅见月份或表面五行标签，但未满足“候选调候五行已能把气候推近平衡”及必要修正条件时，不得套用“调候需要某五行不等于越多越好”。</x:v>
      </x:c>
      <x:c r="AJ73" s="82" t="str">
        <x:v>采用</x:v>
      </x:c>
      <x:c r="AK73" s="82" t="str">
        <x:v>初审</x:v>
      </x:c>
      <x:c r="AL73" s="87" t="n">
        <x:v>46255</x:v>
      </x:c>
    </x:row>
    <x:row r="74">
      <x:c r="A74" s="72" t="str">
        <x:f>IF(OR(C74="",D74=""),"",B74&amp;"-"&amp;UPPER(C74)&amp;"-"&amp;TEXT(D74,"0000")&amp;"-"&amp;E74)</x:f>
        <x:v>M13-BOUND-0068-V1.0</x:v>
      </x:c>
      <x:c r="B74" s="74" t="str">
        <x:v>M13</x:v>
      </x:c>
      <x:c r="C74" s="74" t="str">
        <x:v>BOUND</x:v>
      </x:c>
      <x:c r="D74" s="215" t="n">
        <x:v>68</x:v>
      </x:c>
      <x:c r="E74" s="74" t="str">
        <x:v>V1.0</x:v>
      </x:c>
      <x:c r="F74" s="68" t="str">
        <x:v>湿土与燥土标签不得脱离全局使用</x:v>
      </x:c>
      <x:c r="G74" s="82" t="str">
        <x:v>结构层</x:v>
      </x:c>
      <x:c r="H74" s="82" t="str">
        <x:v>寒暖燥湿综合</x:v>
      </x:c>
      <x:c r="I74" s="68" t="str">
        <x:v>通用</x:v>
      </x:c>
      <x:c r="J74" s="68" t="str">
        <x:v>辰丑或未戌出现，但受到强火、水、合化或季令明显修正</x:v>
      </x:c>
      <x:c r="K74" s="68" t="str">
        <x:v>待定</x:v>
      </x:c>
      <x:c r="L74" s="68" t="str">
        <x:v>待定</x:v>
      </x:c>
      <x:c r="M74" s="82" t="str">
        <x:v>待定</x:v>
      </x:c>
      <x:c r="N74" s="82" t="str">
        <x:v>待定</x:v>
      </x:c>
      <x:c r="O74" s="68" t="str">
        <x:v>土性标签会被全局条件改变</x:v>
      </x:c>
      <x:c r="P74" s="68" t="str">
        <x:v>待定</x:v>
      </x:c>
      <x:c r="Q74" s="68" t="str">
        <x:v>按有效状态修正</x:v>
      </x:c>
      <x:c r="R74" s="82" t="str">
        <x:v>待定</x:v>
      </x:c>
      <x:c r="S74" s="82" t="str">
        <x:v>待定</x:v>
      </x:c>
      <x:c r="T74" s="82" t="str">
        <x:v>待定</x:v>
      </x:c>
      <x:c r="U74" s="82" t="str">
        <x:v>待定</x:v>
      </x:c>
      <x:c r="V74" s="82" t="str">
        <x:v>待定</x:v>
      </x:c>
      <x:c r="W74" s="68" t="str">
        <x:v>M02基础映射、M08五行有效旺衰、M12流通卡点已完成</x:v>
      </x:c>
      <x:c r="X74" s="68" t="str">
        <x:v>月令基准与全局有效五行均已核查</x:v>
      </x:c>
      <x:c r="Y74" s="68" t="str">
        <x:v>相关调候五行有根有源、透达且能真实改善关键气候问题</x:v>
      </x:c>
      <x:c r="Z74" s="68" t="str">
        <x:v>调候五行无根、受强制、被合绊、改性或加入后产生新的寒热燥湿问题</x:v>
      </x:c>
      <x:c r="AA74" s="90" t="str">
        <x:v>不得只凭出生月份或某一五行数量直接下最终调候结论</x:v>
      </x:c>
      <x:c r="AB74" s="68" t="str">
        <x:v>特殊格局、核心格局用神或更高优先级病药约束转M16—M18裁决</x:v>
      </x:c>
      <x:c r="AC74" s="84" t="str">
        <x:v>土性条件化</x:v>
      </x:c>
      <x:c r="AD74" s="84" t="str">
        <x:v>湿土与燥土标签不得脱离全局使用：温度轴判“待定”，湿度轴判“待定”；调候候选为“待定”，是否成为最终用神仍转M16—M18。</x:v>
      </x:c>
      <x:c r="AE74" s="82" t="str">
        <x:v>中等</x:v>
      </x:c>
      <x:c r="AF74" s="82" t="str">
        <x:v>调候</x:v>
      </x:c>
      <x:c r="AG74" s="68" t="str">
        <x:v>调候以月令气候为起点，但必须结合M08五行有效力量与M12流通状态修正；寒暖与燥湿分轴判断，调候候选不自动等于全局主用神。</x:v>
      </x:c>
      <x:c r="AH74" s="68" t="str">
        <x:v>当“辰丑或未戌出现，但受到强火、水、合化或季令明显修正”真实成立，且调候机制能改善主要气候问题时，可按“湿土与燥土标签不得脱离全局使用”记录。</x:v>
      </x:c>
      <x:c r="AI74" s="90" t="str">
        <x:v>仅见月份或表面五行标签，但未满足“辰丑或未戌出现，但受到强火、水、合化或季令明显修正”及必要修正条件时，不得套用“湿土与燥土标签不得脱离全局使用”。</x:v>
      </x:c>
      <x:c r="AJ74" s="82" t="str">
        <x:v>采用</x:v>
      </x:c>
      <x:c r="AK74" s="82" t="str">
        <x:v>初审</x:v>
      </x:c>
      <x:c r="AL74" s="87" t="n">
        <x:v>46255</x:v>
      </x:c>
    </x:row>
    <x:row r="75">
      <x:c r="A75" s="72" t="str">
        <x:f>IF(OR(C75="",D75=""),"",B75&amp;"-"&amp;UPPER(C75)&amp;"-"&amp;TEXT(D75,"0000")&amp;"-"&amp;E75)</x:f>
        <x:v>M13-BOUND-0069-V1.0</x:v>
      </x:c>
      <x:c r="B75" s="74" t="str">
        <x:v>M13</x:v>
      </x:c>
      <x:c r="C75" s="74" t="str">
        <x:v>BOUND</x:v>
      </x:c>
      <x:c r="D75" s="215" t="n">
        <x:v>69</x:v>
      </x:c>
      <x:c r="E75" s="74" t="str">
        <x:v>V1.0</x:v>
      </x:c>
      <x:c r="F75" s="68" t="str">
        <x:v>寒暖燥湿不能直接推出身体疾病或现实事件</x:v>
      </x:c>
      <x:c r="G75" s="82" t="str">
        <x:v>结构层</x:v>
      </x:c>
      <x:c r="H75" s="82" t="str">
        <x:v>寒暖燥湿综合</x:v>
      </x:c>
      <x:c r="I75" s="68" t="str">
        <x:v>通用</x:v>
      </x:c>
      <x:c r="J75" s="68" t="str">
        <x:v>M13完成气候判断</x:v>
      </x:c>
      <x:c r="K75" s="68" t="str">
        <x:v>待定</x:v>
      </x:c>
      <x:c r="L75" s="68" t="str">
        <x:v>待定</x:v>
      </x:c>
      <x:c r="M75" s="82" t="str">
        <x:v>待定</x:v>
      </x:c>
      <x:c r="N75" s="82" t="str">
        <x:v>待定</x:v>
      </x:c>
      <x:c r="O75" s="68" t="str">
        <x:v>调候结论仅为命局结构状态</x:v>
      </x:c>
      <x:c r="P75" s="68" t="str">
        <x:v>待定</x:v>
      </x:c>
      <x:c r="Q75" s="68" t="str">
        <x:v>上层应用另行解释</x:v>
      </x:c>
      <x:c r="R75" s="82" t="str">
        <x:v>待定</x:v>
      </x:c>
      <x:c r="S75" s="82" t="str">
        <x:v>待定</x:v>
      </x:c>
      <x:c r="T75" s="82" t="str">
        <x:v>待定</x:v>
      </x:c>
      <x:c r="U75" s="82" t="str">
        <x:v>待定</x:v>
      </x:c>
      <x:c r="V75" s="82" t="str">
        <x:v>待定</x:v>
      </x:c>
      <x:c r="W75" s="68" t="str">
        <x:v>M02基础映射、M08五行有效旺衰、M12流通卡点已完成</x:v>
      </x:c>
      <x:c r="X75" s="68" t="str">
        <x:v>月令基准与全局有效五行均已核查</x:v>
      </x:c>
      <x:c r="Y75" s="68" t="str">
        <x:v>相关调候五行有根有源、透达且能真实改善关键气候问题</x:v>
      </x:c>
      <x:c r="Z75" s="68" t="str">
        <x:v>调候五行无根、受强制、被合绊、改性或加入后产生新的寒热燥湿问题</x:v>
      </x:c>
      <x:c r="AA75" s="90" t="str">
        <x:v>不得只凭出生月份或某一五行数量直接下最终调候结论</x:v>
      </x:c>
      <x:c r="AB75" s="68" t="str">
        <x:v>特殊格局、核心格局用神或更高优先级病药约束转M16—M18裁决</x:v>
      </x:c>
      <x:c r="AC75" s="84" t="str">
        <x:v>调候事件边界</x:v>
      </x:c>
      <x:c r="AD75" s="84" t="str">
        <x:v>M13只输出结构性寒暖燥湿与调候需求，不直接断疾病、婚恋、财富或具体事件。</x:v>
      </x:c>
      <x:c r="AE75" s="82" t="str">
        <x:v>较高</x:v>
      </x:c>
      <x:c r="AF75" s="82" t="str">
        <x:v>调候</x:v>
      </x:c>
      <x:c r="AG75" s="68" t="str">
        <x:v>调候以月令气候为起点，但必须结合M08五行有效力量与M12流通状态修正；寒暖与燥湿分轴判断，调候候选不自动等于全局主用神。</x:v>
      </x:c>
      <x:c r="AH75" s="68" t="str">
        <x:v>当“M13完成气候判断”真实成立，且调候机制能改善主要气候问题时，可按“寒暖燥湿不能直接推出身体疾病或现实事件”记录。</x:v>
      </x:c>
      <x:c r="AI75" s="90" t="str">
        <x:v>仅见月份或表面五行标签，但未满足“M13完成气候判断”及必要修正条件时，不得套用“寒暖燥湿不能直接推出身体疾病或现实事件”。</x:v>
      </x:c>
      <x:c r="AJ75" s="82" t="str">
        <x:v>采用</x:v>
      </x:c>
      <x:c r="AK75" s="82" t="str">
        <x:v>初审</x:v>
      </x:c>
      <x:c r="AL75" s="87" t="n">
        <x:v>46255</x:v>
      </x:c>
    </x:row>
    <x:row r="76">
      <x:c r="A76" s="72" t="str">
        <x:f>IF(OR(C76="",D76=""),"",B76&amp;"-"&amp;UPPER(C76)&amp;"-"&amp;TEXT(D76,"0000")&amp;"-"&amp;E76)</x:f>
        <x:v>M13-BOUND-0070-V1.0</x:v>
      </x:c>
      <x:c r="B76" s="74" t="str">
        <x:v>M13</x:v>
      </x:c>
      <x:c r="C76" s="74" t="str">
        <x:v>BOUND</x:v>
      </x:c>
      <x:c r="D76" s="215" t="n">
        <x:v>70</x:v>
      </x:c>
      <x:c r="E76" s="74" t="str">
        <x:v>V1.0</x:v>
      </x:c>
      <x:c r="F76" s="68" t="str">
        <x:v>M13标准输出必须同时给出双轴、候选及冲突</x:v>
      </x:c>
      <x:c r="G76" s="82" t="str">
        <x:v>结构层</x:v>
      </x:c>
      <x:c r="H76" s="82" t="str">
        <x:v>寒暖燥湿综合</x:v>
      </x:c>
      <x:c r="I76" s="68" t="str">
        <x:v>通用</x:v>
      </x:c>
      <x:c r="J76" s="68" t="str">
        <x:v>完成所有寒暖燥湿规则评估</x:v>
      </x:c>
      <x:c r="K76" s="68" t="str">
        <x:v>待定</x:v>
      </x:c>
      <x:c r="L76" s="68" t="str">
        <x:v>待定</x:v>
      </x:c>
      <x:c r="M76" s="82" t="str">
        <x:v>待定</x:v>
      </x:c>
      <x:c r="N76" s="82" t="str">
        <x:v>待定</x:v>
      </x:c>
      <x:c r="O76" s="68" t="str">
        <x:v>需要可审计的调候结论</x:v>
      </x:c>
      <x:c r="P76" s="68" t="str">
        <x:v>待定</x:v>
      </x:c>
      <x:c r="Q76" s="68" t="str">
        <x:v>统一结构化输出</x:v>
      </x:c>
      <x:c r="R76" s="82" t="str">
        <x:v>待定</x:v>
      </x:c>
      <x:c r="S76" s="82" t="str">
        <x:v>待定</x:v>
      </x:c>
      <x:c r="T76" s="82" t="str">
        <x:v>待定</x:v>
      </x:c>
      <x:c r="U76" s="82" t="str">
        <x:v>待定</x:v>
      </x:c>
      <x:c r="V76" s="82" t="str">
        <x:v>待定</x:v>
      </x:c>
      <x:c r="W76" s="68" t="str">
        <x:v>M02基础映射、M08五行有效旺衰、M12流通卡点已完成</x:v>
      </x:c>
      <x:c r="X76" s="68" t="str">
        <x:v>月令基准与全局有效五行均已核查</x:v>
      </x:c>
      <x:c r="Y76" s="68" t="str">
        <x:v>相关调候五行有根有源、透达且能真实改善关键气候问题</x:v>
      </x:c>
      <x:c r="Z76" s="68" t="str">
        <x:v>调候五行无根、受强制、被合绊、改性或加入后产生新的寒热燥湿问题</x:v>
      </x:c>
      <x:c r="AA76" s="90" t="str">
        <x:v>不得只凭出生月份或某一五行数量直接下最终调候结论</x:v>
      </x:c>
      <x:c r="AB76" s="68" t="str">
        <x:v>特殊格局、核心格局用神或更高优先级病药约束转M16—M18裁决</x:v>
      </x:c>
      <x:c r="AC76" s="84" t="str">
        <x:v>M13标准输出</x:v>
      </x:c>
      <x:c r="AD76" s="84" t="str">
        <x:v>M13最终输出：温度状态、湿度状态、主要气候问题、调候候选五行、存在性、有效性、调候机制、紧急度、与扶抑冲突、与格局冲突、反向证据与置信度。</x:v>
      </x:c>
      <x:c r="AE76" s="82" t="str">
        <x:v>较高</x:v>
      </x:c>
      <x:c r="AF76" s="82" t="str">
        <x:v>调候</x:v>
      </x:c>
      <x:c r="AG76" s="68" t="str">
        <x:v>调候以月令气候为起点，但必须结合M08五行有效力量与M12流通状态修正；寒暖与燥湿分轴判断，调候候选不自动等于全局主用神。</x:v>
      </x:c>
      <x:c r="AH76" s="68" t="str">
        <x:v>当“完成所有寒暖燥湿规则评估”真实成立，且调候机制能改善主要气候问题时，可按“M13标准输出必须同时给出双轴、候选及冲突”记录。</x:v>
      </x:c>
      <x:c r="AI76" s="90" t="str">
        <x:v>仅见月份或表面五行标签，但未满足“完成所有寒暖燥湿规则评估”及必要修正条件时，不得套用“M13标准输出必须同时给出双轴、候选及冲突”。</x:v>
      </x:c>
      <x:c r="AJ76" s="82" t="str">
        <x:v>采用</x:v>
      </x:c>
      <x:c r="AK76" s="82" t="str">
        <x:v>初审</x:v>
      </x:c>
      <x:c r="AL76" s="87" t="n">
        <x:v>46255</x:v>
      </x:c>
    </x:row>
    <x:row r="77">
      <x:c r="A77" s="72" t="str">
        <x:f>IF(OR(C77="",D77=""),"",B77&amp;"-"&amp;UPPER(C77)&amp;"-"&amp;TEXT(D77,"0000")&amp;"-"&amp;E77)</x:f>
      </x:c>
      <x:c r="B77" s="74" t="str">
        <x:v>M13</x:v>
      </x:c>
      <x:c r="C77" s="74"/>
      <x:c r="D77" s="79"/>
      <x:c r="E77" s="74" t="str">
        <x:v>V1.0</x:v>
      </x:c>
      <x:c r="F77" s="68"/>
      <x:c r="G77" s="82"/>
      <x:c r="H77" s="82"/>
      <x:c r="I77" s="68"/>
      <x:c r="J77" s="68"/>
      <x:c r="K77" s="68"/>
      <x:c r="L77" s="68"/>
      <x:c r="M77" s="82"/>
      <x:c r="N77" s="82"/>
      <x:c r="O77" s="68"/>
      <x:c r="P77" s="68"/>
      <x:c r="Q77" s="68"/>
      <x:c r="R77" s="82"/>
      <x:c r="S77" s="82"/>
      <x:c r="T77" s="82"/>
      <x:c r="U77" s="82"/>
      <x:c r="V77" s="82"/>
      <x:c r="W77" s="68"/>
      <x:c r="X77" s="68"/>
      <x:c r="Y77" s="68"/>
      <x:c r="Z77" s="68"/>
      <x:c r="AA77" s="90"/>
      <x:c r="AB77" s="68"/>
      <x:c r="AC77" s="84"/>
      <x:c r="AD77" s="84"/>
      <x:c r="AE77" s="82"/>
      <x:c r="AF77" s="82"/>
      <x:c r="AG77" s="68"/>
      <x:c r="AH77" s="68"/>
      <x:c r="AI77" s="90"/>
      <x:c r="AJ77" s="82"/>
      <x:c r="AK77" s="82"/>
      <x:c r="AL77" s="87"/>
    </x:row>
    <x:row r="78">
      <x:c r="A78" s="72" t="str">
        <x:f>IF(OR(C78="",D78=""),"",B78&amp;"-"&amp;UPPER(C78)&amp;"-"&amp;TEXT(D78,"0000")&amp;"-"&amp;E78)</x:f>
      </x:c>
      <x:c r="B78" s="74" t="str">
        <x:v>M13</x:v>
      </x:c>
      <x:c r="C78" s="74"/>
      <x:c r="D78" s="79"/>
      <x:c r="E78" s="74" t="str">
        <x:v>V1.0</x:v>
      </x:c>
      <x:c r="F78" s="68"/>
      <x:c r="G78" s="82"/>
      <x:c r="H78" s="82"/>
      <x:c r="I78" s="68"/>
      <x:c r="J78" s="68"/>
      <x:c r="K78" s="68"/>
      <x:c r="L78" s="68"/>
      <x:c r="M78" s="82"/>
      <x:c r="N78" s="82"/>
      <x:c r="O78" s="68"/>
      <x:c r="P78" s="68"/>
      <x:c r="Q78" s="68"/>
      <x:c r="R78" s="82"/>
      <x:c r="S78" s="82"/>
      <x:c r="T78" s="82"/>
      <x:c r="U78" s="82"/>
      <x:c r="V78" s="82"/>
      <x:c r="W78" s="68"/>
      <x:c r="X78" s="68"/>
      <x:c r="Y78" s="68"/>
      <x:c r="Z78" s="68"/>
      <x:c r="AA78" s="90"/>
      <x:c r="AB78" s="68"/>
      <x:c r="AC78" s="84"/>
      <x:c r="AD78" s="84"/>
      <x:c r="AE78" s="82"/>
      <x:c r="AF78" s="82"/>
      <x:c r="AG78" s="68"/>
      <x:c r="AH78" s="68"/>
      <x:c r="AI78" s="90"/>
      <x:c r="AJ78" s="82"/>
      <x:c r="AK78" s="82"/>
      <x:c r="AL78" s="87"/>
    </x:row>
    <x:row r="79">
      <x:c r="A79" s="72" t="str">
        <x:f>IF(OR(C79="",D79=""),"",B79&amp;"-"&amp;UPPER(C79)&amp;"-"&amp;TEXT(D79,"0000")&amp;"-"&amp;E79)</x:f>
      </x:c>
      <x:c r="B79" s="74" t="str">
        <x:v>M13</x:v>
      </x:c>
      <x:c r="C79" s="74"/>
      <x:c r="D79" s="79"/>
      <x:c r="E79" s="74" t="str">
        <x:v>V1.0</x:v>
      </x:c>
      <x:c r="F79" s="68"/>
      <x:c r="G79" s="82"/>
      <x:c r="H79" s="82"/>
      <x:c r="I79" s="68"/>
      <x:c r="J79" s="68"/>
      <x:c r="K79" s="68"/>
      <x:c r="L79" s="68"/>
      <x:c r="M79" s="82"/>
      <x:c r="N79" s="82"/>
      <x:c r="O79" s="68"/>
      <x:c r="P79" s="68"/>
      <x:c r="Q79" s="68"/>
      <x:c r="R79" s="82"/>
      <x:c r="S79" s="82"/>
      <x:c r="T79" s="82"/>
      <x:c r="U79" s="82"/>
      <x:c r="V79" s="82"/>
      <x:c r="W79" s="68"/>
      <x:c r="X79" s="68"/>
      <x:c r="Y79" s="68"/>
      <x:c r="Z79" s="68"/>
      <x:c r="AA79" s="90"/>
      <x:c r="AB79" s="68"/>
      <x:c r="AC79" s="84"/>
      <x:c r="AD79" s="84"/>
      <x:c r="AE79" s="82"/>
      <x:c r="AF79" s="82"/>
      <x:c r="AG79" s="68"/>
      <x:c r="AH79" s="68"/>
      <x:c r="AI79" s="90"/>
      <x:c r="AJ79" s="82"/>
      <x:c r="AK79" s="82"/>
      <x:c r="AL79" s="87"/>
    </x:row>
    <x:row r="80">
      <x:c r="A80" s="72" t="str">
        <x:f>IF(OR(C80="",D80=""),"",B80&amp;"-"&amp;UPPER(C80)&amp;"-"&amp;TEXT(D80,"0000")&amp;"-"&amp;E80)</x:f>
      </x:c>
      <x:c r="B80" s="74" t="str">
        <x:v>M13</x:v>
      </x:c>
      <x:c r="C80" s="74"/>
      <x:c r="D80" s="79"/>
      <x:c r="E80" s="74" t="str">
        <x:v>V1.0</x:v>
      </x:c>
      <x:c r="F80" s="68"/>
      <x:c r="G80" s="82"/>
      <x:c r="H80" s="82"/>
      <x:c r="I80" s="68"/>
      <x:c r="J80" s="68"/>
      <x:c r="K80" s="68"/>
      <x:c r="L80" s="68"/>
      <x:c r="M80" s="82"/>
      <x:c r="N80" s="82"/>
      <x:c r="O80" s="68"/>
      <x:c r="P80" s="68"/>
      <x:c r="Q80" s="68"/>
      <x:c r="R80" s="82"/>
      <x:c r="S80" s="82"/>
      <x:c r="T80" s="82"/>
      <x:c r="U80" s="82"/>
      <x:c r="V80" s="82"/>
      <x:c r="W80" s="68"/>
      <x:c r="X80" s="68"/>
      <x:c r="Y80" s="68"/>
      <x:c r="Z80" s="68"/>
      <x:c r="AA80" s="90"/>
      <x:c r="AB80" s="68"/>
      <x:c r="AC80" s="84"/>
      <x:c r="AD80" s="84"/>
      <x:c r="AE80" s="82"/>
      <x:c r="AF80" s="82"/>
      <x:c r="AG80" s="68"/>
      <x:c r="AH80" s="68"/>
      <x:c r="AI80" s="90"/>
      <x:c r="AJ80" s="82"/>
      <x:c r="AK80" s="82"/>
      <x:c r="AL80" s="87"/>
    </x:row>
    <x:row r="81">
      <x:c r="A81" s="72" t="str">
        <x:f>IF(OR(C81="",D81=""),"",B81&amp;"-"&amp;UPPER(C81)&amp;"-"&amp;TEXT(D81,"0000")&amp;"-"&amp;E81)</x:f>
      </x:c>
      <x:c r="B81" s="74" t="str">
        <x:v>M13</x:v>
      </x:c>
      <x:c r="C81" s="74"/>
      <x:c r="D81" s="79"/>
      <x:c r="E81" s="74" t="str">
        <x:v>V1.0</x:v>
      </x:c>
      <x:c r="F81" s="68"/>
      <x:c r="G81" s="82"/>
      <x:c r="H81" s="82"/>
      <x:c r="I81" s="68"/>
      <x:c r="J81" s="68"/>
      <x:c r="K81" s="68"/>
      <x:c r="L81" s="68"/>
      <x:c r="M81" s="82"/>
      <x:c r="N81" s="82"/>
      <x:c r="O81" s="68"/>
      <x:c r="P81" s="68"/>
      <x:c r="Q81" s="68"/>
      <x:c r="R81" s="82"/>
      <x:c r="S81" s="82"/>
      <x:c r="T81" s="82"/>
      <x:c r="U81" s="82"/>
      <x:c r="V81" s="82"/>
      <x:c r="W81" s="68"/>
      <x:c r="X81" s="68"/>
      <x:c r="Y81" s="68"/>
      <x:c r="Z81" s="68"/>
      <x:c r="AA81" s="90"/>
      <x:c r="AB81" s="68"/>
      <x:c r="AC81" s="84"/>
      <x:c r="AD81" s="84"/>
      <x:c r="AE81" s="82"/>
      <x:c r="AF81" s="82"/>
      <x:c r="AG81" s="68"/>
      <x:c r="AH81" s="68"/>
      <x:c r="AI81" s="90"/>
      <x:c r="AJ81" s="82"/>
      <x:c r="AK81" s="82"/>
      <x:c r="AL81" s="87"/>
    </x:row>
    <x:row r="82">
      <x:c r="A82" s="72" t="str">
        <x:f>IF(OR(C82="",D82=""),"",B82&amp;"-"&amp;UPPER(C82)&amp;"-"&amp;TEXT(D82,"0000")&amp;"-"&amp;E82)</x:f>
      </x:c>
      <x:c r="B82" s="74" t="str">
        <x:v>M13</x:v>
      </x:c>
      <x:c r="C82" s="74"/>
      <x:c r="D82" s="79"/>
      <x:c r="E82" s="74" t="str">
        <x:v>V1.0</x:v>
      </x:c>
      <x:c r="F82" s="68"/>
      <x:c r="G82" s="82"/>
      <x:c r="H82" s="82"/>
      <x:c r="I82" s="68"/>
      <x:c r="J82" s="68"/>
      <x:c r="K82" s="68"/>
      <x:c r="L82" s="68"/>
      <x:c r="M82" s="82"/>
      <x:c r="N82" s="82"/>
      <x:c r="O82" s="68"/>
      <x:c r="P82" s="68"/>
      <x:c r="Q82" s="68"/>
      <x:c r="R82" s="82"/>
      <x:c r="S82" s="82"/>
      <x:c r="T82" s="82"/>
      <x:c r="U82" s="82"/>
      <x:c r="V82" s="82"/>
      <x:c r="W82" s="68"/>
      <x:c r="X82" s="68"/>
      <x:c r="Y82" s="68"/>
      <x:c r="Z82" s="68"/>
      <x:c r="AA82" s="90"/>
      <x:c r="AB82" s="68"/>
      <x:c r="AC82" s="84"/>
      <x:c r="AD82" s="84"/>
      <x:c r="AE82" s="82"/>
      <x:c r="AF82" s="82"/>
      <x:c r="AG82" s="68"/>
      <x:c r="AH82" s="68"/>
      <x:c r="AI82" s="90"/>
      <x:c r="AJ82" s="82"/>
      <x:c r="AK82" s="82"/>
      <x:c r="AL82" s="87"/>
    </x:row>
    <x:row r="83">
      <x:c r="A83" s="72" t="str">
        <x:f>IF(OR(C83="",D83=""),"",B83&amp;"-"&amp;UPPER(C83)&amp;"-"&amp;TEXT(D83,"0000")&amp;"-"&amp;E83)</x:f>
      </x:c>
      <x:c r="B83" s="74" t="str">
        <x:v>M13</x:v>
      </x:c>
      <x:c r="C83" s="74"/>
      <x:c r="D83" s="79"/>
      <x:c r="E83" s="74" t="str">
        <x:v>V1.0</x:v>
      </x:c>
      <x:c r="F83" s="68"/>
      <x:c r="G83" s="82"/>
      <x:c r="H83" s="82"/>
      <x:c r="I83" s="68"/>
      <x:c r="J83" s="68"/>
      <x:c r="K83" s="68"/>
      <x:c r="L83" s="68"/>
      <x:c r="M83" s="82"/>
      <x:c r="N83" s="82"/>
      <x:c r="O83" s="68"/>
      <x:c r="P83" s="68"/>
      <x:c r="Q83" s="68"/>
      <x:c r="R83" s="82"/>
      <x:c r="S83" s="82"/>
      <x:c r="T83" s="82"/>
      <x:c r="U83" s="82"/>
      <x:c r="V83" s="82"/>
      <x:c r="W83" s="68"/>
      <x:c r="X83" s="68"/>
      <x:c r="Y83" s="68"/>
      <x:c r="Z83" s="68"/>
      <x:c r="AA83" s="90"/>
      <x:c r="AB83" s="68"/>
      <x:c r="AC83" s="84"/>
      <x:c r="AD83" s="84"/>
      <x:c r="AE83" s="82"/>
      <x:c r="AF83" s="82"/>
      <x:c r="AG83" s="68"/>
      <x:c r="AH83" s="68"/>
      <x:c r="AI83" s="90"/>
      <x:c r="AJ83" s="82"/>
      <x:c r="AK83" s="82"/>
      <x:c r="AL83" s="87"/>
    </x:row>
    <x:row r="84">
      <x:c r="A84" s="72" t="str">
        <x:f>IF(OR(C84="",D84=""),"",B84&amp;"-"&amp;UPPER(C84)&amp;"-"&amp;TEXT(D84,"0000")&amp;"-"&amp;E84)</x:f>
      </x:c>
      <x:c r="B84" s="74" t="str">
        <x:v>M13</x:v>
      </x:c>
      <x:c r="C84" s="74"/>
      <x:c r="D84" s="79"/>
      <x:c r="E84" s="74" t="str">
        <x:v>V1.0</x:v>
      </x:c>
      <x:c r="F84" s="68"/>
      <x:c r="G84" s="82"/>
      <x:c r="H84" s="82"/>
      <x:c r="I84" s="68"/>
      <x:c r="J84" s="68"/>
      <x:c r="K84" s="68"/>
      <x:c r="L84" s="68"/>
      <x:c r="M84" s="82"/>
      <x:c r="N84" s="82"/>
      <x:c r="O84" s="68"/>
      <x:c r="P84" s="68"/>
      <x:c r="Q84" s="68"/>
      <x:c r="R84" s="82"/>
      <x:c r="S84" s="82"/>
      <x:c r="T84" s="82"/>
      <x:c r="U84" s="82"/>
      <x:c r="V84" s="82"/>
      <x:c r="W84" s="68"/>
      <x:c r="X84" s="68"/>
      <x:c r="Y84" s="68"/>
      <x:c r="Z84" s="68"/>
      <x:c r="AA84" s="90"/>
      <x:c r="AB84" s="68"/>
      <x:c r="AC84" s="84"/>
      <x:c r="AD84" s="84"/>
      <x:c r="AE84" s="82"/>
      <x:c r="AF84" s="82"/>
      <x:c r="AG84" s="68"/>
      <x:c r="AH84" s="68"/>
      <x:c r="AI84" s="90"/>
      <x:c r="AJ84" s="82"/>
      <x:c r="AK84" s="82"/>
      <x:c r="AL84" s="87"/>
    </x:row>
    <x:row r="85">
      <x:c r="A85" s="72" t="str">
        <x:f>IF(OR(C85="",D85=""),"",B85&amp;"-"&amp;UPPER(C85)&amp;"-"&amp;TEXT(D85,"0000")&amp;"-"&amp;E85)</x:f>
      </x:c>
      <x:c r="B85" s="74" t="str">
        <x:v>M13</x:v>
      </x:c>
      <x:c r="C85" s="74"/>
      <x:c r="D85" s="79"/>
      <x:c r="E85" s="74" t="str">
        <x:v>V1.0</x:v>
      </x:c>
      <x:c r="F85" s="68"/>
      <x:c r="G85" s="82"/>
      <x:c r="H85" s="82"/>
      <x:c r="I85" s="68"/>
      <x:c r="J85" s="68"/>
      <x:c r="K85" s="68"/>
      <x:c r="L85" s="68"/>
      <x:c r="M85" s="82"/>
      <x:c r="N85" s="82"/>
      <x:c r="O85" s="68"/>
      <x:c r="P85" s="68"/>
      <x:c r="Q85" s="68"/>
      <x:c r="R85" s="82"/>
      <x:c r="S85" s="82"/>
      <x:c r="T85" s="82"/>
      <x:c r="U85" s="82"/>
      <x:c r="V85" s="82"/>
      <x:c r="W85" s="68"/>
      <x:c r="X85" s="68"/>
      <x:c r="Y85" s="68"/>
      <x:c r="Z85" s="68"/>
      <x:c r="AA85" s="90"/>
      <x:c r="AB85" s="68"/>
      <x:c r="AC85" s="84"/>
      <x:c r="AD85" s="84"/>
      <x:c r="AE85" s="82"/>
      <x:c r="AF85" s="82"/>
      <x:c r="AG85" s="68"/>
      <x:c r="AH85" s="68"/>
      <x:c r="AI85" s="90"/>
      <x:c r="AJ85" s="82"/>
      <x:c r="AK85" s="82"/>
      <x:c r="AL85" s="87"/>
    </x:row>
    <x:row r="86">
      <x:c r="A86" s="72" t="str">
        <x:f>IF(OR(C86="",D86=""),"",B86&amp;"-"&amp;UPPER(C86)&amp;"-"&amp;TEXT(D86,"0000")&amp;"-"&amp;E86)</x:f>
      </x:c>
      <x:c r="B86" s="74" t="str">
        <x:v>M13</x:v>
      </x:c>
      <x:c r="C86" s="74"/>
      <x:c r="D86" s="79"/>
      <x:c r="E86" s="74" t="str">
        <x:v>V1.0</x:v>
      </x:c>
      <x:c r="F86" s="68"/>
      <x:c r="G86" s="82"/>
      <x:c r="H86" s="82"/>
      <x:c r="I86" s="68"/>
      <x:c r="J86" s="68"/>
      <x:c r="K86" s="68"/>
      <x:c r="L86" s="68"/>
      <x:c r="M86" s="82"/>
      <x:c r="N86" s="82"/>
      <x:c r="O86" s="68"/>
      <x:c r="P86" s="68"/>
      <x:c r="Q86" s="68"/>
      <x:c r="R86" s="82"/>
      <x:c r="S86" s="82"/>
      <x:c r="T86" s="82"/>
      <x:c r="U86" s="82"/>
      <x:c r="V86" s="82"/>
      <x:c r="W86" s="68"/>
      <x:c r="X86" s="68"/>
      <x:c r="Y86" s="68"/>
      <x:c r="Z86" s="68"/>
      <x:c r="AA86" s="90"/>
      <x:c r="AB86" s="68"/>
      <x:c r="AC86" s="84"/>
      <x:c r="AD86" s="84"/>
      <x:c r="AE86" s="82"/>
      <x:c r="AF86" s="82"/>
      <x:c r="AG86" s="68"/>
      <x:c r="AH86" s="68"/>
      <x:c r="AI86" s="90"/>
      <x:c r="AJ86" s="82"/>
      <x:c r="AK86" s="82"/>
      <x:c r="AL86" s="87"/>
    </x:row>
    <x:row r="87">
      <x:c r="A87" s="72" t="str">
        <x:f>IF(OR(C87="",D87=""),"",B87&amp;"-"&amp;UPPER(C87)&amp;"-"&amp;TEXT(D87,"0000")&amp;"-"&amp;E87)</x:f>
      </x:c>
      <x:c r="B87" s="74" t="str">
        <x:v>M13</x:v>
      </x:c>
      <x:c r="C87" s="74"/>
      <x:c r="D87" s="79"/>
      <x:c r="E87" s="74" t="str">
        <x:v>V1.0</x:v>
      </x:c>
      <x:c r="F87" s="68"/>
      <x:c r="G87" s="82"/>
      <x:c r="H87" s="82"/>
      <x:c r="I87" s="68"/>
      <x:c r="J87" s="68"/>
      <x:c r="K87" s="68"/>
      <x:c r="L87" s="68"/>
      <x:c r="M87" s="82"/>
      <x:c r="N87" s="82"/>
      <x:c r="O87" s="68"/>
      <x:c r="P87" s="68"/>
      <x:c r="Q87" s="68"/>
      <x:c r="R87" s="82"/>
      <x:c r="S87" s="82"/>
      <x:c r="T87" s="82"/>
      <x:c r="U87" s="82"/>
      <x:c r="V87" s="82"/>
      <x:c r="W87" s="68"/>
      <x:c r="X87" s="68"/>
      <x:c r="Y87" s="68"/>
      <x:c r="Z87" s="68"/>
      <x:c r="AA87" s="90"/>
      <x:c r="AB87" s="68"/>
      <x:c r="AC87" s="84"/>
      <x:c r="AD87" s="84"/>
      <x:c r="AE87" s="82"/>
      <x:c r="AF87" s="82"/>
      <x:c r="AG87" s="68"/>
      <x:c r="AH87" s="68"/>
      <x:c r="AI87" s="90"/>
      <x:c r="AJ87" s="82"/>
      <x:c r="AK87" s="82"/>
      <x:c r="AL87" s="87"/>
    </x:row>
    <x:row r="88">
      <x:c r="A88" s="72" t="str">
        <x:f>IF(OR(C88="",D88=""),"",B88&amp;"-"&amp;UPPER(C88)&amp;"-"&amp;TEXT(D88,"0000")&amp;"-"&amp;E88)</x:f>
      </x:c>
      <x:c r="B88" s="74" t="str">
        <x:v>M13</x:v>
      </x:c>
      <x:c r="C88" s="74"/>
      <x:c r="D88" s="79"/>
      <x:c r="E88" s="74" t="str">
        <x:v>V1.0</x:v>
      </x:c>
      <x:c r="F88" s="68"/>
      <x:c r="G88" s="82"/>
      <x:c r="H88" s="82"/>
      <x:c r="I88" s="68"/>
      <x:c r="J88" s="68"/>
      <x:c r="K88" s="68"/>
      <x:c r="L88" s="68"/>
      <x:c r="M88" s="82"/>
      <x:c r="N88" s="82"/>
      <x:c r="O88" s="68"/>
      <x:c r="P88" s="68"/>
      <x:c r="Q88" s="68"/>
      <x:c r="R88" s="82"/>
      <x:c r="S88" s="82"/>
      <x:c r="T88" s="82"/>
      <x:c r="U88" s="82"/>
      <x:c r="V88" s="82"/>
      <x:c r="W88" s="68"/>
      <x:c r="X88" s="68"/>
      <x:c r="Y88" s="68"/>
      <x:c r="Z88" s="68"/>
      <x:c r="AA88" s="90"/>
      <x:c r="AB88" s="68"/>
      <x:c r="AC88" s="84"/>
      <x:c r="AD88" s="84"/>
      <x:c r="AE88" s="82"/>
      <x:c r="AF88" s="82"/>
      <x:c r="AG88" s="68"/>
      <x:c r="AH88" s="68"/>
      <x:c r="AI88" s="90"/>
      <x:c r="AJ88" s="82"/>
      <x:c r="AK88" s="82"/>
      <x:c r="AL88" s="87"/>
    </x:row>
    <x:row r="89">
      <x:c r="A89" s="72" t="str">
        <x:f>IF(OR(C89="",D89=""),"",B89&amp;"-"&amp;UPPER(C89)&amp;"-"&amp;TEXT(D89,"0000")&amp;"-"&amp;E89)</x:f>
      </x:c>
      <x:c r="B89" s="74" t="str">
        <x:v>M13</x:v>
      </x:c>
      <x:c r="C89" s="74"/>
      <x:c r="D89" s="79"/>
      <x:c r="E89" s="74" t="str">
        <x:v>V1.0</x:v>
      </x:c>
      <x:c r="F89" s="68"/>
      <x:c r="G89" s="82"/>
      <x:c r="H89" s="82"/>
      <x:c r="I89" s="68"/>
      <x:c r="J89" s="68"/>
      <x:c r="K89" s="68"/>
      <x:c r="L89" s="68"/>
      <x:c r="M89" s="82"/>
      <x:c r="N89" s="82"/>
      <x:c r="O89" s="68"/>
      <x:c r="P89" s="68"/>
      <x:c r="Q89" s="68"/>
      <x:c r="R89" s="82"/>
      <x:c r="S89" s="82"/>
      <x:c r="T89" s="82"/>
      <x:c r="U89" s="82"/>
      <x:c r="V89" s="82"/>
      <x:c r="W89" s="68"/>
      <x:c r="X89" s="68"/>
      <x:c r="Y89" s="68"/>
      <x:c r="Z89" s="68"/>
      <x:c r="AA89" s="90"/>
      <x:c r="AB89" s="68"/>
      <x:c r="AC89" s="84"/>
      <x:c r="AD89" s="84"/>
      <x:c r="AE89" s="82"/>
      <x:c r="AF89" s="82"/>
      <x:c r="AG89" s="68"/>
      <x:c r="AH89" s="68"/>
      <x:c r="AI89" s="90"/>
      <x:c r="AJ89" s="82"/>
      <x:c r="AK89" s="82"/>
      <x:c r="AL89" s="87"/>
    </x:row>
    <x:row r="90">
      <x:c r="A90" s="72" t="str">
        <x:f>IF(OR(C90="",D90=""),"",B90&amp;"-"&amp;UPPER(C90)&amp;"-"&amp;TEXT(D90,"0000")&amp;"-"&amp;E90)</x:f>
      </x:c>
      <x:c r="B90" s="74" t="str">
        <x:v>M13</x:v>
      </x:c>
      <x:c r="C90" s="74"/>
      <x:c r="D90" s="79"/>
      <x:c r="E90" s="74" t="str">
        <x:v>V1.0</x:v>
      </x:c>
      <x:c r="F90" s="68"/>
      <x:c r="G90" s="82"/>
      <x:c r="H90" s="82"/>
      <x:c r="I90" s="68"/>
      <x:c r="J90" s="68"/>
      <x:c r="K90" s="68"/>
      <x:c r="L90" s="68"/>
      <x:c r="M90" s="82"/>
      <x:c r="N90" s="82"/>
      <x:c r="O90" s="68"/>
      <x:c r="P90" s="68"/>
      <x:c r="Q90" s="68"/>
      <x:c r="R90" s="82"/>
      <x:c r="S90" s="82"/>
      <x:c r="T90" s="82"/>
      <x:c r="U90" s="82"/>
      <x:c r="V90" s="82"/>
      <x:c r="W90" s="68"/>
      <x:c r="X90" s="68"/>
      <x:c r="Y90" s="68"/>
      <x:c r="Z90" s="68"/>
      <x:c r="AA90" s="90"/>
      <x:c r="AB90" s="68"/>
      <x:c r="AC90" s="84"/>
      <x:c r="AD90" s="84"/>
      <x:c r="AE90" s="82"/>
      <x:c r="AF90" s="82"/>
      <x:c r="AG90" s="68"/>
      <x:c r="AH90" s="68"/>
      <x:c r="AI90" s="90"/>
      <x:c r="AJ90" s="82"/>
      <x:c r="AK90" s="82"/>
      <x:c r="AL90" s="87"/>
    </x:row>
    <x:row r="91">
      <x:c r="A91" s="72" t="str">
        <x:f>IF(OR(C91="",D91=""),"",B91&amp;"-"&amp;UPPER(C91)&amp;"-"&amp;TEXT(D91,"0000")&amp;"-"&amp;E91)</x:f>
      </x:c>
      <x:c r="B91" s="74" t="str">
        <x:v>M13</x:v>
      </x:c>
      <x:c r="C91" s="74"/>
      <x:c r="D91" s="79"/>
      <x:c r="E91" s="74" t="str">
        <x:v>V1.0</x:v>
      </x:c>
      <x:c r="F91" s="68"/>
      <x:c r="G91" s="82"/>
      <x:c r="H91" s="82"/>
      <x:c r="I91" s="68"/>
      <x:c r="J91" s="68"/>
      <x:c r="K91" s="68"/>
      <x:c r="L91" s="68"/>
      <x:c r="M91" s="82"/>
      <x:c r="N91" s="82"/>
      <x:c r="O91" s="68"/>
      <x:c r="P91" s="68"/>
      <x:c r="Q91" s="68"/>
      <x:c r="R91" s="82"/>
      <x:c r="S91" s="82"/>
      <x:c r="T91" s="82"/>
      <x:c r="U91" s="82"/>
      <x:c r="V91" s="82"/>
      <x:c r="W91" s="68"/>
      <x:c r="X91" s="68"/>
      <x:c r="Y91" s="68"/>
      <x:c r="Z91" s="68"/>
      <x:c r="AA91" s="90"/>
      <x:c r="AB91" s="68"/>
      <x:c r="AC91" s="84"/>
      <x:c r="AD91" s="84"/>
      <x:c r="AE91" s="82"/>
      <x:c r="AF91" s="82"/>
      <x:c r="AG91" s="68"/>
      <x:c r="AH91" s="68"/>
      <x:c r="AI91" s="90"/>
      <x:c r="AJ91" s="82"/>
      <x:c r="AK91" s="82"/>
      <x:c r="AL91" s="87"/>
    </x:row>
    <x:row r="92">
      <x:c r="A92" s="72" t="str">
        <x:f>IF(OR(C92="",D92=""),"",B92&amp;"-"&amp;UPPER(C92)&amp;"-"&amp;TEXT(D92,"0000")&amp;"-"&amp;E92)</x:f>
      </x:c>
      <x:c r="B92" s="74" t="str">
        <x:v>M13</x:v>
      </x:c>
      <x:c r="C92" s="74"/>
      <x:c r="D92" s="79"/>
      <x:c r="E92" s="74" t="str">
        <x:v>V1.0</x:v>
      </x:c>
      <x:c r="F92" s="68"/>
      <x:c r="G92" s="82"/>
      <x:c r="H92" s="82"/>
      <x:c r="I92" s="68"/>
      <x:c r="J92" s="68"/>
      <x:c r="K92" s="68"/>
      <x:c r="L92" s="68"/>
      <x:c r="M92" s="82"/>
      <x:c r="N92" s="82"/>
      <x:c r="O92" s="68"/>
      <x:c r="P92" s="68"/>
      <x:c r="Q92" s="68"/>
      <x:c r="R92" s="82"/>
      <x:c r="S92" s="82"/>
      <x:c r="T92" s="82"/>
      <x:c r="U92" s="82"/>
      <x:c r="V92" s="82"/>
      <x:c r="W92" s="68"/>
      <x:c r="X92" s="68"/>
      <x:c r="Y92" s="68"/>
      <x:c r="Z92" s="68"/>
      <x:c r="AA92" s="90"/>
      <x:c r="AB92" s="68"/>
      <x:c r="AC92" s="84"/>
      <x:c r="AD92" s="84"/>
      <x:c r="AE92" s="82"/>
      <x:c r="AF92" s="82"/>
      <x:c r="AG92" s="68"/>
      <x:c r="AH92" s="68"/>
      <x:c r="AI92" s="90"/>
      <x:c r="AJ92" s="82"/>
      <x:c r="AK92" s="82"/>
      <x:c r="AL92" s="87"/>
    </x:row>
    <x:row r="93">
      <x:c r="A93" s="72" t="str">
        <x:f>IF(OR(C93="",D93=""),"",B93&amp;"-"&amp;UPPER(C93)&amp;"-"&amp;TEXT(D93,"0000")&amp;"-"&amp;E93)</x:f>
      </x:c>
      <x:c r="B93" s="74" t="str">
        <x:v>M13</x:v>
      </x:c>
      <x:c r="C93" s="74"/>
      <x:c r="D93" s="79"/>
      <x:c r="E93" s="74" t="str">
        <x:v>V1.0</x:v>
      </x:c>
      <x:c r="F93" s="68"/>
      <x:c r="G93" s="82"/>
      <x:c r="H93" s="82"/>
      <x:c r="I93" s="68"/>
      <x:c r="J93" s="68"/>
      <x:c r="K93" s="68"/>
      <x:c r="L93" s="68"/>
      <x:c r="M93" s="82"/>
      <x:c r="N93" s="82"/>
      <x:c r="O93" s="68"/>
      <x:c r="P93" s="68"/>
      <x:c r="Q93" s="68"/>
      <x:c r="R93" s="82"/>
      <x:c r="S93" s="82"/>
      <x:c r="T93" s="82"/>
      <x:c r="U93" s="82"/>
      <x:c r="V93" s="82"/>
      <x:c r="W93" s="68"/>
      <x:c r="X93" s="68"/>
      <x:c r="Y93" s="68"/>
      <x:c r="Z93" s="68"/>
      <x:c r="AA93" s="90"/>
      <x:c r="AB93" s="68"/>
      <x:c r="AC93" s="84"/>
      <x:c r="AD93" s="84"/>
      <x:c r="AE93" s="82"/>
      <x:c r="AF93" s="82"/>
      <x:c r="AG93" s="68"/>
      <x:c r="AH93" s="68"/>
      <x:c r="AI93" s="90"/>
      <x:c r="AJ93" s="82"/>
      <x:c r="AK93" s="82"/>
      <x:c r="AL93" s="87"/>
    </x:row>
    <x:row r="94">
      <x:c r="A94" s="72" t="str">
        <x:f>IF(OR(C94="",D94=""),"",B94&amp;"-"&amp;UPPER(C94)&amp;"-"&amp;TEXT(D94,"0000")&amp;"-"&amp;E94)</x:f>
      </x:c>
      <x:c r="B94" s="74" t="str">
        <x:v>M13</x:v>
      </x:c>
      <x:c r="C94" s="74"/>
      <x:c r="D94" s="79"/>
      <x:c r="E94" s="74" t="str">
        <x:v>V1.0</x:v>
      </x:c>
      <x:c r="F94" s="68"/>
      <x:c r="G94" s="82"/>
      <x:c r="H94" s="82"/>
      <x:c r="I94" s="68"/>
      <x:c r="J94" s="68"/>
      <x:c r="K94" s="68"/>
      <x:c r="L94" s="68"/>
      <x:c r="M94" s="82"/>
      <x:c r="N94" s="82"/>
      <x:c r="O94" s="68"/>
      <x:c r="P94" s="68"/>
      <x:c r="Q94" s="68"/>
      <x:c r="R94" s="82"/>
      <x:c r="S94" s="82"/>
      <x:c r="T94" s="82"/>
      <x:c r="U94" s="82"/>
      <x:c r="V94" s="82"/>
      <x:c r="W94" s="68"/>
      <x:c r="X94" s="68"/>
      <x:c r="Y94" s="68"/>
      <x:c r="Z94" s="68"/>
      <x:c r="AA94" s="90"/>
      <x:c r="AB94" s="68"/>
      <x:c r="AC94" s="84"/>
      <x:c r="AD94" s="84"/>
      <x:c r="AE94" s="82"/>
      <x:c r="AF94" s="82"/>
      <x:c r="AG94" s="68"/>
      <x:c r="AH94" s="68"/>
      <x:c r="AI94" s="90"/>
      <x:c r="AJ94" s="82"/>
      <x:c r="AK94" s="82"/>
      <x:c r="AL94" s="87"/>
    </x:row>
    <x:row r="95">
      <x:c r="A95" s="72" t="str">
        <x:f>IF(OR(C95="",D95=""),"",B95&amp;"-"&amp;UPPER(C95)&amp;"-"&amp;TEXT(D95,"0000")&amp;"-"&amp;E95)</x:f>
      </x:c>
      <x:c r="B95" s="74" t="str">
        <x:v>M13</x:v>
      </x:c>
      <x:c r="C95" s="74"/>
      <x:c r="D95" s="79"/>
      <x:c r="E95" s="74" t="str">
        <x:v>V1.0</x:v>
      </x:c>
      <x:c r="F95" s="68"/>
      <x:c r="G95" s="82"/>
      <x:c r="H95" s="82"/>
      <x:c r="I95" s="68"/>
      <x:c r="J95" s="68"/>
      <x:c r="K95" s="68"/>
      <x:c r="L95" s="68"/>
      <x:c r="M95" s="82"/>
      <x:c r="N95" s="82"/>
      <x:c r="O95" s="68"/>
      <x:c r="P95" s="68"/>
      <x:c r="Q95" s="68"/>
      <x:c r="R95" s="82"/>
      <x:c r="S95" s="82"/>
      <x:c r="T95" s="82"/>
      <x:c r="U95" s="82"/>
      <x:c r="V95" s="82"/>
      <x:c r="W95" s="68"/>
      <x:c r="X95" s="68"/>
      <x:c r="Y95" s="68"/>
      <x:c r="Z95" s="68"/>
      <x:c r="AA95" s="90"/>
      <x:c r="AB95" s="68"/>
      <x:c r="AC95" s="84"/>
      <x:c r="AD95" s="84"/>
      <x:c r="AE95" s="82"/>
      <x:c r="AF95" s="82"/>
      <x:c r="AG95" s="68"/>
      <x:c r="AH95" s="68"/>
      <x:c r="AI95" s="90"/>
      <x:c r="AJ95" s="82"/>
      <x:c r="AK95" s="82"/>
      <x:c r="AL95" s="87"/>
    </x:row>
    <x:row r="96">
      <x:c r="A96" s="72" t="str">
        <x:f>IF(OR(C96="",D96=""),"",B96&amp;"-"&amp;UPPER(C96)&amp;"-"&amp;TEXT(D96,"0000")&amp;"-"&amp;E96)</x:f>
      </x:c>
      <x:c r="B96" s="74" t="str">
        <x:v>M13</x:v>
      </x:c>
      <x:c r="C96" s="74"/>
      <x:c r="D96" s="79"/>
      <x:c r="E96" s="74" t="str">
        <x:v>V1.0</x:v>
      </x:c>
      <x:c r="F96" s="68"/>
      <x:c r="G96" s="82"/>
      <x:c r="H96" s="82"/>
      <x:c r="I96" s="68"/>
      <x:c r="J96" s="68"/>
      <x:c r="K96" s="68"/>
      <x:c r="L96" s="68"/>
      <x:c r="M96" s="82"/>
      <x:c r="N96" s="82"/>
      <x:c r="O96" s="68"/>
      <x:c r="P96" s="68"/>
      <x:c r="Q96" s="68"/>
      <x:c r="R96" s="82"/>
      <x:c r="S96" s="82"/>
      <x:c r="T96" s="82"/>
      <x:c r="U96" s="82"/>
      <x:c r="V96" s="82"/>
      <x:c r="W96" s="68"/>
      <x:c r="X96" s="68"/>
      <x:c r="Y96" s="68"/>
      <x:c r="Z96" s="68"/>
      <x:c r="AA96" s="90"/>
      <x:c r="AB96" s="68"/>
      <x:c r="AC96" s="84"/>
      <x:c r="AD96" s="84"/>
      <x:c r="AE96" s="82"/>
      <x:c r="AF96" s="82"/>
      <x:c r="AG96" s="68"/>
      <x:c r="AH96" s="68"/>
      <x:c r="AI96" s="90"/>
      <x:c r="AJ96" s="82"/>
      <x:c r="AK96" s="82"/>
      <x:c r="AL96" s="87"/>
    </x:row>
    <x:row r="97">
      <x:c r="A97" s="72" t="str">
        <x:f>IF(OR(C97="",D97=""),"",B97&amp;"-"&amp;UPPER(C97)&amp;"-"&amp;TEXT(D97,"0000")&amp;"-"&amp;E97)</x:f>
      </x:c>
      <x:c r="B97" s="74" t="str">
        <x:v>M13</x:v>
      </x:c>
      <x:c r="C97" s="74"/>
      <x:c r="D97" s="79"/>
      <x:c r="E97" s="74" t="str">
        <x:v>V1.0</x:v>
      </x:c>
      <x:c r="F97" s="68"/>
      <x:c r="G97" s="82"/>
      <x:c r="H97" s="82"/>
      <x:c r="I97" s="68"/>
      <x:c r="J97" s="68"/>
      <x:c r="K97" s="68"/>
      <x:c r="L97" s="68"/>
      <x:c r="M97" s="82"/>
      <x:c r="N97" s="82"/>
      <x:c r="O97" s="68"/>
      <x:c r="P97" s="68"/>
      <x:c r="Q97" s="68"/>
      <x:c r="R97" s="82"/>
      <x:c r="S97" s="82"/>
      <x:c r="T97" s="82"/>
      <x:c r="U97" s="82"/>
      <x:c r="V97" s="82"/>
      <x:c r="W97" s="68"/>
      <x:c r="X97" s="68"/>
      <x:c r="Y97" s="68"/>
      <x:c r="Z97" s="68"/>
      <x:c r="AA97" s="90"/>
      <x:c r="AB97" s="68"/>
      <x:c r="AC97" s="84"/>
      <x:c r="AD97" s="84"/>
      <x:c r="AE97" s="82"/>
      <x:c r="AF97" s="82"/>
      <x:c r="AG97" s="68"/>
      <x:c r="AH97" s="68"/>
      <x:c r="AI97" s="90"/>
      <x:c r="AJ97" s="82"/>
      <x:c r="AK97" s="82"/>
      <x:c r="AL97" s="87"/>
    </x:row>
    <x:row r="98">
      <x:c r="A98" s="72" t="str">
        <x:f>IF(OR(C98="",D98=""),"",B98&amp;"-"&amp;UPPER(C98)&amp;"-"&amp;TEXT(D98,"0000")&amp;"-"&amp;E98)</x:f>
      </x:c>
      <x:c r="B98" s="74" t="str">
        <x:v>M13</x:v>
      </x:c>
      <x:c r="C98" s="74"/>
      <x:c r="D98" s="79"/>
      <x:c r="E98" s="74" t="str">
        <x:v>V1.0</x:v>
      </x:c>
      <x:c r="F98" s="68"/>
      <x:c r="G98" s="82"/>
      <x:c r="H98" s="82"/>
      <x:c r="I98" s="68"/>
      <x:c r="J98" s="68"/>
      <x:c r="K98" s="68"/>
      <x:c r="L98" s="68"/>
      <x:c r="M98" s="82"/>
      <x:c r="N98" s="82"/>
      <x:c r="O98" s="68"/>
      <x:c r="P98" s="68"/>
      <x:c r="Q98" s="68"/>
      <x:c r="R98" s="82"/>
      <x:c r="S98" s="82"/>
      <x:c r="T98" s="82"/>
      <x:c r="U98" s="82"/>
      <x:c r="V98" s="82"/>
      <x:c r="W98" s="68"/>
      <x:c r="X98" s="68"/>
      <x:c r="Y98" s="68"/>
      <x:c r="Z98" s="68"/>
      <x:c r="AA98" s="90"/>
      <x:c r="AB98" s="68"/>
      <x:c r="AC98" s="84"/>
      <x:c r="AD98" s="84"/>
      <x:c r="AE98" s="82"/>
      <x:c r="AF98" s="82"/>
      <x:c r="AG98" s="68"/>
      <x:c r="AH98" s="68"/>
      <x:c r="AI98" s="90"/>
      <x:c r="AJ98" s="82"/>
      <x:c r="AK98" s="82"/>
      <x:c r="AL98" s="87"/>
    </x:row>
    <x:row r="99">
      <x:c r="A99" s="72" t="str">
        <x:f>IF(OR(C99="",D99=""),"",B99&amp;"-"&amp;UPPER(C99)&amp;"-"&amp;TEXT(D99,"0000")&amp;"-"&amp;E99)</x:f>
      </x:c>
      <x:c r="B99" s="74" t="str">
        <x:v>M13</x:v>
      </x:c>
      <x:c r="C99" s="74"/>
      <x:c r="D99" s="79"/>
      <x:c r="E99" s="74" t="str">
        <x:v>V1.0</x:v>
      </x:c>
      <x:c r="F99" s="68"/>
      <x:c r="G99" s="82"/>
      <x:c r="H99" s="82"/>
      <x:c r="I99" s="68"/>
      <x:c r="J99" s="68"/>
      <x:c r="K99" s="68"/>
      <x:c r="L99" s="68"/>
      <x:c r="M99" s="82"/>
      <x:c r="N99" s="82"/>
      <x:c r="O99" s="68"/>
      <x:c r="P99" s="68"/>
      <x:c r="Q99" s="68"/>
      <x:c r="R99" s="82"/>
      <x:c r="S99" s="82"/>
      <x:c r="T99" s="82"/>
      <x:c r="U99" s="82"/>
      <x:c r="V99" s="82"/>
      <x:c r="W99" s="68"/>
      <x:c r="X99" s="68"/>
      <x:c r="Y99" s="68"/>
      <x:c r="Z99" s="68"/>
      <x:c r="AA99" s="90"/>
      <x:c r="AB99" s="68"/>
      <x:c r="AC99" s="84"/>
      <x:c r="AD99" s="84"/>
      <x:c r="AE99" s="82"/>
      <x:c r="AF99" s="82"/>
      <x:c r="AG99" s="68"/>
      <x:c r="AH99" s="68"/>
      <x:c r="AI99" s="90"/>
      <x:c r="AJ99" s="82"/>
      <x:c r="AK99" s="82"/>
      <x:c r="AL99" s="87"/>
    </x:row>
    <x:row r="100">
      <x:c r="A100" s="72" t="str">
        <x:f>IF(OR(C100="",D100=""),"",B100&amp;"-"&amp;UPPER(C100)&amp;"-"&amp;TEXT(D100,"0000")&amp;"-"&amp;E100)</x:f>
      </x:c>
      <x:c r="B100" s="74" t="str">
        <x:v>M13</x:v>
      </x:c>
      <x:c r="C100" s="74"/>
      <x:c r="D100" s="79"/>
      <x:c r="E100" s="74" t="str">
        <x:v>V1.0</x:v>
      </x:c>
      <x:c r="F100" s="68"/>
      <x:c r="G100" s="82"/>
      <x:c r="H100" s="82"/>
      <x:c r="I100" s="68"/>
      <x:c r="J100" s="68"/>
      <x:c r="K100" s="68"/>
      <x:c r="L100" s="68"/>
      <x:c r="M100" s="82"/>
      <x:c r="N100" s="82"/>
      <x:c r="O100" s="68"/>
      <x:c r="P100" s="68"/>
      <x:c r="Q100" s="68"/>
      <x:c r="R100" s="82"/>
      <x:c r="S100" s="82"/>
      <x:c r="T100" s="82"/>
      <x:c r="U100" s="82"/>
      <x:c r="V100" s="82"/>
      <x:c r="W100" s="68"/>
      <x:c r="X100" s="68"/>
      <x:c r="Y100" s="68"/>
      <x:c r="Z100" s="68"/>
      <x:c r="AA100" s="90"/>
      <x:c r="AB100" s="68"/>
      <x:c r="AC100" s="84"/>
      <x:c r="AD100" s="84"/>
      <x:c r="AE100" s="82"/>
      <x:c r="AF100" s="82"/>
      <x:c r="AG100" s="68"/>
      <x:c r="AH100" s="68"/>
      <x:c r="AI100" s="90"/>
      <x:c r="AJ100" s="82"/>
      <x:c r="AK100" s="82"/>
      <x:c r="AL100" s="87"/>
    </x:row>
    <x:row r="101">
      <x:c r="A101" s="72" t="str">
        <x:f>IF(OR(C101="",D101=""),"",B101&amp;"-"&amp;UPPER(C101)&amp;"-"&amp;TEXT(D101,"0000")&amp;"-"&amp;E101)</x:f>
      </x:c>
      <x:c r="B101" s="74" t="str">
        <x:v>M13</x:v>
      </x:c>
      <x:c r="C101" s="74"/>
      <x:c r="D101" s="79"/>
      <x:c r="E101" s="74" t="str">
        <x:v>V1.0</x:v>
      </x:c>
      <x:c r="F101" s="68"/>
      <x:c r="G101" s="82"/>
      <x:c r="H101" s="82"/>
      <x:c r="I101" s="68"/>
      <x:c r="J101" s="68"/>
      <x:c r="K101" s="68"/>
      <x:c r="L101" s="68"/>
      <x:c r="M101" s="82"/>
      <x:c r="N101" s="82"/>
      <x:c r="O101" s="68"/>
      <x:c r="P101" s="68"/>
      <x:c r="Q101" s="68"/>
      <x:c r="R101" s="82"/>
      <x:c r="S101" s="82"/>
      <x:c r="T101" s="82"/>
      <x:c r="U101" s="82"/>
      <x:c r="V101" s="82"/>
      <x:c r="W101" s="68"/>
      <x:c r="X101" s="68"/>
      <x:c r="Y101" s="68"/>
      <x:c r="Z101" s="68"/>
      <x:c r="AA101" s="90"/>
      <x:c r="AB101" s="68"/>
      <x:c r="AC101" s="84"/>
      <x:c r="AD101" s="84"/>
      <x:c r="AE101" s="82"/>
      <x:c r="AF101" s="82"/>
      <x:c r="AG101" s="68"/>
      <x:c r="AH101" s="68"/>
      <x:c r="AI101" s="90"/>
      <x:c r="AJ101" s="82"/>
      <x:c r="AK101" s="82"/>
      <x:c r="AL101" s="87"/>
    </x:row>
    <x:row r="102">
      <x:c r="A102" s="72" t="str">
        <x:f>IF(OR(C102="",D102=""),"",B102&amp;"-"&amp;UPPER(C102)&amp;"-"&amp;TEXT(D102,"0000")&amp;"-"&amp;E102)</x:f>
      </x:c>
      <x:c r="B102" s="74" t="str">
        <x:v>M13</x:v>
      </x:c>
      <x:c r="C102" s="74"/>
      <x:c r="D102" s="79"/>
      <x:c r="E102" s="74" t="str">
        <x:v>V1.0</x:v>
      </x:c>
      <x:c r="F102" s="68"/>
      <x:c r="G102" s="82"/>
      <x:c r="H102" s="82"/>
      <x:c r="I102" s="68"/>
      <x:c r="J102" s="68"/>
      <x:c r="K102" s="68"/>
      <x:c r="L102" s="68"/>
      <x:c r="M102" s="82"/>
      <x:c r="N102" s="82"/>
      <x:c r="O102" s="68"/>
      <x:c r="P102" s="68"/>
      <x:c r="Q102" s="68"/>
      <x:c r="R102" s="82"/>
      <x:c r="S102" s="82"/>
      <x:c r="T102" s="82"/>
      <x:c r="U102" s="82"/>
      <x:c r="V102" s="82"/>
      <x:c r="W102" s="68"/>
      <x:c r="X102" s="68"/>
      <x:c r="Y102" s="68"/>
      <x:c r="Z102" s="68"/>
      <x:c r="AA102" s="90"/>
      <x:c r="AB102" s="68"/>
      <x:c r="AC102" s="84"/>
      <x:c r="AD102" s="84"/>
      <x:c r="AE102" s="82"/>
      <x:c r="AF102" s="82"/>
      <x:c r="AG102" s="68"/>
      <x:c r="AH102" s="68"/>
      <x:c r="AI102" s="90"/>
      <x:c r="AJ102" s="82"/>
      <x:c r="AK102" s="82"/>
      <x:c r="AL102" s="87"/>
    </x:row>
    <x:row r="103">
      <x:c r="A103" s="72" t="str">
        <x:f>IF(OR(C103="",D103=""),"",B103&amp;"-"&amp;UPPER(C103)&amp;"-"&amp;TEXT(D103,"0000")&amp;"-"&amp;E103)</x:f>
      </x:c>
      <x:c r="B103" s="74" t="str">
        <x:v>M13</x:v>
      </x:c>
      <x:c r="C103" s="74"/>
      <x:c r="D103" s="79"/>
      <x:c r="E103" s="74" t="str">
        <x:v>V1.0</x:v>
      </x:c>
      <x:c r="F103" s="68"/>
      <x:c r="G103" s="82"/>
      <x:c r="H103" s="82"/>
      <x:c r="I103" s="68"/>
      <x:c r="J103" s="68"/>
      <x:c r="K103" s="68"/>
      <x:c r="L103" s="68"/>
      <x:c r="M103" s="82"/>
      <x:c r="N103" s="82"/>
      <x:c r="O103" s="68"/>
      <x:c r="P103" s="68"/>
      <x:c r="Q103" s="68"/>
      <x:c r="R103" s="82"/>
      <x:c r="S103" s="82"/>
      <x:c r="T103" s="82"/>
      <x:c r="U103" s="82"/>
      <x:c r="V103" s="82"/>
      <x:c r="W103" s="68"/>
      <x:c r="X103" s="68"/>
      <x:c r="Y103" s="68"/>
      <x:c r="Z103" s="68"/>
      <x:c r="AA103" s="90"/>
      <x:c r="AB103" s="68"/>
      <x:c r="AC103" s="84"/>
      <x:c r="AD103" s="84"/>
      <x:c r="AE103" s="82"/>
      <x:c r="AF103" s="82"/>
      <x:c r="AG103" s="68"/>
      <x:c r="AH103" s="68"/>
      <x:c r="AI103" s="90"/>
      <x:c r="AJ103" s="82"/>
      <x:c r="AK103" s="82"/>
      <x:c r="AL103" s="87"/>
    </x:row>
    <x:row r="104">
      <x:c r="A104" s="72" t="str">
        <x:f>IF(OR(C104="",D104=""),"",B104&amp;"-"&amp;UPPER(C104)&amp;"-"&amp;TEXT(D104,"0000")&amp;"-"&amp;E104)</x:f>
      </x:c>
      <x:c r="B104" s="74" t="str">
        <x:v>M13</x:v>
      </x:c>
      <x:c r="C104" s="74"/>
      <x:c r="D104" s="79"/>
      <x:c r="E104" s="74" t="str">
        <x:v>V1.0</x:v>
      </x:c>
      <x:c r="F104" s="68"/>
      <x:c r="G104" s="82"/>
      <x:c r="H104" s="82"/>
      <x:c r="I104" s="68"/>
      <x:c r="J104" s="68"/>
      <x:c r="K104" s="68"/>
      <x:c r="L104" s="68"/>
      <x:c r="M104" s="82"/>
      <x:c r="N104" s="82"/>
      <x:c r="O104" s="68"/>
      <x:c r="P104" s="68"/>
      <x:c r="Q104" s="68"/>
      <x:c r="R104" s="82"/>
      <x:c r="S104" s="82"/>
      <x:c r="T104" s="82"/>
      <x:c r="U104" s="82"/>
      <x:c r="V104" s="82"/>
      <x:c r="W104" s="68"/>
      <x:c r="X104" s="68"/>
      <x:c r="Y104" s="68"/>
      <x:c r="Z104" s="68"/>
      <x:c r="AA104" s="90"/>
      <x:c r="AB104" s="68"/>
      <x:c r="AC104" s="84"/>
      <x:c r="AD104" s="84"/>
      <x:c r="AE104" s="82"/>
      <x:c r="AF104" s="82"/>
      <x:c r="AG104" s="68"/>
      <x:c r="AH104" s="68"/>
      <x:c r="AI104" s="90"/>
      <x:c r="AJ104" s="82"/>
      <x:c r="AK104" s="82"/>
      <x:c r="AL104" s="87"/>
    </x:row>
    <x:row r="105">
      <x:c r="A105" s="72" t="str">
        <x:f>IF(OR(C105="",D105=""),"",B105&amp;"-"&amp;UPPER(C105)&amp;"-"&amp;TEXT(D105,"0000")&amp;"-"&amp;E105)</x:f>
      </x:c>
      <x:c r="B105" s="74" t="str">
        <x:v>M13</x:v>
      </x:c>
      <x:c r="C105" s="74"/>
      <x:c r="D105" s="79"/>
      <x:c r="E105" s="74" t="str">
        <x:v>V1.0</x:v>
      </x:c>
      <x:c r="F105" s="68"/>
      <x:c r="G105" s="82"/>
      <x:c r="H105" s="82"/>
      <x:c r="I105" s="68"/>
      <x:c r="J105" s="68"/>
      <x:c r="K105" s="68"/>
      <x:c r="L105" s="68"/>
      <x:c r="M105" s="82"/>
      <x:c r="N105" s="82"/>
      <x:c r="O105" s="68"/>
      <x:c r="P105" s="68"/>
      <x:c r="Q105" s="68"/>
      <x:c r="R105" s="82"/>
      <x:c r="S105" s="82"/>
      <x:c r="T105" s="82"/>
      <x:c r="U105" s="82"/>
      <x:c r="V105" s="82"/>
      <x:c r="W105" s="68"/>
      <x:c r="X105" s="68"/>
      <x:c r="Y105" s="68"/>
      <x:c r="Z105" s="68"/>
      <x:c r="AA105" s="90"/>
      <x:c r="AB105" s="68"/>
      <x:c r="AC105" s="84"/>
      <x:c r="AD105" s="84"/>
      <x:c r="AE105" s="82"/>
      <x:c r="AF105" s="82"/>
      <x:c r="AG105" s="68"/>
      <x:c r="AH105" s="68"/>
      <x:c r="AI105" s="90"/>
      <x:c r="AJ105" s="82"/>
      <x:c r="AK105" s="82"/>
      <x:c r="AL105" s="87"/>
    </x:row>
  </x:sheetData>
  <x:mergeCells>
    <x:mergeCell ref="A1:O1"/>
    <x:mergeCell ref="A2:O2"/>
    <x:mergeCell ref="A3:O3"/>
    <x:mergeCell ref="A4:O4"/>
  </x:mergeCells>
  <x:conditionalFormatting sqref="A6:A105">
    <x:cfRule type="expression" dxfId="11" priority="1">
      <x:formula>AND(A6&lt;&gt;"",COUNTIF($A$6:$A$105,A6)&gt;1)</x:formula>
    </x:cfRule>
  </x:conditionalFormatting>
  <x:dataValidations count="30">
    <x:dataValidation type="list" sqref="E6:E105">
      <x:formula1>'99_下拉选项'!$BG$4:$BG$12</x:formula1>
    </x:dataValidation>
    <x:dataValidation type="list" sqref="G6:G105">
      <x:formula1>'99_下拉选项'!$F$4:$F$7</x:formula1>
    </x:dataValidation>
    <x:dataValidation type="list" sqref="H6:H105">
      <x:formula1>'99_下拉选项'!$AM$4:$AM$6</x:formula1>
    </x:dataValidation>
    <x:dataValidation type="list" sqref="M6:M105">
      <x:formula1>'99_下拉选项'!$AK$4:$AK$9</x:formula1>
    </x:dataValidation>
    <x:dataValidation type="list" sqref="N6:N105">
      <x:formula1>'99_下拉选项'!$AL$4:$AL$9</x:formula1>
    </x:dataValidation>
    <x:dataValidation type="list" sqref="R6:R105">
      <x:formula1>'99_下拉选项'!$X$4:$X$7</x:formula1>
    </x:dataValidation>
    <x:dataValidation type="list" sqref="S6:S105">
      <x:formula1>'99_下拉选项'!$W$4:$W$8</x:formula1>
    </x:dataValidation>
    <x:dataValidation type="list" sqref="T6:T105">
      <x:formula1>'99_下拉选项'!$AN$4:$AN$8</x:formula1>
    </x:dataValidation>
    <x:dataValidation type="list" sqref="U6:U105">
      <x:formula1>'99_下拉选项'!$X$4:$X$7</x:formula1>
    </x:dataValidation>
    <x:dataValidation type="list" sqref="V6:V105">
      <x:formula1>'99_下拉选项'!$X$4:$X$7</x:formula1>
    </x:dataValidation>
    <x:dataValidation type="list" sqref="AE6:AE105">
      <x:formula1>'99_下拉选项'!$Q$4:$Q$8</x:formula1>
    </x:dataValidation>
    <x:dataValidation type="list" sqref="AF6:AF105">
      <x:formula1>'99_下拉选项'!$R$4:$R$11</x:formula1>
    </x:dataValidation>
    <x:dataValidation type="list" sqref="AJ6:AJ105">
      <x:formula1>'99_下拉选项'!$S$4:$S$9</x:formula1>
    </x:dataValidation>
    <x:dataValidation type="list" sqref="AK6:AK105">
      <x:formula1>'99_下拉选项'!$T$4:$T$8</x:formula1>
    </x:dataValidation>
    <x:dataValidation type="list" sqref="E6:E130">
      <x:formula1>'99_下拉选项'!$BG$4:$BG$14</x:formula1>
    </x:dataValidation>
    <x:dataValidation type="list" sqref="E7:E105">
      <x:formula1>'99_下拉选项'!$BG$4:$BG$16</x:formula1>
    </x:dataValidation>
    <x:dataValidation type="list" sqref="E7:E76">
      <x:formula1>'99_下拉选项'!$BG$4:$BG$14</x:formula1>
    </x:dataValidation>
    <x:dataValidation type="list" sqref="G7:G76">
      <x:formula1>'99_下拉选项'!$F$4:$F$7</x:formula1>
    </x:dataValidation>
    <x:dataValidation type="list" sqref="H7:H76">
      <x:formula1>'99_下拉选项'!$AM$4:$AM$6</x:formula1>
    </x:dataValidation>
    <x:dataValidation type="list" sqref="M7:M76">
      <x:formula1>'99_下拉选项'!$AK$4:$AK$9</x:formula1>
    </x:dataValidation>
    <x:dataValidation type="list" sqref="N7:N76">
      <x:formula1>'99_下拉选项'!$AL$4:$AL$9</x:formula1>
    </x:dataValidation>
    <x:dataValidation type="list" sqref="R7:R76">
      <x:formula1>'99_下拉选项'!$X$4:$X$7</x:formula1>
    </x:dataValidation>
    <x:dataValidation type="list" sqref="S7:S76">
      <x:formula1>'99_下拉选项'!$W$4:$W$8</x:formula1>
    </x:dataValidation>
    <x:dataValidation type="list" sqref="T7:T76">
      <x:formula1>'99_下拉选项'!$AN$4:$AN$8</x:formula1>
    </x:dataValidation>
    <x:dataValidation type="list" sqref="U7:U76">
      <x:formula1>'99_下拉选项'!$X$4:$X$7</x:formula1>
    </x:dataValidation>
    <x:dataValidation type="list" sqref="V7:V76">
      <x:formula1>'99_下拉选项'!$X$4:$X$7</x:formula1>
    </x:dataValidation>
    <x:dataValidation type="list" sqref="AE7:AE76">
      <x:formula1>'99_下拉选项'!$Q$4:$Q$8</x:formula1>
    </x:dataValidation>
    <x:dataValidation type="list" sqref="AF7:AF76">
      <x:formula1>'99_下拉选项'!$R$4:$R$11</x:formula1>
    </x:dataValidation>
    <x:dataValidation type="list" sqref="AJ7:AJ76">
      <x:formula1>'99_下拉选项'!$S$4:$S$9</x:formula1>
    </x:dataValidation>
    <x:dataValidation type="list" sqref="AK7:AK76">
      <x:formula1>'99_下拉选项'!$T$4:$T$8</x:formula1>
    </x:dataValidation>
  </x:dataValidations>
  <x:pageMargins left="0.7" right="0.7" top="0.75" bottom="0.75" header="0.3" footer="0.3"/>
  <x:tableParts count="1">
    <x:tablePart xmlns:r="http://schemas.openxmlformats.org/officeDocument/2006/relationships" r:id="Rc88c4b6446b74379"/>
  </x:tableParts>
</x:worksheet>
</file>

<file path=xl/worksheets/sheet1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30" hidden="0" customWidth="1"/>
    <x:col min="11" max="11" width="30" hidden="0" customWidth="1"/>
    <x:col min="12" max="12" width="16" hidden="0" customWidth="1"/>
    <x:col min="13" max="13" width="16"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30" hidden="0" customWidth="1"/>
    <x:col min="34" max="34" width="13" hidden="0" customWidth="1"/>
  </x:cols>
  <x:sheetData>
    <x:row r="1" ht="28" customHeight="1">
      <x:c r="A1" s="32" t="str">
        <x:v>M14｜格局候选生成与排除规则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row>
    <x:row r="2" ht="36" customHeight="1">
      <x:c r="A2" s="39" t="str">
        <x:v>先生成多个普通或特殊格局候选，再按月令、透干、格神、日主配合及严格条件逐一淘汰，禁止一开始强行定格。</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row>
    <x:row r="3" ht="30" customHeight="1">
      <x:c r="A3" s="47" t="str">
        <x:v>前置依赖：M03/M06/M08/M09/M10/M11　｜　主要输出：格局候选清单、排除理由与候选状态　｜　直接下游：M15/M17/M18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格局类别</x:v>
      </x:c>
      <x:c r="I5" s="61" t="str">
        <x:v>格局名称</x:v>
      </x:c>
      <x:c r="J5" s="61" t="str">
        <x:v>月令依据</x:v>
      </x:c>
      <x:c r="K5" s="61" t="str">
        <x:v>透干条件</x:v>
      </x:c>
      <x:c r="L5" s="61" t="str">
        <x:v>主气清纯度</x:v>
      </x:c>
      <x:c r="M5" s="61" t="str">
        <x:v>格神根气</x:v>
      </x:c>
      <x:c r="N5" s="61" t="str">
        <x:v>格神有效力量</x:v>
      </x:c>
      <x:c r="O5" s="61" t="str">
        <x:v>日主配合</x:v>
      </x:c>
      <x:c r="P5" s="61" t="str">
        <x:v>候选生成条件</x:v>
      </x:c>
      <x:c r="Q5" s="61" t="str">
        <x:v>特殊格严格条件</x:v>
      </x:c>
      <x:c r="R5" s="61" t="str">
        <x:v>增强条件</x:v>
      </x:c>
      <x:c r="S5" s="61" t="str">
        <x:v>排除条件</x:v>
      </x:c>
      <x:c r="T5" s="61" t="str">
        <x:v>否决条件</x:v>
      </x:c>
      <x:c r="U5" s="61" t="str">
        <x:v>例外条件</x:v>
      </x:c>
      <x:c r="V5" s="61" t="str">
        <x:v>候选状态</x:v>
      </x:c>
      <x:c r="W5" s="61" t="str">
        <x:v>替代候选</x:v>
      </x:c>
      <x:c r="X5" s="61" t="str">
        <x:v>结论标签</x:v>
      </x:c>
      <x:c r="Y5" s="61" t="str">
        <x:v>标准输出</x:v>
      </x:c>
      <x:c r="Z5" s="61" t="str">
        <x:v>置信等级</x:v>
      </x:c>
      <x:c r="AA5" s="61" t="str">
        <x:v>流派标签</x:v>
      </x:c>
      <x:c r="AB5" s="61" t="str">
        <x:v>依据说明</x:v>
      </x:c>
      <x:c r="AC5" s="61" t="str">
        <x:v>正例</x:v>
      </x:c>
      <x:c r="AD5" s="61" t="str">
        <x:v>反例</x:v>
      </x:c>
      <x:c r="AE5" s="61" t="str">
        <x:v>来源/备注</x:v>
      </x:c>
      <x:c r="AF5" s="61" t="str">
        <x:v>规则状态</x:v>
      </x:c>
      <x:c r="AG5" s="61" t="str">
        <x:v>审核状态</x:v>
      </x:c>
      <x:c r="AH5" s="61" t="str">
        <x:v>更新日期</x:v>
      </x:c>
    </x:row>
    <x:row r="6" ht="66" customHeight="1">
      <x:c r="A6" s="76" t="str">
        <x:f>IF(OR(C6="",D6=""),"",B6&amp;"-"&amp;UPPER(C6)&amp;"-"&amp;TEXT(D6,"0000")&amp;"-"&amp;E6)</x:f>
        <x:v>M14-DEMO-9999-V0.1</x:v>
      </x:c>
      <x:c r="B6" s="76" t="str">
        <x:v>M14</x:v>
      </x:c>
      <x:c r="C6" s="76" t="str">
        <x:v>DEMO</x:v>
      </x:c>
      <x:c r="D6" s="78" t="n">
        <x:v>9999</x:v>
      </x:c>
      <x:c r="E6" s="76" t="str">
        <x:v>V0.1</x:v>
      </x:c>
      <x:c r="F6" s="76" t="str">
        <x:v>格局先列候选后裁定</x:v>
      </x:c>
      <x:c r="G6" s="76" t="str">
        <x:v>综合层</x:v>
      </x:c>
      <x:c r="H6" s="76" t="str">
        <x:v>普通格局</x:v>
      </x:c>
      <x:c r="I6" s="76" t="str">
        <x:v>七杀格候选</x:v>
      </x:c>
      <x:c r="J6" s="76" t="str">
        <x:v>月令主气为七杀或杀星得令</x:v>
      </x:c>
      <x:c r="K6" s="76" t="str">
        <x:v>七杀透干为强候选证据</x:v>
      </x:c>
      <x:c r="L6" s="76" t="str">
        <x:v>较清</x:v>
      </x:c>
      <x:c r="M6" s="76" t="str">
        <x:v>有根</x:v>
      </x:c>
      <x:c r="N6" s="76" t="str">
        <x:v>真实有力</x:v>
      </x:c>
      <x:c r="O6" s="76" t="str">
        <x:v>需有承载或制化</x:v>
      </x:c>
      <x:c r="P6" s="76" t="str">
        <x:v>月令、透干或全局主势共同支持七杀为核心</x:v>
      </x:c>
      <x:c r="Q6" s="76" t="str">
        <x:v>不适用</x:v>
      </x:c>
      <x:c r="R6" s="76" t="str">
        <x:v>杀印相生或食神制杀清晰</x:v>
      </x:c>
      <x:c r="S6" s="76" t="str">
        <x:v>杀弱无根、月令另有更强主气或格局功能被完全替代</x:v>
      </x:c>
      <x:c r="T6" s="76" t="str">
        <x:v>候选不等于最终成立</x:v>
      </x:c>
      <x:c r="U6" s="76" t="str">
        <x:v>建禄羊刃及特殊格需另用严格规则</x:v>
      </x:c>
      <x:c r="V6" s="76" t="str">
        <x:v>候选</x:v>
      </x:c>
      <x:c r="W6" s="76" t="str">
        <x:v>杀印相生、食神制杀等结构候选</x:v>
      </x:c>
      <x:c r="X6" s="76" t="str">
        <x:v>格局候选</x:v>
      </x:c>
      <x:c r="Y6" s="76" t="str">
        <x:v>七杀格可列为候选，但尚需检验日主承载、制化路径及破格因素后才能定格。</x:v>
      </x:c>
      <x:c r="Z6" s="76" t="str">
        <x:v>中等</x:v>
      </x:c>
      <x:c r="AA6" s="76" t="str">
        <x:v>子平格局</x:v>
      </x:c>
      <x:c r="AB6" s="76" t="str">
        <x:v>候选生成与格局成败应分表处理。</x:v>
      </x:c>
      <x:c r="AC6" s="76" t="str">
        <x:v>月令杀旺、透干且制化结构清晰。</x:v>
      </x:c>
      <x:c r="AD6" s="76" t="str">
        <x:v>仅见一个七杀便直接定七杀格。</x:v>
      </x:c>
      <x:c r="AE6" s="76" t="str">
        <x:v>示例，仅演示字段用法</x:v>
      </x:c>
      <x:c r="AF6" s="76" t="str">
        <x:v>示例</x:v>
      </x:c>
      <x:c r="AG6" s="76" t="str">
        <x:v>未审核</x:v>
      </x:c>
      <x:c r="AH6" s="86" t="n">
        <x:v>46254</x:v>
      </x:c>
    </x:row>
    <x:row r="7">
      <x:c r="A7" s="72" t="str">
        <x:f>IF(OR(C7="",D7=""),"",B7&amp;"-"&amp;UPPER(C7)&amp;"-"&amp;TEXT(D7,"0000")&amp;"-"&amp;E7)</x:f>
        <x:v>M14-GEN-0001-V1.0</x:v>
      </x:c>
      <x:c r="B7" s="74" t="str">
        <x:v>M14</x:v>
      </x:c>
      <x:c r="C7" s="74" t="str">
        <x:v>GEN</x:v>
      </x:c>
      <x:c r="D7" s="215" t="n">
        <x:v>1</x:v>
      </x:c>
      <x:c r="E7" s="74" t="str">
        <x:v>V1.0</x:v>
      </x:c>
      <x:c r="F7" s="68" t="str">
        <x:v>格局必须先生成候选清单再逐项淘汰</x:v>
      </x:c>
      <x:c r="G7" s="82" t="str">
        <x:v>综合层</x:v>
      </x:c>
      <x:c r="H7" s="82" t="str">
        <x:v>普通格局</x:v>
      </x:c>
      <x:c r="I7" s="68" t="str">
        <x:v>格局候选通用</x:v>
      </x:c>
      <x:c r="J7" s="68" t="str">
        <x:v>先读取月令主气、中气及月令所透十神</x:v>
      </x:c>
      <x:c r="K7" s="68" t="str">
        <x:v>透干可增强候选，但不作为所有格局的绝对唯一条件</x:v>
      </x:c>
      <x:c r="L7" s="82" t="str">
        <x:v>待定</x:v>
      </x:c>
      <x:c r="M7" s="68" t="str">
        <x:v>待定</x:v>
      </x:c>
      <x:c r="N7" s="68" t="str">
        <x:v>待定</x:v>
      </x:c>
      <x:c r="O7" s="68" t="str">
        <x:v>结合M09日主旺衰与承载判断</x:v>
      </x:c>
      <x:c r="P7" s="68" t="str">
        <x:v>同时生成所有达到最低证据门槛的普通、建禄羊刃和特殊格局候选</x:v>
      </x:c>
      <x:c r="Q7" s="68" t="str">
        <x:v>不适用</x:v>
      </x:c>
      <x:c r="R7" s="68" t="str">
        <x:v>格神得令、有根、透达、清纯，并得到有效生扶或制化配合</x:v>
      </x:c>
      <x:c r="S7" s="68" t="str">
        <x:v>存在更强月令主气、格神功能被替代或全局主势明显转向其他结构</x:v>
      </x:c>
      <x:c r="T7" s="90" t="str">
        <x:v>格神失效、无真实功能，或候选只由单一表面十神名称产生</x:v>
      </x:c>
      <x:c r="U7" s="68" t="str">
        <x:v>特殊格局、建禄羊刃及明确从化结构另用专门规则</x:v>
      </x:c>
      <x:c r="V7" s="82" t="str">
        <x:v>候选</x:v>
      </x:c>
      <x:c r="W7" s="68" t="str">
        <x:v>并列候选</x:v>
      </x:c>
      <x:c r="X7" s="84" t="str">
        <x:v>多候选生成</x:v>
      </x:c>
      <x:c r="Y7" s="84" t="str">
        <x:v>先列出全部合格候选，再按月令、格神有效性、主导性和严格门槛淘汰；禁止先定一个格再倒推证据。</x:v>
      </x:c>
      <x:c r="Z7" s="82" t="str">
        <x:v>较高</x:v>
      </x:c>
      <x:c r="AA7" s="82" t="str">
        <x:v>子平格局</x:v>
      </x:c>
      <x:c r="AB7" s="68" t="str">
        <x:v>M14只生成和排除格局候选。候选须综合月令、透干、格神有效力量、清纯度、日主配合与全局主导性；候选成立不等于M15最终成格。</x:v>
      </x:c>
      <x:c r="AC7" s="68" t="str">
        <x:v>月令与格神有效性共同支持“格局候选通用”，且没有决定性否决条件。</x:v>
      </x:c>
      <x:c r="AD7" s="90" t="str">
        <x:v>仅见相关十神或五行出现，但月令、格神有效性或全局主导性不成立，不能直接列“格局候选通用”。</x:v>
      </x:c>
      <x:c r="AE7" s="68" t="str">
        <x:v>https://zh.wikisource.org/zh-hans/%E6%B7%B5%E6%B5%B7%E5%AD%90%E5%B9%B3 ; https://zh.wikisource.org/wiki/%E6%BB%B4%E5%A4%A9%E9%AB%93%E9%97%A1%E5%BE%AE</x:v>
      </x:c>
      <x:c r="AF7" s="82" t="str">
        <x:v>采用</x:v>
      </x:c>
      <x:c r="AG7" s="82" t="str">
        <x:v>初审</x:v>
      </x:c>
      <x:c r="AH7" s="87" t="n">
        <x:v>46260</x:v>
      </x:c>
    </x:row>
    <x:row r="8">
      <x:c r="A8" s="72" t="str">
        <x:f>IF(OR(C8="",D8=""),"",B8&amp;"-"&amp;UPPER(C8)&amp;"-"&amp;TEXT(D8,"0000")&amp;"-"&amp;E8)</x:f>
        <x:v>M14-GEN-0002-V1.0</x:v>
      </x:c>
      <x:c r="B8" s="74" t="str">
        <x:v>M14</x:v>
      </x:c>
      <x:c r="C8" s="74" t="str">
        <x:v>GEN</x:v>
      </x:c>
      <x:c r="D8" s="215" t="n">
        <x:v>2</x:v>
      </x:c>
      <x:c r="E8" s="74" t="str">
        <x:v>V1.0</x:v>
      </x:c>
      <x:c r="F8" s="68" t="str">
        <x:v>月令主气是普通格局的首要候选来源</x:v>
      </x:c>
      <x:c r="G8" s="82" t="str">
        <x:v>综合层</x:v>
      </x:c>
      <x:c r="H8" s="82" t="str">
        <x:v>普通格局</x:v>
      </x:c>
      <x:c r="I8" s="68" t="str">
        <x:v>格局候选通用</x:v>
      </x:c>
      <x:c r="J8" s="68" t="str">
        <x:v>月令本气映射为某十神，且该十神在M10具备有效功能</x:v>
      </x:c>
      <x:c r="K8" s="68" t="str">
        <x:v>透干可增强候选，但不作为所有格局的绝对唯一条件</x:v>
      </x:c>
      <x:c r="L8" s="82" t="str">
        <x:v>待定</x:v>
      </x:c>
      <x:c r="M8" s="68" t="str">
        <x:v>待定</x:v>
      </x:c>
      <x:c r="N8" s="68" t="str">
        <x:v>待定</x:v>
      </x:c>
      <x:c r="O8" s="68" t="str">
        <x:v>结合M09日主旺衰与承载判断</x:v>
      </x:c>
      <x:c r="P8" s="68" t="str">
        <x:v>月令主气十神有效即可生成对应普通格候选</x:v>
      </x:c>
      <x:c r="Q8" s="68" t="str">
        <x:v>不适用</x:v>
      </x:c>
      <x:c r="R8" s="68" t="str">
        <x:v>格神得令、有根、透达、清纯，并得到有效生扶或制化配合</x:v>
      </x:c>
      <x:c r="S8" s="68" t="str">
        <x:v>存在更强月令主气、格神功能被替代或全局主势明显转向其他结构</x:v>
      </x:c>
      <x:c r="T8" s="90" t="str">
        <x:v>格神失效、无真实功能，或候选只由单一表面十神名称产生</x:v>
      </x:c>
      <x:c r="U8" s="68" t="str">
        <x:v>特殊格局、建禄羊刃及明确从化结构另用专门规则</x:v>
      </x:c>
      <x:c r="V8" s="82" t="str">
        <x:v>候选</x:v>
      </x:c>
      <x:c r="W8" s="68" t="str">
        <x:v>月令中气或全局主势候选</x:v>
      </x:c>
      <x:c r="X8" s="84" t="str">
        <x:v>月令主气取候选</x:v>
      </x:c>
      <x:c r="Y8" s="84" t="str">
        <x:v>格局候选通用列为“候选”：主要依据为月令与格神有效性；仍需M15检验成格、破格、救应与层次。</x:v>
      </x:c>
      <x:c r="Z8" s="82" t="str">
        <x:v>较高</x:v>
      </x:c>
      <x:c r="AA8" s="82" t="str">
        <x:v>子平格局</x:v>
      </x:c>
      <x:c r="AB8" s="68" t="str">
        <x:v>M14只生成和排除格局候选。候选须综合月令、透干、格神有效力量、清纯度、日主配合与全局主导性；候选成立不等于M15最终成格。</x:v>
      </x:c>
      <x:c r="AC8" s="68" t="str">
        <x:v>月令与格神有效性共同支持“格局候选通用”，且没有决定性否决条件。</x:v>
      </x:c>
      <x:c r="AD8" s="90" t="str">
        <x:v>仅见相关十神或五行出现，但月令、格神有效性或全局主导性不成立，不能直接列“格局候选通用”。</x:v>
      </x:c>
      <x:c r="AE8" s="68" t="str">
        <x:v>https://zh.wikisource.org/zh-hans/%E6%B7%B5%E6%B5%B7%E5%AD%90%E5%B9%B3 ; https://zh.wikisource.org/wiki/%E6%BB%B4%E5%A4%A9%E9%AB%93%E9%97%A1%E5%BE%AE</x:v>
      </x:c>
      <x:c r="AF8" s="82" t="str">
        <x:v>采用</x:v>
      </x:c>
      <x:c r="AG8" s="82" t="str">
        <x:v>初审</x:v>
      </x:c>
      <x:c r="AH8" s="87" t="n">
        <x:v>46260</x:v>
      </x:c>
    </x:row>
    <x:row r="9">
      <x:c r="A9" s="72" t="str">
        <x:f>IF(OR(C9="",D9=""),"",B9&amp;"-"&amp;UPPER(C9)&amp;"-"&amp;TEXT(D9,"0000")&amp;"-"&amp;E9)</x:f>
        <x:v>M14-GEN-0003-V1.0</x:v>
      </x:c>
      <x:c r="B9" s="74" t="str">
        <x:v>M14</x:v>
      </x:c>
      <x:c r="C9" s="74" t="str">
        <x:v>GEN</x:v>
      </x:c>
      <x:c r="D9" s="215" t="n">
        <x:v>3</x:v>
      </x:c>
      <x:c r="E9" s="74" t="str">
        <x:v>V1.0</x:v>
      </x:c>
      <x:c r="F9" s="68" t="str">
        <x:v>月令中气余气透干可生成次级候选</x:v>
      </x:c>
      <x:c r="G9" s="82" t="str">
        <x:v>综合层</x:v>
      </x:c>
      <x:c r="H9" s="82" t="str">
        <x:v>普通格局</x:v>
      </x:c>
      <x:c r="I9" s="68" t="str">
        <x:v>格局候选通用</x:v>
      </x:c>
      <x:c r="J9" s="68" t="str">
        <x:v>月令中气或余气透干并在M10达到有效水平</x:v>
      </x:c>
      <x:c r="K9" s="68" t="str">
        <x:v>中余气透干且有根有力</x:v>
      </x:c>
      <x:c r="L9" s="82" t="str">
        <x:v>较清</x:v>
      </x:c>
      <x:c r="M9" s="68" t="str">
        <x:v>待定</x:v>
      </x:c>
      <x:c r="N9" s="68" t="str">
        <x:v>待定</x:v>
      </x:c>
      <x:c r="O9" s="68" t="str">
        <x:v>结合M09日主旺衰与承载判断</x:v>
      </x:c>
      <x:c r="P9" s="68" t="str">
        <x:v>月令主气不构成稳定格局，且中余气透出成为主要功能轴</x:v>
      </x:c>
      <x:c r="Q9" s="68" t="str">
        <x:v>不适用</x:v>
      </x:c>
      <x:c r="R9" s="68" t="str">
        <x:v>格神得令、有根、透达、清纯，并得到有效生扶或制化配合</x:v>
      </x:c>
      <x:c r="S9" s="68" t="str">
        <x:v>存在更强月令主气、格神功能被替代或全局主势明显转向其他结构</x:v>
      </x:c>
      <x:c r="T9" s="90" t="str">
        <x:v>格神失效、无真实功能，或候选只由单一表面十神名称产生</x:v>
      </x:c>
      <x:c r="U9" s="68" t="str">
        <x:v>特殊格局、建禄羊刃及明确从化结构另用专门规则</x:v>
      </x:c>
      <x:c r="V9" s="82" t="str">
        <x:v>候选</x:v>
      </x:c>
      <x:c r="W9" s="68" t="str">
        <x:v>月令主气候选</x:v>
      </x:c>
      <x:c r="X9" s="84" t="str">
        <x:v>月令中余气候选</x:v>
      </x:c>
      <x:c r="Y9" s="84" t="str">
        <x:v>格局候选通用列为“候选”：主要依据为月令与格神有效性；仍需M15检验成格、破格、救应与层次。</x:v>
      </x:c>
      <x:c r="Z9" s="82" t="str">
        <x:v>较高</x:v>
      </x:c>
      <x:c r="AA9" s="82" t="str">
        <x:v>子平格局</x:v>
      </x:c>
      <x:c r="AB9" s="68" t="str">
        <x:v>M14只生成和排除格局候选。候选须综合月令、透干、格神有效力量、清纯度、日主配合与全局主导性；候选成立不等于M15最终成格。</x:v>
      </x:c>
      <x:c r="AC9" s="68" t="str">
        <x:v>月令与格神有效性共同支持“格局候选通用”，且没有决定性否决条件。</x:v>
      </x:c>
      <x:c r="AD9" s="90" t="str">
        <x:v>仅见相关十神或五行出现，但月令、格神有效性或全局主导性不成立，不能直接列“格局候选通用”。</x:v>
      </x:c>
      <x:c r="AE9" s="68" t="str">
        <x:v>https://zh.wikisource.org/zh-hans/%E6%B7%B5%E6%B5%B7%E5%AD%90%E5%B9%B3 ; https://zh.wikisource.org/wiki/%E6%BB%B4%E5%A4%A9%E9%AB%93%E9%97%A1%E5%BE%AE</x:v>
      </x:c>
      <x:c r="AF9" s="82" t="str">
        <x:v>采用</x:v>
      </x:c>
      <x:c r="AG9" s="82" t="str">
        <x:v>初审</x:v>
      </x:c>
      <x:c r="AH9" s="87" t="n">
        <x:v>46260</x:v>
      </x:c>
    </x:row>
    <x:row r="10">
      <x:c r="A10" s="72" t="str">
        <x:f>IF(OR(C10="",D10=""),"",B10&amp;"-"&amp;UPPER(C10)&amp;"-"&amp;TEXT(D10,"0000")&amp;"-"&amp;E10)</x:f>
        <x:v>M14-GEN-0004-V1.0</x:v>
      </x:c>
      <x:c r="B10" s="74" t="str">
        <x:v>M14</x:v>
      </x:c>
      <x:c r="C10" s="74" t="str">
        <x:v>GEN</x:v>
      </x:c>
      <x:c r="D10" s="215" t="n">
        <x:v>4</x:v>
      </x:c>
      <x:c r="E10" s="74" t="str">
        <x:v>V1.0</x:v>
      </x:c>
      <x:c r="F10" s="68" t="str">
        <x:v>透干增强格神显性但不自动成格</x:v>
      </x:c>
      <x:c r="G10" s="82" t="str">
        <x:v>综合层</x:v>
      </x:c>
      <x:c r="H10" s="82" t="str">
        <x:v>普通格局</x:v>
      </x:c>
      <x:c r="I10" s="68" t="str">
        <x:v>格局候选通用</x:v>
      </x:c>
      <x:c r="J10" s="68" t="str">
        <x:v>月令或全局已经提供格神来源</x:v>
      </x:c>
      <x:c r="K10" s="68" t="str">
        <x:v>格神透干属于显性增强证据</x:v>
      </x:c>
      <x:c r="L10" s="82" t="str">
        <x:v>待定</x:v>
      </x:c>
      <x:c r="M10" s="68" t="str">
        <x:v>待定</x:v>
      </x:c>
      <x:c r="N10" s="68" t="str">
        <x:v>待定</x:v>
      </x:c>
      <x:c r="O10" s="68" t="str">
        <x:v>结合M09日主旺衰与承载判断</x:v>
      </x:c>
      <x:c r="P10" s="68" t="str">
        <x:v>透干必须与根气、有效力量和全局功能共同成立</x:v>
      </x:c>
      <x:c r="Q10" s="68" t="str">
        <x:v>不适用</x:v>
      </x:c>
      <x:c r="R10" s="68" t="str">
        <x:v>格神得令、有根、透达、清纯，并得到有效生扶或制化配合</x:v>
      </x:c>
      <x:c r="S10" s="68" t="str">
        <x:v>存在更强月令主气、格神功能被替代或全局主势明显转向其他结构</x:v>
      </x:c>
      <x:c r="T10" s="90" t="str">
        <x:v>格神失效、无真实功能，或候选只由单一表面十神名称产生</x:v>
      </x:c>
      <x:c r="U10" s="68" t="str">
        <x:v>特殊格局、建禄羊刃及明确从化结构另用专门规则</x:v>
      </x:c>
      <x:c r="V10" s="82" t="str">
        <x:v>候选</x:v>
      </x:c>
      <x:c r="W10" s="68" t="str">
        <x:v>待定</x:v>
      </x:c>
      <x:c r="X10" s="84" t="str">
        <x:v>透干非充分条件</x:v>
      </x:c>
      <x:c r="Y10" s="84" t="str">
        <x:v>格局候选通用列为“候选”：主要依据为月令与格神有效性；仍需M15检验成格、破格、救应与层次。</x:v>
      </x:c>
      <x:c r="Z10" s="82" t="str">
        <x:v>较高</x:v>
      </x:c>
      <x:c r="AA10" s="82" t="str">
        <x:v>子平格局</x:v>
      </x:c>
      <x:c r="AB10" s="68" t="str">
        <x:v>M14只生成和排除格局候选。候选须综合月令、透干、格神有效力量、清纯度、日主配合与全局主导性；候选成立不等于M15最终成格。</x:v>
      </x:c>
      <x:c r="AC10" s="68" t="str">
        <x:v>月令与格神有效性共同支持“格局候选通用”，且没有决定性否决条件。</x:v>
      </x:c>
      <x:c r="AD10" s="90" t="str">
        <x:v>仅见相关十神或五行出现，但月令、格神有效性或全局主导性不成立，不能直接列“格局候选通用”。</x:v>
      </x:c>
      <x:c r="AE10" s="68" t="str">
        <x:v>https://zh.wikisource.org/zh-hans/%E6%B7%B5%E6%B5%B7%E5%AD%90%E5%B9%B3 ; https://zh.wikisource.org/wiki/%E6%BB%B4%E5%A4%A9%E9%AB%93%E9%97%A1%E5%BE%AE</x:v>
      </x:c>
      <x:c r="AF10" s="82" t="str">
        <x:v>采用</x:v>
      </x:c>
      <x:c r="AG10" s="82" t="str">
        <x:v>初审</x:v>
      </x:c>
      <x:c r="AH10" s="87" t="n">
        <x:v>46260</x:v>
      </x:c>
    </x:row>
    <x:row r="11">
      <x:c r="A11" s="72" t="str">
        <x:f>IF(OR(C11="",D11=""),"",B11&amp;"-"&amp;UPPER(C11)&amp;"-"&amp;TEXT(D11,"0000")&amp;"-"&amp;E11)</x:f>
        <x:v>M14-GEN-0005-V1.0</x:v>
      </x:c>
      <x:c r="B11" s="74" t="str">
        <x:v>M14</x:v>
      </x:c>
      <x:c r="C11" s="74" t="str">
        <x:v>GEN</x:v>
      </x:c>
      <x:c r="D11" s="215" t="n">
        <x:v>5</x:v>
      </x:c>
      <x:c r="E11" s="74" t="str">
        <x:v>V1.0</x:v>
      </x:c>
      <x:c r="F11" s="68" t="str">
        <x:v>格神有根有力是候选稳定性的核心</x:v>
      </x:c>
      <x:c r="G11" s="82" t="str">
        <x:v>综合层</x:v>
      </x:c>
      <x:c r="H11" s="82" t="str">
        <x:v>普通格局</x:v>
      </x:c>
      <x:c r="I11" s="68" t="str">
        <x:v>格局候选通用</x:v>
      </x:c>
      <x:c r="J11" s="68" t="str">
        <x:v>待核查月令主气、中气与全局主势</x:v>
      </x:c>
      <x:c r="K11" s="68" t="str">
        <x:v>透干可增强候选，但不作为所有格局的绝对唯一条件</x:v>
      </x:c>
      <x:c r="L11" s="82" t="str">
        <x:v>待定</x:v>
      </x:c>
      <x:c r="M11" s="68" t="str">
        <x:v>至少存在一个可调用的有效根或稳定生源</x:v>
      </x:c>
      <x:c r="N11" s="68" t="str">
        <x:v>中和以上通常形成较稳定候选；偏弱时仅作弱候选</x:v>
      </x:c>
      <x:c r="O11" s="68" t="str">
        <x:v>结合M09日主旺衰与承载判断</x:v>
      </x:c>
      <x:c r="P11" s="68" t="str">
        <x:v>格神并非名义存在，而能真实执行对应十神功能</x:v>
      </x:c>
      <x:c r="Q11" s="68" t="str">
        <x:v>不适用</x:v>
      </x:c>
      <x:c r="R11" s="68" t="str">
        <x:v>格神得令、有根、透达、清纯，并得到有效生扶或制化配合</x:v>
      </x:c>
      <x:c r="S11" s="68" t="str">
        <x:v>存在更强月令主气、格神功能被替代或全局主势明显转向其他结构</x:v>
      </x:c>
      <x:c r="T11" s="90" t="str">
        <x:v>格神失效、无真实功能，或候选只由单一表面十神名称产生</x:v>
      </x:c>
      <x:c r="U11" s="68" t="str">
        <x:v>特殊格局、建禄羊刃及明确从化结构另用专门规则</x:v>
      </x:c>
      <x:c r="V11" s="82" t="str">
        <x:v>基本成立</x:v>
      </x:c>
      <x:c r="W11" s="68" t="str">
        <x:v>待定</x:v>
      </x:c>
      <x:c r="X11" s="84" t="str">
        <x:v>格神有效性门槛</x:v>
      </x:c>
      <x:c r="Y11" s="84" t="str">
        <x:v>格局候选通用列为“基本成立”：主要依据为月令与格神有效性；仍需M15检验成格、破格、救应与层次。</x:v>
      </x:c>
      <x:c r="Z11" s="82" t="str">
        <x:v>较高</x:v>
      </x:c>
      <x:c r="AA11" s="82" t="str">
        <x:v>子平格局</x:v>
      </x:c>
      <x:c r="AB11" s="68" t="str">
        <x:v>M14只生成和排除格局候选。候选须综合月令、透干、格神有效力量、清纯度、日主配合与全局主导性；候选成立不等于M15最终成格。</x:v>
      </x:c>
      <x:c r="AC11" s="68" t="str">
        <x:v>月令与格神有效性共同支持“格局候选通用”，且没有决定性否决条件。</x:v>
      </x:c>
      <x:c r="AD11" s="90" t="str">
        <x:v>仅见相关十神或五行出现，但月令、格神有效性或全局主导性不成立，不能直接列“格局候选通用”。</x:v>
      </x:c>
      <x:c r="AE11" s="68" t="str">
        <x:v>https://zh.wikisource.org/zh-hans/%E6%B7%B5%E6%B5%B7%E5%AD%90%E5%B9%B3 ; https://zh.wikisource.org/wiki/%E6%BB%B4%E5%A4%A9%E9%AB%93%E9%97%A1%E5%BE%AE</x:v>
      </x:c>
      <x:c r="AF11" s="82" t="str">
        <x:v>采用</x:v>
      </x:c>
      <x:c r="AG11" s="82" t="str">
        <x:v>初审</x:v>
      </x:c>
      <x:c r="AH11" s="87" t="n">
        <x:v>46260</x:v>
      </x:c>
    </x:row>
    <x:row r="12">
      <x:c r="A12" s="72" t="str">
        <x:f>IF(OR(C12="",D12=""),"",B12&amp;"-"&amp;UPPER(C12)&amp;"-"&amp;TEXT(D12,"0000")&amp;"-"&amp;E12)</x:f>
        <x:v>M14-GEN-0006-V1.0</x:v>
      </x:c>
      <x:c r="B12" s="74" t="str">
        <x:v>M14</x:v>
      </x:c>
      <x:c r="C12" s="74" t="str">
        <x:v>GEN</x:v>
      </x:c>
      <x:c r="D12" s="215" t="n">
        <x:v>6</x:v>
      </x:c>
      <x:c r="E12" s="74" t="str">
        <x:v>V1.0</x:v>
      </x:c>
      <x:c r="F12" s="68" t="str">
        <x:v>日主配合决定候选能否运行但不单独决定取格</x:v>
      </x:c>
      <x:c r="G12" s="82" t="str">
        <x:v>综合层</x:v>
      </x:c>
      <x:c r="H12" s="82" t="str">
        <x:v>普通格局</x:v>
      </x:c>
      <x:c r="I12" s="68" t="str">
        <x:v>格局候选通用</x:v>
      </x:c>
      <x:c r="J12" s="68" t="str">
        <x:v>待核查月令主气、中气与全局主势</x:v>
      </x:c>
      <x:c r="K12" s="68" t="str">
        <x:v>透干可增强候选，但不作为所有格局的绝对唯一条件</x:v>
      </x:c>
      <x:c r="L12" s="82" t="str">
        <x:v>待定</x:v>
      </x:c>
      <x:c r="M12" s="68" t="str">
        <x:v>待定</x:v>
      </x:c>
      <x:c r="N12" s="68" t="str">
        <x:v>待定</x:v>
      </x:c>
      <x:c r="O12" s="68" t="str">
        <x:v>日主能够承受格神带来的生、制、泄、耗，或存在有效制化承载</x:v>
      </x:c>
      <x:c r="P12" s="68" t="str">
        <x:v>月令与格神候选已成立，再检查日主是否能配合</x:v>
      </x:c>
      <x:c r="Q12" s="68" t="str">
        <x:v>不适用</x:v>
      </x:c>
      <x:c r="R12" s="68" t="str">
        <x:v>格神得令、有根、透达、清纯，并得到有效生扶或制化配合</x:v>
      </x:c>
      <x:c r="S12" s="68" t="str">
        <x:v>存在更强月令主气、格神功能被替代或全局主势明显转向其他结构</x:v>
      </x:c>
      <x:c r="T12" s="90" t="str">
        <x:v>格神失效、无真实功能，或候选只由单一表面十神名称产生</x:v>
      </x:c>
      <x:c r="U12" s="68" t="str">
        <x:v>特殊格局、建禄羊刃及明确从化结构另用专门规则</x:v>
      </x:c>
      <x:c r="V12" s="82" t="str">
        <x:v>候选</x:v>
      </x:c>
      <x:c r="W12" s="68" t="str">
        <x:v>待定</x:v>
      </x:c>
      <x:c r="X12" s="84" t="str">
        <x:v>日主配合门槛</x:v>
      </x:c>
      <x:c r="Y12" s="84" t="str">
        <x:v>格局候选通用列为“候选”：主要依据为月令与格神有效性；仍需M15检验成格、破格、救应与层次。</x:v>
      </x:c>
      <x:c r="Z12" s="82" t="str">
        <x:v>较高</x:v>
      </x:c>
      <x:c r="AA12" s="82" t="str">
        <x:v>子平格局</x:v>
      </x:c>
      <x:c r="AB12" s="68" t="str">
        <x:v>M14只生成和排除格局候选。候选须综合月令、透干、格神有效力量、清纯度、日主配合与全局主导性；候选成立不等于M15最终成格。</x:v>
      </x:c>
      <x:c r="AC12" s="68" t="str">
        <x:v>月令与格神有效性共同支持“格局候选通用”，且没有决定性否决条件。</x:v>
      </x:c>
      <x:c r="AD12" s="90" t="str">
        <x:v>仅见相关十神或五行出现，但月令、格神有效性或全局主导性不成立，不能直接列“格局候选通用”。</x:v>
      </x:c>
      <x:c r="AE12" s="68" t="str">
        <x:v>https://zh.wikisource.org/zh-hans/%E6%B7%B5%E6%B5%B7%E5%AD%90%E5%B9%B3 ; https://zh.wikisource.org/wiki/%E6%BB%B4%E5%A4%A9%E9%AB%93%E9%97%A1%E5%BE%AE</x:v>
      </x:c>
      <x:c r="AF12" s="82" t="str">
        <x:v>采用</x:v>
      </x:c>
      <x:c r="AG12" s="82" t="str">
        <x:v>初审</x:v>
      </x:c>
      <x:c r="AH12" s="87" t="n">
        <x:v>46260</x:v>
      </x:c>
    </x:row>
    <x:row r="13">
      <x:c r="A13" s="72" t="str">
        <x:f>IF(OR(C13="",D13=""),"",B13&amp;"-"&amp;UPPER(C13)&amp;"-"&amp;TEXT(D13,"0000")&amp;"-"&amp;E13)</x:f>
        <x:v>M14-GEN-0007-V1.0</x:v>
      </x:c>
      <x:c r="B13" s="74" t="str">
        <x:v>M14</x:v>
      </x:c>
      <x:c r="C13" s="74" t="str">
        <x:v>GEN</x:v>
      </x:c>
      <x:c r="D13" s="215" t="n">
        <x:v>7</x:v>
      </x:c>
      <x:c r="E13" s="74" t="str">
        <x:v>V1.0</x:v>
      </x:c>
      <x:c r="F13" s="68" t="str">
        <x:v>主气清纯度用于候选排序而非单项否决</x:v>
      </x:c>
      <x:c r="G13" s="82" t="str">
        <x:v>综合层</x:v>
      </x:c>
      <x:c r="H13" s="82" t="str">
        <x:v>普通格局</x:v>
      </x:c>
      <x:c r="I13" s="68" t="str">
        <x:v>格局候选通用</x:v>
      </x:c>
      <x:c r="J13" s="68" t="str">
        <x:v>待核查月令主气、中气与全局主势</x:v>
      </x:c>
      <x:c r="K13" s="68" t="str">
        <x:v>透干可增强候选，但不作为所有格局的绝对唯一条件</x:v>
      </x:c>
      <x:c r="L13" s="82" t="str">
        <x:v>待定</x:v>
      </x:c>
      <x:c r="M13" s="68" t="str">
        <x:v>待定</x:v>
      </x:c>
      <x:c r="N13" s="68" t="str">
        <x:v>待定</x:v>
      </x:c>
      <x:c r="O13" s="68" t="str">
        <x:v>结合M09日主旺衰与承载判断</x:v>
      </x:c>
      <x:c r="P13" s="68" t="str">
        <x:v>同类正偏十神、官杀、食伤或印枭并见时判断主从与有效性</x:v>
      </x:c>
      <x:c r="Q13" s="68" t="str">
        <x:v>不适用</x:v>
      </x:c>
      <x:c r="R13" s="68" t="str">
        <x:v>格神得令、有根、透达、清纯，并得到有效生扶或制化配合</x:v>
      </x:c>
      <x:c r="S13" s="68" t="str">
        <x:v>严重混杂且无清化会降低候选优先级</x:v>
      </x:c>
      <x:c r="T13" s="90" t="str">
        <x:v>只有当混杂使格神功能完全无法主导时才否决</x:v>
      </x:c>
      <x:c r="U13" s="68" t="str">
        <x:v>特殊格局、建禄羊刃及明确从化结构另用专门规则</x:v>
      </x:c>
      <x:c r="V13" s="82" t="str">
        <x:v>候选</x:v>
      </x:c>
      <x:c r="W13" s="68" t="str">
        <x:v>清化后的次级候选</x:v>
      </x:c>
      <x:c r="X13" s="84" t="str">
        <x:v>清纯度排序</x:v>
      </x:c>
      <x:c r="Y13" s="84" t="str">
        <x:v>格局候选通用列为“候选”：主要依据为月令与格神有效性；仍需M15检验成格、破格、救应与层次。</x:v>
      </x:c>
      <x:c r="Z13" s="82" t="str">
        <x:v>较高</x:v>
      </x:c>
      <x:c r="AA13" s="82" t="str">
        <x:v>子平格局</x:v>
      </x:c>
      <x:c r="AB13" s="68" t="str">
        <x:v>M14只生成和排除格局候选。候选须综合月令、透干、格神有效力量、清纯度、日主配合与全局主导性；候选成立不等于M15最终成格。</x:v>
      </x:c>
      <x:c r="AC13" s="68" t="str">
        <x:v>月令与格神有效性共同支持“格局候选通用”，且没有决定性否决条件。</x:v>
      </x:c>
      <x:c r="AD13" s="90" t="str">
        <x:v>仅见相关十神或五行出现，但月令、格神有效性或全局主导性不成立，不能直接列“格局候选通用”。</x:v>
      </x:c>
      <x:c r="AE13" s="68" t="str">
        <x:v>https://zh.wikisource.org/zh-hans/%E6%B7%B5%E6%B5%B7%E5%AD%90%E5%B9%B3 ; https://zh.wikisource.org/wiki/%E6%BB%B4%E5%A4%A9%E9%AB%93%E9%97%A1%E5%BE%AE</x:v>
      </x:c>
      <x:c r="AF13" s="82" t="str">
        <x:v>采用</x:v>
      </x:c>
      <x:c r="AG13" s="82" t="str">
        <x:v>初审</x:v>
      </x:c>
      <x:c r="AH13" s="87" t="n">
        <x:v>46260</x:v>
      </x:c>
    </x:row>
    <x:row r="14">
      <x:c r="A14" s="72" t="str">
        <x:f>IF(OR(C14="",D14=""),"",B14&amp;"-"&amp;UPPER(C14)&amp;"-"&amp;TEXT(D14,"0000")&amp;"-"&amp;E14)</x:f>
        <x:v>M14-GEN-0008-V1.0</x:v>
      </x:c>
      <x:c r="B14" s="74" t="str">
        <x:v>M14</x:v>
      </x:c>
      <x:c r="C14" s="74" t="str">
        <x:v>GEN</x:v>
      </x:c>
      <x:c r="D14" s="215" t="n">
        <x:v>8</x:v>
      </x:c>
      <x:c r="E14" s="74" t="str">
        <x:v>V1.0</x:v>
      </x:c>
      <x:c r="F14" s="68" t="str">
        <x:v>组合成立只为格局提供支持不能替代月令取格</x:v>
      </x:c>
      <x:c r="G14" s="82" t="str">
        <x:v>综合层</x:v>
      </x:c>
      <x:c r="H14" s="82" t="str">
        <x:v>普通格局</x:v>
      </x:c>
      <x:c r="I14" s="68" t="str">
        <x:v>格局候选通用</x:v>
      </x:c>
      <x:c r="J14" s="68" t="str">
        <x:v>待核查月令主气、中气与全局主势</x:v>
      </x:c>
      <x:c r="K14" s="68" t="str">
        <x:v>透干可增强候选，但不作为所有格局的绝对唯一条件</x:v>
      </x:c>
      <x:c r="L14" s="82" t="str">
        <x:v>待定</x:v>
      </x:c>
      <x:c r="M14" s="68" t="str">
        <x:v>待定</x:v>
      </x:c>
      <x:c r="N14" s="68" t="str">
        <x:v>待定</x:v>
      </x:c>
      <x:c r="O14" s="68" t="str">
        <x:v>结合M09日主旺衰与承载判断</x:v>
      </x:c>
      <x:c r="P14" s="68" t="str">
        <x:v>M11组合达到基本成立以上，并与月令格神方向一致</x:v>
      </x:c>
      <x:c r="Q14" s="68" t="str">
        <x:v>不适用</x:v>
      </x:c>
      <x:c r="R14" s="68" t="str">
        <x:v>格神得令、有根、透达、清纯，并得到有效生扶或制化配合</x:v>
      </x:c>
      <x:c r="S14" s="68" t="str">
        <x:v>组合仅局部成立但不主导全局</x:v>
      </x:c>
      <x:c r="T14" s="90" t="str">
        <x:v>格神失效、无真实功能，或候选只由单一表面十神名称产生</x:v>
      </x:c>
      <x:c r="U14" s="68" t="str">
        <x:v>特殊格局、建禄羊刃及明确从化结构另用专门规则</x:v>
      </x:c>
      <x:c r="V14" s="82" t="str">
        <x:v>候选</x:v>
      </x:c>
      <x:c r="W14" s="68" t="str">
        <x:v>局部组合候选</x:v>
      </x:c>
      <x:c r="X14" s="84" t="str">
        <x:v>组合与格局分层</x:v>
      </x:c>
      <x:c r="Y14" s="84" t="str">
        <x:v>M11组合可增强格局候选，但不能直接把局部食神制杀、官印相生等组合升级为最终格局。</x:v>
      </x:c>
      <x:c r="Z14" s="82" t="str">
        <x:v>较高</x:v>
      </x:c>
      <x:c r="AA14" s="82" t="str">
        <x:v>子平格局</x:v>
      </x:c>
      <x:c r="AB14" s="68" t="str">
        <x:v>M14只生成和排除格局候选。候选须综合月令、透干、格神有效力量、清纯度、日主配合与全局主导性；候选成立不等于M15最终成格。</x:v>
      </x:c>
      <x:c r="AC14" s="68" t="str">
        <x:v>月令与格神有效性共同支持“格局候选通用”，且没有决定性否决条件。</x:v>
      </x:c>
      <x:c r="AD14" s="90" t="str">
        <x:v>仅见相关十神或五行出现，但月令、格神有效性或全局主导性不成立，不能直接列“格局候选通用”。</x:v>
      </x:c>
      <x:c r="AE14" s="68" t="str">
        <x:v>https://zh.wikisource.org/zh-hans/%E6%B7%B5%E6%B5%B7%E5%AD%90%E5%B9%B3 ; https://zh.wikisource.org/wiki/%E6%BB%B4%E5%A4%A9%E9%AB%93%E9%97%A1%E5%BE%AE</x:v>
      </x:c>
      <x:c r="AF14" s="82" t="str">
        <x:v>采用</x:v>
      </x:c>
      <x:c r="AG14" s="82" t="str">
        <x:v>初审</x:v>
      </x:c>
      <x:c r="AH14" s="87" t="n">
        <x:v>46260</x:v>
      </x:c>
    </x:row>
    <x:row r="15">
      <x:c r="A15" s="72" t="str">
        <x:f>IF(OR(C15="",D15=""),"",B15&amp;"-"&amp;UPPER(C15)&amp;"-"&amp;TEXT(D15,"0000")&amp;"-"&amp;E15)</x:f>
        <x:v>M14-GUAN-0009-V1.0</x:v>
      </x:c>
      <x:c r="B15" s="74" t="str">
        <x:v>M14</x:v>
      </x:c>
      <x:c r="C15" s="74" t="str">
        <x:v>GUAN</x:v>
      </x:c>
      <x:c r="D15" s="215" t="n">
        <x:v>9</x:v>
      </x:c>
      <x:c r="E15" s="74" t="str">
        <x:v>V1.0</x:v>
      </x:c>
      <x:c r="F15" s="68" t="str">
        <x:v>月令正官主气生成正官格候选</x:v>
      </x:c>
      <x:c r="G15" s="82" t="str">
        <x:v>综合层</x:v>
      </x:c>
      <x:c r="H15" s="82" t="str">
        <x:v>普通格局</x:v>
      </x:c>
      <x:c r="I15" s="68" t="str">
        <x:v>正官格候选</x:v>
      </x:c>
      <x:c r="J15" s="68" t="str">
        <x:v>月令本气为正官，或月令官星得令并成为主要功能轴</x:v>
      </x:c>
      <x:c r="K15" s="68" t="str">
        <x:v>正官透干为强增强条件</x:v>
      </x:c>
      <x:c r="L15" s="82" t="str">
        <x:v>较清</x:v>
      </x:c>
      <x:c r="M15" s="68" t="str">
        <x:v>正官有根</x:v>
      </x:c>
      <x:c r="N15" s="68" t="str">
        <x:v>中和偏旺</x:v>
      </x:c>
      <x:c r="O15" s="68" t="str">
        <x:v>日主有根有承载，官制身不过度</x:v>
      </x:c>
      <x:c r="P15" s="68" t="str">
        <x:v>正官得令、有效且能够稳定制身</x:v>
      </x:c>
      <x:c r="Q15" s="68" t="str">
        <x:v>不适用</x:v>
      </x:c>
      <x:c r="R15" s="68" t="str">
        <x:v>格神得令、有根、透达、清纯，并得到有效生扶或制化配合</x:v>
      </x:c>
      <x:c r="S15" s="68" t="str">
        <x:v>存在更强月令主气、格神功能被替代或全局主势明显转向其他结构</x:v>
      </x:c>
      <x:c r="T15" s="90" t="str">
        <x:v>格神失效、无真实功能，或候选只由单一表面十神名称产生</x:v>
      </x:c>
      <x:c r="U15" s="68" t="str">
        <x:v>特殊格局、建禄羊刃及明确从化结构另用专门规则</x:v>
      </x:c>
      <x:c r="V15" s="82" t="str">
        <x:v>候选</x:v>
      </x:c>
      <x:c r="W15" s="68" t="str">
        <x:v>官印相生、财官相生候选</x:v>
      </x:c>
      <x:c r="X15" s="84" t="str">
        <x:v>正官格候选_候选</x:v>
      </x:c>
      <x:c r="Y15" s="84" t="str">
        <x:v>正官格候选列为“候选”：主要依据为月令与格神有效性；仍需M15检验成格、破格、救应与层次。</x:v>
      </x:c>
      <x:c r="Z15" s="82" t="str">
        <x:v>较高</x:v>
      </x:c>
      <x:c r="AA15" s="82" t="str">
        <x:v>子平格局</x:v>
      </x:c>
      <x:c r="AB15" s="68" t="str">
        <x:v>M14只生成和排除格局候选。候选须综合月令、透干、格神有效力量、清纯度、日主配合与全局主导性；候选成立不等于M15最终成格。</x:v>
      </x:c>
      <x:c r="AC15" s="68" t="str">
        <x:v>月令与格神有效性共同支持“正官格候选”，且没有决定性否决条件。</x:v>
      </x:c>
      <x:c r="AD15" s="90" t="str">
        <x:v>仅见相关十神或五行出现，但月令、格神有效性或全局主导性不成立，不能直接列“正官格候选”。</x:v>
      </x:c>
      <x:c r="AE15" s="68" t="str">
        <x:v>https://zh.wikisource.org/zh-hans/%E6%B7%B5%E6%B5%B7%E5%AD%90%E5%B9%B3 ; https://zh.wikisource.org/wiki/%E6%BB%B4%E5%A4%A9%E9%AB%93%E9%97%A1%E5%BE%AE</x:v>
      </x:c>
      <x:c r="AF15" s="82" t="str">
        <x:v>采用</x:v>
      </x:c>
      <x:c r="AG15" s="82" t="str">
        <x:v>初审</x:v>
      </x:c>
      <x:c r="AH15" s="87" t="n">
        <x:v>46260</x:v>
      </x:c>
    </x:row>
    <x:row r="16">
      <x:c r="A16" s="72" t="str">
        <x:f>IF(OR(C16="",D16=""),"",B16&amp;"-"&amp;UPPER(C16)&amp;"-"&amp;TEXT(D16,"0000")&amp;"-"&amp;E16)</x:f>
        <x:v>M14-GUAN-0010-V1.0</x:v>
      </x:c>
      <x:c r="B16" s="74" t="str">
        <x:v>M14</x:v>
      </x:c>
      <x:c r="C16" s="74" t="str">
        <x:v>GUAN</x:v>
      </x:c>
      <x:c r="D16" s="215" t="n">
        <x:v>10</x:v>
      </x:c>
      <x:c r="E16" s="74" t="str">
        <x:v>V1.0</x:v>
      </x:c>
      <x:c r="F16" s="68" t="str">
        <x:v>月令藏官透干可生成正官格次候选</x:v>
      </x:c>
      <x:c r="G16" s="82" t="str">
        <x:v>综合层</x:v>
      </x:c>
      <x:c r="H16" s="82" t="str">
        <x:v>普通格局</x:v>
      </x:c>
      <x:c r="I16" s="68" t="str">
        <x:v>正官格候选</x:v>
      </x:c>
      <x:c r="J16" s="68" t="str">
        <x:v>月令藏正官且正官透干，月令主气未形成更强替代格</x:v>
      </x:c>
      <x:c r="K16" s="68" t="str">
        <x:v>正官透干并有根</x:v>
      </x:c>
      <x:c r="L16" s="82" t="str">
        <x:v>较清</x:v>
      </x:c>
      <x:c r="M16" s="68" t="str">
        <x:v>有根</x:v>
      </x:c>
      <x:c r="N16" s="68" t="str">
        <x:v>中和</x:v>
      </x:c>
      <x:c r="O16" s="68" t="str">
        <x:v>结合M09日主旺衰与承载判断</x:v>
      </x:c>
      <x:c r="P16" s="68" t="str">
        <x:v>官星由月令引出并成为显性结构核心</x:v>
      </x:c>
      <x:c r="Q16" s="68" t="str">
        <x:v>不适用</x:v>
      </x:c>
      <x:c r="R16" s="68" t="str">
        <x:v>格神得令、有根、透达、清纯，并得到有效生扶或制化配合</x:v>
      </x:c>
      <x:c r="S16" s="68" t="str">
        <x:v>存在更强月令主气、格神功能被替代或全局主势明显转向其他结构</x:v>
      </x:c>
      <x:c r="T16" s="90" t="str">
        <x:v>格神失效、无真实功能，或候选只由单一表面十神名称产生</x:v>
      </x:c>
      <x:c r="U16" s="68" t="str">
        <x:v>特殊格局、建禄羊刃及明确从化结构另用专门规则</x:v>
      </x:c>
      <x:c r="V16" s="82" t="str">
        <x:v>候选</x:v>
      </x:c>
      <x:c r="W16" s="68" t="str">
        <x:v>月令主气候选</x:v>
      </x:c>
      <x:c r="X16" s="84" t="str">
        <x:v>正官格候选_候选</x:v>
      </x:c>
      <x:c r="Y16" s="84" t="str">
        <x:v>正官格候选列为“候选”：主要依据为月令与格神有效性；仍需M15检验成格、破格、救应与层次。</x:v>
      </x:c>
      <x:c r="Z16" s="82" t="str">
        <x:v>较高</x:v>
      </x:c>
      <x:c r="AA16" s="82" t="str">
        <x:v>子平格局</x:v>
      </x:c>
      <x:c r="AB16" s="68" t="str">
        <x:v>M14只生成和排除格局候选。候选须综合月令、透干、格神有效力量、清纯度、日主配合与全局主导性；候选成立不等于M15最终成格。</x:v>
      </x:c>
      <x:c r="AC16" s="68" t="str">
        <x:v>月令与格神有效性共同支持“正官格候选”，且没有决定性否决条件。</x:v>
      </x:c>
      <x:c r="AD16" s="90" t="str">
        <x:v>仅见相关十神或五行出现，但月令、格神有效性或全局主导性不成立，不能直接列“正官格候选”。</x:v>
      </x:c>
      <x:c r="AE16" s="68" t="str">
        <x:v>https://zh.wikisource.org/zh-hans/%E6%B7%B5%E6%B5%B7%E5%AD%90%E5%B9%B3 ; https://zh.wikisource.org/wiki/%E6%BB%B4%E5%A4%A9%E9%AB%93%E9%97%A1%E5%BE%AE</x:v>
      </x:c>
      <x:c r="AF16" s="82" t="str">
        <x:v>采用</x:v>
      </x:c>
      <x:c r="AG16" s="82" t="str">
        <x:v>初审</x:v>
      </x:c>
      <x:c r="AH16" s="87" t="n">
        <x:v>46260</x:v>
      </x:c>
    </x:row>
    <x:row r="17">
      <x:c r="A17" s="72" t="str">
        <x:f>IF(OR(C17="",D17=""),"",B17&amp;"-"&amp;UPPER(C17)&amp;"-"&amp;TEXT(D17,"0000")&amp;"-"&amp;E17)</x:f>
        <x:v>M14-GUAN-0011-V1.0</x:v>
      </x:c>
      <x:c r="B17" s="74" t="str">
        <x:v>M14</x:v>
      </x:c>
      <x:c r="C17" s="74" t="str">
        <x:v>GUAN</x:v>
      </x:c>
      <x:c r="D17" s="215" t="n">
        <x:v>11</x:v>
      </x:c>
      <x:c r="E17" s="74" t="str">
        <x:v>V1.0</x:v>
      </x:c>
      <x:c r="F17" s="68" t="str">
        <x:v>官印相生可增强正官格候选</x:v>
      </x:c>
      <x:c r="G17" s="82" t="str">
        <x:v>综合层</x:v>
      </x:c>
      <x:c r="H17" s="82" t="str">
        <x:v>普通格局</x:v>
      </x:c>
      <x:c r="I17" s="68" t="str">
        <x:v>正官格候选</x:v>
      </x:c>
      <x:c r="J17" s="68" t="str">
        <x:v>正官具有月令依据</x:v>
      </x:c>
      <x:c r="K17" s="68" t="str">
        <x:v>官印均透或功能清晰</x:v>
      </x:c>
      <x:c r="L17" s="82" t="str">
        <x:v>较清</x:v>
      </x:c>
      <x:c r="M17" s="68" t="str">
        <x:v>官印均有有效根源</x:v>
      </x:c>
      <x:c r="N17" s="68" t="str">
        <x:v>中和偏旺</x:v>
      </x:c>
      <x:c r="O17" s="68" t="str">
        <x:v>印能承接官气并生日主</x:v>
      </x:c>
      <x:c r="P17" s="68" t="str">
        <x:v>M11官印相生达到基本成立以上</x:v>
      </x:c>
      <x:c r="Q17" s="68" t="str">
        <x:v>不适用</x:v>
      </x:c>
      <x:c r="R17" s="68" t="str">
        <x:v>格神得令、有根、透达、清纯，并得到有效生扶或制化配合</x:v>
      </x:c>
      <x:c r="S17" s="68" t="str">
        <x:v>存在更强月令主气、格神功能被替代或全局主势明显转向其他结构</x:v>
      </x:c>
      <x:c r="T17" s="90" t="str">
        <x:v>格神失效、无真实功能，或候选只由单一表面十神名称产生</x:v>
      </x:c>
      <x:c r="U17" s="68" t="str">
        <x:v>特殊格局、建禄羊刃及明确从化结构另用专门规则</x:v>
      </x:c>
      <x:c r="V17" s="82" t="str">
        <x:v>基本成立</x:v>
      </x:c>
      <x:c r="W17" s="68" t="str">
        <x:v>正印格候选</x:v>
      </x:c>
      <x:c r="X17" s="84" t="str">
        <x:v>正官格候选_候选</x:v>
      </x:c>
      <x:c r="Y17" s="84" t="str">
        <x:v>正官格候选列为“基本成立”：主要依据为月令与格神有效性；仍需M15检验成格、破格、救应与层次。</x:v>
      </x:c>
      <x:c r="Z17" s="82" t="str">
        <x:v>较高</x:v>
      </x:c>
      <x:c r="AA17" s="82" t="str">
        <x:v>子平格局</x:v>
      </x:c>
      <x:c r="AB17" s="68" t="str">
        <x:v>M14只生成和排除格局候选。候选须综合月令、透干、格神有效力量、清纯度、日主配合与全局主导性；候选成立不等于M15最终成格。</x:v>
      </x:c>
      <x:c r="AC17" s="68" t="str">
        <x:v>月令与格神有效性共同支持“正官格候选”，且没有决定性否决条件。</x:v>
      </x:c>
      <x:c r="AD17" s="90" t="str">
        <x:v>仅见相关十神或五行出现，但月令、格神有效性或全局主导性不成立，不能直接列“正官格候选”。</x:v>
      </x:c>
      <x:c r="AE17" s="68" t="str">
        <x:v>https://zh.wikisource.org/zh-hans/%E6%B7%B5%E6%B5%B7%E5%AD%90%E5%B9%B3 ; https://zh.wikisource.org/wiki/%E6%BB%B4%E5%A4%A9%E9%AB%93%E9%97%A1%E5%BE%AE</x:v>
      </x:c>
      <x:c r="AF17" s="82" t="str">
        <x:v>采用</x:v>
      </x:c>
      <x:c r="AG17" s="82" t="str">
        <x:v>初审</x:v>
      </x:c>
      <x:c r="AH17" s="87" t="n">
        <x:v>46260</x:v>
      </x:c>
    </x:row>
    <x:row r="18">
      <x:c r="A18" s="72" t="str">
        <x:f>IF(OR(C18="",D18=""),"",B18&amp;"-"&amp;UPPER(C18)&amp;"-"&amp;TEXT(D18,"0000")&amp;"-"&amp;E18)</x:f>
        <x:v>M14-GUAN-0012-V1.0</x:v>
      </x:c>
      <x:c r="B18" s="74" t="str">
        <x:v>M14</x:v>
      </x:c>
      <x:c r="C18" s="74" t="str">
        <x:v>GUAN</x:v>
      </x:c>
      <x:c r="D18" s="215" t="n">
        <x:v>12</x:v>
      </x:c>
      <x:c r="E18" s="74" t="str">
        <x:v>V1.0</x:v>
      </x:c>
      <x:c r="F18" s="68" t="str">
        <x:v>财生官可增强正官格候选但须防财坏印</x:v>
      </x:c>
      <x:c r="G18" s="82" t="str">
        <x:v>综合层</x:v>
      </x:c>
      <x:c r="H18" s="82" t="str">
        <x:v>普通格局</x:v>
      </x:c>
      <x:c r="I18" s="68" t="str">
        <x:v>正官格候选</x:v>
      </x:c>
      <x:c r="J18" s="68" t="str">
        <x:v>正官候选已生成</x:v>
      </x:c>
      <x:c r="K18" s="68" t="str">
        <x:v>财官作用路径清晰</x:v>
      </x:c>
      <x:c r="L18" s="82" t="str">
        <x:v>待定</x:v>
      </x:c>
      <x:c r="M18" s="68" t="str">
        <x:v>待定</x:v>
      </x:c>
      <x:c r="N18" s="68" t="str">
        <x:v>待定</x:v>
      </x:c>
      <x:c r="O18" s="68" t="str">
        <x:v>结合M09日主旺衰与承载判断</x:v>
      </x:c>
      <x:c r="P18" s="68" t="str">
        <x:v>M11财官相生成立，且财不过度破坏关键印星</x:v>
      </x:c>
      <x:c r="Q18" s="68" t="str">
        <x:v>不适用</x:v>
      </x:c>
      <x:c r="R18" s="68" t="str">
        <x:v>格神得令、有根、透达、清纯，并得到有效生扶或制化配合</x:v>
      </x:c>
      <x:c r="S18" s="68" t="str">
        <x:v>存在更强月令主气、格神功能被替代或全局主势明显转向其他结构</x:v>
      </x:c>
      <x:c r="T18" s="90" t="str">
        <x:v>格神失效、无真实功能，或候选只由单一表面十神名称产生</x:v>
      </x:c>
      <x:c r="U18" s="68" t="str">
        <x:v>特殊格局、建禄羊刃及明确从化结构另用专门规则</x:v>
      </x:c>
      <x:c r="V18" s="82" t="str">
        <x:v>基本成立</x:v>
      </x:c>
      <x:c r="W18" s="68" t="str">
        <x:v>财格候选</x:v>
      </x:c>
      <x:c r="X18" s="84" t="str">
        <x:v>正官格_财官增强</x:v>
      </x:c>
      <x:c r="Y18" s="84" t="str">
        <x:v>正官格候选列为“基本成立”：主要依据为月令与格神有效性；仍需M15检验成格、破格、救应与层次。</x:v>
      </x:c>
      <x:c r="Z18" s="82" t="str">
        <x:v>较高</x:v>
      </x:c>
      <x:c r="AA18" s="82" t="str">
        <x:v>子平格局</x:v>
      </x:c>
      <x:c r="AB18" s="68" t="str">
        <x:v>M14只生成和排除格局候选。候选须综合月令、透干、格神有效力量、清纯度、日主配合与全局主导性；候选成立不等于M15最终成格。</x:v>
      </x:c>
      <x:c r="AC18" s="68" t="str">
        <x:v>月令与格神有效性共同支持“正官格候选”，且没有决定性否决条件。</x:v>
      </x:c>
      <x:c r="AD18" s="90" t="str">
        <x:v>仅见相关十神或五行出现，但月令、格神有效性或全局主导性不成立，不能直接列“正官格候选”。</x:v>
      </x:c>
      <x:c r="AE18" s="68" t="str">
        <x:v>https://zh.wikisource.org/zh-hans/%E6%B7%B5%E6%B5%B7%E5%AD%90%E5%B9%B3 ; https://zh.wikisource.org/wiki/%E6%BB%B4%E5%A4%A9%E9%AB%93%E9%97%A1%E5%BE%AE</x:v>
      </x:c>
      <x:c r="AF18" s="82" t="str">
        <x:v>采用</x:v>
      </x:c>
      <x:c r="AG18" s="82" t="str">
        <x:v>初审</x:v>
      </x:c>
      <x:c r="AH18" s="87" t="n">
        <x:v>46260</x:v>
      </x:c>
    </x:row>
    <x:row r="19">
      <x:c r="A19" s="72" t="str">
        <x:f>IF(OR(C19="",D19=""),"",B19&amp;"-"&amp;UPPER(C19)&amp;"-"&amp;TEXT(D19,"0000")&amp;"-"&amp;E19)</x:f>
        <x:v>M14-GUAN-0013-V1.0</x:v>
      </x:c>
      <x:c r="B19" s="74" t="str">
        <x:v>M14</x:v>
      </x:c>
      <x:c r="C19" s="74" t="str">
        <x:v>GUAN</x:v>
      </x:c>
      <x:c r="D19" s="215" t="n">
        <x:v>13</x:v>
      </x:c>
      <x:c r="E19" s="74" t="str">
        <x:v>V1.0</x:v>
      </x:c>
      <x:c r="F19" s="68" t="str">
        <x:v>伤官强制官会降低或排除正官格候选</x:v>
      </x:c>
      <x:c r="G19" s="82" t="str">
        <x:v>综合层</x:v>
      </x:c>
      <x:c r="H19" s="82" t="str">
        <x:v>普通格局</x:v>
      </x:c>
      <x:c r="I19" s="68" t="str">
        <x:v>正官格候选</x:v>
      </x:c>
      <x:c r="J19" s="68" t="str">
        <x:v>正官具有月令依据</x:v>
      </x:c>
      <x:c r="K19" s="68" t="str">
        <x:v>透干可增强候选，但不作为所有格局的绝对唯一条件</x:v>
      </x:c>
      <x:c r="L19" s="82" t="str">
        <x:v>有杂</x:v>
      </x:c>
      <x:c r="M19" s="68" t="str">
        <x:v>正官根气受损或仍待定</x:v>
      </x:c>
      <x:c r="N19" s="68" t="str">
        <x:v>受限</x:v>
      </x:c>
      <x:c r="O19" s="68" t="str">
        <x:v>结合M09日主旺衰与承载判断</x:v>
      </x:c>
      <x:c r="P19" s="68" t="str">
        <x:v>正官原可列候选，但M11伤官见官冲突成立</x:v>
      </x:c>
      <x:c r="Q19" s="68" t="str">
        <x:v>不适用</x:v>
      </x:c>
      <x:c r="R19" s="68" t="str">
        <x:v>格神得令、有根、透达、清纯，并得到有效生扶或制化配合</x:v>
      </x:c>
      <x:c r="S19" s="68" t="str">
        <x:v>伤官对正官形成持续有效克制</x:v>
      </x:c>
      <x:c r="T19" s="90" t="str">
        <x:v>正官被制至失效且无印制伤、财通关等救应</x:v>
      </x:c>
      <x:c r="U19" s="68" t="str">
        <x:v>特殊格局、建禄羊刃及明确从化结构另用专门规则</x:v>
      </x:c>
      <x:c r="V19" s="82" t="str">
        <x:v>不成立</x:v>
      </x:c>
      <x:c r="W19" s="68" t="str">
        <x:v>伤官格或伤官配印候选</x:v>
      </x:c>
      <x:c r="X19" s="84" t="str">
        <x:v>正官格_伤官破官</x:v>
      </x:c>
      <x:c r="Y19" s="84" t="str">
        <x:v>正官格候选列为“不成立”：主要依据为月令与格神有效性；仍需M15检验成格、破格、救应与层次。</x:v>
      </x:c>
      <x:c r="Z19" s="82" t="str">
        <x:v>较高</x:v>
      </x:c>
      <x:c r="AA19" s="82" t="str">
        <x:v>子平格局</x:v>
      </x:c>
      <x:c r="AB19" s="68" t="str">
        <x:v>M14只生成和排除格局候选。候选须综合月令、透干、格神有效力量、清纯度、日主配合与全局主导性；候选成立不等于M15最终成格。</x:v>
      </x:c>
      <x:c r="AC19" s="68" t="str">
        <x:v>月令与格神有效性共同支持“正官格候选”，且没有决定性否决条件。</x:v>
      </x:c>
      <x:c r="AD19" s="90" t="str">
        <x:v>仅见相关十神或五行出现，但月令、格神有效性或全局主导性不成立，不能直接列“正官格候选”。</x:v>
      </x:c>
      <x:c r="AE19" s="68" t="str">
        <x:v>https://zh.wikisource.org/zh-hans/%E6%B7%B5%E6%B5%B7%E5%AD%90%E5%B9%B3 ; https://zh.wikisource.org/wiki/%E6%BB%B4%E5%A4%A9%E9%AB%93%E9%97%A1%E5%BE%AE</x:v>
      </x:c>
      <x:c r="AF19" s="82" t="str">
        <x:v>采用</x:v>
      </x:c>
      <x:c r="AG19" s="82" t="str">
        <x:v>初审</x:v>
      </x:c>
      <x:c r="AH19" s="87" t="n">
        <x:v>46260</x:v>
      </x:c>
    </x:row>
    <x:row r="20">
      <x:c r="A20" s="72" t="str">
        <x:f>IF(OR(C20="",D20=""),"",B20&amp;"-"&amp;UPPER(C20)&amp;"-"&amp;TEXT(D20,"0000")&amp;"-"&amp;E20)</x:f>
        <x:v>M14-GUAN-0014-V1.0</x:v>
      </x:c>
      <x:c r="B20" s="74" t="str">
        <x:v>M14</x:v>
      </x:c>
      <x:c r="C20" s="74" t="str">
        <x:v>GUAN</x:v>
      </x:c>
      <x:c r="D20" s="215" t="n">
        <x:v>14</x:v>
      </x:c>
      <x:c r="E20" s="74" t="str">
        <x:v>V1.0</x:v>
      </x:c>
      <x:c r="F20" s="68" t="str">
        <x:v>官杀混杂主从不清时正官格降级</x:v>
      </x:c>
      <x:c r="G20" s="82" t="str">
        <x:v>综合层</x:v>
      </x:c>
      <x:c r="H20" s="82" t="str">
        <x:v>普通格局</x:v>
      </x:c>
      <x:c r="I20" s="68" t="str">
        <x:v>正官格候选</x:v>
      </x:c>
      <x:c r="J20" s="68" t="str">
        <x:v>正官有月令依据，但七杀同时有效</x:v>
      </x:c>
      <x:c r="K20" s="68" t="str">
        <x:v>透干可增强候选，但不作为所有格局的绝对唯一条件</x:v>
      </x:c>
      <x:c r="L20" s="82" t="str">
        <x:v>混杂</x:v>
      </x:c>
      <x:c r="M20" s="68" t="str">
        <x:v>待定</x:v>
      </x:c>
      <x:c r="N20" s="68" t="str">
        <x:v>待定</x:v>
      </x:c>
      <x:c r="O20" s="68" t="str">
        <x:v>结合M09日主旺衰与承载判断</x:v>
      </x:c>
      <x:c r="P20" s="68" t="str">
        <x:v>官杀并见且双方都参与制身</x:v>
      </x:c>
      <x:c r="Q20" s="68" t="str">
        <x:v>不适用</x:v>
      </x:c>
      <x:c r="R20" s="68" t="str">
        <x:v>格神得令、有根、透达、清纯，并得到有效生扶或制化配合</x:v>
      </x:c>
      <x:c r="S20" s="68" t="str">
        <x:v>官杀双强、主从不清、无合制清化</x:v>
      </x:c>
      <x:c r="T20" s="90" t="str">
        <x:v>格神失效、无真实功能，或候选只由单一表面十神名称产生</x:v>
      </x:c>
      <x:c r="U20" s="68" t="str">
        <x:v>特殊格局、建禄羊刃及明确从化结构另用专门规则</x:v>
      </x:c>
      <x:c r="V20" s="82" t="str">
        <x:v>候选</x:v>
      </x:c>
      <x:c r="W20" s="68" t="str">
        <x:v>七杀格或官杀混杂结构</x:v>
      </x:c>
      <x:c r="X20" s="84" t="str">
        <x:v>正官格_官杀混杂</x:v>
      </x:c>
      <x:c r="Y20" s="84" t="str">
        <x:v>正官格候选列为“候选”：主要依据为月令与格神有效性；仍需M15检验成格、破格、救应与层次。</x:v>
      </x:c>
      <x:c r="Z20" s="82" t="str">
        <x:v>较高</x:v>
      </x:c>
      <x:c r="AA20" s="82" t="str">
        <x:v>子平格局</x:v>
      </x:c>
      <x:c r="AB20" s="68" t="str">
        <x:v>M14只生成和排除格局候选。候选须综合月令、透干、格神有效力量、清纯度、日主配合与全局主导性；候选成立不等于M15最终成格。</x:v>
      </x:c>
      <x:c r="AC20" s="68" t="str">
        <x:v>月令与格神有效性共同支持“正官格候选”，且没有决定性否决条件。</x:v>
      </x:c>
      <x:c r="AD20" s="90" t="str">
        <x:v>仅见相关十神或五行出现，但月令、格神有效性或全局主导性不成立，不能直接列“正官格候选”。</x:v>
      </x:c>
      <x:c r="AE20" s="68" t="str">
        <x:v>https://zh.wikisource.org/zh-hans/%E6%B7%B5%E6%B5%B7%E5%AD%90%E5%B9%B3 ; https://zh.wikisource.org/wiki/%E6%BB%B4%E5%A4%A9%E9%AB%93%E9%97%A1%E5%BE%AE</x:v>
      </x:c>
      <x:c r="AF20" s="82" t="str">
        <x:v>采用</x:v>
      </x:c>
      <x:c r="AG20" s="82" t="str">
        <x:v>初审</x:v>
      </x:c>
      <x:c r="AH20" s="87" t="n">
        <x:v>46260</x:v>
      </x:c>
    </x:row>
    <x:row r="21">
      <x:c r="A21" s="72" t="str">
        <x:f>IF(OR(C21="",D21=""),"",B21&amp;"-"&amp;UPPER(C21)&amp;"-"&amp;TEXT(D21,"0000")&amp;"-"&amp;E21)</x:f>
        <x:v>M14-SHA-0015-V1.0</x:v>
      </x:c>
      <x:c r="B21" s="74" t="str">
        <x:v>M14</x:v>
      </x:c>
      <x:c r="C21" s="74" t="str">
        <x:v>SHA</x:v>
      </x:c>
      <x:c r="D21" s="215" t="n">
        <x:v>15</x:v>
      </x:c>
      <x:c r="E21" s="74" t="str">
        <x:v>V1.0</x:v>
      </x:c>
      <x:c r="F21" s="68" t="str">
        <x:v>月令七杀主气生成七杀格候选</x:v>
      </x:c>
      <x:c r="G21" s="82" t="str">
        <x:v>综合层</x:v>
      </x:c>
      <x:c r="H21" s="82" t="str">
        <x:v>普通格局</x:v>
      </x:c>
      <x:c r="I21" s="68" t="str">
        <x:v>七杀格候选</x:v>
      </x:c>
      <x:c r="J21" s="68" t="str">
        <x:v>月令本气为七杀，或七杀得令成为主要制身轴</x:v>
      </x:c>
      <x:c r="K21" s="68" t="str">
        <x:v>七杀透干为强增强条件</x:v>
      </x:c>
      <x:c r="L21" s="82" t="str">
        <x:v>较清</x:v>
      </x:c>
      <x:c r="M21" s="68" t="str">
        <x:v>七杀有根</x:v>
      </x:c>
      <x:c r="N21" s="68" t="str">
        <x:v>中和偏旺</x:v>
      </x:c>
      <x:c r="O21" s="68" t="str">
        <x:v>日主有承载，或食制印化等制化路径明确</x:v>
      </x:c>
      <x:c r="P21" s="68" t="str">
        <x:v>七杀得令、有效并形成真实压力</x:v>
      </x:c>
      <x:c r="Q21" s="68" t="str">
        <x:v>不适用</x:v>
      </x:c>
      <x:c r="R21" s="68" t="str">
        <x:v>格神得令、有根、透达、清纯，并得到有效生扶或制化配合</x:v>
      </x:c>
      <x:c r="S21" s="68" t="str">
        <x:v>存在更强月令主气、格神功能被替代或全局主势明显转向其他结构</x:v>
      </x:c>
      <x:c r="T21" s="90" t="str">
        <x:v>格神失效、无真实功能，或候选只由单一表面十神名称产生</x:v>
      </x:c>
      <x:c r="U21" s="68" t="str">
        <x:v>特殊格局、建禄羊刃及明确从化结构另用专门规则</x:v>
      </x:c>
      <x:c r="V21" s="82" t="str">
        <x:v>候选</x:v>
      </x:c>
      <x:c r="W21" s="68" t="str">
        <x:v>食神制杀、杀印相生候选</x:v>
      </x:c>
      <x:c r="X21" s="84" t="str">
        <x:v>七杀格候选_候选</x:v>
      </x:c>
      <x:c r="Y21" s="84" t="str">
        <x:v>七杀格候选列为“候选”：主要依据为月令与格神有效性；仍需M15检验成格、破格、救应与层次。</x:v>
      </x:c>
      <x:c r="Z21" s="82" t="str">
        <x:v>较高</x:v>
      </x:c>
      <x:c r="AA21" s="82" t="str">
        <x:v>子平格局</x:v>
      </x:c>
      <x:c r="AB21" s="68" t="str">
        <x:v>M14只生成和排除格局候选。候选须综合月令、透干、格神有效力量、清纯度、日主配合与全局主导性；候选成立不等于M15最终成格。</x:v>
      </x:c>
      <x:c r="AC21" s="68" t="str">
        <x:v>月令与格神有效性共同支持“七杀格候选”，且没有决定性否决条件。</x:v>
      </x:c>
      <x:c r="AD21" s="90" t="str">
        <x:v>仅见相关十神或五行出现，但月令、格神有效性或全局主导性不成立，不能直接列“七杀格候选”。</x:v>
      </x:c>
      <x:c r="AE21" s="68" t="str">
        <x:v>https://zh.wikisource.org/zh-hans/%E6%B7%B5%E6%B5%B7%E5%AD%90%E5%B9%B3 ; https://zh.wikisource.org/wiki/%E6%BB%B4%E5%A4%A9%E9%AB%93%E9%97%A1%E5%BE%AE</x:v>
      </x:c>
      <x:c r="AF21" s="82" t="str">
        <x:v>采用</x:v>
      </x:c>
      <x:c r="AG21" s="82" t="str">
        <x:v>初审</x:v>
      </x:c>
      <x:c r="AH21" s="87" t="n">
        <x:v>46260</x:v>
      </x:c>
    </x:row>
    <x:row r="22">
      <x:c r="A22" s="72" t="str">
        <x:f>IF(OR(C22="",D22=""),"",B22&amp;"-"&amp;UPPER(C22)&amp;"-"&amp;TEXT(D22,"0000")&amp;"-"&amp;E22)</x:f>
        <x:v>M14-SHA-0016-V1.0</x:v>
      </x:c>
      <x:c r="B22" s="74" t="str">
        <x:v>M14</x:v>
      </x:c>
      <x:c r="C22" s="74" t="str">
        <x:v>SHA</x:v>
      </x:c>
      <x:c r="D22" s="215" t="n">
        <x:v>16</x:v>
      </x:c>
      <x:c r="E22" s="74" t="str">
        <x:v>V1.0</x:v>
      </x:c>
      <x:c r="F22" s="68" t="str">
        <x:v>月令藏杀透干可生成七杀格次候选</x:v>
      </x:c>
      <x:c r="G22" s="82" t="str">
        <x:v>综合层</x:v>
      </x:c>
      <x:c r="H22" s="82" t="str">
        <x:v>普通格局</x:v>
      </x:c>
      <x:c r="I22" s="68" t="str">
        <x:v>七杀格候选</x:v>
      </x:c>
      <x:c r="J22" s="68" t="str">
        <x:v>月令藏七杀且透干，月令主气未形成更强替代格</x:v>
      </x:c>
      <x:c r="K22" s="68" t="str">
        <x:v>七杀透干并有根有源</x:v>
      </x:c>
      <x:c r="L22" s="82" t="str">
        <x:v>较清</x:v>
      </x:c>
      <x:c r="M22" s="68" t="str">
        <x:v>有根</x:v>
      </x:c>
      <x:c r="N22" s="68" t="str">
        <x:v>中和</x:v>
      </x:c>
      <x:c r="O22" s="68" t="str">
        <x:v>结合M09日主旺衰与承载判断</x:v>
      </x:c>
      <x:c r="P22" s="68" t="str">
        <x:v>七杀由月令引出并成为全局主要压力源</x:v>
      </x:c>
      <x:c r="Q22" s="68" t="str">
        <x:v>不适用</x:v>
      </x:c>
      <x:c r="R22" s="68" t="str">
        <x:v>格神得令、有根、透达、清纯，并得到有效生扶或制化配合</x:v>
      </x:c>
      <x:c r="S22" s="68" t="str">
        <x:v>存在更强月令主气、格神功能被替代或全局主势明显转向其他结构</x:v>
      </x:c>
      <x:c r="T22" s="90" t="str">
        <x:v>格神失效、无真实功能，或候选只由单一表面十神名称产生</x:v>
      </x:c>
      <x:c r="U22" s="68" t="str">
        <x:v>特殊格局、建禄羊刃及明确从化结构另用专门规则</x:v>
      </x:c>
      <x:c r="V22" s="82" t="str">
        <x:v>候选</x:v>
      </x:c>
      <x:c r="W22" s="68" t="str">
        <x:v>待定</x:v>
      </x:c>
      <x:c r="X22" s="84" t="str">
        <x:v>七杀格候选_候选</x:v>
      </x:c>
      <x:c r="Y22" s="84" t="str">
        <x:v>七杀格候选列为“候选”：主要依据为月令与格神有效性；仍需M15检验成格、破格、救应与层次。</x:v>
      </x:c>
      <x:c r="Z22" s="82" t="str">
        <x:v>较高</x:v>
      </x:c>
      <x:c r="AA22" s="82" t="str">
        <x:v>子平格局</x:v>
      </x:c>
      <x:c r="AB22" s="68" t="str">
        <x:v>M14只生成和排除格局候选。候选须综合月令、透干、格神有效力量、清纯度、日主配合与全局主导性；候选成立不等于M15最终成格。</x:v>
      </x:c>
      <x:c r="AC22" s="68" t="str">
        <x:v>月令与格神有效性共同支持“七杀格候选”，且没有决定性否决条件。</x:v>
      </x:c>
      <x:c r="AD22" s="90" t="str">
        <x:v>仅见相关十神或五行出现，但月令、格神有效性或全局主导性不成立，不能直接列“七杀格候选”。</x:v>
      </x:c>
      <x:c r="AE22" s="68" t="str">
        <x:v>https://zh.wikisource.org/zh-hans/%E6%B7%B5%E6%B5%B7%E5%AD%90%E5%B9%B3 ; https://zh.wikisource.org/wiki/%E6%BB%B4%E5%A4%A9%E9%AB%93%E9%97%A1%E5%BE%AE</x:v>
      </x:c>
      <x:c r="AF22" s="82" t="str">
        <x:v>采用</x:v>
      </x:c>
      <x:c r="AG22" s="82" t="str">
        <x:v>初审</x:v>
      </x:c>
      <x:c r="AH22" s="87" t="n">
        <x:v>46260</x:v>
      </x:c>
    </x:row>
    <x:row r="23">
      <x:c r="A23" s="72" t="str">
        <x:f>IF(OR(C23="",D23=""),"",B23&amp;"-"&amp;UPPER(C23)&amp;"-"&amp;TEXT(D23,"0000")&amp;"-"&amp;E23)</x:f>
        <x:v>M14-SHA-0017-V1.0</x:v>
      </x:c>
      <x:c r="B23" s="74" t="str">
        <x:v>M14</x:v>
      </x:c>
      <x:c r="C23" s="74" t="str">
        <x:v>SHA</x:v>
      </x:c>
      <x:c r="D23" s="215" t="n">
        <x:v>17</x:v>
      </x:c>
      <x:c r="E23" s="74" t="str">
        <x:v>V1.0</x:v>
      </x:c>
      <x:c r="F23" s="68" t="str">
        <x:v>食神制杀可增强七杀格候选</x:v>
      </x:c>
      <x:c r="G23" s="82" t="str">
        <x:v>综合层</x:v>
      </x:c>
      <x:c r="H23" s="82" t="str">
        <x:v>普通格局</x:v>
      </x:c>
      <x:c r="I23" s="68" t="str">
        <x:v>七杀格候选</x:v>
      </x:c>
      <x:c r="J23" s="68" t="str">
        <x:v>七杀具有月令依据</x:v>
      </x:c>
      <x:c r="K23" s="68" t="str">
        <x:v>透干可增强候选，但不作为所有格局的绝对唯一条件</x:v>
      </x:c>
      <x:c r="L23" s="82" t="str">
        <x:v>待定</x:v>
      </x:c>
      <x:c r="M23" s="68" t="str">
        <x:v>待定</x:v>
      </x:c>
      <x:c r="N23" s="68" t="str">
        <x:v>待定</x:v>
      </x:c>
      <x:c r="O23" s="68" t="str">
        <x:v>日主能承担食神泄身且杀压得到合理控制</x:v>
      </x:c>
      <x:c r="P23" s="68" t="str">
        <x:v>M11食神制杀达到基本成立以上，比例不过与不及</x:v>
      </x:c>
      <x:c r="Q23" s="68" t="str">
        <x:v>不适用</x:v>
      </x:c>
      <x:c r="R23" s="68" t="str">
        <x:v>格神得令、有根、透达、清纯，并得到有效生扶或制化配合</x:v>
      </x:c>
      <x:c r="S23" s="68" t="str">
        <x:v>存在更强月令主气、格神功能被替代或全局主势明显转向其他结构</x:v>
      </x:c>
      <x:c r="T23" s="90" t="str">
        <x:v>格神失效、无真实功能，或候选只由单一表面十神名称产生</x:v>
      </x:c>
      <x:c r="U23" s="68" t="str">
        <x:v>特殊格局、建禄羊刃及明确从化结构另用专门规则</x:v>
      </x:c>
      <x:c r="V23" s="82" t="str">
        <x:v>基本成立</x:v>
      </x:c>
      <x:c r="W23" s="68" t="str">
        <x:v>食神格候选</x:v>
      </x:c>
      <x:c r="X23" s="84" t="str">
        <x:v>七杀格_食制增强</x:v>
      </x:c>
      <x:c r="Y23" s="84" t="str">
        <x:v>七杀格候选列为“基本成立”：主要依据为月令与格神有效性；仍需M15检验成格、破格、救应与层次。</x:v>
      </x:c>
      <x:c r="Z23" s="82" t="str">
        <x:v>较高</x:v>
      </x:c>
      <x:c r="AA23" s="82" t="str">
        <x:v>子平格局</x:v>
      </x:c>
      <x:c r="AB23" s="68" t="str">
        <x:v>M14只生成和排除格局候选。候选须综合月令、透干、格神有效力量、清纯度、日主配合与全局主导性；候选成立不等于M15最终成格。</x:v>
      </x:c>
      <x:c r="AC23" s="68" t="str">
        <x:v>月令与格神有效性共同支持“七杀格候选”，且没有决定性否决条件。</x:v>
      </x:c>
      <x:c r="AD23" s="90" t="str">
        <x:v>仅见相关十神或五行出现，但月令、格神有效性或全局主导性不成立，不能直接列“七杀格候选”。</x:v>
      </x:c>
      <x:c r="AE23" s="68" t="str">
        <x:v>https://zh.wikisource.org/zh-hans/%E6%B7%B5%E6%B5%B7%E5%AD%90%E5%B9%B3 ; https://zh.wikisource.org/wiki/%E6%BB%B4%E5%A4%A9%E9%AB%93%E9%97%A1%E5%BE%AE</x:v>
      </x:c>
      <x:c r="AF23" s="82" t="str">
        <x:v>采用</x:v>
      </x:c>
      <x:c r="AG23" s="82" t="str">
        <x:v>初审</x:v>
      </x:c>
      <x:c r="AH23" s="87" t="n">
        <x:v>46260</x:v>
      </x:c>
    </x:row>
    <x:row r="24">
      <x:c r="A24" s="72" t="str">
        <x:f>IF(OR(C24="",D24=""),"",B24&amp;"-"&amp;UPPER(C24)&amp;"-"&amp;TEXT(D24,"0000")&amp;"-"&amp;E24)</x:f>
        <x:v>M14-SHA-0018-V1.0</x:v>
      </x:c>
      <x:c r="B24" s="74" t="str">
        <x:v>M14</x:v>
      </x:c>
      <x:c r="C24" s="74" t="str">
        <x:v>SHA</x:v>
      </x:c>
      <x:c r="D24" s="215" t="n">
        <x:v>18</x:v>
      </x:c>
      <x:c r="E24" s="74" t="str">
        <x:v>V1.0</x:v>
      </x:c>
      <x:c r="F24" s="68" t="str">
        <x:v>杀印相生可增强七杀格候选</x:v>
      </x:c>
      <x:c r="G24" s="82" t="str">
        <x:v>综合层</x:v>
      </x:c>
      <x:c r="H24" s="82" t="str">
        <x:v>普通格局</x:v>
      </x:c>
      <x:c r="I24" s="68" t="str">
        <x:v>七杀格候选</x:v>
      </x:c>
      <x:c r="J24" s="68" t="str">
        <x:v>七杀有月令依据</x:v>
      </x:c>
      <x:c r="K24" s="68" t="str">
        <x:v>透干可增强候选，但不作为所有格局的绝对唯一条件</x:v>
      </x:c>
      <x:c r="L24" s="82" t="str">
        <x:v>待定</x:v>
      </x:c>
      <x:c r="M24" s="68" t="str">
        <x:v>待定</x:v>
      </x:c>
      <x:c r="N24" s="68" t="str">
        <x:v>待定</x:v>
      </x:c>
      <x:c r="O24" s="68" t="str">
        <x:v>印能承接七杀并继续生日主</x:v>
      </x:c>
      <x:c r="P24" s="68" t="str">
        <x:v>M11杀印相生达到基本成立以上</x:v>
      </x:c>
      <x:c r="Q24" s="68" t="str">
        <x:v>不适用</x:v>
      </x:c>
      <x:c r="R24" s="68" t="str">
        <x:v>格神得令、有根、透达、清纯，并得到有效生扶或制化配合</x:v>
      </x:c>
      <x:c r="S24" s="68" t="str">
        <x:v>存在更强月令主气、格神功能被替代或全局主势明显转向其他结构</x:v>
      </x:c>
      <x:c r="T24" s="90" t="str">
        <x:v>格神失效、无真实功能，或候选只由单一表面十神名称产生</x:v>
      </x:c>
      <x:c r="U24" s="68" t="str">
        <x:v>特殊格局、建禄羊刃及明确从化结构另用专门规则</x:v>
      </x:c>
      <x:c r="V24" s="82" t="str">
        <x:v>基本成立</x:v>
      </x:c>
      <x:c r="W24" s="68" t="str">
        <x:v>印格候选</x:v>
      </x:c>
      <x:c r="X24" s="84" t="str">
        <x:v>七杀格_杀印增强</x:v>
      </x:c>
      <x:c r="Y24" s="84" t="str">
        <x:v>七杀格候选列为“基本成立”：主要依据为月令与格神有效性；仍需M15检验成格、破格、救应与层次。</x:v>
      </x:c>
      <x:c r="Z24" s="82" t="str">
        <x:v>较高</x:v>
      </x:c>
      <x:c r="AA24" s="82" t="str">
        <x:v>子平格局</x:v>
      </x:c>
      <x:c r="AB24" s="68" t="str">
        <x:v>M14只生成和排除格局候选。候选须综合月令、透干、格神有效力量、清纯度、日主配合与全局主导性；候选成立不等于M15最终成格。</x:v>
      </x:c>
      <x:c r="AC24" s="68" t="str">
        <x:v>月令与格神有效性共同支持“七杀格候选”，且没有决定性否决条件。</x:v>
      </x:c>
      <x:c r="AD24" s="90" t="str">
        <x:v>仅见相关十神或五行出现，但月令、格神有效性或全局主导性不成立，不能直接列“七杀格候选”。</x:v>
      </x:c>
      <x:c r="AE24" s="68" t="str">
        <x:v>https://zh.wikisource.org/zh-hans/%E6%B7%B5%E6%B5%B7%E5%AD%90%E5%B9%B3 ; https://zh.wikisource.org/wiki/%E6%BB%B4%E5%A4%A9%E9%AB%93%E9%97%A1%E5%BE%AE</x:v>
      </x:c>
      <x:c r="AF24" s="82" t="str">
        <x:v>采用</x:v>
      </x:c>
      <x:c r="AG24" s="82" t="str">
        <x:v>初审</x:v>
      </x:c>
      <x:c r="AH24" s="87" t="n">
        <x:v>46260</x:v>
      </x:c>
    </x:row>
    <x:row r="25">
      <x:c r="A25" s="72" t="str">
        <x:f>IF(OR(C25="",D25=""),"",B25&amp;"-"&amp;UPPER(C25)&amp;"-"&amp;TEXT(D25,"0000")&amp;"-"&amp;E25)</x:f>
        <x:v>M14-SHA-0019-V1.0</x:v>
      </x:c>
      <x:c r="B25" s="74" t="str">
        <x:v>M14</x:v>
      </x:c>
      <x:c r="C25" s="74" t="str">
        <x:v>SHA</x:v>
      </x:c>
      <x:c r="D25" s="215" t="n">
        <x:v>19</x:v>
      </x:c>
      <x:c r="E25" s="74" t="str">
        <x:v>V1.0</x:v>
      </x:c>
      <x:c r="F25" s="68" t="str">
        <x:v>七杀弱无根且不形成压力时排除七杀格</x:v>
      </x:c>
      <x:c r="G25" s="82" t="str">
        <x:v>综合层</x:v>
      </x:c>
      <x:c r="H25" s="82" t="str">
        <x:v>普通格局</x:v>
      </x:c>
      <x:c r="I25" s="68" t="str">
        <x:v>七杀格候选</x:v>
      </x:c>
      <x:c r="J25" s="68" t="str">
        <x:v>仅有表面七杀或月令余气</x:v>
      </x:c>
      <x:c r="K25" s="68" t="str">
        <x:v>透干可增强候选，但不作为所有格局的绝对唯一条件</x:v>
      </x:c>
      <x:c r="L25" s="82" t="str">
        <x:v>待定</x:v>
      </x:c>
      <x:c r="M25" s="68" t="str">
        <x:v>无根或根失效</x:v>
      </x:c>
      <x:c r="N25" s="68" t="str">
        <x:v>极弱</x:v>
      </x:c>
      <x:c r="O25" s="68" t="str">
        <x:v>结合M09日主旺衰与承载判断</x:v>
      </x:c>
      <x:c r="P25" s="68" t="str">
        <x:v>七杀没有形成真实制身功能</x:v>
      </x:c>
      <x:c r="Q25" s="68" t="str">
        <x:v>不适用</x:v>
      </x:c>
      <x:c r="R25" s="68" t="str">
        <x:v>格神得令、有根、透达、清纯，并得到有效生扶或制化配合</x:v>
      </x:c>
      <x:c r="S25" s="68" t="str">
        <x:v>存在更强月令主气、格神功能被替代或全局主势明显转向其他结构</x:v>
      </x:c>
      <x:c r="T25" s="90" t="str">
        <x:v>杀弱无根且无财生杀、无成势支持</x:v>
      </x:c>
      <x:c r="U25" s="68" t="str">
        <x:v>特殊格局、建禄羊刃及明确从化结构另用专门规则</x:v>
      </x:c>
      <x:c r="V25" s="82" t="str">
        <x:v>不成立</x:v>
      </x:c>
      <x:c r="W25" s="68" t="str">
        <x:v>其他月令候选</x:v>
      </x:c>
      <x:c r="X25" s="84" t="str">
        <x:v>七杀格_杀弱否决</x:v>
      </x:c>
      <x:c r="Y25" s="84" t="str">
        <x:v>七杀格候选列为“不成立”：主要依据为月令与格神有效性；仍需M15检验成格、破格、救应与层次。</x:v>
      </x:c>
      <x:c r="Z25" s="82" t="str">
        <x:v>较高</x:v>
      </x:c>
      <x:c r="AA25" s="82" t="str">
        <x:v>子平格局</x:v>
      </x:c>
      <x:c r="AB25" s="68" t="str">
        <x:v>M14只生成和排除格局候选。候选须综合月令、透干、格神有效力量、清纯度、日主配合与全局主导性；候选成立不等于M15最终成格。</x:v>
      </x:c>
      <x:c r="AC25" s="68" t="str">
        <x:v>月令与格神有效性共同支持“七杀格候选”，且没有决定性否决条件。</x:v>
      </x:c>
      <x:c r="AD25" s="90" t="str">
        <x:v>仅见相关十神或五行出现，但月令、格神有效性或全局主导性不成立，不能直接列“七杀格候选”。</x:v>
      </x:c>
      <x:c r="AE25" s="68" t="str">
        <x:v>https://zh.wikisource.org/zh-hans/%E6%B7%B5%E6%B5%B7%E5%AD%90%E5%B9%B3 ; https://zh.wikisource.org/wiki/%E6%BB%B4%E5%A4%A9%E9%AB%93%E9%97%A1%E5%BE%AE</x:v>
      </x:c>
      <x:c r="AF25" s="82" t="str">
        <x:v>采用</x:v>
      </x:c>
      <x:c r="AG25" s="82" t="str">
        <x:v>初审</x:v>
      </x:c>
      <x:c r="AH25" s="87" t="n">
        <x:v>46260</x:v>
      </x:c>
    </x:row>
    <x:row r="26">
      <x:c r="A26" s="72" t="str">
        <x:f>IF(OR(C26="",D26=""),"",B26&amp;"-"&amp;UPPER(C26)&amp;"-"&amp;TEXT(D26,"0000")&amp;"-"&amp;E26)</x:f>
        <x:v>M14-SHA-0020-V1.0</x:v>
      </x:c>
      <x:c r="B26" s="74" t="str">
        <x:v>M14</x:v>
      </x:c>
      <x:c r="C26" s="74" t="str">
        <x:v>SHA</x:v>
      </x:c>
      <x:c r="D26" s="215" t="n">
        <x:v>20</x:v>
      </x:c>
      <x:c r="E26" s="74" t="str">
        <x:v>V1.0</x:v>
      </x:c>
      <x:c r="F26" s="68" t="str">
        <x:v>官杀混杂无清化时七杀格候选降级</x:v>
      </x:c>
      <x:c r="G26" s="82" t="str">
        <x:v>综合层</x:v>
      </x:c>
      <x:c r="H26" s="82" t="str">
        <x:v>普通格局</x:v>
      </x:c>
      <x:c r="I26" s="68" t="str">
        <x:v>七杀格候选</x:v>
      </x:c>
      <x:c r="J26" s="68" t="str">
        <x:v>七杀有月令依据但正官同时有效</x:v>
      </x:c>
      <x:c r="K26" s="68" t="str">
        <x:v>透干可增强候选，但不作为所有格局的绝对唯一条件</x:v>
      </x:c>
      <x:c r="L26" s="82" t="str">
        <x:v>混杂</x:v>
      </x:c>
      <x:c r="M26" s="68" t="str">
        <x:v>待定</x:v>
      </x:c>
      <x:c r="N26" s="68" t="str">
        <x:v>待定</x:v>
      </x:c>
      <x:c r="O26" s="68" t="str">
        <x:v>结合M09日主旺衰与承载判断</x:v>
      </x:c>
      <x:c r="P26" s="68" t="str">
        <x:v>月令依据、格神有效性与全局主导性共同支持</x:v>
      </x:c>
      <x:c r="Q26" s="68" t="str">
        <x:v>不适用</x:v>
      </x:c>
      <x:c r="R26" s="68" t="str">
        <x:v>格神得令、有根、透达、清纯，并得到有效生扶或制化配合</x:v>
      </x:c>
      <x:c r="S26" s="68" t="str">
        <x:v>官杀双强且无去官留杀、去杀留官等主从清化</x:v>
      </x:c>
      <x:c r="T26" s="90" t="str">
        <x:v>格神失效、无真实功能，或候选只由单一表面十神名称产生</x:v>
      </x:c>
      <x:c r="U26" s="68" t="str">
        <x:v>特殊格局、建禄羊刃及明确从化结构另用专门规则</x:v>
      </x:c>
      <x:c r="V26" s="82" t="str">
        <x:v>候选</x:v>
      </x:c>
      <x:c r="W26" s="68" t="str">
        <x:v>正官格或官杀混杂结构</x:v>
      </x:c>
      <x:c r="X26" s="84" t="str">
        <x:v>七杀格_官杀混杂</x:v>
      </x:c>
      <x:c r="Y26" s="84" t="str">
        <x:v>七杀格候选列为“候选”：主要依据为月令与格神有效性；仍需M15检验成格、破格、救应与层次。</x:v>
      </x:c>
      <x:c r="Z26" s="82" t="str">
        <x:v>较高</x:v>
      </x:c>
      <x:c r="AA26" s="82" t="str">
        <x:v>子平格局</x:v>
      </x:c>
      <x:c r="AB26" s="68" t="str">
        <x:v>M14只生成和排除格局候选。候选须综合月令、透干、格神有效力量、清纯度、日主配合与全局主导性；候选成立不等于M15最终成格。</x:v>
      </x:c>
      <x:c r="AC26" s="68" t="str">
        <x:v>月令与格神有效性共同支持“七杀格候选”，且没有决定性否决条件。</x:v>
      </x:c>
      <x:c r="AD26" s="90" t="str">
        <x:v>仅见相关十神或五行出现，但月令、格神有效性或全局主导性不成立，不能直接列“七杀格候选”。</x:v>
      </x:c>
      <x:c r="AE26" s="68" t="str">
        <x:v>https://zh.wikisource.org/zh-hans/%E6%B7%B5%E6%B5%B7%E5%AD%90%E5%B9%B3 ; https://zh.wikisource.org/wiki/%E6%BB%B4%E5%A4%A9%E9%AB%93%E9%97%A1%E5%BE%AE</x:v>
      </x:c>
      <x:c r="AF26" s="82" t="str">
        <x:v>采用</x:v>
      </x:c>
      <x:c r="AG26" s="82" t="str">
        <x:v>初审</x:v>
      </x:c>
      <x:c r="AH26" s="87" t="n">
        <x:v>46260</x:v>
      </x:c>
    </x:row>
    <x:row r="27">
      <x:c r="A27" s="72" t="str">
        <x:f>IF(OR(C27="",D27=""),"",B27&amp;"-"&amp;UPPER(C27)&amp;"-"&amp;TEXT(D27,"0000")&amp;"-"&amp;E27)</x:f>
        <x:v>M14-YIN-0021-V1.0</x:v>
      </x:c>
      <x:c r="B27" s="74" t="str">
        <x:v>M14</x:v>
      </x:c>
      <x:c r="C27" s="74" t="str">
        <x:v>YIN</x:v>
      </x:c>
      <x:c r="D27" s="215" t="n">
        <x:v>21</x:v>
      </x:c>
      <x:c r="E27" s="74" t="str">
        <x:v>V1.0</x:v>
      </x:c>
      <x:c r="F27" s="68" t="str">
        <x:v>月令正印主气生成正印格候选</x:v>
      </x:c>
      <x:c r="G27" s="82" t="str">
        <x:v>综合层</x:v>
      </x:c>
      <x:c r="H27" s="82" t="str">
        <x:v>普通格局</x:v>
      </x:c>
      <x:c r="I27" s="68" t="str">
        <x:v>正印格候选</x:v>
      </x:c>
      <x:c r="J27" s="68" t="str">
        <x:v>月令本气为正印，或正印得令并成为主要生扶轴</x:v>
      </x:c>
      <x:c r="K27" s="68" t="str">
        <x:v>正印透干为增强条件</x:v>
      </x:c>
      <x:c r="L27" s="82" t="str">
        <x:v>较清</x:v>
      </x:c>
      <x:c r="M27" s="68" t="str">
        <x:v>正印有根</x:v>
      </x:c>
      <x:c r="N27" s="68" t="str">
        <x:v>中和偏旺</x:v>
      </x:c>
      <x:c r="O27" s="68" t="str">
        <x:v>日主能承受印生，不因印多而壅滞</x:v>
      </x:c>
      <x:c r="P27" s="68" t="str">
        <x:v>正印得令、有力且生身功能明确</x:v>
      </x:c>
      <x:c r="Q27" s="68" t="str">
        <x:v>不适用</x:v>
      </x:c>
      <x:c r="R27" s="68" t="str">
        <x:v>格神得令、有根、透达、清纯，并得到有效生扶或制化配合</x:v>
      </x:c>
      <x:c r="S27" s="68" t="str">
        <x:v>存在更强月令主气、格神功能被替代或全局主势明显转向其他结构</x:v>
      </x:c>
      <x:c r="T27" s="90" t="str">
        <x:v>格神失效、无真实功能，或候选只由单一表面十神名称产生</x:v>
      </x:c>
      <x:c r="U27" s="68" t="str">
        <x:v>特殊格局、建禄羊刃及明确从化结构另用专门规则</x:v>
      </x:c>
      <x:c r="V27" s="82" t="str">
        <x:v>候选</x:v>
      </x:c>
      <x:c r="W27" s="68" t="str">
        <x:v>官印相生、印比结构候选</x:v>
      </x:c>
      <x:c r="X27" s="84" t="str">
        <x:v>正印格候选_候选</x:v>
      </x:c>
      <x:c r="Y27" s="84" t="str">
        <x:v>正印格候选列为“候选”：主要依据为月令与格神有效性；仍需M15检验成格、破格、救应与层次。</x:v>
      </x:c>
      <x:c r="Z27" s="82" t="str">
        <x:v>较高</x:v>
      </x:c>
      <x:c r="AA27" s="82" t="str">
        <x:v>子平格局</x:v>
      </x:c>
      <x:c r="AB27" s="68" t="str">
        <x:v>M14只生成和排除格局候选。候选须综合月令、透干、格神有效力量、清纯度、日主配合与全局主导性；候选成立不等于M15最终成格。</x:v>
      </x:c>
      <x:c r="AC27" s="68" t="str">
        <x:v>月令与格神有效性共同支持“正印格候选”，且没有决定性否决条件。</x:v>
      </x:c>
      <x:c r="AD27" s="90" t="str">
        <x:v>仅见相关十神或五行出现，但月令、格神有效性或全局主导性不成立，不能直接列“正印格候选”。</x:v>
      </x:c>
      <x:c r="AE27" s="68" t="str">
        <x:v>https://zh.wikisource.org/zh-hans/%E6%B7%B5%E6%B5%B7%E5%AD%90%E5%B9%B3 ; https://zh.wikisource.org/wiki/%E6%BB%B4%E5%A4%A9%E9%AB%93%E9%97%A1%E5%BE%AE</x:v>
      </x:c>
      <x:c r="AF27" s="82" t="str">
        <x:v>采用</x:v>
      </x:c>
      <x:c r="AG27" s="82" t="str">
        <x:v>初审</x:v>
      </x:c>
      <x:c r="AH27" s="87" t="n">
        <x:v>46260</x:v>
      </x:c>
    </x:row>
    <x:row r="28">
      <x:c r="A28" s="72" t="str">
        <x:f>IF(OR(C28="",D28=""),"",B28&amp;"-"&amp;UPPER(C28)&amp;"-"&amp;TEXT(D28,"0000")&amp;"-"&amp;E28)</x:f>
        <x:v>M14-YIN-0022-V1.0</x:v>
      </x:c>
      <x:c r="B28" s="74" t="str">
        <x:v>M14</x:v>
      </x:c>
      <x:c r="C28" s="74" t="str">
        <x:v>YIN</x:v>
      </x:c>
      <x:c r="D28" s="215" t="n">
        <x:v>22</x:v>
      </x:c>
      <x:c r="E28" s="74" t="str">
        <x:v>V1.0</x:v>
      </x:c>
      <x:c r="F28" s="68" t="str">
        <x:v>月令偏印主气生成偏印格候选</x:v>
      </x:c>
      <x:c r="G28" s="82" t="str">
        <x:v>综合层</x:v>
      </x:c>
      <x:c r="H28" s="82" t="str">
        <x:v>普通格局</x:v>
      </x:c>
      <x:c r="I28" s="68" t="str">
        <x:v>偏印格候选</x:v>
      </x:c>
      <x:c r="J28" s="68" t="str">
        <x:v>月令本气为偏印，或偏印得令成为主要生扶/制食轴</x:v>
      </x:c>
      <x:c r="K28" s="68" t="str">
        <x:v>偏印透干为增强条件</x:v>
      </x:c>
      <x:c r="L28" s="82" t="str">
        <x:v>较清</x:v>
      </x:c>
      <x:c r="M28" s="68" t="str">
        <x:v>偏印有根</x:v>
      </x:c>
      <x:c r="N28" s="68" t="str">
        <x:v>中和偏旺</x:v>
      </x:c>
      <x:c r="O28" s="68" t="str">
        <x:v>日主需要印扶，且偏印不过度制食</x:v>
      </x:c>
      <x:c r="P28" s="68" t="str">
        <x:v>偏印有效并主导全局</x:v>
      </x:c>
      <x:c r="Q28" s="68" t="str">
        <x:v>不适用</x:v>
      </x:c>
      <x:c r="R28" s="68" t="str">
        <x:v>格神得令、有根、透达、清纯，并得到有效生扶或制化配合</x:v>
      </x:c>
      <x:c r="S28" s="68" t="str">
        <x:v>存在更强月令主气、格神功能被替代或全局主势明显转向其他结构</x:v>
      </x:c>
      <x:c r="T28" s="90" t="str">
        <x:v>格神失效、无真实功能，或候选只由单一表面十神名称产生</x:v>
      </x:c>
      <x:c r="U28" s="68" t="str">
        <x:v>特殊格局、建禄羊刃及明确从化结构另用专门规则</x:v>
      </x:c>
      <x:c r="V28" s="82" t="str">
        <x:v>候选</x:v>
      </x:c>
      <x:c r="W28" s="68" t="str">
        <x:v>杀印相生、枭神夺食结构候选</x:v>
      </x:c>
      <x:c r="X28" s="84" t="str">
        <x:v>偏印格候选_候选</x:v>
      </x:c>
      <x:c r="Y28" s="84" t="str">
        <x:v>偏印格候选列为“候选”：主要依据为月令与格神有效性；仍需M15检验成格、破格、救应与层次。</x:v>
      </x:c>
      <x:c r="Z28" s="82" t="str">
        <x:v>较高</x:v>
      </x:c>
      <x:c r="AA28" s="82" t="str">
        <x:v>子平格局</x:v>
      </x:c>
      <x:c r="AB28" s="68" t="str">
        <x:v>M14只生成和排除格局候选。候选须综合月令、透干、格神有效力量、清纯度、日主配合与全局主导性；候选成立不等于M15最终成格。</x:v>
      </x:c>
      <x:c r="AC28" s="68" t="str">
        <x:v>月令与格神有效性共同支持“偏印格候选”，且没有决定性否决条件。</x:v>
      </x:c>
      <x:c r="AD28" s="90" t="str">
        <x:v>仅见相关十神或五行出现，但月令、格神有效性或全局主导性不成立，不能直接列“偏印格候选”。</x:v>
      </x:c>
      <x:c r="AE28" s="68" t="str">
        <x:v>https://zh.wikisource.org/zh-hans/%E6%B7%B5%E6%B5%B7%E5%AD%90%E5%B9%B3 ; https://zh.wikisource.org/wiki/%E6%BB%B4%E5%A4%A9%E9%AB%93%E9%97%A1%E5%BE%AE</x:v>
      </x:c>
      <x:c r="AF28" s="82" t="str">
        <x:v>采用</x:v>
      </x:c>
      <x:c r="AG28" s="82" t="str">
        <x:v>初审</x:v>
      </x:c>
      <x:c r="AH28" s="87" t="n">
        <x:v>46260</x:v>
      </x:c>
    </x:row>
    <x:row r="29">
      <x:c r="A29" s="72" t="str">
        <x:f>IF(OR(C29="",D29=""),"",B29&amp;"-"&amp;UPPER(C29)&amp;"-"&amp;TEXT(D29,"0000")&amp;"-"&amp;E29)</x:f>
        <x:v>M14-YIN-0023-V1.0</x:v>
      </x:c>
      <x:c r="B29" s="74" t="str">
        <x:v>M14</x:v>
      </x:c>
      <x:c r="C29" s="74" t="str">
        <x:v>YIN</x:v>
      </x:c>
      <x:c r="D29" s="215" t="n">
        <x:v>23</x:v>
      </x:c>
      <x:c r="E29" s="74" t="str">
        <x:v>V1.0</x:v>
      </x:c>
      <x:c r="F29" s="68" t="str">
        <x:v>官印相生增强正印格候选</x:v>
      </x:c>
      <x:c r="G29" s="82" t="str">
        <x:v>综合层</x:v>
      </x:c>
      <x:c r="H29" s="82" t="str">
        <x:v>普通格局</x:v>
      </x:c>
      <x:c r="I29" s="68" t="str">
        <x:v>正印格候选</x:v>
      </x:c>
      <x:c r="J29" s="68" t="str">
        <x:v>正印具有月令依据</x:v>
      </x:c>
      <x:c r="K29" s="68" t="str">
        <x:v>透干可增强候选，但不作为所有格局的绝对唯一条件</x:v>
      </x:c>
      <x:c r="L29" s="82" t="str">
        <x:v>待定</x:v>
      </x:c>
      <x:c r="M29" s="68" t="str">
        <x:v>待定</x:v>
      </x:c>
      <x:c r="N29" s="68" t="str">
        <x:v>待定</x:v>
      </x:c>
      <x:c r="O29" s="68" t="str">
        <x:v>结合M09日主旺衰与承载判断</x:v>
      </x:c>
      <x:c r="P29" s="68" t="str">
        <x:v>官星能生印，印能生日主，M11官印相生成立</x:v>
      </x:c>
      <x:c r="Q29" s="68" t="str">
        <x:v>不适用</x:v>
      </x:c>
      <x:c r="R29" s="68" t="str">
        <x:v>格神得令、有根、透达、清纯，并得到有效生扶或制化配合</x:v>
      </x:c>
      <x:c r="S29" s="68" t="str">
        <x:v>存在更强月令主气、格神功能被替代或全局主势明显转向其他结构</x:v>
      </x:c>
      <x:c r="T29" s="90" t="str">
        <x:v>格神失效、无真实功能，或候选只由单一表面十神名称产生</x:v>
      </x:c>
      <x:c r="U29" s="68" t="str">
        <x:v>特殊格局、建禄羊刃及明确从化结构另用专门规则</x:v>
      </x:c>
      <x:c r="V29" s="82" t="str">
        <x:v>基本成立</x:v>
      </x:c>
      <x:c r="W29" s="68" t="str">
        <x:v>正官格候选</x:v>
      </x:c>
      <x:c r="X29" s="84" t="str">
        <x:v>正印格_官印增强</x:v>
      </x:c>
      <x:c r="Y29" s="84" t="str">
        <x:v>正印格候选列为“基本成立”：主要依据为月令与格神有效性；仍需M15检验成格、破格、救应与层次。</x:v>
      </x:c>
      <x:c r="Z29" s="82" t="str">
        <x:v>较高</x:v>
      </x:c>
      <x:c r="AA29" s="82" t="str">
        <x:v>子平格局</x:v>
      </x:c>
      <x:c r="AB29" s="68" t="str">
        <x:v>M14只生成和排除格局候选。候选须综合月令、透干、格神有效力量、清纯度、日主配合与全局主导性；候选成立不等于M15最终成格。</x:v>
      </x:c>
      <x:c r="AC29" s="68" t="str">
        <x:v>月令与格神有效性共同支持“正印格候选”，且没有决定性否决条件。</x:v>
      </x:c>
      <x:c r="AD29" s="90" t="str">
        <x:v>仅见相关十神或五行出现，但月令、格神有效性或全局主导性不成立，不能直接列“正印格候选”。</x:v>
      </x:c>
      <x:c r="AE29" s="68" t="str">
        <x:v>https://zh.wikisource.org/zh-hans/%E6%B7%B5%E6%B5%B7%E5%AD%90%E5%B9%B3 ; https://zh.wikisource.org/wiki/%E6%BB%B4%E5%A4%A9%E9%AB%93%E9%97%A1%E5%BE%AE</x:v>
      </x:c>
      <x:c r="AF29" s="82" t="str">
        <x:v>采用</x:v>
      </x:c>
      <x:c r="AG29" s="82" t="str">
        <x:v>初审</x:v>
      </x:c>
      <x:c r="AH29" s="87" t="n">
        <x:v>46260</x:v>
      </x:c>
    </x:row>
    <x:row r="30">
      <x:c r="A30" s="72" t="str">
        <x:f>IF(OR(C30="",D30=""),"",B30&amp;"-"&amp;UPPER(C30)&amp;"-"&amp;TEXT(D30,"0000")&amp;"-"&amp;E30)</x:f>
        <x:v>M14-YIN-0024-V1.0</x:v>
      </x:c>
      <x:c r="B30" s="74" t="str">
        <x:v>M14</x:v>
      </x:c>
      <x:c r="C30" s="74" t="str">
        <x:v>YIN</x:v>
      </x:c>
      <x:c r="D30" s="215" t="n">
        <x:v>24</x:v>
      </x:c>
      <x:c r="E30" s="74" t="str">
        <x:v>V1.0</x:v>
      </x:c>
      <x:c r="F30" s="68" t="str">
        <x:v>杀印相生增强偏印格候选</x:v>
      </x:c>
      <x:c r="G30" s="82" t="str">
        <x:v>综合层</x:v>
      </x:c>
      <x:c r="H30" s="82" t="str">
        <x:v>普通格局</x:v>
      </x:c>
      <x:c r="I30" s="68" t="str">
        <x:v>偏印格候选</x:v>
      </x:c>
      <x:c r="J30" s="68" t="str">
        <x:v>偏印或印星具有月令依据</x:v>
      </x:c>
      <x:c r="K30" s="68" t="str">
        <x:v>透干可增强候选，但不作为所有格局的绝对唯一条件</x:v>
      </x:c>
      <x:c r="L30" s="82" t="str">
        <x:v>待定</x:v>
      </x:c>
      <x:c r="M30" s="68" t="str">
        <x:v>待定</x:v>
      </x:c>
      <x:c r="N30" s="68" t="str">
        <x:v>待定</x:v>
      </x:c>
      <x:c r="O30" s="68" t="str">
        <x:v>结合M09日主旺衰与承载判断</x:v>
      </x:c>
      <x:c r="P30" s="68" t="str">
        <x:v>七杀生印、印生身链路成立</x:v>
      </x:c>
      <x:c r="Q30" s="68" t="str">
        <x:v>不适用</x:v>
      </x:c>
      <x:c r="R30" s="68" t="str">
        <x:v>格神得令、有根、透达、清纯，并得到有效生扶或制化配合</x:v>
      </x:c>
      <x:c r="S30" s="68" t="str">
        <x:v>存在更强月令主气、格神功能被替代或全局主势明显转向其他结构</x:v>
      </x:c>
      <x:c r="T30" s="90" t="str">
        <x:v>格神失效、无真实功能，或候选只由单一表面十神名称产生</x:v>
      </x:c>
      <x:c r="U30" s="68" t="str">
        <x:v>特殊格局、建禄羊刃及明确从化结构另用专门规则</x:v>
      </x:c>
      <x:c r="V30" s="82" t="str">
        <x:v>基本成立</x:v>
      </x:c>
      <x:c r="W30" s="68" t="str">
        <x:v>七杀格候选</x:v>
      </x:c>
      <x:c r="X30" s="84" t="str">
        <x:v>偏印格_杀印增强</x:v>
      </x:c>
      <x:c r="Y30" s="84" t="str">
        <x:v>偏印格候选列为“基本成立”：主要依据为月令与格神有效性；仍需M15检验成格、破格、救应与层次。</x:v>
      </x:c>
      <x:c r="Z30" s="82" t="str">
        <x:v>较高</x:v>
      </x:c>
      <x:c r="AA30" s="82" t="str">
        <x:v>子平格局</x:v>
      </x:c>
      <x:c r="AB30" s="68" t="str">
        <x:v>M14只生成和排除格局候选。候选须综合月令、透干、格神有效力量、清纯度、日主配合与全局主导性；候选成立不等于M15最终成格。</x:v>
      </x:c>
      <x:c r="AC30" s="68" t="str">
        <x:v>月令与格神有效性共同支持“偏印格候选”，且没有决定性否决条件。</x:v>
      </x:c>
      <x:c r="AD30" s="90" t="str">
        <x:v>仅见相关十神或五行出现，但月令、格神有效性或全局主导性不成立，不能直接列“偏印格候选”。</x:v>
      </x:c>
      <x:c r="AE30" s="68" t="str">
        <x:v>https://zh.wikisource.org/zh-hans/%E6%B7%B5%E6%B5%B7%E5%AD%90%E5%B9%B3 ; https://zh.wikisource.org/wiki/%E6%BB%B4%E5%A4%A9%E9%AB%93%E9%97%A1%E5%BE%AE</x:v>
      </x:c>
      <x:c r="AF30" s="82" t="str">
        <x:v>采用</x:v>
      </x:c>
      <x:c r="AG30" s="82" t="str">
        <x:v>初审</x:v>
      </x:c>
      <x:c r="AH30" s="87" t="n">
        <x:v>46260</x:v>
      </x:c>
    </x:row>
    <x:row r="31">
      <x:c r="A31" s="72" t="str">
        <x:f>IF(OR(C31="",D31=""),"",B31&amp;"-"&amp;UPPER(C31)&amp;"-"&amp;TEXT(D31,"0000")&amp;"-"&amp;E31)</x:f>
        <x:v>M14-YIN-0025-V1.0</x:v>
      </x:c>
      <x:c r="B31" s="74" t="str">
        <x:v>M14</x:v>
      </x:c>
      <x:c r="C31" s="74" t="str">
        <x:v>YIN</x:v>
      </x:c>
      <x:c r="D31" s="215" t="n">
        <x:v>25</x:v>
      </x:c>
      <x:c r="E31" s="74" t="str">
        <x:v>V1.0</x:v>
      </x:c>
      <x:c r="F31" s="68" t="str">
        <x:v>财星强制关键印星会排除印格候选</x:v>
      </x:c>
      <x:c r="G31" s="82" t="str">
        <x:v>综合层</x:v>
      </x:c>
      <x:c r="H31" s="82" t="str">
        <x:v>普通格局</x:v>
      </x:c>
      <x:c r="I31" s="68" t="str">
        <x:v>印格候选</x:v>
      </x:c>
      <x:c r="J31" s="68" t="str">
        <x:v>印星本有月令依据</x:v>
      </x:c>
      <x:c r="K31" s="68" t="str">
        <x:v>透干可增强候选，但不作为所有格局的绝对唯一条件</x:v>
      </x:c>
      <x:c r="L31" s="82" t="str">
        <x:v>待定</x:v>
      </x:c>
      <x:c r="M31" s="68" t="str">
        <x:v>印根受损或待定</x:v>
      </x:c>
      <x:c r="N31" s="68" t="str">
        <x:v>受限</x:v>
      </x:c>
      <x:c r="O31" s="68" t="str">
        <x:v>结合M09日主旺衰与承载判断</x:v>
      </x:c>
      <x:c r="P31" s="68" t="str">
        <x:v>财坏印形成实质作用</x:v>
      </x:c>
      <x:c r="Q31" s="68" t="str">
        <x:v>不适用</x:v>
      </x:c>
      <x:c r="R31" s="68" t="str">
        <x:v>格神得令、有根、透达、清纯，并得到有效生扶或制化配合</x:v>
      </x:c>
      <x:c r="S31" s="68" t="str">
        <x:v>存在更强月令主气、格神功能被替代或全局主势明显转向其他结构</x:v>
      </x:c>
      <x:c r="T31" s="90" t="str">
        <x:v>关键印星被财制至失效且无比劫制财等救应</x:v>
      </x:c>
      <x:c r="U31" s="68" t="str">
        <x:v>特殊格局、建禄羊刃及明确从化结构另用专门规则</x:v>
      </x:c>
      <x:c r="V31" s="82" t="str">
        <x:v>不成立</x:v>
      </x:c>
      <x:c r="W31" s="68" t="str">
        <x:v>财格候选</x:v>
      </x:c>
      <x:c r="X31" s="84" t="str">
        <x:v>印格_财破否决</x:v>
      </x:c>
      <x:c r="Y31" s="84" t="str">
        <x:v>印格候选列为“不成立”：主要依据为月令与格神有效性；仍需M15检验成格、破格、救应与层次。</x:v>
      </x:c>
      <x:c r="Z31" s="82" t="str">
        <x:v>较高</x:v>
      </x:c>
      <x:c r="AA31" s="82" t="str">
        <x:v>子平格局</x:v>
      </x:c>
      <x:c r="AB31" s="68" t="str">
        <x:v>M14只生成和排除格局候选。候选须综合月令、透干、格神有效力量、清纯度、日主配合与全局主导性；候选成立不等于M15最终成格。</x:v>
      </x:c>
      <x:c r="AC31" s="68" t="str">
        <x:v>月令与格神有效性共同支持“印格候选”，且没有决定性否决条件。</x:v>
      </x:c>
      <x:c r="AD31" s="90" t="str">
        <x:v>仅见相关十神或五行出现，但月令、格神有效性或全局主导性不成立，不能直接列“印格候选”。</x:v>
      </x:c>
      <x:c r="AE31" s="68" t="str">
        <x:v>https://zh.wikisource.org/zh-hans/%E6%B7%B5%E6%B5%B7%E5%AD%90%E5%B9%B3 ; https://zh.wikisource.org/wiki/%E6%BB%B4%E5%A4%A9%E9%AB%93%E9%97%A1%E5%BE%AE</x:v>
      </x:c>
      <x:c r="AF31" s="82" t="str">
        <x:v>采用</x:v>
      </x:c>
      <x:c r="AG31" s="82" t="str">
        <x:v>初审</x:v>
      </x:c>
      <x:c r="AH31" s="87" t="n">
        <x:v>46260</x:v>
      </x:c>
    </x:row>
    <x:row r="32">
      <x:c r="A32" s="72" t="str">
        <x:f>IF(OR(C32="",D32=""),"",B32&amp;"-"&amp;UPPER(C32)&amp;"-"&amp;TEXT(D32,"0000")&amp;"-"&amp;E32)</x:f>
        <x:v>M14-YIN-0026-V1.0</x:v>
      </x:c>
      <x:c r="B32" s="74" t="str">
        <x:v>M14</x:v>
      </x:c>
      <x:c r="C32" s="74" t="str">
        <x:v>YIN</x:v>
      </x:c>
      <x:c r="D32" s="215" t="n">
        <x:v>26</x:v>
      </x:c>
      <x:c r="E32" s="74" t="str">
        <x:v>V1.0</x:v>
      </x:c>
      <x:c r="F32" s="68" t="str">
        <x:v>正偏印并见需判断主从和枭夺食</x:v>
      </x:c>
      <x:c r="G32" s="82" t="str">
        <x:v>综合层</x:v>
      </x:c>
      <x:c r="H32" s="82" t="str">
        <x:v>普通格局</x:v>
      </x:c>
      <x:c r="I32" s="68" t="str">
        <x:v>印格候选</x:v>
      </x:c>
      <x:c r="J32" s="68" t="str">
        <x:v>印星具有月令依据</x:v>
      </x:c>
      <x:c r="K32" s="68" t="str">
        <x:v>透干可增强候选，但不作为所有格局的绝对唯一条件</x:v>
      </x:c>
      <x:c r="L32" s="82" t="str">
        <x:v>有杂</x:v>
      </x:c>
      <x:c r="M32" s="68" t="str">
        <x:v>待定</x:v>
      </x:c>
      <x:c r="N32" s="68" t="str">
        <x:v>待定</x:v>
      </x:c>
      <x:c r="O32" s="68" t="str">
        <x:v>结合M09日主旺衰与承载判断</x:v>
      </x:c>
      <x:c r="P32" s="68" t="str">
        <x:v>正印偏印同时有效，但一方可能主导</x:v>
      </x:c>
      <x:c r="Q32" s="68" t="str">
        <x:v>不适用</x:v>
      </x:c>
      <x:c r="R32" s="68" t="str">
        <x:v>格神得令、有根、透达、清纯，并得到有效生扶或制化配合</x:v>
      </x:c>
      <x:c r="S32" s="68" t="str">
        <x:v>偏印强夺食或印枭混杂使格神功能不清</x:v>
      </x:c>
      <x:c r="T32" s="90" t="str">
        <x:v>格神失效、无真实功能，或候选只由单一表面十神名称产生</x:v>
      </x:c>
      <x:c r="U32" s="68" t="str">
        <x:v>特殊格局、建禄羊刃及明确从化结构另用专门规则</x:v>
      </x:c>
      <x:c r="V32" s="82" t="str">
        <x:v>候选</x:v>
      </x:c>
      <x:c r="W32" s="68" t="str">
        <x:v>正印格/偏印格并列</x:v>
      </x:c>
      <x:c r="X32" s="84" t="str">
        <x:v>印格_印枭混杂</x:v>
      </x:c>
      <x:c r="Y32" s="84" t="str">
        <x:v>印格候选列为“候选”：主要依据为月令与格神有效性；仍需M15检验成格、破格、救应与层次。</x:v>
      </x:c>
      <x:c r="Z32" s="82" t="str">
        <x:v>较高</x:v>
      </x:c>
      <x:c r="AA32" s="82" t="str">
        <x:v>子平格局</x:v>
      </x:c>
      <x:c r="AB32" s="68" t="str">
        <x:v>M14只生成和排除格局候选。候选须综合月令、透干、格神有效力量、清纯度、日主配合与全局主导性；候选成立不等于M15最终成格。</x:v>
      </x:c>
      <x:c r="AC32" s="68" t="str">
        <x:v>月令与格神有效性共同支持“印格候选”，且没有决定性否决条件。</x:v>
      </x:c>
      <x:c r="AD32" s="90" t="str">
        <x:v>仅见相关十神或五行出现，但月令、格神有效性或全局主导性不成立，不能直接列“印格候选”。</x:v>
      </x:c>
      <x:c r="AE32" s="68" t="str">
        <x:v>https://zh.wikisource.org/zh-hans/%E6%B7%B5%E6%B5%B7%E5%AD%90%E5%B9%B3 ; https://zh.wikisource.org/wiki/%E6%BB%B4%E5%A4%A9%E9%AB%93%E9%97%A1%E5%BE%AE</x:v>
      </x:c>
      <x:c r="AF32" s="82" t="str">
        <x:v>采用</x:v>
      </x:c>
      <x:c r="AG32" s="82" t="str">
        <x:v>初审</x:v>
      </x:c>
      <x:c r="AH32" s="87" t="n">
        <x:v>46260</x:v>
      </x:c>
    </x:row>
    <x:row r="33">
      <x:c r="A33" s="72" t="str">
        <x:f>IF(OR(C33="",D33=""),"",B33&amp;"-"&amp;UPPER(C33)&amp;"-"&amp;TEXT(D33,"0000")&amp;"-"&amp;E33)</x:f>
        <x:v>M14-CAI-0027-V1.0</x:v>
      </x:c>
      <x:c r="B33" s="74" t="str">
        <x:v>M14</x:v>
      </x:c>
      <x:c r="C33" s="74" t="str">
        <x:v>CAI</x:v>
      </x:c>
      <x:c r="D33" s="215" t="n">
        <x:v>27</x:v>
      </x:c>
      <x:c r="E33" s="74" t="str">
        <x:v>V1.0</x:v>
      </x:c>
      <x:c r="F33" s="68" t="str">
        <x:v>月令正财主气生成正财格候选</x:v>
      </x:c>
      <x:c r="G33" s="82" t="str">
        <x:v>综合层</x:v>
      </x:c>
      <x:c r="H33" s="82" t="str">
        <x:v>普通格局</x:v>
      </x:c>
      <x:c r="I33" s="68" t="str">
        <x:v>正财格候选</x:v>
      </x:c>
      <x:c r="J33" s="68" t="str">
        <x:v>月令本气为正财，或正财得令成为主要耗用轴</x:v>
      </x:c>
      <x:c r="K33" s="68" t="str">
        <x:v>正财透干为增强条件</x:v>
      </x:c>
      <x:c r="L33" s="82" t="str">
        <x:v>较清</x:v>
      </x:c>
      <x:c r="M33" s="68" t="str">
        <x:v>正财有根</x:v>
      </x:c>
      <x:c r="N33" s="68" t="str">
        <x:v>中和偏旺</x:v>
      </x:c>
      <x:c r="O33" s="68" t="str">
        <x:v>日主有足够承载任财</x:v>
      </x:c>
      <x:c r="P33" s="68" t="str">
        <x:v>正财得令、有效且日主可任</x:v>
      </x:c>
      <x:c r="Q33" s="68" t="str">
        <x:v>不适用</x:v>
      </x:c>
      <x:c r="R33" s="68" t="str">
        <x:v>格神得令、有根、透达、清纯，并得到有效生扶或制化配合</x:v>
      </x:c>
      <x:c r="S33" s="68" t="str">
        <x:v>存在更强月令主气、格神功能被替代或全局主势明显转向其他结构</x:v>
      </x:c>
      <x:c r="T33" s="90" t="str">
        <x:v>格神失效、无真实功能，或候选只由单一表面十神名称产生</x:v>
      </x:c>
      <x:c r="U33" s="68" t="str">
        <x:v>特殊格局、建禄羊刃及明确从化结构另用专门规则</x:v>
      </x:c>
      <x:c r="V33" s="82" t="str">
        <x:v>候选</x:v>
      </x:c>
      <x:c r="W33" s="68" t="str">
        <x:v>食伤生财、财官相生候选</x:v>
      </x:c>
      <x:c r="X33" s="84" t="str">
        <x:v>正财格候选_候选</x:v>
      </x:c>
      <x:c r="Y33" s="84" t="str">
        <x:v>正财格候选列为“候选”：主要依据为月令与格神有效性；仍需M15检验成格、破格、救应与层次。</x:v>
      </x:c>
      <x:c r="Z33" s="82" t="str">
        <x:v>较高</x:v>
      </x:c>
      <x:c r="AA33" s="82" t="str">
        <x:v>子平格局</x:v>
      </x:c>
      <x:c r="AB33" s="68" t="str">
        <x:v>M14只生成和排除格局候选。候选须综合月令、透干、格神有效力量、清纯度、日主配合与全局主导性；候选成立不等于M15最终成格。</x:v>
      </x:c>
      <x:c r="AC33" s="68" t="str">
        <x:v>月令与格神有效性共同支持“正财格候选”，且没有决定性否决条件。</x:v>
      </x:c>
      <x:c r="AD33" s="90" t="str">
        <x:v>仅见相关十神或五行出现，但月令、格神有效性或全局主导性不成立，不能直接列“正财格候选”。</x:v>
      </x:c>
      <x:c r="AE33" s="68" t="str">
        <x:v>https://zh.wikisource.org/zh-hans/%E6%B7%B5%E6%B5%B7%E5%AD%90%E5%B9%B3 ; https://zh.wikisource.org/wiki/%E6%BB%B4%E5%A4%A9%E9%AB%93%E9%97%A1%E5%BE%AE</x:v>
      </x:c>
      <x:c r="AF33" s="82" t="str">
        <x:v>采用</x:v>
      </x:c>
      <x:c r="AG33" s="82" t="str">
        <x:v>初审</x:v>
      </x:c>
      <x:c r="AH33" s="87" t="n">
        <x:v>46260</x:v>
      </x:c>
    </x:row>
    <x:row r="34">
      <x:c r="A34" s="72" t="str">
        <x:f>IF(OR(C34="",D34=""),"",B34&amp;"-"&amp;UPPER(C34)&amp;"-"&amp;TEXT(D34,"0000")&amp;"-"&amp;E34)</x:f>
        <x:v>M14-CAI-0028-V1.0</x:v>
      </x:c>
      <x:c r="B34" s="74" t="str">
        <x:v>M14</x:v>
      </x:c>
      <x:c r="C34" s="74" t="str">
        <x:v>CAI</x:v>
      </x:c>
      <x:c r="D34" s="215" t="n">
        <x:v>28</x:v>
      </x:c>
      <x:c r="E34" s="74" t="str">
        <x:v>V1.0</x:v>
      </x:c>
      <x:c r="F34" s="68" t="str">
        <x:v>月令偏财主气生成偏财格候选</x:v>
      </x:c>
      <x:c r="G34" s="82" t="str">
        <x:v>综合层</x:v>
      </x:c>
      <x:c r="H34" s="82" t="str">
        <x:v>普通格局</x:v>
      </x:c>
      <x:c r="I34" s="68" t="str">
        <x:v>偏财格候选</x:v>
      </x:c>
      <x:c r="J34" s="68" t="str">
        <x:v>月令本气为偏财，或偏财得令成为主要耗用轴</x:v>
      </x:c>
      <x:c r="K34" s="68" t="str">
        <x:v>偏财透干为增强条件</x:v>
      </x:c>
      <x:c r="L34" s="82" t="str">
        <x:v>较清</x:v>
      </x:c>
      <x:c r="M34" s="68" t="str">
        <x:v>偏财有根</x:v>
      </x:c>
      <x:c r="N34" s="68" t="str">
        <x:v>中和偏旺</x:v>
      </x:c>
      <x:c r="O34" s="68" t="str">
        <x:v>日主有根有势，能够承受财耗</x:v>
      </x:c>
      <x:c r="P34" s="68" t="str">
        <x:v>偏财有效并成为全局主要资源流向</x:v>
      </x:c>
      <x:c r="Q34" s="68" t="str">
        <x:v>不适用</x:v>
      </x:c>
      <x:c r="R34" s="68" t="str">
        <x:v>格神得令、有根、透达、清纯，并得到有效生扶或制化配合</x:v>
      </x:c>
      <x:c r="S34" s="68" t="str">
        <x:v>存在更强月令主气、格神功能被替代或全局主势明显转向其他结构</x:v>
      </x:c>
      <x:c r="T34" s="90" t="str">
        <x:v>格神失效、无真实功能，或候选只由单一表面十神名称产生</x:v>
      </x:c>
      <x:c r="U34" s="68" t="str">
        <x:v>特殊格局、建禄羊刃及明确从化结构另用专门规则</x:v>
      </x:c>
      <x:c r="V34" s="82" t="str">
        <x:v>候选</x:v>
      </x:c>
      <x:c r="W34" s="68" t="str">
        <x:v>食伤生财、财生官杀候选</x:v>
      </x:c>
      <x:c r="X34" s="84" t="str">
        <x:v>偏财格候选_候选</x:v>
      </x:c>
      <x:c r="Y34" s="84" t="str">
        <x:v>偏财格候选列为“候选”：主要依据为月令与格神有效性；仍需M15检验成格、破格、救应与层次。</x:v>
      </x:c>
      <x:c r="Z34" s="82" t="str">
        <x:v>较高</x:v>
      </x:c>
      <x:c r="AA34" s="82" t="str">
        <x:v>子平格局</x:v>
      </x:c>
      <x:c r="AB34" s="68" t="str">
        <x:v>M14只生成和排除格局候选。候选须综合月令、透干、格神有效力量、清纯度、日主配合与全局主导性；候选成立不等于M15最终成格。</x:v>
      </x:c>
      <x:c r="AC34" s="68" t="str">
        <x:v>月令与格神有效性共同支持“偏财格候选”，且没有决定性否决条件。</x:v>
      </x:c>
      <x:c r="AD34" s="90" t="str">
        <x:v>仅见相关十神或五行出现，但月令、格神有效性或全局主导性不成立，不能直接列“偏财格候选”。</x:v>
      </x:c>
      <x:c r="AE34" s="68" t="str">
        <x:v>https://zh.wikisource.org/zh-hans/%E6%B7%B5%E6%B5%B7%E5%AD%90%E5%B9%B3 ; https://zh.wikisource.org/wiki/%E6%BB%B4%E5%A4%A9%E9%AB%93%E9%97%A1%E5%BE%AE</x:v>
      </x:c>
      <x:c r="AF34" s="82" t="str">
        <x:v>采用</x:v>
      </x:c>
      <x:c r="AG34" s="82" t="str">
        <x:v>初审</x:v>
      </x:c>
      <x:c r="AH34" s="87" t="n">
        <x:v>46260</x:v>
      </x:c>
    </x:row>
    <x:row r="35">
      <x:c r="A35" s="72" t="str">
        <x:f>IF(OR(C35="",D35=""),"",B35&amp;"-"&amp;UPPER(C35)&amp;"-"&amp;TEXT(D35,"0000")&amp;"-"&amp;E35)</x:f>
        <x:v>M14-CAI-0029-V1.0</x:v>
      </x:c>
      <x:c r="B35" s="74" t="str">
        <x:v>M14</x:v>
      </x:c>
      <x:c r="C35" s="74" t="str">
        <x:v>CAI</x:v>
      </x:c>
      <x:c r="D35" s="215" t="n">
        <x:v>29</x:v>
      </x:c>
      <x:c r="E35" s="74" t="str">
        <x:v>V1.0</x:v>
      </x:c>
      <x:c r="F35" s="68" t="str">
        <x:v>食伤生财增强财格候选</x:v>
      </x:c>
      <x:c r="G35" s="82" t="str">
        <x:v>综合层</x:v>
      </x:c>
      <x:c r="H35" s="82" t="str">
        <x:v>普通格局</x:v>
      </x:c>
      <x:c r="I35" s="68" t="str">
        <x:v>财格候选</x:v>
      </x:c>
      <x:c r="J35" s="68" t="str">
        <x:v>财星具有月令依据</x:v>
      </x:c>
      <x:c r="K35" s="68" t="str">
        <x:v>透干可增强候选，但不作为所有格局的绝对唯一条件</x:v>
      </x:c>
      <x:c r="L35" s="82" t="str">
        <x:v>待定</x:v>
      </x:c>
      <x:c r="M35" s="68" t="str">
        <x:v>待定</x:v>
      </x:c>
      <x:c r="N35" s="68" t="str">
        <x:v>待定</x:v>
      </x:c>
      <x:c r="O35" s="68" t="str">
        <x:v>结合M09日主旺衰与承载判断</x:v>
      </x:c>
      <x:c r="P35" s="68" t="str">
        <x:v>M11食伤生财成立且财星能承接</x:v>
      </x:c>
      <x:c r="Q35" s="68" t="str">
        <x:v>不适用</x:v>
      </x:c>
      <x:c r="R35" s="68" t="str">
        <x:v>格神得令、有根、透达、清纯，并得到有效生扶或制化配合</x:v>
      </x:c>
      <x:c r="S35" s="68" t="str">
        <x:v>存在更强月令主气、格神功能被替代或全局主势明显转向其他结构</x:v>
      </x:c>
      <x:c r="T35" s="90" t="str">
        <x:v>格神失效、无真实功能，或候选只由单一表面十神名称产生</x:v>
      </x:c>
      <x:c r="U35" s="68" t="str">
        <x:v>特殊格局、建禄羊刃及明确从化结构另用专门规则</x:v>
      </x:c>
      <x:c r="V35" s="82" t="str">
        <x:v>基本成立</x:v>
      </x:c>
      <x:c r="W35" s="68" t="str">
        <x:v>食神格或伤官格候选</x:v>
      </x:c>
      <x:c r="X35" s="84" t="str">
        <x:v>财格_食伤生财增强</x:v>
      </x:c>
      <x:c r="Y35" s="84" t="str">
        <x:v>财格候选列为“基本成立”：主要依据为月令与格神有效性；仍需M15检验成格、破格、救应与层次。</x:v>
      </x:c>
      <x:c r="Z35" s="82" t="str">
        <x:v>较高</x:v>
      </x:c>
      <x:c r="AA35" s="82" t="str">
        <x:v>子平格局</x:v>
      </x:c>
      <x:c r="AB35" s="68" t="str">
        <x:v>M14只生成和排除格局候选。候选须综合月令、透干、格神有效力量、清纯度、日主配合与全局主导性；候选成立不等于M15最终成格。</x:v>
      </x:c>
      <x:c r="AC35" s="68" t="str">
        <x:v>月令与格神有效性共同支持“财格候选”，且没有决定性否决条件。</x:v>
      </x:c>
      <x:c r="AD35" s="90" t="str">
        <x:v>仅见相关十神或五行出现，但月令、格神有效性或全局主导性不成立，不能直接列“财格候选”。</x:v>
      </x:c>
      <x:c r="AE35" s="68" t="str">
        <x:v>https://zh.wikisource.org/zh-hans/%E6%B7%B5%E6%B5%B7%E5%AD%90%E5%B9%B3 ; https://zh.wikisource.org/wiki/%E6%BB%B4%E5%A4%A9%E9%AB%93%E9%97%A1%E5%BE%AE</x:v>
      </x:c>
      <x:c r="AF35" s="82" t="str">
        <x:v>采用</x:v>
      </x:c>
      <x:c r="AG35" s="82" t="str">
        <x:v>初审</x:v>
      </x:c>
      <x:c r="AH35" s="87" t="n">
        <x:v>46260</x:v>
      </x:c>
    </x:row>
    <x:row r="36">
      <x:c r="A36" s="72" t="str">
        <x:f>IF(OR(C36="",D36=""),"",B36&amp;"-"&amp;UPPER(C36)&amp;"-"&amp;TEXT(D36,"0000")&amp;"-"&amp;E36)</x:f>
        <x:v>M14-CAI-0030-V1.0</x:v>
      </x:c>
      <x:c r="B36" s="74" t="str">
        <x:v>M14</x:v>
      </x:c>
      <x:c r="C36" s="74" t="str">
        <x:v>CAI</x:v>
      </x:c>
      <x:c r="D36" s="215" t="n">
        <x:v>30</x:v>
      </x:c>
      <x:c r="E36" s="74" t="str">
        <x:v>V1.0</x:v>
      </x:c>
      <x:c r="F36" s="68" t="str">
        <x:v>财官相生可增强财格候选</x:v>
      </x:c>
      <x:c r="G36" s="82" t="str">
        <x:v>综合层</x:v>
      </x:c>
      <x:c r="H36" s="82" t="str">
        <x:v>普通格局</x:v>
      </x:c>
      <x:c r="I36" s="68" t="str">
        <x:v>财格候选</x:v>
      </x:c>
      <x:c r="J36" s="68" t="str">
        <x:v>财星具有月令依据</x:v>
      </x:c>
      <x:c r="K36" s="68" t="str">
        <x:v>透干可增强候选，但不作为所有格局的绝对唯一条件</x:v>
      </x:c>
      <x:c r="L36" s="82" t="str">
        <x:v>待定</x:v>
      </x:c>
      <x:c r="M36" s="68" t="str">
        <x:v>待定</x:v>
      </x:c>
      <x:c r="N36" s="68" t="str">
        <x:v>待定</x:v>
      </x:c>
      <x:c r="O36" s="68" t="str">
        <x:v>结合M09日主旺衰与承载判断</x:v>
      </x:c>
      <x:c r="P36" s="68" t="str">
        <x:v>财生官链路有效，官星能够承接且不反过度制身</x:v>
      </x:c>
      <x:c r="Q36" s="68" t="str">
        <x:v>不适用</x:v>
      </x:c>
      <x:c r="R36" s="68" t="str">
        <x:v>格神得令、有根、透达、清纯，并得到有效生扶或制化配合</x:v>
      </x:c>
      <x:c r="S36" s="68" t="str">
        <x:v>存在更强月令主气、格神功能被替代或全局主势明显转向其他结构</x:v>
      </x:c>
      <x:c r="T36" s="90" t="str">
        <x:v>格神失效、无真实功能，或候选只由单一表面十神名称产生</x:v>
      </x:c>
      <x:c r="U36" s="68" t="str">
        <x:v>特殊格局、建禄羊刃及明确从化结构另用专门规则</x:v>
      </x:c>
      <x:c r="V36" s="82" t="str">
        <x:v>基本成立</x:v>
      </x:c>
      <x:c r="W36" s="68" t="str">
        <x:v>正官格候选</x:v>
      </x:c>
      <x:c r="X36" s="84" t="str">
        <x:v>财格_财官增强</x:v>
      </x:c>
      <x:c r="Y36" s="84" t="str">
        <x:v>财格候选列为“基本成立”：主要依据为月令与格神有效性；仍需M15检验成格、破格、救应与层次。</x:v>
      </x:c>
      <x:c r="Z36" s="82" t="str">
        <x:v>较高</x:v>
      </x:c>
      <x:c r="AA36" s="82" t="str">
        <x:v>子平格局</x:v>
      </x:c>
      <x:c r="AB36" s="68" t="str">
        <x:v>M14只生成和排除格局候选。候选须综合月令、透干、格神有效力量、清纯度、日主配合与全局主导性；候选成立不等于M15最终成格。</x:v>
      </x:c>
      <x:c r="AC36" s="68" t="str">
        <x:v>月令与格神有效性共同支持“财格候选”，且没有决定性否决条件。</x:v>
      </x:c>
      <x:c r="AD36" s="90" t="str">
        <x:v>仅见相关十神或五行出现，但月令、格神有效性或全局主导性不成立，不能直接列“财格候选”。</x:v>
      </x:c>
      <x:c r="AE36" s="68" t="str">
        <x:v>https://zh.wikisource.org/zh-hans/%E6%B7%B5%E6%B5%B7%E5%AD%90%E5%B9%B3 ; https://zh.wikisource.org/wiki/%E6%BB%B4%E5%A4%A9%E9%AB%93%E9%97%A1%E5%BE%AE</x:v>
      </x:c>
      <x:c r="AF36" s="82" t="str">
        <x:v>采用</x:v>
      </x:c>
      <x:c r="AG36" s="82" t="str">
        <x:v>初审</x:v>
      </x:c>
      <x:c r="AH36" s="87" t="n">
        <x:v>46260</x:v>
      </x:c>
    </x:row>
    <x:row r="37">
      <x:c r="A37" s="72" t="str">
        <x:f>IF(OR(C37="",D37=""),"",B37&amp;"-"&amp;UPPER(C37)&amp;"-"&amp;TEXT(D37,"0000")&amp;"-"&amp;E37)</x:f>
        <x:v>M14-CAI-0031-V1.0</x:v>
      </x:c>
      <x:c r="B37" s="74" t="str">
        <x:v>M14</x:v>
      </x:c>
      <x:c r="C37" s="74" t="str">
        <x:v>CAI</x:v>
      </x:c>
      <x:c r="D37" s="215" t="n">
        <x:v>31</x:v>
      </x:c>
      <x:c r="E37" s="74" t="str">
        <x:v>V1.0</x:v>
      </x:c>
      <x:c r="F37" s="68" t="str">
        <x:v>比劫强制财会降低或排除财格候选</x:v>
      </x:c>
      <x:c r="G37" s="82" t="str">
        <x:v>综合层</x:v>
      </x:c>
      <x:c r="H37" s="82" t="str">
        <x:v>普通格局</x:v>
      </x:c>
      <x:c r="I37" s="68" t="str">
        <x:v>财格候选</x:v>
      </x:c>
      <x:c r="J37" s="68" t="str">
        <x:v>财星本有月令依据</x:v>
      </x:c>
      <x:c r="K37" s="68" t="str">
        <x:v>透干可增强候选，但不作为所有格局的绝对唯一条件</x:v>
      </x:c>
      <x:c r="L37" s="82" t="str">
        <x:v>待定</x:v>
      </x:c>
      <x:c r="M37" s="68" t="str">
        <x:v>财根受损或仍有余力</x:v>
      </x:c>
      <x:c r="N37" s="68" t="str">
        <x:v>受限</x:v>
      </x:c>
      <x:c r="O37" s="68" t="str">
        <x:v>结合M09日主旺衰与承载判断</x:v>
      </x:c>
      <x:c r="P37" s="68" t="str">
        <x:v>M11比劫夺财冲突成立</x:v>
      </x:c>
      <x:c r="Q37" s="68" t="str">
        <x:v>不适用</x:v>
      </x:c>
      <x:c r="R37" s="68" t="str">
        <x:v>格神得令、有根、透达、清纯，并得到有效生扶或制化配合</x:v>
      </x:c>
      <x:c r="S37" s="68" t="str">
        <x:v>存在更强月令主气、格神功能被替代或全局主势明显转向其他结构</x:v>
      </x:c>
      <x:c r="T37" s="90" t="str">
        <x:v>财星被比劫制至失效且无食伤通关或官杀制比</x:v>
      </x:c>
      <x:c r="U37" s="68" t="str">
        <x:v>特殊格局、建禄羊刃及明确从化结构另用专门规则</x:v>
      </x:c>
      <x:c r="V37" s="82" t="str">
        <x:v>不成立</x:v>
      </x:c>
      <x:c r="W37" s="68" t="str">
        <x:v>建禄/羊刃或比劫结构候选</x:v>
      </x:c>
      <x:c r="X37" s="84" t="str">
        <x:v>财格_比劫破财</x:v>
      </x:c>
      <x:c r="Y37" s="84" t="str">
        <x:v>财格候选列为“不成立”：主要依据为月令与格神有效性；仍需M15检验成格、破格、救应与层次。</x:v>
      </x:c>
      <x:c r="Z37" s="82" t="str">
        <x:v>较高</x:v>
      </x:c>
      <x:c r="AA37" s="82" t="str">
        <x:v>子平格局</x:v>
      </x:c>
      <x:c r="AB37" s="68" t="str">
        <x:v>M14只生成和排除格局候选。候选须综合月令、透干、格神有效力量、清纯度、日主配合与全局主导性；候选成立不等于M15最终成格。</x:v>
      </x:c>
      <x:c r="AC37" s="68" t="str">
        <x:v>月令与格神有效性共同支持“财格候选”，且没有决定性否决条件。</x:v>
      </x:c>
      <x:c r="AD37" s="90" t="str">
        <x:v>仅见相关十神或五行出现，但月令、格神有效性或全局主导性不成立，不能直接列“财格候选”。</x:v>
      </x:c>
      <x:c r="AE37" s="68" t="str">
        <x:v>https://zh.wikisource.org/zh-hans/%E6%B7%B5%E6%B5%B7%E5%AD%90%E5%B9%B3 ; https://zh.wikisource.org/wiki/%E6%BB%B4%E5%A4%A9%E9%AB%93%E9%97%A1%E5%BE%AE</x:v>
      </x:c>
      <x:c r="AF37" s="82" t="str">
        <x:v>采用</x:v>
      </x:c>
      <x:c r="AG37" s="82" t="str">
        <x:v>初审</x:v>
      </x:c>
      <x:c r="AH37" s="87" t="n">
        <x:v>46260</x:v>
      </x:c>
    </x:row>
    <x:row r="38">
      <x:c r="A38" s="72" t="str">
        <x:f>IF(OR(C38="",D38=""),"",B38&amp;"-"&amp;UPPER(C38)&amp;"-"&amp;TEXT(D38,"0000")&amp;"-"&amp;E38)</x:f>
        <x:v>M14-CAI-0032-V1.0</x:v>
      </x:c>
      <x:c r="B38" s="74" t="str">
        <x:v>M14</x:v>
      </x:c>
      <x:c r="C38" s="74" t="str">
        <x:v>CAI</x:v>
      </x:c>
      <x:c r="D38" s="215" t="n">
        <x:v>32</x:v>
      </x:c>
      <x:c r="E38" s="74" t="str">
        <x:v>V1.0</x:v>
      </x:c>
      <x:c r="F38" s="68" t="str">
        <x:v>财旺身弱无承载时财格候选降级</x:v>
      </x:c>
      <x:c r="G38" s="82" t="str">
        <x:v>综合层</x:v>
      </x:c>
      <x:c r="H38" s="82" t="str">
        <x:v>普通格局</x:v>
      </x:c>
      <x:c r="I38" s="68" t="str">
        <x:v>财格候选</x:v>
      </x:c>
      <x:c r="J38" s="68" t="str">
        <x:v>财星得令有力</x:v>
      </x:c>
      <x:c r="K38" s="68" t="str">
        <x:v>透干可增强候选，但不作为所有格局的绝对唯一条件</x:v>
      </x:c>
      <x:c r="L38" s="82" t="str">
        <x:v>待定</x:v>
      </x:c>
      <x:c r="M38" s="68" t="str">
        <x:v>待定</x:v>
      </x:c>
      <x:c r="N38" s="68" t="str">
        <x:v>旺</x:v>
      </x:c>
      <x:c r="O38" s="68" t="str">
        <x:v>日主弱或极弱，印比不足</x:v>
      </x:c>
      <x:c r="P38" s="68" t="str">
        <x:v>财格表面条件成立但日主不能任财</x:v>
      </x:c>
      <x:c r="Q38" s="68" t="str">
        <x:v>不适用</x:v>
      </x:c>
      <x:c r="R38" s="68" t="str">
        <x:v>格神得令、有根、透达、清纯，并得到有效生扶或制化配合</x:v>
      </x:c>
      <x:c r="S38" s="68" t="str">
        <x:v>财耗超过日主承载</x:v>
      </x:c>
      <x:c r="T38" s="90" t="str">
        <x:v>格神失效、无真实功能，或候选只由单一表面十神名称产生</x:v>
      </x:c>
      <x:c r="U38" s="68" t="str">
        <x:v>特殊格局、建禄羊刃及明确从化结构另用专门规则</x:v>
      </x:c>
      <x:c r="V38" s="82" t="str">
        <x:v>候选</x:v>
      </x:c>
      <x:c r="W38" s="68" t="str">
        <x:v>从财格候选或财多身弱结构</x:v>
      </x:c>
      <x:c r="X38" s="84" t="str">
        <x:v>财格_身弱承载不足</x:v>
      </x:c>
      <x:c r="Y38" s="84" t="str">
        <x:v>财格候选列为“候选”：主要依据为月令与格神有效性；仍需M15检验成格、破格、救应与层次。</x:v>
      </x:c>
      <x:c r="Z38" s="82" t="str">
        <x:v>较高</x:v>
      </x:c>
      <x:c r="AA38" s="82" t="str">
        <x:v>子平格局</x:v>
      </x:c>
      <x:c r="AB38" s="68" t="str">
        <x:v>M14只生成和排除格局候选。候选须综合月令、透干、格神有效力量、清纯度、日主配合与全局主导性；候选成立不等于M15最终成格。</x:v>
      </x:c>
      <x:c r="AC38" s="68" t="str">
        <x:v>月令与格神有效性共同支持“财格候选”，且没有决定性否决条件。</x:v>
      </x:c>
      <x:c r="AD38" s="90" t="str">
        <x:v>仅见相关十神或五行出现，但月令、格神有效性或全局主导性不成立，不能直接列“财格候选”。</x:v>
      </x:c>
      <x:c r="AE38" s="68" t="str">
        <x:v>https://zh.wikisource.org/zh-hans/%E6%B7%B5%E6%B5%B7%E5%AD%90%E5%B9%B3 ; https://zh.wikisource.org/wiki/%E6%BB%B4%E5%A4%A9%E9%AB%93%E9%97%A1%E5%BE%AE</x:v>
      </x:c>
      <x:c r="AF38" s="82" t="str">
        <x:v>采用</x:v>
      </x:c>
      <x:c r="AG38" s="82" t="str">
        <x:v>初审</x:v>
      </x:c>
      <x:c r="AH38" s="87" t="n">
        <x:v>46260</x:v>
      </x:c>
    </x:row>
    <x:row r="39">
      <x:c r="A39" s="72" t="str">
        <x:f>IF(OR(C39="",D39=""),"",B39&amp;"-"&amp;UPPER(C39)&amp;"-"&amp;TEXT(D39,"0000")&amp;"-"&amp;E39)</x:f>
        <x:v>M14-SHISHANG-0033-V1.0</x:v>
      </x:c>
      <x:c r="B39" s="74" t="str">
        <x:v>M14</x:v>
      </x:c>
      <x:c r="C39" s="74" t="str">
        <x:v>SHISHANG</x:v>
      </x:c>
      <x:c r="D39" s="215" t="n">
        <x:v>33</x:v>
      </x:c>
      <x:c r="E39" s="74" t="str">
        <x:v>V1.0</x:v>
      </x:c>
      <x:c r="F39" s="68" t="str">
        <x:v>月令食神主气生成食神格候选</x:v>
      </x:c>
      <x:c r="G39" s="82" t="str">
        <x:v>综合层</x:v>
      </x:c>
      <x:c r="H39" s="82" t="str">
        <x:v>普通格局</x:v>
      </x:c>
      <x:c r="I39" s="68" t="str">
        <x:v>食神格候选</x:v>
      </x:c>
      <x:c r="J39" s="68" t="str">
        <x:v>月令本气为食神，或食神得令成为主要泄秀轴</x:v>
      </x:c>
      <x:c r="K39" s="68" t="str">
        <x:v>食神透干且有根为增强条件</x:v>
      </x:c>
      <x:c r="L39" s="82" t="str">
        <x:v>较清</x:v>
      </x:c>
      <x:c r="M39" s="68" t="str">
        <x:v>食神有根</x:v>
      </x:c>
      <x:c r="N39" s="68" t="str">
        <x:v>中和偏旺</x:v>
      </x:c>
      <x:c r="O39" s="68" t="str">
        <x:v>日主有足够力量可泄</x:v>
      </x:c>
      <x:c r="P39" s="68" t="str">
        <x:v>食神得令、有效并承担泄秀、生财或制杀功能</x:v>
      </x:c>
      <x:c r="Q39" s="68" t="str">
        <x:v>不适用</x:v>
      </x:c>
      <x:c r="R39" s="68" t="str">
        <x:v>格神得令、有根、透达、清纯，并得到有效生扶或制化配合</x:v>
      </x:c>
      <x:c r="S39" s="68" t="str">
        <x:v>存在更强月令主气、格神功能被替代或全局主势明显转向其他结构</x:v>
      </x:c>
      <x:c r="T39" s="90" t="str">
        <x:v>格神失效、无真实功能，或候选只由单一表面十神名称产生</x:v>
      </x:c>
      <x:c r="U39" s="68" t="str">
        <x:v>特殊格局、建禄羊刃及明确从化结构另用专门规则</x:v>
      </x:c>
      <x:c r="V39" s="82" t="str">
        <x:v>候选</x:v>
      </x:c>
      <x:c r="W39" s="68" t="str">
        <x:v>食神生财、食神制杀候选</x:v>
      </x:c>
      <x:c r="X39" s="84" t="str">
        <x:v>食神格候选_候选</x:v>
      </x:c>
      <x:c r="Y39" s="84" t="str">
        <x:v>食神格候选列为“候选”：主要依据为月令与格神有效性；仍需M15检验成格、破格、救应与层次。</x:v>
      </x:c>
      <x:c r="Z39" s="82" t="str">
        <x:v>较高</x:v>
      </x:c>
      <x:c r="AA39" s="82" t="str">
        <x:v>子平格局</x:v>
      </x:c>
      <x:c r="AB39" s="68" t="str">
        <x:v>M14只生成和排除格局候选。候选须综合月令、透干、格神有效力量、清纯度、日主配合与全局主导性；候选成立不等于M15最终成格。</x:v>
      </x:c>
      <x:c r="AC39" s="68" t="str">
        <x:v>月令与格神有效性共同支持“食神格候选”，且没有决定性否决条件。</x:v>
      </x:c>
      <x:c r="AD39" s="90" t="str">
        <x:v>仅见相关十神或五行出现，但月令、格神有效性或全局主导性不成立，不能直接列“食神格候选”。</x:v>
      </x:c>
      <x:c r="AE39" s="68" t="str">
        <x:v>https://zh.wikisource.org/zh-hans/%E6%B7%B5%E6%B5%B7%E5%AD%90%E5%B9%B3 ; https://zh.wikisource.org/wiki/%E6%BB%B4%E5%A4%A9%E9%AB%93%E9%97%A1%E5%BE%AE</x:v>
      </x:c>
      <x:c r="AF39" s="82" t="str">
        <x:v>采用</x:v>
      </x:c>
      <x:c r="AG39" s="82" t="str">
        <x:v>初审</x:v>
      </x:c>
      <x:c r="AH39" s="87" t="n">
        <x:v>46260</x:v>
      </x:c>
    </x:row>
    <x:row r="40">
      <x:c r="A40" s="72" t="str">
        <x:f>IF(OR(C40="",D40=""),"",B40&amp;"-"&amp;UPPER(C40)&amp;"-"&amp;TEXT(D40,"0000")&amp;"-"&amp;E40)</x:f>
        <x:v>M14-SHISHANG-0034-V1.0</x:v>
      </x:c>
      <x:c r="B40" s="74" t="str">
        <x:v>M14</x:v>
      </x:c>
      <x:c r="C40" s="74" t="str">
        <x:v>SHISHANG</x:v>
      </x:c>
      <x:c r="D40" s="215" t="n">
        <x:v>34</x:v>
      </x:c>
      <x:c r="E40" s="74" t="str">
        <x:v>V1.0</x:v>
      </x:c>
      <x:c r="F40" s="68" t="str">
        <x:v>食神生财增强食神格候选</x:v>
      </x:c>
      <x:c r="G40" s="82" t="str">
        <x:v>综合层</x:v>
      </x:c>
      <x:c r="H40" s="82" t="str">
        <x:v>普通格局</x:v>
      </x:c>
      <x:c r="I40" s="68" t="str">
        <x:v>食神格候选</x:v>
      </x:c>
      <x:c r="J40" s="68" t="str">
        <x:v>食神具有月令依据</x:v>
      </x:c>
      <x:c r="K40" s="68" t="str">
        <x:v>透干可增强候选，但不作为所有格局的绝对唯一条件</x:v>
      </x:c>
      <x:c r="L40" s="82" t="str">
        <x:v>待定</x:v>
      </x:c>
      <x:c r="M40" s="68" t="str">
        <x:v>待定</x:v>
      </x:c>
      <x:c r="N40" s="68" t="str">
        <x:v>待定</x:v>
      </x:c>
      <x:c r="O40" s="68" t="str">
        <x:v>结合M09日主旺衰与承载判断</x:v>
      </x:c>
      <x:c r="P40" s="68" t="str">
        <x:v>M11食神生财达到基本成立以上</x:v>
      </x:c>
      <x:c r="Q40" s="68" t="str">
        <x:v>不适用</x:v>
      </x:c>
      <x:c r="R40" s="68" t="str">
        <x:v>格神得令、有根、透达、清纯，并得到有效生扶或制化配合</x:v>
      </x:c>
      <x:c r="S40" s="68" t="str">
        <x:v>存在更强月令主气、格神功能被替代或全局主势明显转向其他结构</x:v>
      </x:c>
      <x:c r="T40" s="90" t="str">
        <x:v>格神失效、无真实功能，或候选只由单一表面十神名称产生</x:v>
      </x:c>
      <x:c r="U40" s="68" t="str">
        <x:v>特殊格局、建禄羊刃及明确从化结构另用专门规则</x:v>
      </x:c>
      <x:c r="V40" s="82" t="str">
        <x:v>基本成立</x:v>
      </x:c>
      <x:c r="W40" s="68" t="str">
        <x:v>财格候选</x:v>
      </x:c>
      <x:c r="X40" s="84" t="str">
        <x:v>食神格_生财增强</x:v>
      </x:c>
      <x:c r="Y40" s="84" t="str">
        <x:v>食神格候选列为“基本成立”：主要依据为月令与格神有效性；仍需M15检验成格、破格、救应与层次。</x:v>
      </x:c>
      <x:c r="Z40" s="82" t="str">
        <x:v>较高</x:v>
      </x:c>
      <x:c r="AA40" s="82" t="str">
        <x:v>子平格局</x:v>
      </x:c>
      <x:c r="AB40" s="68" t="str">
        <x:v>M14只生成和排除格局候选。候选须综合月令、透干、格神有效力量、清纯度、日主配合与全局主导性；候选成立不等于M15最终成格。</x:v>
      </x:c>
      <x:c r="AC40" s="68" t="str">
        <x:v>月令与格神有效性共同支持“食神格候选”，且没有决定性否决条件。</x:v>
      </x:c>
      <x:c r="AD40" s="90" t="str">
        <x:v>仅见相关十神或五行出现，但月令、格神有效性或全局主导性不成立，不能直接列“食神格候选”。</x:v>
      </x:c>
      <x:c r="AE40" s="68" t="str">
        <x:v>https://zh.wikisource.org/zh-hans/%E6%B7%B5%E6%B5%B7%E5%AD%90%E5%B9%B3 ; https://zh.wikisource.org/wiki/%E6%BB%B4%E5%A4%A9%E9%AB%93%E9%97%A1%E5%BE%AE</x:v>
      </x:c>
      <x:c r="AF40" s="82" t="str">
        <x:v>采用</x:v>
      </x:c>
      <x:c r="AG40" s="82" t="str">
        <x:v>初审</x:v>
      </x:c>
      <x:c r="AH40" s="87" t="n">
        <x:v>46260</x:v>
      </x:c>
    </x:row>
    <x:row r="41">
      <x:c r="A41" s="72" t="str">
        <x:f>IF(OR(C41="",D41=""),"",B41&amp;"-"&amp;UPPER(C41)&amp;"-"&amp;TEXT(D41,"0000")&amp;"-"&amp;E41)</x:f>
        <x:v>M14-SHISHANG-0035-V1.0</x:v>
      </x:c>
      <x:c r="B41" s="74" t="str">
        <x:v>M14</x:v>
      </x:c>
      <x:c r="C41" s="74" t="str">
        <x:v>SHISHANG</x:v>
      </x:c>
      <x:c r="D41" s="215" t="n">
        <x:v>35</x:v>
      </x:c>
      <x:c r="E41" s="74" t="str">
        <x:v>V1.0</x:v>
      </x:c>
      <x:c r="F41" s="68" t="str">
        <x:v>枭神夺食会降低或排除食神格候选</x:v>
      </x:c>
      <x:c r="G41" s="82" t="str">
        <x:v>综合层</x:v>
      </x:c>
      <x:c r="H41" s="82" t="str">
        <x:v>普通格局</x:v>
      </x:c>
      <x:c r="I41" s="68" t="str">
        <x:v>食神格候选</x:v>
      </x:c>
      <x:c r="J41" s="68" t="str">
        <x:v>食神本有月令依据</x:v>
      </x:c>
      <x:c r="K41" s="68" t="str">
        <x:v>透干可增强候选，但不作为所有格局的绝对唯一条件</x:v>
      </x:c>
      <x:c r="L41" s="82" t="str">
        <x:v>待定</x:v>
      </x:c>
      <x:c r="M41" s="68" t="str">
        <x:v>待定</x:v>
      </x:c>
      <x:c r="N41" s="68" t="str">
        <x:v>受限</x:v>
      </x:c>
      <x:c r="O41" s="68" t="str">
        <x:v>结合M09日主旺衰与承载判断</x:v>
      </x:c>
      <x:c r="P41" s="68" t="str">
        <x:v>偏印对食神形成实质强制</x:v>
      </x:c>
      <x:c r="Q41" s="68" t="str">
        <x:v>不适用</x:v>
      </x:c>
      <x:c r="R41" s="68" t="str">
        <x:v>格神得令、有根、透达、清纯，并得到有效生扶或制化配合</x:v>
      </x:c>
      <x:c r="S41" s="68" t="str">
        <x:v>存在更强月令主气、格神功能被替代或全局主势明显转向其他结构</x:v>
      </x:c>
      <x:c r="T41" s="90" t="str">
        <x:v>食神被枭制至失效且无财制枭救应</x:v>
      </x:c>
      <x:c r="U41" s="68" t="str">
        <x:v>特殊格局、建禄羊刃及明确从化结构另用专门规则</x:v>
      </x:c>
      <x:c r="V41" s="82" t="str">
        <x:v>不成立</x:v>
      </x:c>
      <x:c r="W41" s="68" t="str">
        <x:v>偏印格候选</x:v>
      </x:c>
      <x:c r="X41" s="84" t="str">
        <x:v>食神格_枭夺食否决</x:v>
      </x:c>
      <x:c r="Y41" s="84" t="str">
        <x:v>食神格候选列为“不成立”：主要依据为月令与格神有效性；仍需M15检验成格、破格、救应与层次。</x:v>
      </x:c>
      <x:c r="Z41" s="82" t="str">
        <x:v>较高</x:v>
      </x:c>
      <x:c r="AA41" s="82" t="str">
        <x:v>子平格局</x:v>
      </x:c>
      <x:c r="AB41" s="68" t="str">
        <x:v>M14只生成和排除格局候选。候选须综合月令、透干、格神有效力量、清纯度、日主配合与全局主导性；候选成立不等于M15最终成格。</x:v>
      </x:c>
      <x:c r="AC41" s="68" t="str">
        <x:v>月令与格神有效性共同支持“食神格候选”，且没有决定性否决条件。</x:v>
      </x:c>
      <x:c r="AD41" s="90" t="str">
        <x:v>仅见相关十神或五行出现，但月令、格神有效性或全局主导性不成立，不能直接列“食神格候选”。</x:v>
      </x:c>
      <x:c r="AE41" s="68" t="str">
        <x:v>https://zh.wikisource.org/zh-hans/%E6%B7%B5%E6%B5%B7%E5%AD%90%E5%B9%B3 ; https://zh.wikisource.org/wiki/%E6%BB%B4%E5%A4%A9%E9%AB%93%E9%97%A1%E5%BE%AE</x:v>
      </x:c>
      <x:c r="AF41" s="82" t="str">
        <x:v>采用</x:v>
      </x:c>
      <x:c r="AG41" s="82" t="str">
        <x:v>初审</x:v>
      </x:c>
      <x:c r="AH41" s="87" t="n">
        <x:v>46260</x:v>
      </x:c>
    </x:row>
    <x:row r="42">
      <x:c r="A42" s="72" t="str">
        <x:f>IF(OR(C42="",D42=""),"",B42&amp;"-"&amp;UPPER(C42)&amp;"-"&amp;TEXT(D42,"0000")&amp;"-"&amp;E42)</x:f>
        <x:v>M14-SHISHANG-0036-V1.0</x:v>
      </x:c>
      <x:c r="B42" s="74" t="str">
        <x:v>M14</x:v>
      </x:c>
      <x:c r="C42" s="74" t="str">
        <x:v>SHISHANG</x:v>
      </x:c>
      <x:c r="D42" s="215" t="n">
        <x:v>36</x:v>
      </x:c>
      <x:c r="E42" s="74" t="str">
        <x:v>V1.0</x:v>
      </x:c>
      <x:c r="F42" s="68" t="str">
        <x:v>食伤混杂主从不清时食神格降级</x:v>
      </x:c>
      <x:c r="G42" s="82" t="str">
        <x:v>综合层</x:v>
      </x:c>
      <x:c r="H42" s="82" t="str">
        <x:v>普通格局</x:v>
      </x:c>
      <x:c r="I42" s="68" t="str">
        <x:v>食神格候选</x:v>
      </x:c>
      <x:c r="J42" s="68" t="str">
        <x:v>食神有月令依据但伤官同时有效</x:v>
      </x:c>
      <x:c r="K42" s="68" t="str">
        <x:v>透干可增强候选，但不作为所有格局的绝对唯一条件</x:v>
      </x:c>
      <x:c r="L42" s="82" t="str">
        <x:v>混杂</x:v>
      </x:c>
      <x:c r="M42" s="68" t="str">
        <x:v>待定</x:v>
      </x:c>
      <x:c r="N42" s="68" t="str">
        <x:v>待定</x:v>
      </x:c>
      <x:c r="O42" s="68" t="str">
        <x:v>结合M09日主旺衰与承载判断</x:v>
      </x:c>
      <x:c r="P42" s="68" t="str">
        <x:v>月令依据、格神有效性与全局主导性共同支持</x:v>
      </x:c>
      <x:c r="Q42" s="68" t="str">
        <x:v>不适用</x:v>
      </x:c>
      <x:c r="R42" s="68" t="str">
        <x:v>格神得令、有根、透达、清纯，并得到有效生扶或制化配合</x:v>
      </x:c>
      <x:c r="S42" s="68" t="str">
        <x:v>食神伤官双强、主从不清</x:v>
      </x:c>
      <x:c r="T42" s="90" t="str">
        <x:v>格神失效、无真实功能，或候选只由单一表面十神名称产生</x:v>
      </x:c>
      <x:c r="U42" s="68" t="str">
        <x:v>特殊格局、建禄羊刃及明确从化结构另用专门规则</x:v>
      </x:c>
      <x:c r="V42" s="82" t="str">
        <x:v>候选</x:v>
      </x:c>
      <x:c r="W42" s="68" t="str">
        <x:v>伤官格或食伤混杂结构</x:v>
      </x:c>
      <x:c r="X42" s="84" t="str">
        <x:v>食神格_食伤混杂</x:v>
      </x:c>
      <x:c r="Y42" s="84" t="str">
        <x:v>食神格候选列为“候选”：主要依据为月令与格神有效性；仍需M15检验成格、破格、救应与层次。</x:v>
      </x:c>
      <x:c r="Z42" s="82" t="str">
        <x:v>较高</x:v>
      </x:c>
      <x:c r="AA42" s="82" t="str">
        <x:v>子平格局</x:v>
      </x:c>
      <x:c r="AB42" s="68" t="str">
        <x:v>M14只生成和排除格局候选。候选须综合月令、透干、格神有效力量、清纯度、日主配合与全局主导性；候选成立不等于M15最终成格。</x:v>
      </x:c>
      <x:c r="AC42" s="68" t="str">
        <x:v>月令与格神有效性共同支持“食神格候选”，且没有决定性否决条件。</x:v>
      </x:c>
      <x:c r="AD42" s="90" t="str">
        <x:v>仅见相关十神或五行出现，但月令、格神有效性或全局主导性不成立，不能直接列“食神格候选”。</x:v>
      </x:c>
      <x:c r="AE42" s="68" t="str">
        <x:v>https://zh.wikisource.org/zh-hans/%E6%B7%B5%E6%B5%B7%E5%AD%90%E5%B9%B3 ; https://zh.wikisource.org/wiki/%E6%BB%B4%E5%A4%A9%E9%AB%93%E9%97%A1%E5%BE%AE</x:v>
      </x:c>
      <x:c r="AF42" s="82" t="str">
        <x:v>采用</x:v>
      </x:c>
      <x:c r="AG42" s="82" t="str">
        <x:v>初审</x:v>
      </x:c>
      <x:c r="AH42" s="87" t="n">
        <x:v>46260</x:v>
      </x:c>
    </x:row>
    <x:row r="43">
      <x:c r="A43" s="72" t="str">
        <x:f>IF(OR(C43="",D43=""),"",B43&amp;"-"&amp;UPPER(C43)&amp;"-"&amp;TEXT(D43,"0000")&amp;"-"&amp;E43)</x:f>
        <x:v>M14-SHISHANG-0037-V1.0</x:v>
      </x:c>
      <x:c r="B43" s="74" t="str">
        <x:v>M14</x:v>
      </x:c>
      <x:c r="C43" s="74" t="str">
        <x:v>SHISHANG</x:v>
      </x:c>
      <x:c r="D43" s="215" t="n">
        <x:v>37</x:v>
      </x:c>
      <x:c r="E43" s="74" t="str">
        <x:v>V1.0</x:v>
      </x:c>
      <x:c r="F43" s="68" t="str">
        <x:v>月令伤官主气生成伤官格候选</x:v>
      </x:c>
      <x:c r="G43" s="82" t="str">
        <x:v>综合层</x:v>
      </x:c>
      <x:c r="H43" s="82" t="str">
        <x:v>普通格局</x:v>
      </x:c>
      <x:c r="I43" s="68" t="str">
        <x:v>伤官格候选</x:v>
      </x:c>
      <x:c r="J43" s="68" t="str">
        <x:v>月令本气为伤官，或伤官得令成为主要泄身/制官轴</x:v>
      </x:c>
      <x:c r="K43" s="68" t="str">
        <x:v>伤官透干且有根为增强条件</x:v>
      </x:c>
      <x:c r="L43" s="82" t="str">
        <x:v>较清</x:v>
      </x:c>
      <x:c r="M43" s="68" t="str">
        <x:v>伤官有根</x:v>
      </x:c>
      <x:c r="N43" s="68" t="str">
        <x:v>中和偏旺</x:v>
      </x:c>
      <x:c r="O43" s="68" t="str">
        <x:v>日主有力量可泄，且伤官功能有合理出口</x:v>
      </x:c>
      <x:c r="P43" s="68" t="str">
        <x:v>伤官有效并主导全局</x:v>
      </x:c>
      <x:c r="Q43" s="68" t="str">
        <x:v>不适用</x:v>
      </x:c>
      <x:c r="R43" s="68" t="str">
        <x:v>格神得令、有根、透达、清纯，并得到有效生扶或制化配合</x:v>
      </x:c>
      <x:c r="S43" s="68" t="str">
        <x:v>存在更强月令主气、格神功能被替代或全局主势明显转向其他结构</x:v>
      </x:c>
      <x:c r="T43" s="90" t="str">
        <x:v>格神失效、无真实功能，或候选只由单一表面十神名称产生</x:v>
      </x:c>
      <x:c r="U43" s="68" t="str">
        <x:v>特殊格局、建禄羊刃及明确从化结构另用专门规则</x:v>
      </x:c>
      <x:c r="V43" s="82" t="str">
        <x:v>候选</x:v>
      </x:c>
      <x:c r="W43" s="68" t="str">
        <x:v>伤官生财、伤官配印候选</x:v>
      </x:c>
      <x:c r="X43" s="84" t="str">
        <x:v>伤官格候选_候选</x:v>
      </x:c>
      <x:c r="Y43" s="84" t="str">
        <x:v>伤官格候选列为“候选”：主要依据为月令与格神有效性；仍需M15检验成格、破格、救应与层次。</x:v>
      </x:c>
      <x:c r="Z43" s="82" t="str">
        <x:v>较高</x:v>
      </x:c>
      <x:c r="AA43" s="82" t="str">
        <x:v>子平格局</x:v>
      </x:c>
      <x:c r="AB43" s="68" t="str">
        <x:v>M14只生成和排除格局候选。候选须综合月令、透干、格神有效力量、清纯度、日主配合与全局主导性；候选成立不等于M15最终成格。</x:v>
      </x:c>
      <x:c r="AC43" s="68" t="str">
        <x:v>月令与格神有效性共同支持“伤官格候选”，且没有决定性否决条件。</x:v>
      </x:c>
      <x:c r="AD43" s="90" t="str">
        <x:v>仅见相关十神或五行出现，但月令、格神有效性或全局主导性不成立，不能直接列“伤官格候选”。</x:v>
      </x:c>
      <x:c r="AE43" s="68" t="str">
        <x:v>https://zh.wikisource.org/zh-hans/%E6%B7%B5%E6%B5%B7%E5%AD%90%E5%B9%B3 ; https://zh.wikisource.org/wiki/%E6%BB%B4%E5%A4%A9%E9%AB%93%E9%97%A1%E5%BE%AE</x:v>
      </x:c>
      <x:c r="AF43" s="82" t="str">
        <x:v>采用</x:v>
      </x:c>
      <x:c r="AG43" s="82" t="str">
        <x:v>初审</x:v>
      </x:c>
      <x:c r="AH43" s="87" t="n">
        <x:v>46260</x:v>
      </x:c>
    </x:row>
    <x:row r="44">
      <x:c r="A44" s="72" t="str">
        <x:f>IF(OR(C44="",D44=""),"",B44&amp;"-"&amp;UPPER(C44)&amp;"-"&amp;TEXT(D44,"0000")&amp;"-"&amp;E44)</x:f>
        <x:v>M14-SHISHANG-0038-V1.0</x:v>
      </x:c>
      <x:c r="B44" s="74" t="str">
        <x:v>M14</x:v>
      </x:c>
      <x:c r="C44" s="74" t="str">
        <x:v>SHISHANG</x:v>
      </x:c>
      <x:c r="D44" s="215" t="n">
        <x:v>38</x:v>
      </x:c>
      <x:c r="E44" s="74" t="str">
        <x:v>V1.0</x:v>
      </x:c>
      <x:c r="F44" s="68" t="str">
        <x:v>伤官生财可增强伤官格候选</x:v>
      </x:c>
      <x:c r="G44" s="82" t="str">
        <x:v>综合层</x:v>
      </x:c>
      <x:c r="H44" s="82" t="str">
        <x:v>普通格局</x:v>
      </x:c>
      <x:c r="I44" s="68" t="str">
        <x:v>伤官格候选</x:v>
      </x:c>
      <x:c r="J44" s="68" t="str">
        <x:v>伤官具有月令依据</x:v>
      </x:c>
      <x:c r="K44" s="68" t="str">
        <x:v>透干可增强候选，但不作为所有格局的绝对唯一条件</x:v>
      </x:c>
      <x:c r="L44" s="82" t="str">
        <x:v>待定</x:v>
      </x:c>
      <x:c r="M44" s="68" t="str">
        <x:v>待定</x:v>
      </x:c>
      <x:c r="N44" s="68" t="str">
        <x:v>待定</x:v>
      </x:c>
      <x:c r="O44" s="68" t="str">
        <x:v>结合M09日主旺衰与承载判断</x:v>
      </x:c>
      <x:c r="P44" s="68" t="str">
        <x:v>M11伤官生财成立，财星能承接</x:v>
      </x:c>
      <x:c r="Q44" s="68" t="str">
        <x:v>不适用</x:v>
      </x:c>
      <x:c r="R44" s="68" t="str">
        <x:v>格神得令、有根、透达、清纯，并得到有效生扶或制化配合</x:v>
      </x:c>
      <x:c r="S44" s="68" t="str">
        <x:v>存在更强月令主气、格神功能被替代或全局主势明显转向其他结构</x:v>
      </x:c>
      <x:c r="T44" s="90" t="str">
        <x:v>格神失效、无真实功能，或候选只由单一表面十神名称产生</x:v>
      </x:c>
      <x:c r="U44" s="68" t="str">
        <x:v>特殊格局、建禄羊刃及明确从化结构另用专门规则</x:v>
      </x:c>
      <x:c r="V44" s="82" t="str">
        <x:v>基本成立</x:v>
      </x:c>
      <x:c r="W44" s="68" t="str">
        <x:v>财格候选</x:v>
      </x:c>
      <x:c r="X44" s="84" t="str">
        <x:v>伤官格_生财增强</x:v>
      </x:c>
      <x:c r="Y44" s="84" t="str">
        <x:v>伤官格候选列为“基本成立”：主要依据为月令与格神有效性；仍需M15检验成格、破格、救应与层次。</x:v>
      </x:c>
      <x:c r="Z44" s="82" t="str">
        <x:v>较高</x:v>
      </x:c>
      <x:c r="AA44" s="82" t="str">
        <x:v>子平格局</x:v>
      </x:c>
      <x:c r="AB44" s="68" t="str">
        <x:v>M14只生成和排除格局候选。候选须综合月令、透干、格神有效力量、清纯度、日主配合与全局主导性；候选成立不等于M15最终成格。</x:v>
      </x:c>
      <x:c r="AC44" s="68" t="str">
        <x:v>月令与格神有效性共同支持“伤官格候选”，且没有决定性否决条件。</x:v>
      </x:c>
      <x:c r="AD44" s="90" t="str">
        <x:v>仅见相关十神或五行出现，但月令、格神有效性或全局主导性不成立，不能直接列“伤官格候选”。</x:v>
      </x:c>
      <x:c r="AE44" s="68" t="str">
        <x:v>https://zh.wikisource.org/zh-hans/%E6%B7%B5%E6%B5%B7%E5%AD%90%E5%B9%B3 ; https://zh.wikisource.org/wiki/%E6%BB%B4%E5%A4%A9%E9%AB%93%E9%97%A1%E5%BE%AE</x:v>
      </x:c>
      <x:c r="AF44" s="82" t="str">
        <x:v>采用</x:v>
      </x:c>
      <x:c r="AG44" s="82" t="str">
        <x:v>初审</x:v>
      </x:c>
      <x:c r="AH44" s="87" t="n">
        <x:v>46260</x:v>
      </x:c>
    </x:row>
    <x:row r="45">
      <x:c r="A45" s="72" t="str">
        <x:f>IF(OR(C45="",D45=""),"",B45&amp;"-"&amp;UPPER(C45)&amp;"-"&amp;TEXT(D45,"0000")&amp;"-"&amp;E45)</x:f>
        <x:v>M14-SHISHANG-0039-V1.0</x:v>
      </x:c>
      <x:c r="B45" s="74" t="str">
        <x:v>M14</x:v>
      </x:c>
      <x:c r="C45" s="74" t="str">
        <x:v>SHISHANG</x:v>
      </x:c>
      <x:c r="D45" s="215" t="n">
        <x:v>39</x:v>
      </x:c>
      <x:c r="E45" s="74" t="str">
        <x:v>V1.0</x:v>
      </x:c>
      <x:c r="F45" s="68" t="str">
        <x:v>伤官配印可增强并稳定伤官格候选</x:v>
      </x:c>
      <x:c r="G45" s="82" t="str">
        <x:v>综合层</x:v>
      </x:c>
      <x:c r="H45" s="82" t="str">
        <x:v>普通格局</x:v>
      </x:c>
      <x:c r="I45" s="68" t="str">
        <x:v>伤官格候选</x:v>
      </x:c>
      <x:c r="J45" s="68" t="str">
        <x:v>伤官具有月令依据</x:v>
      </x:c>
      <x:c r="K45" s="68" t="str">
        <x:v>透干可增强候选，但不作为所有格局的绝对唯一条件</x:v>
      </x:c>
      <x:c r="L45" s="82" t="str">
        <x:v>待定</x:v>
      </x:c>
      <x:c r="M45" s="68" t="str">
        <x:v>待定</x:v>
      </x:c>
      <x:c r="N45" s="68" t="str">
        <x:v>待定</x:v>
      </x:c>
      <x:c r="O45" s="68" t="str">
        <x:v>结合M09日主旺衰与承载判断</x:v>
      </x:c>
      <x:c r="P45" s="68" t="str">
        <x:v>M11伤官配印成立，印能制伤而不过度</x:v>
      </x:c>
      <x:c r="Q45" s="68" t="str">
        <x:v>不适用</x:v>
      </x:c>
      <x:c r="R45" s="68" t="str">
        <x:v>格神得令、有根、透达、清纯，并得到有效生扶或制化配合</x:v>
      </x:c>
      <x:c r="S45" s="68" t="str">
        <x:v>存在更强月令主气、格神功能被替代或全局主势明显转向其他结构</x:v>
      </x:c>
      <x:c r="T45" s="90" t="str">
        <x:v>格神失效、无真实功能，或候选只由单一表面十神名称产生</x:v>
      </x:c>
      <x:c r="U45" s="68" t="str">
        <x:v>特殊格局、建禄羊刃及明确从化结构另用专门规则</x:v>
      </x:c>
      <x:c r="V45" s="82" t="str">
        <x:v>基本成立</x:v>
      </x:c>
      <x:c r="W45" s="68" t="str">
        <x:v>印格候选</x:v>
      </x:c>
      <x:c r="X45" s="84" t="str">
        <x:v>伤官格_配印增强</x:v>
      </x:c>
      <x:c r="Y45" s="84" t="str">
        <x:v>伤官格候选列为“基本成立”：主要依据为月令与格神有效性；仍需M15检验成格、破格、救应与层次。</x:v>
      </x:c>
      <x:c r="Z45" s="82" t="str">
        <x:v>较高</x:v>
      </x:c>
      <x:c r="AA45" s="82" t="str">
        <x:v>子平格局</x:v>
      </x:c>
      <x:c r="AB45" s="68" t="str">
        <x:v>M14只生成和排除格局候选。候选须综合月令、透干、格神有效力量、清纯度、日主配合与全局主导性；候选成立不等于M15最终成格。</x:v>
      </x:c>
      <x:c r="AC45" s="68" t="str">
        <x:v>月令与格神有效性共同支持“伤官格候选”，且没有决定性否决条件。</x:v>
      </x:c>
      <x:c r="AD45" s="90" t="str">
        <x:v>仅见相关十神或五行出现，但月令、格神有效性或全局主导性不成立，不能直接列“伤官格候选”。</x:v>
      </x:c>
      <x:c r="AE45" s="68" t="str">
        <x:v>https://zh.wikisource.org/zh-hans/%E6%B7%B5%E6%B5%B7%E5%AD%90%E5%B9%B3 ; https://zh.wikisource.org/wiki/%E6%BB%B4%E5%A4%A9%E9%AB%93%E9%97%A1%E5%BE%AE</x:v>
      </x:c>
      <x:c r="AF45" s="82" t="str">
        <x:v>采用</x:v>
      </x:c>
      <x:c r="AG45" s="82" t="str">
        <x:v>初审</x:v>
      </x:c>
      <x:c r="AH45" s="87" t="n">
        <x:v>46260</x:v>
      </x:c>
    </x:row>
    <x:row r="46">
      <x:c r="A46" s="72" t="str">
        <x:f>IF(OR(C46="",D46=""),"",B46&amp;"-"&amp;UPPER(C46)&amp;"-"&amp;TEXT(D46,"0000")&amp;"-"&amp;E46)</x:f>
        <x:v>M14-SHISHANG-0040-V1.0</x:v>
      </x:c>
      <x:c r="B46" s="74" t="str">
        <x:v>M14</x:v>
      </x:c>
      <x:c r="C46" s="74" t="str">
        <x:v>SHISHANG</x:v>
      </x:c>
      <x:c r="D46" s="215" t="n">
        <x:v>40</x:v>
      </x:c>
      <x:c r="E46" s="74" t="str">
        <x:v>V1.0</x:v>
      </x:c>
      <x:c r="F46" s="68" t="str">
        <x:v>伤官见官无救应时伤官格候选带破</x:v>
      </x:c>
      <x:c r="G46" s="82" t="str">
        <x:v>综合层</x:v>
      </x:c>
      <x:c r="H46" s="82" t="str">
        <x:v>普通格局</x:v>
      </x:c>
      <x:c r="I46" s="68" t="str">
        <x:v>伤官格候选</x:v>
      </x:c>
      <x:c r="J46" s="68" t="str">
        <x:v>伤官有月令依据</x:v>
      </x:c>
      <x:c r="K46" s="68" t="str">
        <x:v>透干可增强候选，但不作为所有格局的绝对唯一条件</x:v>
      </x:c>
      <x:c r="L46" s="82" t="str">
        <x:v>有杂</x:v>
      </x:c>
      <x:c r="M46" s="68" t="str">
        <x:v>待定</x:v>
      </x:c>
      <x:c r="N46" s="68" t="str">
        <x:v>待定</x:v>
      </x:c>
      <x:c r="O46" s="68" t="str">
        <x:v>结合M09日主旺衰与承载判断</x:v>
      </x:c>
      <x:c r="P46" s="68" t="str">
        <x:v>伤官与正官形成实质冲突</x:v>
      </x:c>
      <x:c r="Q46" s="68" t="str">
        <x:v>不适用</x:v>
      </x:c>
      <x:c r="R46" s="68" t="str">
        <x:v>格神得令、有根、透达、清纯，并得到有效生扶或制化配合</x:v>
      </x:c>
      <x:c r="S46" s="68" t="str">
        <x:v>无印制伤、无财通关、官星仍为关键功能</x:v>
      </x:c>
      <x:c r="T46" s="90" t="str">
        <x:v>格神失效、无真实功能，或候选只由单一表面十神名称产生</x:v>
      </x:c>
      <x:c r="U46" s="68" t="str">
        <x:v>特殊格局、建禄羊刃及明确从化结构另用专门规则</x:v>
      </x:c>
      <x:c r="V46" s="82" t="str">
        <x:v>成立但有破</x:v>
      </x:c>
      <x:c r="W46" s="68" t="str">
        <x:v>正官格或伤官配印候选</x:v>
      </x:c>
      <x:c r="X46" s="84" t="str">
        <x:v>伤官格_见官有破</x:v>
      </x:c>
      <x:c r="Y46" s="84" t="str">
        <x:v>伤官格候选列为“成立但有破”：主要依据为月令与格神有效性；仍需M15检验成格、破格、救应与层次。</x:v>
      </x:c>
      <x:c r="Z46" s="82" t="str">
        <x:v>较高</x:v>
      </x:c>
      <x:c r="AA46" s="82" t="str">
        <x:v>子平格局</x:v>
      </x:c>
      <x:c r="AB46" s="68" t="str">
        <x:v>M14只生成和排除格局候选。候选须综合月令、透干、格神有效力量、清纯度、日主配合与全局主导性；候选成立不等于M15最终成格。</x:v>
      </x:c>
      <x:c r="AC46" s="68" t="str">
        <x:v>月令与格神有效性共同支持“伤官格候选”，且没有决定性否决条件。</x:v>
      </x:c>
      <x:c r="AD46" s="90" t="str">
        <x:v>仅见相关十神或五行出现，但月令、格神有效性或全局主导性不成立，不能直接列“伤官格候选”。</x:v>
      </x:c>
      <x:c r="AE46" s="68" t="str">
        <x:v>https://zh.wikisource.org/zh-hans/%E6%B7%B5%E6%B5%B7%E5%AD%90%E5%B9%B3 ; https://zh.wikisource.org/wiki/%E6%BB%B4%E5%A4%A9%E9%AB%93%E9%97%A1%E5%BE%AE</x:v>
      </x:c>
      <x:c r="AF46" s="82" t="str">
        <x:v>采用</x:v>
      </x:c>
      <x:c r="AG46" s="82" t="str">
        <x:v>初审</x:v>
      </x:c>
      <x:c r="AH46" s="87" t="n">
        <x:v>46260</x:v>
      </x:c>
    </x:row>
    <x:row r="47">
      <x:c r="A47" s="72" t="str">
        <x:f>IF(OR(C47="",D47=""),"",B47&amp;"-"&amp;UPPER(C47)&amp;"-"&amp;TEXT(D47,"0000")&amp;"-"&amp;E47)</x:f>
        <x:v>M14-JIANREN-0041-V1.0</x:v>
      </x:c>
      <x:c r="B47" s="74" t="str">
        <x:v>M14</x:v>
      </x:c>
      <x:c r="C47" s="74" t="str">
        <x:v>JIANREN</x:v>
      </x:c>
      <x:c r="D47" s="215" t="n">
        <x:v>41</x:v>
      </x:c>
      <x:c r="E47" s="74" t="str">
        <x:v>V1.0</x:v>
      </x:c>
      <x:c r="F47" s="68" t="str">
        <x:v>日主临月令禄地生成建禄候选</x:v>
      </x:c>
      <x:c r="G47" s="82" t="str">
        <x:v>综合层</x:v>
      </x:c>
      <x:c r="H47" s="82" t="str">
        <x:v>建禄羊刃</x:v>
      </x:c>
      <x:c r="I47" s="68" t="str">
        <x:v>建禄格候选</x:v>
      </x:c>
      <x:c r="J47" s="68" t="str">
        <x:v>月支为日主禄地：甲寅、乙卯、丙戊巳、丁己午、庚申、辛酉、壬亥、癸子</x:v>
      </x:c>
      <x:c r="K47" s="68" t="str">
        <x:v>比劫透干可增强身势，但不是唯一条件</x:v>
      </x:c>
      <x:c r="L47" s="82" t="str">
        <x:v>待定</x:v>
      </x:c>
      <x:c r="M47" s="68" t="str">
        <x:v>月令本气强根</x:v>
      </x:c>
      <x:c r="N47" s="68" t="str">
        <x:v>旺</x:v>
      </x:c>
      <x:c r="O47" s="68" t="str">
        <x:v>日主通常得令得地，需重点寻找财官食伤等取用方向</x:v>
      </x:c>
      <x:c r="P47" s="68" t="str">
        <x:v>月令直接为日主禄地</x:v>
      </x:c>
      <x:c r="Q47" s="68" t="str">
        <x:v>不适用</x:v>
      </x:c>
      <x:c r="R47" s="68" t="str">
        <x:v>格神得令、有根、透达、清纯，并得到有效生扶或制化配合</x:v>
      </x:c>
      <x:c r="S47" s="68" t="str">
        <x:v>存在更强月令主气、格神功能被替代或全局主势明显转向其他结构</x:v>
      </x:c>
      <x:c r="T47" s="90" t="str">
        <x:v>格神失效、无真实功能，或候选只由单一表面十神名称产生</x:v>
      </x:c>
      <x:c r="U47" s="68" t="str">
        <x:v>若严格从旺、专旺或化气成立，转特殊格局候选</x:v>
      </x:c>
      <x:c r="V47" s="82" t="str">
        <x:v>候选</x:v>
      </x:c>
      <x:c r="W47" s="68" t="str">
        <x:v>身旺任财、身旺任官杀、食伤泄秀</x:v>
      </x:c>
      <x:c r="X47" s="84" t="str">
        <x:v>建禄格候选_候选</x:v>
      </x:c>
      <x:c r="Y47" s="84" t="str">
        <x:v>建禄格候选列为“候选”：主要依据为月令与格神有效性；仍需M15检验成格、破格、救应与层次。</x:v>
      </x:c>
      <x:c r="Z47" s="82" t="str">
        <x:v>较高</x:v>
      </x:c>
      <x:c r="AA47" s="82" t="str">
        <x:v>子平格局</x:v>
      </x:c>
      <x:c r="AB47" s="68" t="str">
        <x:v>M14只生成和排除格局候选。候选须综合月令、透干、格神有效力量、清纯度、日主配合与全局主导性；候选成立不等于M15最终成格。</x:v>
      </x:c>
      <x:c r="AC47" s="68" t="str">
        <x:v>月令与格神有效性共同支持“建禄格候选”，且没有决定性否决条件。</x:v>
      </x:c>
      <x:c r="AD47" s="90" t="str">
        <x:v>仅见相关十神或五行出现，但月令、格神有效性或全局主导性不成立，不能直接列“建禄格候选”。</x:v>
      </x:c>
      <x:c r="AE47" s="68" t="str">
        <x:v>https://zh.wikisource.org/zh-hans/%E6%B7%B5%E6%B5%B7%E5%AD%90%E5%B9%B3 ; https://zh.wikisource.org/wiki/%E6%BB%B4%E5%A4%A9%E9%AB%93%E9%97%A1%E5%BE%AE</x:v>
      </x:c>
      <x:c r="AF47" s="82" t="str">
        <x:v>采用</x:v>
      </x:c>
      <x:c r="AG47" s="82" t="str">
        <x:v>初审</x:v>
      </x:c>
      <x:c r="AH47" s="87" t="n">
        <x:v>46260</x:v>
      </x:c>
    </x:row>
    <x:row r="48">
      <x:c r="A48" s="72" t="str">
        <x:f>IF(OR(C48="",D48=""),"",B48&amp;"-"&amp;UPPER(C48)&amp;"-"&amp;TEXT(D48,"0000")&amp;"-"&amp;E48)</x:f>
        <x:v>M14-JIANREN-0042-V1.0</x:v>
      </x:c>
      <x:c r="B48" s="74" t="str">
        <x:v>M14</x:v>
      </x:c>
      <x:c r="C48" s="74" t="str">
        <x:v>JIANREN</x:v>
      </x:c>
      <x:c r="D48" s="215" t="n">
        <x:v>42</x:v>
      </x:c>
      <x:c r="E48" s="74" t="str">
        <x:v>V1.0</x:v>
      </x:c>
      <x:c r="F48" s="68" t="str">
        <x:v>建禄不等于最终身旺无疑</x:v>
      </x:c>
      <x:c r="G48" s="82" t="str">
        <x:v>综合层</x:v>
      </x:c>
      <x:c r="H48" s="82" t="str">
        <x:v>建禄羊刃</x:v>
      </x:c>
      <x:c r="I48" s="68" t="str">
        <x:v>建禄格候选</x:v>
      </x:c>
      <x:c r="J48" s="68" t="str">
        <x:v>日主临月令禄地</x:v>
      </x:c>
      <x:c r="K48" s="68" t="str">
        <x:v>透干可增强候选，但不作为所有格局的绝对唯一条件</x:v>
      </x:c>
      <x:c r="L48" s="82" t="str">
        <x:v>待定</x:v>
      </x:c>
      <x:c r="M48" s="68" t="str">
        <x:v>待定</x:v>
      </x:c>
      <x:c r="N48" s="68" t="str">
        <x:v>中和偏旺</x:v>
      </x:c>
      <x:c r="O48" s="68" t="str">
        <x:v>仍需读取M09有效根、印比与制泄耗</x:v>
      </x:c>
      <x:c r="P48" s="68" t="str">
        <x:v>建禄只提供高权重得令得地证据</x:v>
      </x:c>
      <x:c r="Q48" s="68" t="str">
        <x:v>不适用</x:v>
      </x:c>
      <x:c r="R48" s="68" t="str">
        <x:v>格神得令、有根、透达、清纯，并得到有效生扶或制化配合</x:v>
      </x:c>
      <x:c r="S48" s="68" t="str">
        <x:v>存在更强月令主气、格神功能被替代或全局主势明显转向其他结构</x:v>
      </x:c>
      <x:c r="T48" s="90" t="str">
        <x:v>格神失效、无真实功能，或候选只由单一表面十神名称产生</x:v>
      </x:c>
      <x:c r="U48" s="68" t="str">
        <x:v>特殊格局、建禄羊刃及明确从化结构另用专门规则</x:v>
      </x:c>
      <x:c r="V48" s="82" t="str">
        <x:v>候选</x:v>
      </x:c>
      <x:c r="W48" s="68" t="str">
        <x:v>待定</x:v>
      </x:c>
      <x:c r="X48" s="84" t="str">
        <x:v>建禄_旺衰边界</x:v>
      </x:c>
      <x:c r="Y48" s="84" t="str">
        <x:v>建禄可列候选，但日主最终旺衰与格局运行仍需结合全局制泄耗，不得仅凭月令禄地定旺或定格。</x:v>
      </x:c>
      <x:c r="Z48" s="82" t="str">
        <x:v>较高</x:v>
      </x:c>
      <x:c r="AA48" s="82" t="str">
        <x:v>子平格局</x:v>
      </x:c>
      <x:c r="AB48" s="68" t="str">
        <x:v>M14只生成和排除格局候选。候选须综合月令、透干、格神有效力量、清纯度、日主配合与全局主导性；候选成立不等于M15最终成格。</x:v>
      </x:c>
      <x:c r="AC48" s="68" t="str">
        <x:v>月令与格神有效性共同支持“建禄格候选”，且没有决定性否决条件。</x:v>
      </x:c>
      <x:c r="AD48" s="90" t="str">
        <x:v>仅见相关十神或五行出现，但月令、格神有效性或全局主导性不成立，不能直接列“建禄格候选”。</x:v>
      </x:c>
      <x:c r="AE48" s="68" t="str">
        <x:v>https://zh.wikisource.org/zh-hans/%E6%B7%B5%E6%B5%B7%E5%AD%90%E5%B9%B3 ; https://zh.wikisource.org/wiki/%E6%BB%B4%E5%A4%A9%E9%AB%93%E9%97%A1%E5%BE%AE</x:v>
      </x:c>
      <x:c r="AF48" s="82" t="str">
        <x:v>采用</x:v>
      </x:c>
      <x:c r="AG48" s="82" t="str">
        <x:v>初审</x:v>
      </x:c>
      <x:c r="AH48" s="87" t="n">
        <x:v>46260</x:v>
      </x:c>
    </x:row>
    <x:row r="49">
      <x:c r="A49" s="72" t="str">
        <x:f>IF(OR(C49="",D49=""),"",B49&amp;"-"&amp;UPPER(C49)&amp;"-"&amp;TEXT(D49,"0000")&amp;"-"&amp;E49)</x:f>
        <x:v>M14-JIANREN-0043-V1.0</x:v>
      </x:c>
      <x:c r="B49" s="74" t="str">
        <x:v>M14</x:v>
      </x:c>
      <x:c r="C49" s="74" t="str">
        <x:v>JIANREN</x:v>
      </x:c>
      <x:c r="D49" s="215" t="n">
        <x:v>43</x:v>
      </x:c>
      <x:c r="E49" s="74" t="str">
        <x:v>V1.0</x:v>
      </x:c>
      <x:c r="F49" s="68" t="str">
        <x:v>建禄遇财官食伤有效时形成主要替代结构</x:v>
      </x:c>
      <x:c r="G49" s="82" t="str">
        <x:v>综合层</x:v>
      </x:c>
      <x:c r="H49" s="82" t="str">
        <x:v>建禄羊刃</x:v>
      </x:c>
      <x:c r="I49" s="68" t="str">
        <x:v>建禄格候选</x:v>
      </x:c>
      <x:c r="J49" s="68" t="str">
        <x:v>建禄候选成立</x:v>
      </x:c>
      <x:c r="K49" s="68" t="str">
        <x:v>透干可增强候选，但不作为所有格局的绝对唯一条件</x:v>
      </x:c>
      <x:c r="L49" s="82" t="str">
        <x:v>待定</x:v>
      </x:c>
      <x:c r="M49" s="68" t="str">
        <x:v>待定</x:v>
      </x:c>
      <x:c r="N49" s="68" t="str">
        <x:v>待定</x:v>
      </x:c>
      <x:c r="O49" s="68" t="str">
        <x:v>结合M09日主旺衰与承载判断</x:v>
      </x:c>
      <x:c r="P49" s="68" t="str">
        <x:v>财、官杀或食伤在M10/M11形成清晰有效功能</x:v>
      </x:c>
      <x:c r="Q49" s="68" t="str">
        <x:v>不适用</x:v>
      </x:c>
      <x:c r="R49" s="68" t="str">
        <x:v>格神得令、有根、透达、清纯，并得到有效生扶或制化配合</x:v>
      </x:c>
      <x:c r="S49" s="68" t="str">
        <x:v>存在更强月令主气、格神功能被替代或全局主势明显转向其他结构</x:v>
      </x:c>
      <x:c r="T49" s="90" t="str">
        <x:v>格神失效、无真实功能，或候选只由单一表面十神名称产生</x:v>
      </x:c>
      <x:c r="U49" s="68" t="str">
        <x:v>特殊格局、建禄羊刃及明确从化结构另用专门规则</x:v>
      </x:c>
      <x:c r="V49" s="82" t="str">
        <x:v>候选</x:v>
      </x:c>
      <x:c r="W49" s="68" t="str">
        <x:v>身旺任财、官杀制衡、食伤泄秀</x:v>
      </x:c>
      <x:c r="X49" s="84" t="str">
        <x:v>建禄_取用方向</x:v>
      </x:c>
      <x:c r="Y49" s="84" t="str">
        <x:v>建禄格候选列为“候选”：主要依据为月令与格神有效性；仍需M15检验成格、破格、救应与层次。</x:v>
      </x:c>
      <x:c r="Z49" s="82" t="str">
        <x:v>较高</x:v>
      </x:c>
      <x:c r="AA49" s="82" t="str">
        <x:v>子平格局</x:v>
      </x:c>
      <x:c r="AB49" s="68" t="str">
        <x:v>M14只生成和排除格局候选。候选须综合月令、透干、格神有效力量、清纯度、日主配合与全局主导性；候选成立不等于M15最终成格。</x:v>
      </x:c>
      <x:c r="AC49" s="68" t="str">
        <x:v>月令与格神有效性共同支持“建禄格候选”，且没有决定性否决条件。</x:v>
      </x:c>
      <x:c r="AD49" s="90" t="str">
        <x:v>仅见相关十神或五行出现，但月令、格神有效性或全局主导性不成立，不能直接列“建禄格候选”。</x:v>
      </x:c>
      <x:c r="AE49" s="68" t="str">
        <x:v>https://zh.wikisource.org/zh-hans/%E6%B7%B5%E6%B5%B7%E5%AD%90%E5%B9%B3 ; https://zh.wikisource.org/wiki/%E6%BB%B4%E5%A4%A9%E9%AB%93%E9%97%A1%E5%BE%AE</x:v>
      </x:c>
      <x:c r="AF49" s="82" t="str">
        <x:v>采用</x:v>
      </x:c>
      <x:c r="AG49" s="82" t="str">
        <x:v>初审</x:v>
      </x:c>
      <x:c r="AH49" s="87" t="n">
        <x:v>46260</x:v>
      </x:c>
    </x:row>
    <x:row r="50">
      <x:c r="A50" s="72" t="str">
        <x:f>IF(OR(C50="",D50=""),"",B50&amp;"-"&amp;UPPER(C50)&amp;"-"&amp;TEXT(D50,"0000")&amp;"-"&amp;E50)</x:f>
        <x:v>M14-JIANREN-0044-V1.0</x:v>
      </x:c>
      <x:c r="B50" s="74" t="str">
        <x:v>M14</x:v>
      </x:c>
      <x:c r="C50" s="74" t="str">
        <x:v>JIANREN</x:v>
      </x:c>
      <x:c r="D50" s="215" t="n">
        <x:v>44</x:v>
      </x:c>
      <x:c r="E50" s="74" t="str">
        <x:v>V1.0</x:v>
      </x:c>
      <x:c r="F50" s="68" t="str">
        <x:v>比劫过旺无泄时建禄候选带壅塞</x:v>
      </x:c>
      <x:c r="G50" s="82" t="str">
        <x:v>综合层</x:v>
      </x:c>
      <x:c r="H50" s="82" t="str">
        <x:v>建禄羊刃</x:v>
      </x:c>
      <x:c r="I50" s="68" t="str">
        <x:v>建禄格候选</x:v>
      </x:c>
      <x:c r="J50" s="68" t="str">
        <x:v>建禄且比劫成势</x:v>
      </x:c>
      <x:c r="K50" s="68" t="str">
        <x:v>透干可增强候选，但不作为所有格局的绝对唯一条件</x:v>
      </x:c>
      <x:c r="L50" s="82" t="str">
        <x:v>有杂</x:v>
      </x:c>
      <x:c r="M50" s="68" t="str">
        <x:v>待定</x:v>
      </x:c>
      <x:c r="N50" s="68" t="str">
        <x:v>极旺</x:v>
      </x:c>
      <x:c r="O50" s="68" t="str">
        <x:v>结合M09日主旺衰与承载判断</x:v>
      </x:c>
      <x:c r="P50" s="68" t="str">
        <x:v>M12源头过旺无泄或回流壅塞成立</x:v>
      </x:c>
      <x:c r="Q50" s="68" t="str">
        <x:v>不适用</x:v>
      </x:c>
      <x:c r="R50" s="68" t="str">
        <x:v>格神得令、有根、透达、清纯，并得到有效生扶或制化配合</x:v>
      </x:c>
      <x:c r="S50" s="68" t="str">
        <x:v>存在更强月令主气、格神功能被替代或全局主势明显转向其他结构</x:v>
      </x:c>
      <x:c r="T50" s="90" t="str">
        <x:v>格神失效、无真实功能，或候选只由单一表面十神名称产生</x:v>
      </x:c>
      <x:c r="U50" s="68" t="str">
        <x:v>特殊格局、建禄羊刃及明确从化结构另用专门规则</x:v>
      </x:c>
      <x:c r="V50" s="82" t="str">
        <x:v>成立但有破</x:v>
      </x:c>
      <x:c r="W50" s="68" t="str">
        <x:v>从旺/专旺候选</x:v>
      </x:c>
      <x:c r="X50" s="84" t="str">
        <x:v>建禄_比劫壅塞</x:v>
      </x:c>
      <x:c r="Y50" s="84" t="str">
        <x:v>建禄格候选列为“成立但有破”：主要依据为月令与格神有效性；仍需M15检验成格、破格、救应与层次。</x:v>
      </x:c>
      <x:c r="Z50" s="82" t="str">
        <x:v>较高</x:v>
      </x:c>
      <x:c r="AA50" s="82" t="str">
        <x:v>子平格局</x:v>
      </x:c>
      <x:c r="AB50" s="68" t="str">
        <x:v>M14只生成和排除格局候选。候选须综合月令、透干、格神有效力量、清纯度、日主配合与全局主导性；候选成立不等于M15最终成格。</x:v>
      </x:c>
      <x:c r="AC50" s="68" t="str">
        <x:v>月令与格神有效性共同支持“建禄格候选”，且没有决定性否决条件。</x:v>
      </x:c>
      <x:c r="AD50" s="90" t="str">
        <x:v>仅见相关十神或五行出现，但月令、格神有效性或全局主导性不成立，不能直接列“建禄格候选”。</x:v>
      </x:c>
      <x:c r="AE50" s="68" t="str">
        <x:v>https://zh.wikisource.org/zh-hans/%E6%B7%B5%E6%B5%B7%E5%AD%90%E5%B9%B3 ; https://zh.wikisource.org/wiki/%E6%BB%B4%E5%A4%A9%E9%AB%93%E9%97%A1%E5%BE%AE</x:v>
      </x:c>
      <x:c r="AF50" s="82" t="str">
        <x:v>采用</x:v>
      </x:c>
      <x:c r="AG50" s="82" t="str">
        <x:v>初审</x:v>
      </x:c>
      <x:c r="AH50" s="87" t="n">
        <x:v>46260</x:v>
      </x:c>
    </x:row>
    <x:row r="51">
      <x:c r="A51" s="72" t="str">
        <x:f>IF(OR(C51="",D51=""),"",B51&amp;"-"&amp;UPPER(C51)&amp;"-"&amp;TEXT(D51,"0000")&amp;"-"&amp;E51)</x:f>
        <x:v>M14-JIANREN-0045-V1.0</x:v>
      </x:c>
      <x:c r="B51" s="74" t="str">
        <x:v>M14</x:v>
      </x:c>
      <x:c r="C51" s="74" t="str">
        <x:v>JIANREN</x:v>
      </x:c>
      <x:c r="D51" s="215" t="n">
        <x:v>45</x:v>
      </x:c>
      <x:c r="E51" s="74" t="str">
        <x:v>V1.0</x:v>
      </x:c>
      <x:c r="F51" s="68" t="str">
        <x:v>月令为日主羊刃地生成羊刃候选</x:v>
      </x:c>
      <x:c r="G51" s="82" t="str">
        <x:v>综合层</x:v>
      </x:c>
      <x:c r="H51" s="82" t="str">
        <x:v>建禄羊刃</x:v>
      </x:c>
      <x:c r="I51" s="68" t="str">
        <x:v>羊刃格候选</x:v>
      </x:c>
      <x:c r="J51" s="68" t="str">
        <x:v>按采用流派确认日主羊刃临月令；阳干常用甲卯、丙午、戊午、庚酉、壬子</x:v>
      </x:c>
      <x:c r="K51" s="68" t="str">
        <x:v>比劫透干或刃势成党为增强条件</x:v>
      </x:c>
      <x:c r="L51" s="82" t="str">
        <x:v>待定</x:v>
      </x:c>
      <x:c r="M51" s="68" t="str">
        <x:v>月令强根</x:v>
      </x:c>
      <x:c r="N51" s="68" t="str">
        <x:v>旺</x:v>
      </x:c>
      <x:c r="O51" s="68" t="str">
        <x:v>日主通常强，需官杀制刃或食伤财星泄耗</x:v>
      </x:c>
      <x:c r="P51" s="68" t="str">
        <x:v>月令刃地且刃势真实有效</x:v>
      </x:c>
      <x:c r="Q51" s="68" t="str">
        <x:v>阴干羊刃取法存在流派差异，需M21登记</x:v>
      </x:c>
      <x:c r="R51" s="68" t="str">
        <x:v>格神得令、有根、透达、清纯，并得到有效生扶或制化配合</x:v>
      </x:c>
      <x:c r="S51" s="68" t="str">
        <x:v>存在更强月令主气、格神功能被替代或全局主势明显转向其他结构</x:v>
      </x:c>
      <x:c r="T51" s="90" t="str">
        <x:v>格神失效、无真实功能，或候选只由单一表面十神名称产生</x:v>
      </x:c>
      <x:c r="U51" s="68" t="str">
        <x:v>特殊格局、建禄羊刃及明确从化结构另用专门规则</x:v>
      </x:c>
      <x:c r="V51" s="82" t="str">
        <x:v>候选</x:v>
      </x:c>
      <x:c r="W51" s="68" t="str">
        <x:v>羊刃驾杀、食伤泄秀候选</x:v>
      </x:c>
      <x:c r="X51" s="84" t="str">
        <x:v>羊刃格候选_候选</x:v>
      </x:c>
      <x:c r="Y51" s="84" t="str">
        <x:v>羊刃格候选列为“候选”：主要依据为月令与格神有效性；仍需M15检验成格、破格、救应与层次。</x:v>
      </x:c>
      <x:c r="Z51" s="82" t="str">
        <x:v>较高</x:v>
      </x:c>
      <x:c r="AA51" s="82" t="str">
        <x:v>子平格局</x:v>
      </x:c>
      <x:c r="AB51" s="68" t="str">
        <x:v>M14只生成和排除格局候选。候选须综合月令、透干、格神有效力量、清纯度、日主配合与全局主导性；候选成立不等于M15最终成格。</x:v>
      </x:c>
      <x:c r="AC51" s="68" t="str">
        <x:v>月令与格神有效性共同支持“羊刃格候选”，且没有决定性否决条件。</x:v>
      </x:c>
      <x:c r="AD51" s="90" t="str">
        <x:v>仅见相关十神或五行出现，但月令、格神有效性或全局主导性不成立，不能直接列“羊刃格候选”。</x:v>
      </x:c>
      <x:c r="AE51" s="68" t="str">
        <x:v>https://zh.wikisource.org/zh-hans/%E6%B7%B5%E6%B5%B7%E5%AD%90%E5%B9%B3 ; https://zh.wikisource.org/wiki/%E6%BB%B4%E5%A4%A9%E9%AB%93%E9%97%A1%E5%BE%AE</x:v>
      </x:c>
      <x:c r="AF51" s="82" t="str">
        <x:v>采用</x:v>
      </x:c>
      <x:c r="AG51" s="82" t="str">
        <x:v>初审</x:v>
      </x:c>
      <x:c r="AH51" s="87" t="n">
        <x:v>46260</x:v>
      </x:c>
    </x:row>
    <x:row r="52">
      <x:c r="A52" s="72" t="str">
        <x:f>IF(OR(C52="",D52=""),"",B52&amp;"-"&amp;UPPER(C52)&amp;"-"&amp;TEXT(D52,"0000")&amp;"-"&amp;E52)</x:f>
        <x:v>M14-JIANREN-0046-V1.0</x:v>
      </x:c>
      <x:c r="B52" s="74" t="str">
        <x:v>M14</x:v>
      </x:c>
      <x:c r="C52" s="74" t="str">
        <x:v>JIANREN</x:v>
      </x:c>
      <x:c r="D52" s="215" t="n">
        <x:v>46</x:v>
      </x:c>
      <x:c r="E52" s="74" t="str">
        <x:v>V1.0</x:v>
      </x:c>
      <x:c r="F52" s="68" t="str">
        <x:v>羊刃驾杀成立可增强羊刃候选</x:v>
      </x:c>
      <x:c r="G52" s="82" t="str">
        <x:v>综合层</x:v>
      </x:c>
      <x:c r="H52" s="82" t="str">
        <x:v>建禄羊刃</x:v>
      </x:c>
      <x:c r="I52" s="68" t="str">
        <x:v>羊刃格候选</x:v>
      </x:c>
      <x:c r="J52" s="68" t="str">
        <x:v>羊刃候选成立</x:v>
      </x:c>
      <x:c r="K52" s="68" t="str">
        <x:v>透干可增强候选，但不作为所有格局的绝对唯一条件</x:v>
      </x:c>
      <x:c r="L52" s="82" t="str">
        <x:v>待定</x:v>
      </x:c>
      <x:c r="M52" s="68" t="str">
        <x:v>待定</x:v>
      </x:c>
      <x:c r="N52" s="68" t="str">
        <x:v>待定</x:v>
      </x:c>
      <x:c r="O52" s="68" t="str">
        <x:v>结合M09日主旺衰与承载判断</x:v>
      </x:c>
      <x:c r="P52" s="68" t="str">
        <x:v>M11羊刃驾杀达到基本成立以上</x:v>
      </x:c>
      <x:c r="Q52" s="68" t="str">
        <x:v>不适用</x:v>
      </x:c>
      <x:c r="R52" s="68" t="str">
        <x:v>格神得令、有根、透达、清纯，并得到有效生扶或制化配合</x:v>
      </x:c>
      <x:c r="S52" s="68" t="str">
        <x:v>存在更强月令主气、格神功能被替代或全局主势明显转向其他结构</x:v>
      </x:c>
      <x:c r="T52" s="90" t="str">
        <x:v>格神失效、无真实功能，或候选只由单一表面十神名称产生</x:v>
      </x:c>
      <x:c r="U52" s="68" t="str">
        <x:v>特殊格局、建禄羊刃及明确从化结构另用专门规则</x:v>
      </x:c>
      <x:c r="V52" s="82" t="str">
        <x:v>基本成立</x:v>
      </x:c>
      <x:c r="W52" s="68" t="str">
        <x:v>七杀格候选</x:v>
      </x:c>
      <x:c r="X52" s="84" t="str">
        <x:v>羊刃_驾杀增强</x:v>
      </x:c>
      <x:c r="Y52" s="84" t="str">
        <x:v>羊刃格候选列为“基本成立”：主要依据为月令与格神有效性；仍需M15检验成格、破格、救应与层次。</x:v>
      </x:c>
      <x:c r="Z52" s="82" t="str">
        <x:v>较高</x:v>
      </x:c>
      <x:c r="AA52" s="82" t="str">
        <x:v>子平格局</x:v>
      </x:c>
      <x:c r="AB52" s="68" t="str">
        <x:v>M14只生成和排除格局候选。候选须综合月令、透干、格神有效力量、清纯度、日主配合与全局主导性；候选成立不等于M15最终成格。</x:v>
      </x:c>
      <x:c r="AC52" s="68" t="str">
        <x:v>月令与格神有效性共同支持“羊刃格候选”，且没有决定性否决条件。</x:v>
      </x:c>
      <x:c r="AD52" s="90" t="str">
        <x:v>仅见相关十神或五行出现，但月令、格神有效性或全局主导性不成立，不能直接列“羊刃格候选”。</x:v>
      </x:c>
      <x:c r="AE52" s="68" t="str">
        <x:v>https://zh.wikisource.org/zh-hans/%E6%B7%B5%E6%B5%B7%E5%AD%90%E5%B9%B3 ; https://zh.wikisource.org/wiki/%E6%BB%B4%E5%A4%A9%E9%AB%93%E9%97%A1%E5%BE%AE</x:v>
      </x:c>
      <x:c r="AF52" s="82" t="str">
        <x:v>采用</x:v>
      </x:c>
      <x:c r="AG52" s="82" t="str">
        <x:v>初审</x:v>
      </x:c>
      <x:c r="AH52" s="87" t="n">
        <x:v>46260</x:v>
      </x:c>
    </x:row>
    <x:row r="53">
      <x:c r="A53" s="72" t="str">
        <x:f>IF(OR(C53="",D53=""),"",B53&amp;"-"&amp;UPPER(C53)&amp;"-"&amp;TEXT(D53,"0000")&amp;"-"&amp;E53)</x:f>
        <x:v>M14-JIANREN-0047-V1.0</x:v>
      </x:c>
      <x:c r="B53" s="74" t="str">
        <x:v>M14</x:v>
      </x:c>
      <x:c r="C53" s="74" t="str">
        <x:v>JIANREN</x:v>
      </x:c>
      <x:c r="D53" s="215" t="n">
        <x:v>47</x:v>
      </x:c>
      <x:c r="E53" s="74" t="str">
        <x:v>V1.0</x:v>
      </x:c>
      <x:c r="F53" s="68" t="str">
        <x:v>杀弱无根不足以驾刃时羊刃驾杀候选排除</x:v>
      </x:c>
      <x:c r="G53" s="82" t="str">
        <x:v>综合层</x:v>
      </x:c>
      <x:c r="H53" s="82" t="str">
        <x:v>建禄羊刃</x:v>
      </x:c>
      <x:c r="I53" s="68" t="str">
        <x:v>羊刃格候选</x:v>
      </x:c>
      <x:c r="J53" s="68" t="str">
        <x:v>羊刃得令成势</x:v>
      </x:c>
      <x:c r="K53" s="68" t="str">
        <x:v>透干可增强候选，但不作为所有格局的绝对唯一条件</x:v>
      </x:c>
      <x:c r="L53" s="82" t="str">
        <x:v>待定</x:v>
      </x:c>
      <x:c r="M53" s="68" t="str">
        <x:v>待定</x:v>
      </x:c>
      <x:c r="N53" s="68" t="str">
        <x:v>旺</x:v>
      </x:c>
      <x:c r="O53" s="68" t="str">
        <x:v>结合M09日主旺衰与承载判断</x:v>
      </x:c>
      <x:c r="P53" s="68" t="str">
        <x:v>七杀存在但弱或失效</x:v>
      </x:c>
      <x:c r="Q53" s="68" t="str">
        <x:v>不适用</x:v>
      </x:c>
      <x:c r="R53" s="68" t="str">
        <x:v>格神得令、有根、透达、清纯，并得到有效生扶或制化配合</x:v>
      </x:c>
      <x:c r="S53" s="68" t="str">
        <x:v>存在更强月令主气、格神功能被替代或全局主势明显转向其他结构</x:v>
      </x:c>
      <x:c r="T53" s="90" t="str">
        <x:v>杀无根无源，不能对强刃形成有效制衡</x:v>
      </x:c>
      <x:c r="U53" s="68" t="str">
        <x:v>特殊格局、建禄羊刃及明确从化结构另用专门规则</x:v>
      </x:c>
      <x:c r="V53" s="82" t="str">
        <x:v>候选</x:v>
      </x:c>
      <x:c r="W53" s="68" t="str">
        <x:v>建禄/从旺/专旺候选</x:v>
      </x:c>
      <x:c r="X53" s="84" t="str">
        <x:v>羊刃_杀弱</x:v>
      </x:c>
      <x:c r="Y53" s="84" t="str">
        <x:v>羊刃格候选列为“候选”：主要依据为月令与格神有效性；仍需M15检验成格、破格、救应与层次。</x:v>
      </x:c>
      <x:c r="Z53" s="82" t="str">
        <x:v>较高</x:v>
      </x:c>
      <x:c r="AA53" s="82" t="str">
        <x:v>子平格局</x:v>
      </x:c>
      <x:c r="AB53" s="68" t="str">
        <x:v>M14只生成和排除格局候选。候选须综合月令、透干、格神有效力量、清纯度、日主配合与全局主导性；候选成立不等于M15最终成格。</x:v>
      </x:c>
      <x:c r="AC53" s="68" t="str">
        <x:v>月令与格神有效性共同支持“羊刃格候选”，且没有决定性否决条件。</x:v>
      </x:c>
      <x:c r="AD53" s="90" t="str">
        <x:v>仅见相关十神或五行出现，但月令、格神有效性或全局主导性不成立，不能直接列“羊刃格候选”。</x:v>
      </x:c>
      <x:c r="AE53" s="68" t="str">
        <x:v>https://zh.wikisource.org/zh-hans/%E6%B7%B5%E6%B5%B7%E5%AD%90%E5%B9%B3 ; https://zh.wikisource.org/wiki/%E6%BB%B4%E5%A4%A9%E9%AB%93%E9%97%A1%E5%BE%AE</x:v>
      </x:c>
      <x:c r="AF53" s="82" t="str">
        <x:v>采用</x:v>
      </x:c>
      <x:c r="AG53" s="82" t="str">
        <x:v>初审</x:v>
      </x:c>
      <x:c r="AH53" s="87" t="n">
        <x:v>46260</x:v>
      </x:c>
    </x:row>
    <x:row r="54">
      <x:c r="A54" s="72" t="str">
        <x:f>IF(OR(C54="",D54=""),"",B54&amp;"-"&amp;UPPER(C54)&amp;"-"&amp;TEXT(D54,"0000")&amp;"-"&amp;E54)</x:f>
        <x:v>M14-JIANREN-0048-V1.0</x:v>
      </x:c>
      <x:c r="B54" s="74" t="str">
        <x:v>M14</x:v>
      </x:c>
      <x:c r="C54" s="74" t="str">
        <x:v>JIANREN</x:v>
      </x:c>
      <x:c r="D54" s="215" t="n">
        <x:v>48</x:v>
      </x:c>
      <x:c r="E54" s="74" t="str">
        <x:v>V1.0</x:v>
      </x:c>
      <x:c r="F54" s="68" t="str">
        <x:v>阴干羊刃映射应作为争议规则管理</x:v>
      </x:c>
      <x:c r="G54" s="82" t="str">
        <x:v>综合层</x:v>
      </x:c>
      <x:c r="H54" s="82" t="str">
        <x:v>建禄羊刃</x:v>
      </x:c>
      <x:c r="I54" s="68" t="str">
        <x:v>羊刃格候选</x:v>
      </x:c>
      <x:c r="J54" s="68" t="str">
        <x:v>涉及乙、丁、己、辛、癸的羊刃取法</x:v>
      </x:c>
      <x:c r="K54" s="68" t="str">
        <x:v>透干可增强候选，但不作为所有格局的绝对唯一条件</x:v>
      </x:c>
      <x:c r="L54" s="82" t="str">
        <x:v>待定</x:v>
      </x:c>
      <x:c r="M54" s="68" t="str">
        <x:v>待定</x:v>
      </x:c>
      <x:c r="N54" s="68" t="str">
        <x:v>待定</x:v>
      </x:c>
      <x:c r="O54" s="68" t="str">
        <x:v>结合M09日主旺衰与承载判断</x:v>
      </x:c>
      <x:c r="P54" s="68" t="str">
        <x:v>仅在已选择的流派口径内生成候选</x:v>
      </x:c>
      <x:c r="Q54" s="68" t="str">
        <x:v>不同流派对阴干羊刃地与是否取刃格存在差异</x:v>
      </x:c>
      <x:c r="R54" s="68" t="str">
        <x:v>格神得令、有根、透达、清纯，并得到有效生扶或制化配合</x:v>
      </x:c>
      <x:c r="S54" s="68" t="str">
        <x:v>存在更强月令主气、格神功能被替代或全局主势明显转向其他结构</x:v>
      </x:c>
      <x:c r="T54" s="90" t="str">
        <x:v>格神失效、无真实功能，或候选只由单一表面十神名称产生</x:v>
      </x:c>
      <x:c r="U54" s="68" t="str">
        <x:v>特殊格局、建禄羊刃及明确从化结构另用专门规则</x:v>
      </x:c>
      <x:c r="V54" s="82" t="str">
        <x:v>待定</x:v>
      </x:c>
      <x:c r="W54" s="68" t="str">
        <x:v>建禄或比劫结构候选</x:v>
      </x:c>
      <x:c r="X54" s="84" t="str">
        <x:v>阴干羊刃_流派争议</x:v>
      </x:c>
      <x:c r="Y54" s="84" t="str">
        <x:v>羊刃格候选列为“待定”：主要依据为月令与格神有效性；仍需M15检验成格、破格、救应与层次。</x:v>
      </x:c>
      <x:c r="Z54" s="82" t="str">
        <x:v>待验证</x:v>
      </x:c>
      <x:c r="AA54" s="82" t="str">
        <x:v>待定</x:v>
      </x:c>
      <x:c r="AB54" s="68" t="str">
        <x:v>M14只生成和排除格局候选。候选须综合月令、透干、格神有效力量、清纯度、日主配合与全局主导性；候选成立不等于M15最终成格。</x:v>
      </x:c>
      <x:c r="AC54" s="68" t="str">
        <x:v>月令与格神有效性共同支持“羊刃格候选”，且没有决定性否决条件。</x:v>
      </x:c>
      <x:c r="AD54" s="90" t="str">
        <x:v>仅见相关十神或五行出现，但月令、格神有效性或全局主导性不成立，不能直接列“羊刃格候选”。</x:v>
      </x:c>
      <x:c r="AE54" s="68" t="str">
        <x:v>https://zh.wikisource.org/wiki/%E6%BB%B4%E5%A4%A9%E9%AB%93%E9%97%A1%E5%BE%AE ; https://zh.wikisource.org/zh-hans/%E6%BB%B4%E5%A4%A9%E9%AB%93</x:v>
      </x:c>
      <x:c r="AF54" s="82" t="str">
        <x:v>待验证</x:v>
      </x:c>
      <x:c r="AG54" s="82" t="str">
        <x:v>初审</x:v>
      </x:c>
      <x:c r="AH54" s="87" t="n">
        <x:v>46260</x:v>
      </x:c>
    </x:row>
    <x:row r="55">
      <x:c r="A55" s="72" t="str">
        <x:f>IF(OR(C55="",D55=""),"",B55&amp;"-"&amp;UPPER(C55)&amp;"-"&amp;TEXT(D55,"0000")&amp;"-"&amp;E55)</x:f>
        <x:v>M14-CONG-0049-V1.0</x:v>
      </x:c>
      <x:c r="B55" s="74" t="str">
        <x:v>M14</x:v>
      </x:c>
      <x:c r="C55" s="74" t="str">
        <x:v>CONG</x:v>
      </x:c>
      <x:c r="D55" s="215" t="n">
        <x:v>49</x:v>
      </x:c>
      <x:c r="E55" s="74" t="str">
        <x:v>V1.0</x:v>
      </x:c>
      <x:c r="F55" s="68" t="str">
        <x:v>日主孤立无气是从格核心门槛</x:v>
      </x:c>
      <x:c r="G55" s="82" t="str">
        <x:v>综合层</x:v>
      </x:c>
      <x:c r="H55" s="82" t="str">
        <x:v>从格</x:v>
      </x:c>
      <x:c r="I55" s="68" t="str">
        <x:v>从格通用候选</x:v>
      </x:c>
      <x:c r="J55" s="68" t="str">
        <x:v>月令与全局主势明显不助日主</x:v>
      </x:c>
      <x:c r="K55" s="68" t="str">
        <x:v>日主外的主导集团透干成势</x:v>
      </x:c>
      <x:c r="L55" s="82" t="str">
        <x:v>较清</x:v>
      </x:c>
      <x:c r="M55" s="68" t="str">
        <x:v>日主无有效根或仅残弱假根</x:v>
      </x:c>
      <x:c r="N55" s="68" t="str">
        <x:v>日主极弱</x:v>
      </x:c>
      <x:c r="O55" s="68" t="str">
        <x:v>日主缺乏独立承载，只能顺从主势</x:v>
      </x:c>
      <x:c r="P55" s="68" t="str">
        <x:v>M09极弱，印比无有效生扶，全局主势高度集中</x:v>
      </x:c>
      <x:c r="Q55" s="68" t="str">
        <x:v>日主无有效根、无有效印比、主导五行/十神成势且方向一致</x:v>
      </x:c>
      <x:c r="R55" s="68" t="str">
        <x:v>格神得令、有根、透达、清纯，并得到有效生扶或制化配合</x:v>
      </x:c>
      <x:c r="S55" s="68" t="str">
        <x:v>存在更强月令主气、格神功能被替代或全局主势明显转向其他结构</x:v>
      </x:c>
      <x:c r="T55" s="90" t="str">
        <x:v>格神失效、无真实功能，或候选只由单一表面十神名称产生</x:v>
      </x:c>
      <x:c r="U55" s="68" t="str">
        <x:v>特殊格局、建禄羊刃及明确从化结构另用专门规则</x:v>
      </x:c>
      <x:c r="V55" s="82" t="str">
        <x:v>候选</x:v>
      </x:c>
      <x:c r="W55" s="68" t="str">
        <x:v>普通身弱格局</x:v>
      </x:c>
      <x:c r="X55" s="84" t="str">
        <x:v>从格_通用硬门槛</x:v>
      </x:c>
      <x:c r="Y55" s="84" t="str">
        <x:v>从格通用候选列为“候选”：主要依据为月令与格神有效性；仍需M15检验成格、破格、救应与层次。</x:v>
      </x:c>
      <x:c r="Z55" s="82" t="str">
        <x:v>较高</x:v>
      </x:c>
      <x:c r="AA55" s="82" t="str">
        <x:v>子平格局</x:v>
      </x:c>
      <x:c r="AB55" s="68" t="str">
        <x:v>M14只生成和排除格局候选。候选须综合月令、透干、格神有效力量、清纯度、日主配合与全局主导性；候选成立不等于M15最终成格。</x:v>
      </x:c>
      <x:c r="AC55" s="68" t="str">
        <x:v>月令与格神有效性共同支持“从格通用候选”，且没有决定性否决条件。</x:v>
      </x:c>
      <x:c r="AD55" s="90" t="str">
        <x:v>仅见相关十神或五行出现，但月令、格神有效性或全局主导性不成立，不能直接列“从格通用候选”。</x:v>
      </x:c>
      <x:c r="AE55" s="68" t="str">
        <x:v>https://zh.wikisource.org/wiki/%E6%BB%B4%E5%A4%A9%E9%AB%93%E9%97%A1%E5%BE%AE ; https://zh.wikisource.org/zh-hans/%E6%BB%B4%E5%A4%A9%E9%AB%93</x:v>
      </x:c>
      <x:c r="AF55" s="82" t="str">
        <x:v>采用</x:v>
      </x:c>
      <x:c r="AG55" s="82" t="str">
        <x:v>初审</x:v>
      </x:c>
      <x:c r="AH55" s="87" t="n">
        <x:v>46260</x:v>
      </x:c>
    </x:row>
    <x:row r="56">
      <x:c r="A56" s="72" t="str">
        <x:f>IF(OR(C56="",D56=""),"",B56&amp;"-"&amp;UPPER(C56)&amp;"-"&amp;TEXT(D56,"0000")&amp;"-"&amp;E56)</x:f>
        <x:v>M14-CONG-0050-V1.0</x:v>
      </x:c>
      <x:c r="B56" s="74" t="str">
        <x:v>M14</x:v>
      </x:c>
      <x:c r="C56" s="74" t="str">
        <x:v>CONG</x:v>
      </x:c>
      <x:c r="D56" s="215" t="n">
        <x:v>50</x:v>
      </x:c>
      <x:c r="E56" s="74" t="str">
        <x:v>V1.0</x:v>
      </x:c>
      <x:c r="F56" s="68" t="str">
        <x:v>财星成势且日主无依生成从财候选</x:v>
      </x:c>
      <x:c r="G56" s="82" t="str">
        <x:v>综合层</x:v>
      </x:c>
      <x:c r="H56" s="82" t="str">
        <x:v>从格</x:v>
      </x:c>
      <x:c r="I56" s="68" t="str">
        <x:v>从财格候选</x:v>
      </x:c>
      <x:c r="J56" s="68" t="str">
        <x:v>财星得令或全局财势主导</x:v>
      </x:c>
      <x:c r="K56" s="68" t="str">
        <x:v>财星透干成党</x:v>
      </x:c>
      <x:c r="L56" s="82" t="str">
        <x:v>较清</x:v>
      </x:c>
      <x:c r="M56" s="68" t="str">
        <x:v>日主无有效根</x:v>
      </x:c>
      <x:c r="N56" s="68" t="str">
        <x:v>财星旺极旺</x:v>
      </x:c>
      <x:c r="O56" s="68" t="str">
        <x:v>日主无印比生扶，不能任财而只能从财势</x:v>
      </x:c>
      <x:c r="P56" s="68" t="str">
        <x:v>财星成为唯一或绝对主导集团</x:v>
      </x:c>
      <x:c r="Q56" s="68" t="str">
        <x:v>日主孤立无气；财势强；无有力印比、官杀逆转或其他主导集团</x:v>
      </x:c>
      <x:c r="R56" s="68" t="str">
        <x:v>格神得令、有根、透达、清纯，并得到有效生扶或制化配合</x:v>
      </x:c>
      <x:c r="S56" s="68" t="str">
        <x:v>存在更强月令主气、格神功能被替代或全局主势明显转向其他结构</x:v>
      </x:c>
      <x:c r="T56" s="90" t="str">
        <x:v>格神失效、无真实功能，或候选只由单一表面十神名称产生</x:v>
      </x:c>
      <x:c r="U56" s="68" t="str">
        <x:v>特殊格局、建禄羊刃及明确从化结构另用专门规则</x:v>
      </x:c>
      <x:c r="V56" s="82" t="str">
        <x:v>候选</x:v>
      </x:c>
      <x:c r="W56" s="68" t="str">
        <x:v>财格/财多身弱候选</x:v>
      </x:c>
      <x:c r="X56" s="84" t="str">
        <x:v>从财格候选_候选</x:v>
      </x:c>
      <x:c r="Y56" s="84" t="str">
        <x:v>从财格候选列为“候选”：主要依据为月令与格神有效性；仍需M15检验成格、破格、救应与层次。</x:v>
      </x:c>
      <x:c r="Z56" s="82" t="str">
        <x:v>较高</x:v>
      </x:c>
      <x:c r="AA56" s="82" t="str">
        <x:v>子平格局</x:v>
      </x:c>
      <x:c r="AB56" s="68" t="str">
        <x:v>M14只生成和排除格局候选。候选须综合月令、透干、格神有效力量、清纯度、日主配合与全局主导性；候选成立不等于M15最终成格。</x:v>
      </x:c>
      <x:c r="AC56" s="68" t="str">
        <x:v>月令与格神有效性共同支持“从财格候选”，且没有决定性否决条件。</x:v>
      </x:c>
      <x:c r="AD56" s="90" t="str">
        <x:v>仅见相关十神或五行出现，但月令、格神有效性或全局主导性不成立，不能直接列“从财格候选”。</x:v>
      </x:c>
      <x:c r="AE56" s="68" t="str">
        <x:v>https://zh.wikisource.org/wiki/%E6%BB%B4%E5%A4%A9%E9%AB%93%E9%97%A1%E5%BE%AE ; https://zh.wikisource.org/zh-hans/%E6%BB%B4%E5%A4%A9%E9%AB%93</x:v>
      </x:c>
      <x:c r="AF56" s="82" t="str">
        <x:v>采用</x:v>
      </x:c>
      <x:c r="AG56" s="82" t="str">
        <x:v>初审</x:v>
      </x:c>
      <x:c r="AH56" s="87" t="n">
        <x:v>46260</x:v>
      </x:c>
    </x:row>
    <x:row r="57">
      <x:c r="A57" s="72" t="str">
        <x:f>IF(OR(C57="",D57=""),"",B57&amp;"-"&amp;UPPER(C57)&amp;"-"&amp;TEXT(D57,"0000")&amp;"-"&amp;E57)</x:f>
        <x:v>M14-CONG-0051-V1.0</x:v>
      </x:c>
      <x:c r="B57" s="74" t="str">
        <x:v>M14</x:v>
      </x:c>
      <x:c r="C57" s="74" t="str">
        <x:v>CONG</x:v>
      </x:c>
      <x:c r="D57" s="215" t="n">
        <x:v>51</x:v>
      </x:c>
      <x:c r="E57" s="74" t="str">
        <x:v>V1.0</x:v>
      </x:c>
      <x:c r="F57" s="68" t="str">
        <x:v>官杀成势且日主无依生成从官杀候选</x:v>
      </x:c>
      <x:c r="G57" s="82" t="str">
        <x:v>综合层</x:v>
      </x:c>
      <x:c r="H57" s="82" t="str">
        <x:v>从格</x:v>
      </x:c>
      <x:c r="I57" s="68" t="str">
        <x:v>从官杀格候选</x:v>
      </x:c>
      <x:c r="J57" s="68" t="str">
        <x:v>官杀得令或全局官杀主导</x:v>
      </x:c>
      <x:c r="K57" s="68" t="str">
        <x:v>官杀透干成党</x:v>
      </x:c>
      <x:c r="L57" s="82" t="str">
        <x:v>较清</x:v>
      </x:c>
      <x:c r="M57" s="68" t="str">
        <x:v>日主无有效根</x:v>
      </x:c>
      <x:c r="N57" s="68" t="str">
        <x:v>官杀旺极旺</x:v>
      </x:c>
      <x:c r="O57" s="68" t="str">
        <x:v>日主无印比承载，只能从官杀势</x:v>
      </x:c>
      <x:c r="P57" s="68" t="str">
        <x:v>官杀成为唯一或绝对主导集团</x:v>
      </x:c>
      <x:c r="Q57" s="68" t="str">
        <x:v>日主孤立无气；官杀强；无有效印比、食伤强制或其他逆势</x:v>
      </x:c>
      <x:c r="R57" s="68" t="str">
        <x:v>格神得令、有根、透达、清纯，并得到有效生扶或制化配合</x:v>
      </x:c>
      <x:c r="S57" s="68" t="str">
        <x:v>存在更强月令主气、格神功能被替代或全局主势明显转向其他结构</x:v>
      </x:c>
      <x:c r="T57" s="90" t="str">
        <x:v>格神失效、无真实功能，或候选只由单一表面十神名称产生</x:v>
      </x:c>
      <x:c r="U57" s="68" t="str">
        <x:v>特殊格局、建禄羊刃及明确从化结构另用专门规则</x:v>
      </x:c>
      <x:c r="V57" s="82" t="str">
        <x:v>候选</x:v>
      </x:c>
      <x:c r="W57" s="68" t="str">
        <x:v>七杀格/正官格/杀旺攻身候选</x:v>
      </x:c>
      <x:c r="X57" s="84" t="str">
        <x:v>从官杀格候选_候选</x:v>
      </x:c>
      <x:c r="Y57" s="84" t="str">
        <x:v>从官杀格候选列为“候选”：主要依据为月令与格神有效性；仍需M15检验成格、破格、救应与层次。</x:v>
      </x:c>
      <x:c r="Z57" s="82" t="str">
        <x:v>较高</x:v>
      </x:c>
      <x:c r="AA57" s="82" t="str">
        <x:v>子平格局</x:v>
      </x:c>
      <x:c r="AB57" s="68" t="str">
        <x:v>M14只生成和排除格局候选。候选须综合月令、透干、格神有效力量、清纯度、日主配合与全局主导性；候选成立不等于M15最终成格。</x:v>
      </x:c>
      <x:c r="AC57" s="68" t="str">
        <x:v>月令与格神有效性共同支持“从官杀格候选”，且没有决定性否决条件。</x:v>
      </x:c>
      <x:c r="AD57" s="90" t="str">
        <x:v>仅见相关十神或五行出现，但月令、格神有效性或全局主导性不成立，不能直接列“从官杀格候选”。</x:v>
      </x:c>
      <x:c r="AE57" s="68" t="str">
        <x:v>https://zh.wikisource.org/wiki/%E6%BB%B4%E5%A4%A9%E9%AB%93%E9%97%A1%E5%BE%AE ; https://zh.wikisource.org/zh-hans/%E6%BB%B4%E5%A4%A9%E9%AB%93</x:v>
      </x:c>
      <x:c r="AF57" s="82" t="str">
        <x:v>采用</x:v>
      </x:c>
      <x:c r="AG57" s="82" t="str">
        <x:v>初审</x:v>
      </x:c>
      <x:c r="AH57" s="87" t="n">
        <x:v>46260</x:v>
      </x:c>
    </x:row>
    <x:row r="58">
      <x:c r="A58" s="72" t="str">
        <x:f>IF(OR(C58="",D58=""),"",B58&amp;"-"&amp;UPPER(C58)&amp;"-"&amp;TEXT(D58,"0000")&amp;"-"&amp;E58)</x:f>
        <x:v>M14-CONG-0052-V1.0</x:v>
      </x:c>
      <x:c r="B58" s="74" t="str">
        <x:v>M14</x:v>
      </x:c>
      <x:c r="C58" s="74" t="str">
        <x:v>CONG</x:v>
      </x:c>
      <x:c r="D58" s="215" t="n">
        <x:v>52</x:v>
      </x:c>
      <x:c r="E58" s="74" t="str">
        <x:v>V1.0</x:v>
      </x:c>
      <x:c r="F58" s="68" t="str">
        <x:v>食伤成势并有财承接生成从儿候选</x:v>
      </x:c>
      <x:c r="G58" s="82" t="str">
        <x:v>综合层</x:v>
      </x:c>
      <x:c r="H58" s="82" t="str">
        <x:v>从格</x:v>
      </x:c>
      <x:c r="I58" s="68" t="str">
        <x:v>从儿格候选</x:v>
      </x:c>
      <x:c r="J58" s="68" t="str">
        <x:v>食伤得令或食伤集团主导</x:v>
      </x:c>
      <x:c r="K58" s="68" t="str">
        <x:v>食伤透干，财星有承接更强</x:v>
      </x:c>
      <x:c r="L58" s="82" t="str">
        <x:v>较清</x:v>
      </x:c>
      <x:c r="M58" s="68" t="str">
        <x:v>日主根气不构成逆势</x:v>
      </x:c>
      <x:c r="N58" s="68" t="str">
        <x:v>食伤旺极旺</x:v>
      </x:c>
      <x:c r="O58" s="68" t="str">
        <x:v>日主之气顺势流向食伤，印星不强行逆转</x:v>
      </x:c>
      <x:c r="P58" s="68" t="str">
        <x:v>食伤成势，M11食伤生财或泄秀链清晰</x:v>
      </x:c>
      <x:c r="Q58" s="68" t="str">
        <x:v>食伤主导；印星不能有效制食伤；官杀不形成主导逆冲；财星承接为强增强</x:v>
      </x:c>
      <x:c r="R58" s="68" t="str">
        <x:v>格神得令、有根、透达、清纯，并得到有效生扶或制化配合</x:v>
      </x:c>
      <x:c r="S58" s="68" t="str">
        <x:v>存在更强月令主气、格神功能被替代或全局主势明显转向其他结构</x:v>
      </x:c>
      <x:c r="T58" s="90" t="str">
        <x:v>格神失效、无真实功能，或候选只由单一表面十神名称产生</x:v>
      </x:c>
      <x:c r="U58" s="68" t="str">
        <x:v>特殊格局、建禄羊刃及明确从化结构另用专门规则</x:v>
      </x:c>
      <x:c r="V58" s="82" t="str">
        <x:v>候选</x:v>
      </x:c>
      <x:c r="W58" s="68" t="str">
        <x:v>食神格/伤官格/食伤生财候选</x:v>
      </x:c>
      <x:c r="X58" s="84" t="str">
        <x:v>从儿格候选_候选</x:v>
      </x:c>
      <x:c r="Y58" s="84" t="str">
        <x:v>从儿格候选列为“候选”：主要依据为月令与格神有效性；仍需M15检验成格、破格、救应与层次。</x:v>
      </x:c>
      <x:c r="Z58" s="82" t="str">
        <x:v>较高</x:v>
      </x:c>
      <x:c r="AA58" s="82" t="str">
        <x:v>子平格局</x:v>
      </x:c>
      <x:c r="AB58" s="68" t="str">
        <x:v>M14只生成和排除格局候选。候选须综合月令、透干、格神有效力量、清纯度、日主配合与全局主导性；候选成立不等于M15最终成格。</x:v>
      </x:c>
      <x:c r="AC58" s="68" t="str">
        <x:v>月令与格神有效性共同支持“从儿格候选”，且没有决定性否决条件。</x:v>
      </x:c>
      <x:c r="AD58" s="90" t="str">
        <x:v>仅见相关十神或五行出现，但月令、格神有效性或全局主导性不成立，不能直接列“从儿格候选”。</x:v>
      </x:c>
      <x:c r="AE58" s="68" t="str">
        <x:v>https://zh.wikisource.org/wiki/%E6%BB%B4%E5%A4%A9%E9%AB%93%E9%97%A1%E5%BE%AE ; https://zh.wikisource.org/zh-hans/%E6%BB%B4%E5%A4%A9%E9%AB%93</x:v>
      </x:c>
      <x:c r="AF58" s="82" t="str">
        <x:v>采用</x:v>
      </x:c>
      <x:c r="AG58" s="82" t="str">
        <x:v>初审</x:v>
      </x:c>
      <x:c r="AH58" s="87" t="n">
        <x:v>46260</x:v>
      </x:c>
    </x:row>
    <x:row r="59">
      <x:c r="A59" s="72" t="str">
        <x:f>IF(OR(C59="",D59=""),"",B59&amp;"-"&amp;UPPER(C59)&amp;"-"&amp;TEXT(D59,"0000")&amp;"-"&amp;E59)</x:f>
        <x:v>M14-CONG-0053-V1.0</x:v>
      </x:c>
      <x:c r="B59" s="74" t="str">
        <x:v>M14</x:v>
      </x:c>
      <x:c r="C59" s="74" t="str">
        <x:v>CONG</x:v>
      </x:c>
      <x:c r="D59" s="215" t="n">
        <x:v>53</x:v>
      </x:c>
      <x:c r="E59" s="74" t="str">
        <x:v>V1.0</x:v>
      </x:c>
      <x:c r="F59" s="68" t="str">
        <x:v>比劫一气旺极生成从旺候选</x:v>
      </x:c>
      <x:c r="G59" s="82" t="str">
        <x:v>综合层</x:v>
      </x:c>
      <x:c r="H59" s="82" t="str">
        <x:v>从格</x:v>
      </x:c>
      <x:c r="I59" s="68" t="str">
        <x:v>从旺格候选</x:v>
      </x:c>
      <x:c r="J59" s="68" t="str">
        <x:v>日主得令，比劫成势</x:v>
      </x:c>
      <x:c r="K59" s="68" t="str">
        <x:v>比劫透干成党</x:v>
      </x:c>
      <x:c r="L59" s="82" t="str">
        <x:v>较清</x:v>
      </x:c>
      <x:c r="M59" s="68" t="str">
        <x:v>日主多重强根</x:v>
      </x:c>
      <x:c r="N59" s="68" t="str">
        <x:v>日主与比劫极旺</x:v>
      </x:c>
      <x:c r="O59" s="68" t="str">
        <x:v>顺其旺势，不以普通抑制逻辑优先</x:v>
      </x:c>
      <x:c r="P59" s="68" t="str">
        <x:v>四柱比劫主导，官杀无力，印可生旺</x:v>
      </x:c>
      <x:c r="Q59" s="68" t="str">
        <x:v>旺极且无有效官杀制约；财星不能形成独立对抗；全局气势顺向一致</x:v>
      </x:c>
      <x:c r="R59" s="68" t="str">
        <x:v>格神得令、有根、透达、清纯，并得到有效生扶或制化配合</x:v>
      </x:c>
      <x:c r="S59" s="68" t="str">
        <x:v>存在更强月令主气、格神功能被替代或全局主势明显转向其他结构</x:v>
      </x:c>
      <x:c r="T59" s="90" t="str">
        <x:v>格神失效、无真实功能，或候选只由单一表面十神名称产生</x:v>
      </x:c>
      <x:c r="U59" s="68" t="str">
        <x:v>特殊格局、建禄羊刃及明确从化结构另用专门规则</x:v>
      </x:c>
      <x:c r="V59" s="82" t="str">
        <x:v>候选</x:v>
      </x:c>
      <x:c r="W59" s="68" t="str">
        <x:v>建禄/羊刃/专旺候选</x:v>
      </x:c>
      <x:c r="X59" s="84" t="str">
        <x:v>从旺格候选_候选</x:v>
      </x:c>
      <x:c r="Y59" s="84" t="str">
        <x:v>从旺格候选列为“候选”：主要依据为月令与格神有效性；仍需M15检验成格、破格、救应与层次。</x:v>
      </x:c>
      <x:c r="Z59" s="82" t="str">
        <x:v>较高</x:v>
      </x:c>
      <x:c r="AA59" s="82" t="str">
        <x:v>子平格局</x:v>
      </x:c>
      <x:c r="AB59" s="68" t="str">
        <x:v>M14只生成和排除格局候选。候选须综合月令、透干、格神有效力量、清纯度、日主配合与全局主导性；候选成立不等于M15最终成格。</x:v>
      </x:c>
      <x:c r="AC59" s="68" t="str">
        <x:v>月令与格神有效性共同支持“从旺格候选”，且没有决定性否决条件。</x:v>
      </x:c>
      <x:c r="AD59" s="90" t="str">
        <x:v>仅见相关十神或五行出现，但月令、格神有效性或全局主导性不成立，不能直接列“从旺格候选”。</x:v>
      </x:c>
      <x:c r="AE59" s="68" t="str">
        <x:v>https://zh.wikisource.org/wiki/%E6%BB%B4%E5%A4%A9%E9%AB%93%E9%97%A1%E5%BE%AE ; https://zh.wikisource.org/zh-hans/%E6%BB%B4%E5%A4%A9%E9%AB%93</x:v>
      </x:c>
      <x:c r="AF59" s="82" t="str">
        <x:v>采用</x:v>
      </x:c>
      <x:c r="AG59" s="82" t="str">
        <x:v>初审</x:v>
      </x:c>
      <x:c r="AH59" s="87" t="n">
        <x:v>46260</x:v>
      </x:c>
    </x:row>
    <x:row r="60">
      <x:c r="A60" s="72" t="str">
        <x:f>IF(OR(C60="",D60=""),"",B60&amp;"-"&amp;UPPER(C60)&amp;"-"&amp;TEXT(D60,"0000")&amp;"-"&amp;E60)</x:f>
        <x:v>M14-CONG-0054-V1.0</x:v>
      </x:c>
      <x:c r="B60" s="74" t="str">
        <x:v>M14</x:v>
      </x:c>
      <x:c r="C60" s="74" t="str">
        <x:v>CONG</x:v>
      </x:c>
      <x:c r="D60" s="215" t="n">
        <x:v>54</x:v>
      </x:c>
      <x:c r="E60" s="74" t="str">
        <x:v>V1.0</x:v>
      </x:c>
      <x:c r="F60" s="68" t="str">
        <x:v>印比重重且日主当令生成从强候选</x:v>
      </x:c>
      <x:c r="G60" s="82" t="str">
        <x:v>综合层</x:v>
      </x:c>
      <x:c r="H60" s="82" t="str">
        <x:v>从格</x:v>
      </x:c>
      <x:c r="I60" s="68" t="str">
        <x:v>从强格候选</x:v>
      </x:c>
      <x:c r="J60" s="68" t="str">
        <x:v>印比得令或同势</x:v>
      </x:c>
      <x:c r="K60" s="68" t="str">
        <x:v>印比透干重叠</x:v>
      </x:c>
      <x:c r="L60" s="82" t="str">
        <x:v>较清</x:v>
      </x:c>
      <x:c r="M60" s="68" t="str">
        <x:v>日主多重强根</x:v>
      </x:c>
      <x:c r="N60" s="68" t="str">
        <x:v>印比极旺</x:v>
      </x:c>
      <x:c r="O60" s="68" t="str">
        <x:v>顺印比强势</x:v>
      </x:c>
      <x:c r="P60" s="68" t="str">
        <x:v>印绶重重、比劫叠叠，财官食伤无有效逆势</x:v>
      </x:c>
      <x:c r="Q60" s="68" t="str">
        <x:v>印比形成绝对主导，财官食伤不能构成独立集团</x:v>
      </x:c>
      <x:c r="R60" s="68" t="str">
        <x:v>格神得令、有根、透达、清纯，并得到有效生扶或制化配合</x:v>
      </x:c>
      <x:c r="S60" s="68" t="str">
        <x:v>存在更强月令主气、格神功能被替代或全局主势明显转向其他结构</x:v>
      </x:c>
      <x:c r="T60" s="90" t="str">
        <x:v>格神失效、无真实功能，或候选只由单一表面十神名称产生</x:v>
      </x:c>
      <x:c r="U60" s="68" t="str">
        <x:v>特殊格局、建禄羊刃及明确从化结构另用专门规则</x:v>
      </x:c>
      <x:c r="V60" s="82" t="str">
        <x:v>候选</x:v>
      </x:c>
      <x:c r="W60" s="68" t="str">
        <x:v>正印格/偏印格/建禄候选</x:v>
      </x:c>
      <x:c r="X60" s="84" t="str">
        <x:v>从强格候选_候选</x:v>
      </x:c>
      <x:c r="Y60" s="84" t="str">
        <x:v>从强格候选列为“候选”：主要依据为月令与格神有效性；仍需M15检验成格、破格、救应与层次。</x:v>
      </x:c>
      <x:c r="Z60" s="82" t="str">
        <x:v>较高</x:v>
      </x:c>
      <x:c r="AA60" s="82" t="str">
        <x:v>子平格局</x:v>
      </x:c>
      <x:c r="AB60" s="68" t="str">
        <x:v>M14只生成和排除格局候选。候选须综合月令、透干、格神有效力量、清纯度、日主配合与全局主导性；候选成立不等于M15最终成格。</x:v>
      </x:c>
      <x:c r="AC60" s="68" t="str">
        <x:v>月令与格神有效性共同支持“从强格候选”，且没有决定性否决条件。</x:v>
      </x:c>
      <x:c r="AD60" s="90" t="str">
        <x:v>仅见相关十神或五行出现，但月令、格神有效性或全局主导性不成立，不能直接列“从强格候选”。</x:v>
      </x:c>
      <x:c r="AE60" s="68" t="str">
        <x:v>https://zh.wikisource.org/wiki/%E6%BB%B4%E5%A4%A9%E9%AB%93%E9%97%A1%E5%BE%AE ; https://zh.wikisource.org/zh-hans/%E6%BB%B4%E5%A4%A9%E9%AB%93</x:v>
      </x:c>
      <x:c r="AF60" s="82" t="str">
        <x:v>采用</x:v>
      </x:c>
      <x:c r="AG60" s="82" t="str">
        <x:v>初审</x:v>
      </x:c>
      <x:c r="AH60" s="87" t="n">
        <x:v>46260</x:v>
      </x:c>
    </x:row>
    <x:row r="61">
      <x:c r="A61" s="72" t="str">
        <x:f>IF(OR(C61="",D61=""),"",B61&amp;"-"&amp;UPPER(C61)&amp;"-"&amp;TEXT(D61,"0000")&amp;"-"&amp;E61)</x:f>
        <x:v>M14-CONG-0055-V1.0</x:v>
      </x:c>
      <x:c r="B61" s="74" t="str">
        <x:v>M14</x:v>
      </x:c>
      <x:c r="C61" s="74" t="str">
        <x:v>CONG</x:v>
      </x:c>
      <x:c r="D61" s="215" t="n">
        <x:v>55</x:v>
      </x:c>
      <x:c r="E61" s="74" t="str">
        <x:v>V1.0</x:v>
      </x:c>
      <x:c r="F61" s="68" t="str">
        <x:v>财官食伤混合成势而日主无根可生成从势候选</x:v>
      </x:c>
      <x:c r="G61" s="82" t="str">
        <x:v>综合层</x:v>
      </x:c>
      <x:c r="H61" s="82" t="str">
        <x:v>从格</x:v>
      </x:c>
      <x:c r="I61" s="68" t="str">
        <x:v>从势格候选</x:v>
      </x:c>
      <x:c r="J61" s="68" t="str">
        <x:v>异党多类共同主导，月令支持其中主势</x:v>
      </x:c>
      <x:c r="K61" s="68" t="str">
        <x:v>透干可增强候选，但不作为所有格局的绝对唯一条件</x:v>
      </x:c>
      <x:c r="L61" s="82" t="str">
        <x:v>有杂</x:v>
      </x:c>
      <x:c r="M61" s="68" t="str">
        <x:v>日主无有效根</x:v>
      </x:c>
      <x:c r="N61" s="68" t="str">
        <x:v>日主极弱</x:v>
      </x:c>
      <x:c r="O61" s="68" t="str">
        <x:v>日主不能自立，也不能专从单一十神</x:v>
      </x:c>
      <x:c r="P61" s="68" t="str">
        <x:v>财官食伤均旺或形成连续生化，印比不助身</x:v>
      </x:c>
      <x:c r="Q61" s="68" t="str">
        <x:v>异党整体气势一致；日主孤立；不能归入单一从财、从官杀或从儿</x:v>
      </x:c>
      <x:c r="R61" s="68" t="str">
        <x:v>格神得令、有根、透达、清纯，并得到有效生扶或制化配合</x:v>
      </x:c>
      <x:c r="S61" s="68" t="str">
        <x:v>存在更强月令主气、格神功能被替代或全局主势明显转向其他结构</x:v>
      </x:c>
      <x:c r="T61" s="90" t="str">
        <x:v>格神失效、无真实功能，或候选只由单一表面十神名称产生</x:v>
      </x:c>
      <x:c r="U61" s="68" t="str">
        <x:v>特殊格局、建禄羊刃及明确从化结构另用专门规则</x:v>
      </x:c>
      <x:c r="V61" s="82" t="str">
        <x:v>候选</x:v>
      </x:c>
      <x:c r="W61" s="68" t="str">
        <x:v>从财/从官杀/从儿候选</x:v>
      </x:c>
      <x:c r="X61" s="84" t="str">
        <x:v>从势格候选_候选</x:v>
      </x:c>
      <x:c r="Y61" s="84" t="str">
        <x:v>从势格候选列为“候选”：主要依据为月令与格神有效性；仍需M15检验成格、破格、救应与层次。</x:v>
      </x:c>
      <x:c r="Z61" s="82" t="str">
        <x:v>较高</x:v>
      </x:c>
      <x:c r="AA61" s="82" t="str">
        <x:v>子平格局</x:v>
      </x:c>
      <x:c r="AB61" s="68" t="str">
        <x:v>M14只生成和排除格局候选。候选须综合月令、透干、格神有效力量、清纯度、日主配合与全局主导性；候选成立不等于M15最终成格。</x:v>
      </x:c>
      <x:c r="AC61" s="68" t="str">
        <x:v>月令与格神有效性共同支持“从势格候选”，且没有决定性否决条件。</x:v>
      </x:c>
      <x:c r="AD61" s="90" t="str">
        <x:v>仅见相关十神或五行出现，但月令、格神有效性或全局主导性不成立，不能直接列“从势格候选”。</x:v>
      </x:c>
      <x:c r="AE61" s="68" t="str">
        <x:v>https://zh.wikisource.org/wiki/%E6%BB%B4%E5%A4%A9%E9%AB%93%E9%97%A1%E5%BE%AE ; https://zh.wikisource.org/zh-hans/%E6%BB%B4%E5%A4%A9%E9%AB%93</x:v>
      </x:c>
      <x:c r="AF61" s="82" t="str">
        <x:v>采用</x:v>
      </x:c>
      <x:c r="AG61" s="82" t="str">
        <x:v>初审</x:v>
      </x:c>
      <x:c r="AH61" s="87" t="n">
        <x:v>46260</x:v>
      </x:c>
    </x:row>
    <x:row r="62">
      <x:c r="A62" s="72" t="str">
        <x:f>IF(OR(C62="",D62=""),"",B62&amp;"-"&amp;UPPER(C62)&amp;"-"&amp;TEXT(D62,"0000")&amp;"-"&amp;E62)</x:f>
        <x:v>M14-CONG-0056-V1.0</x:v>
      </x:c>
      <x:c r="B62" s="74" t="str">
        <x:v>M14</x:v>
      </x:c>
      <x:c r="C62" s="74" t="str">
        <x:v>CONG</x:v>
      </x:c>
      <x:c r="D62" s="215" t="n">
        <x:v>56</x:v>
      </x:c>
      <x:c r="E62" s="74" t="str">
        <x:v>V1.0</x:v>
      </x:c>
      <x:c r="F62" s="68" t="str">
        <x:v>残根或微弱印比存在时只能生成假从候选</x:v>
      </x:c>
      <x:c r="G62" s="82" t="str">
        <x:v>综合层</x:v>
      </x:c>
      <x:c r="H62" s="82" t="str">
        <x:v>从格</x:v>
      </x:c>
      <x:c r="I62" s="68" t="str">
        <x:v>假从候选</x:v>
      </x:c>
      <x:c r="J62" s="68" t="str">
        <x:v>全局主势明显，但日主仍有微根或微弱生扶</x:v>
      </x:c>
      <x:c r="K62" s="68" t="str">
        <x:v>透干可增强候选，但不作为所有格局的绝对唯一条件</x:v>
      </x:c>
      <x:c r="L62" s="82" t="str">
        <x:v>待定</x:v>
      </x:c>
      <x:c r="M62" s="68" t="str">
        <x:v>残根、受损根或低效印比</x:v>
      </x:c>
      <x:c r="N62" s="68" t="str">
        <x:v>日主弱极弱</x:v>
      </x:c>
      <x:c r="O62" s="68" t="str">
        <x:v>日主有少量反向证据但不足自立</x:v>
      </x:c>
      <x:c r="P62" s="68" t="str">
        <x:v>大势近从，但不满足真从无依硬门槛</x:v>
      </x:c>
      <x:c r="Q62" s="68" t="str">
        <x:v>保留反向根气和生扶，禁止标记真从</x:v>
      </x:c>
      <x:c r="R62" s="68" t="str">
        <x:v>格神得令、有根、透达、清纯，并得到有效生扶或制化配合</x:v>
      </x:c>
      <x:c r="S62" s="68" t="str">
        <x:v>存在更强月令主气、格神功能被替代或全局主势明显转向其他结构</x:v>
      </x:c>
      <x:c r="T62" s="90" t="str">
        <x:v>格神失效、无真实功能，或候选只由单一表面十神名称产生</x:v>
      </x:c>
      <x:c r="U62" s="68" t="str">
        <x:v>特殊格局、建禄羊刃及明确从化结构另用专门规则</x:v>
      </x:c>
      <x:c r="V62" s="82" t="str">
        <x:v>候选</x:v>
      </x:c>
      <x:c r="W62" s="68" t="str">
        <x:v>普通身弱格局/真从候选</x:v>
      </x:c>
      <x:c r="X62" s="84" t="str">
        <x:v>假从_候选</x:v>
      </x:c>
      <x:c r="Y62" s="84" t="str">
        <x:v>假从候选列为“候选”：主要依据为月令与格神有效性；仍需M15检验成格、破格、救应与层次。</x:v>
      </x:c>
      <x:c r="Z62" s="82" t="str">
        <x:v>中等</x:v>
      </x:c>
      <x:c r="AA62" s="82" t="str">
        <x:v>子平格局</x:v>
      </x:c>
      <x:c r="AB62" s="68" t="str">
        <x:v>M14只生成和排除格局候选。候选须综合月令、透干、格神有效力量、清纯度、日主配合与全局主导性；候选成立不等于M15最终成格。</x:v>
      </x:c>
      <x:c r="AC62" s="68" t="str">
        <x:v>月令与格神有效性共同支持“假从候选”，且没有决定性否决条件。</x:v>
      </x:c>
      <x:c r="AD62" s="90" t="str">
        <x:v>仅见相关十神或五行出现，但月令、格神有效性或全局主导性不成立，不能直接列“假从候选”。</x:v>
      </x:c>
      <x:c r="AE62" s="68" t="str">
        <x:v>https://zh.wikisource.org/wiki/%E6%BB%B4%E5%A4%A9%E9%AB%93%E9%97%A1%E5%BE%AE ; https://zh.wikisource.org/zh-hans/%E6%BB%B4%E5%A4%A9%E9%AB%93</x:v>
      </x:c>
      <x:c r="AF62" s="82" t="str">
        <x:v>待验证</x:v>
      </x:c>
      <x:c r="AG62" s="82" t="str">
        <x:v>初审</x:v>
      </x:c>
      <x:c r="AH62" s="87" t="n">
        <x:v>46260</x:v>
      </x:c>
    </x:row>
    <x:row r="63">
      <x:c r="A63" s="72" t="str">
        <x:f>IF(OR(C63="",D63=""),"",B63&amp;"-"&amp;UPPER(C63)&amp;"-"&amp;TEXT(D63,"0000")&amp;"-"&amp;E63)</x:f>
        <x:v>M14-CONG-0057-V1.0</x:v>
      </x:c>
      <x:c r="B63" s="74" t="str">
        <x:v>M14</x:v>
      </x:c>
      <x:c r="C63" s="74" t="str">
        <x:v>CONG</x:v>
      </x:c>
      <x:c r="D63" s="215" t="n">
        <x:v>57</x:v>
      </x:c>
      <x:c r="E63" s="74" t="str">
        <x:v>V1.0</x:v>
      </x:c>
      <x:c r="F63" s="68" t="str">
        <x:v>一枚有效强根或有力印比可否决真从候选</x:v>
      </x:c>
      <x:c r="G63" s="82" t="str">
        <x:v>综合层</x:v>
      </x:c>
      <x:c r="H63" s="82" t="str">
        <x:v>从格</x:v>
      </x:c>
      <x:c r="I63" s="68" t="str">
        <x:v>从格通用候选</x:v>
      </x:c>
      <x:c r="J63" s="68" t="str">
        <x:v>表面异党成势</x:v>
      </x:c>
      <x:c r="K63" s="68" t="str">
        <x:v>透干可增强候选，但不作为所有格局的绝对唯一条件</x:v>
      </x:c>
      <x:c r="L63" s="82" t="str">
        <x:v>待定</x:v>
      </x:c>
      <x:c r="M63" s="68" t="str">
        <x:v>日主存在可调用强根</x:v>
      </x:c>
      <x:c r="N63" s="68" t="str">
        <x:v>日主至少中和偏弱以上</x:v>
      </x:c>
      <x:c r="O63" s="68" t="str">
        <x:v>日主仍具独立承载</x:v>
      </x:c>
      <x:c r="P63" s="68" t="str">
        <x:v>从格表面条件存在</x:v>
      </x:c>
      <x:c r="Q63" s="68" t="str">
        <x:v>不适用</x:v>
      </x:c>
      <x:c r="R63" s="68" t="str">
        <x:v>格神得令、有根、透达、清纯，并得到有效生扶或制化配合</x:v>
      </x:c>
      <x:c r="S63" s="68" t="str">
        <x:v>存在更强月令主气、格神功能被替代或全局主势明显转向其他结构</x:v>
      </x:c>
      <x:c r="T63" s="90" t="str">
        <x:v>有效强根、当令印比或稳定生扶足以使日主自立</x:v>
      </x:c>
      <x:c r="U63" s="68" t="str">
        <x:v>特殊格局、建禄羊刃及明确从化结构另用专门规则</x:v>
      </x:c>
      <x:c r="V63" s="82" t="str">
        <x:v>不成立</x:v>
      </x:c>
      <x:c r="W63" s="68" t="str">
        <x:v>普通身弱/中和格局</x:v>
      </x:c>
      <x:c r="X63" s="84" t="str">
        <x:v>真从_强根否决</x:v>
      </x:c>
      <x:c r="Y63" s="84" t="str">
        <x:v>从格通用候选列为“不成立”：主要依据为月令与格神有效性；仍需M15检验成格、破格、救应与层次。</x:v>
      </x:c>
      <x:c r="Z63" s="82" t="str">
        <x:v>较高</x:v>
      </x:c>
      <x:c r="AA63" s="82" t="str">
        <x:v>子平格局</x:v>
      </x:c>
      <x:c r="AB63" s="68" t="str">
        <x:v>M14只生成和排除格局候选。候选须综合月令、透干、格神有效力量、清纯度、日主配合与全局主导性；候选成立不等于M15最终成格。</x:v>
      </x:c>
      <x:c r="AC63" s="68" t="str">
        <x:v>月令与格神有效性共同支持“从格通用候选”，且没有决定性否决条件。</x:v>
      </x:c>
      <x:c r="AD63" s="90" t="str">
        <x:v>仅见相关十神或五行出现，但月令、格神有效性或全局主导性不成立，不能直接列“从格通用候选”。</x:v>
      </x:c>
      <x:c r="AE63" s="68" t="str">
        <x:v>https://zh.wikisource.org/wiki/%E6%BB%B4%E5%A4%A9%E9%AB%93%E9%97%A1%E5%BE%AE ; https://zh.wikisource.org/zh-hans/%E6%BB%B4%E5%A4%A9%E9%AB%93</x:v>
      </x:c>
      <x:c r="AF63" s="82" t="str">
        <x:v>采用</x:v>
      </x:c>
      <x:c r="AG63" s="82" t="str">
        <x:v>初审</x:v>
      </x:c>
      <x:c r="AH63" s="87" t="n">
        <x:v>46260</x:v>
      </x:c>
    </x:row>
    <x:row r="64">
      <x:c r="A64" s="72" t="str">
        <x:f>IF(OR(C64="",D64=""),"",B64&amp;"-"&amp;UPPER(C64)&amp;"-"&amp;TEXT(D64,"0000")&amp;"-"&amp;E64)</x:f>
        <x:v>M14-CONG-0058-V1.0</x:v>
      </x:c>
      <x:c r="B64" s="74" t="str">
        <x:v>M14</x:v>
      </x:c>
      <x:c r="C64" s="74" t="str">
        <x:v>CONG</x:v>
      </x:c>
      <x:c r="D64" s="215" t="n">
        <x:v>58</x:v>
      </x:c>
      <x:c r="E64" s="74" t="str">
        <x:v>V1.0</x:v>
      </x:c>
      <x:c r="F64" s="68" t="str">
        <x:v>身弱不等于从格</x:v>
      </x:c>
      <x:c r="G64" s="82" t="str">
        <x:v>综合层</x:v>
      </x:c>
      <x:c r="H64" s="82" t="str">
        <x:v>从格</x:v>
      </x:c>
      <x:c r="I64" s="68" t="str">
        <x:v>从格通用候选</x:v>
      </x:c>
      <x:c r="J64" s="68" t="str">
        <x:v>日主失令或偏弱</x:v>
      </x:c>
      <x:c r="K64" s="68" t="str">
        <x:v>透干可增强候选，但不作为所有格局的绝对唯一条件</x:v>
      </x:c>
      <x:c r="L64" s="82" t="str">
        <x:v>待定</x:v>
      </x:c>
      <x:c r="M64" s="68" t="str">
        <x:v>可能仍有根</x:v>
      </x:c>
      <x:c r="N64" s="68" t="str">
        <x:v>日主弱</x:v>
      </x:c>
      <x:c r="O64" s="68" t="str">
        <x:v>仍能借印比、根气或制化维持承载</x:v>
      </x:c>
      <x:c r="P64" s="68" t="str">
        <x:v>只有普通身弱证据，未达到孤立无气</x:v>
      </x:c>
      <x:c r="Q64" s="68" t="str">
        <x:v>不适用</x:v>
      </x:c>
      <x:c r="R64" s="68" t="str">
        <x:v>格神得令、有根、透达、清纯，并得到有效生扶或制化配合</x:v>
      </x:c>
      <x:c r="S64" s="68" t="str">
        <x:v>存在更强月令主气、格神功能被替代或全局主势明显转向其他结构</x:v>
      </x:c>
      <x:c r="T64" s="90" t="str">
        <x:v>未达到极弱无依和主势绝对集中</x:v>
      </x:c>
      <x:c r="U64" s="68" t="str">
        <x:v>特殊格局、建禄羊刃及明确从化结构另用专门规则</x:v>
      </x:c>
      <x:c r="V64" s="82" t="str">
        <x:v>不成立</x:v>
      </x:c>
      <x:c r="W64" s="68" t="str">
        <x:v>普通格局候选</x:v>
      </x:c>
      <x:c r="X64" s="84" t="str">
        <x:v>身弱非从格</x:v>
      </x:c>
      <x:c r="Y64" s="84" t="str">
        <x:v>从格通用候选列为“不成立”：主要依据为月令与格神有效性；仍需M15检验成格、破格、救应与层次。</x:v>
      </x:c>
      <x:c r="Z64" s="82" t="str">
        <x:v>较高</x:v>
      </x:c>
      <x:c r="AA64" s="82" t="str">
        <x:v>子平格局</x:v>
      </x:c>
      <x:c r="AB64" s="68" t="str">
        <x:v>M14只生成和排除格局候选。候选须综合月令、透干、格神有效力量、清纯度、日主配合与全局主导性；候选成立不等于M15最终成格。</x:v>
      </x:c>
      <x:c r="AC64" s="68" t="str">
        <x:v>月令与格神有效性共同支持“从格通用候选”，且没有决定性否决条件。</x:v>
      </x:c>
      <x:c r="AD64" s="90" t="str">
        <x:v>仅见相关十神或五行出现，但月令、格神有效性或全局主导性不成立，不能直接列“从格通用候选”。</x:v>
      </x:c>
      <x:c r="AE64" s="68" t="str">
        <x:v>https://zh.wikisource.org/wiki/%E6%BB%B4%E5%A4%A9%E9%AB%93%E9%97%A1%E5%BE%AE ; https://zh.wikisource.org/zh-hans/%E6%BB%B4%E5%A4%A9%E9%AB%93</x:v>
      </x:c>
      <x:c r="AF64" s="82" t="str">
        <x:v>采用</x:v>
      </x:c>
      <x:c r="AG64" s="82" t="str">
        <x:v>初审</x:v>
      </x:c>
      <x:c r="AH64" s="87" t="n">
        <x:v>46260</x:v>
      </x:c>
    </x:row>
    <x:row r="65">
      <x:c r="A65" s="72" t="str">
        <x:f>IF(OR(C65="",D65=""),"",B65&amp;"-"&amp;UPPER(C65)&amp;"-"&amp;TEXT(D65,"0000")&amp;"-"&amp;E65)</x:f>
        <x:v>M14-HUAQI-0059-V1.0</x:v>
      </x:c>
      <x:c r="B65" s="74" t="str">
        <x:v>M14</x:v>
      </x:c>
      <x:c r="C65" s="74" t="str">
        <x:v>HUAQI</x:v>
      </x:c>
      <x:c r="D65" s="215" t="n">
        <x:v>59</x:v>
      </x:c>
      <x:c r="E65" s="74" t="str">
        <x:v>V1.0</x:v>
      </x:c>
      <x:c r="F65" s="68" t="str">
        <x:v>日主参与天干五合并满足化神主导才生成化气候选</x:v>
      </x:c>
      <x:c r="G65" s="82" t="str">
        <x:v>综合层</x:v>
      </x:c>
      <x:c r="H65" s="82" t="str">
        <x:v>化气格</x:v>
      </x:c>
      <x:c r="I65" s="68" t="str">
        <x:v>化气格通用候选</x:v>
      </x:c>
      <x:c r="J65" s="68" t="str">
        <x:v>化神得令、得势或获得强季节支持</x:v>
      </x:c>
      <x:c r="K65" s="68" t="str">
        <x:v>日主与相合天干真实相合，且M06仅在具备实质合化条件时确认</x:v>
      </x:c>
      <x:c r="L65" s="82" t="str">
        <x:v>较清</x:v>
      </x:c>
      <x:c r="M65" s="68" t="str">
        <x:v>日主原气无强根或强根不足以抗化</x:v>
      </x:c>
      <x:c r="N65" s="68" t="str">
        <x:v>化神旺</x:v>
      </x:c>
      <x:c r="O65" s="68" t="str">
        <x:v>日主顺从化神，不保留强烈本气自立</x:v>
      </x:c>
      <x:c r="P65" s="68" t="str">
        <x:v>日主参与五合，化神得令成势，原气弱，破化因素不足</x:v>
      </x:c>
      <x:c r="Q65" s="68" t="str">
        <x:v>日主参与固定五合；化神得令/成势；原气无强根；无强争合、强克、冲破或逆势集团</x:v>
      </x:c>
      <x:c r="R65" s="68" t="str">
        <x:v>格神得令、有根、透达、清纯，并得到有效生扶或制化配合</x:v>
      </x:c>
      <x:c r="S65" s="68" t="str">
        <x:v>存在更强月令主气、格神功能被替代或全局主势明显转向其他结构</x:v>
      </x:c>
      <x:c r="T65" s="90" t="str">
        <x:v>格神失效、无真实功能，或候选只由单一表面十神名称产生</x:v>
      </x:c>
      <x:c r="U65" s="68" t="str">
        <x:v>特殊格局、建禄羊刃及明确从化结构另用专门规则</x:v>
      </x:c>
      <x:c r="V65" s="82" t="str">
        <x:v>候选</x:v>
      </x:c>
      <x:c r="W65" s="68" t="str">
        <x:v>普通合绊/合而不化/假化候选</x:v>
      </x:c>
      <x:c r="X65" s="84" t="str">
        <x:v>化气格_通用硬门槛</x:v>
      </x:c>
      <x:c r="Y65" s="84" t="str">
        <x:v>化气格通用候选列为“候选”：主要依据为月令与格神有效性；仍需M15检验成格、破格、救应与层次。</x:v>
      </x:c>
      <x:c r="Z65" s="82" t="str">
        <x:v>较高</x:v>
      </x:c>
      <x:c r="AA65" s="82" t="str">
        <x:v>子平格局</x:v>
      </x:c>
      <x:c r="AB65" s="68" t="str">
        <x:v>M14只生成和排除格局候选。候选须综合月令、透干、格神有效力量、清纯度、日主配合与全局主导性；候选成立不等于M15最终成格。</x:v>
      </x:c>
      <x:c r="AC65" s="68" t="str">
        <x:v>月令与格神有效性共同支持“化气格通用候选”，且没有决定性否决条件。</x:v>
      </x:c>
      <x:c r="AD65" s="90" t="str">
        <x:v>仅见相关十神或五行出现，但月令、格神有效性或全局主导性不成立，不能直接列“化气格通用候选”。</x:v>
      </x:c>
      <x:c r="AE65" s="68" t="str">
        <x:v>https://zh.wikisource.org/wiki/%E6%BB%B4%E5%A4%A9%E9%AB%93%E9%97%A1%E5%BE%AE ; https://zh.wikisource.org/zh-hans/%E6%BB%B4%E5%A4%A9%E9%AB%93</x:v>
      </x:c>
      <x:c r="AF65" s="82" t="str">
        <x:v>采用</x:v>
      </x:c>
      <x:c r="AG65" s="82" t="str">
        <x:v>初审</x:v>
      </x:c>
      <x:c r="AH65" s="87" t="n">
        <x:v>46260</x:v>
      </x:c>
    </x:row>
    <x:row r="66">
      <x:c r="A66" s="72" t="str">
        <x:f>IF(OR(C66="",D66=""),"",B66&amp;"-"&amp;UPPER(C66)&amp;"-"&amp;TEXT(D66,"0000")&amp;"-"&amp;E66)</x:f>
        <x:v>M14-HUAQI-0060-V1.0</x:v>
      </x:c>
      <x:c r="B66" s="74" t="str">
        <x:v>M14</x:v>
      </x:c>
      <x:c r="C66" s="74" t="str">
        <x:v>HUAQI</x:v>
      </x:c>
      <x:c r="D66" s="215" t="n">
        <x:v>60</x:v>
      </x:c>
      <x:c r="E66" s="74" t="str">
        <x:v>V1.0</x:v>
      </x:c>
      <x:c r="F66" s="68" t="str">
        <x:v>甲己相合生成化土候选</x:v>
      </x:c>
      <x:c r="G66" s="82" t="str">
        <x:v>综合层</x:v>
      </x:c>
      <x:c r="H66" s="82" t="str">
        <x:v>化气格</x:v>
      </x:c>
      <x:c r="I66" s="68" t="str">
        <x:v>甲己化土格候选</x:v>
      </x:c>
      <x:c r="J66" s="68" t="str">
        <x:v>土得令、得势或全局气势明显转向土</x:v>
      </x:c>
      <x:c r="K66" s="68" t="str">
        <x:v>日主为甲己之一，并与另一干形成真实合化候选</x:v>
      </x:c>
      <x:c r="L66" s="82" t="str">
        <x:v>较清</x:v>
      </x:c>
      <x:c r="M66" s="68" t="str">
        <x:v>日主原五行无强根或强根受制</x:v>
      </x:c>
      <x:c r="N66" s="68" t="str">
        <x:v>土旺或中和偏旺</x:v>
      </x:c>
      <x:c r="O66" s="68" t="str">
        <x:v>日主不能以原五行独立自立，顺从土势</x:v>
      </x:c>
      <x:c r="P66" s="68" t="str">
        <x:v>M06确认甲己合化条件高度具备，M08显示力量向土重分配</x:v>
      </x:c>
      <x:c r="Q66" s="68" t="str">
        <x:v>化神土有令有势；原气不强；无决定性破化；辰等引化条件仅作流派证据而非机械充分条件</x:v>
      </x:c>
      <x:c r="R66" s="68" t="str">
        <x:v>格神得令、有根、透达、清纯，并得到有效生扶或制化配合</x:v>
      </x:c>
      <x:c r="S66" s="68" t="str">
        <x:v>存在更强月令主气、格神功能被替代或全局主势明显转向其他结构</x:v>
      </x:c>
      <x:c r="T66" s="90" t="str">
        <x:v>格神失效、无真实功能，或候选只由单一表面十神名称产生</x:v>
      </x:c>
      <x:c r="U66" s="68" t="str">
        <x:v>特殊格局、建禄羊刃及明确从化结构另用专门规则</x:v>
      </x:c>
      <x:c r="V66" s="82" t="str">
        <x:v>候选</x:v>
      </x:c>
      <x:c r="W66" s="68" t="str">
        <x:v>合而不化/假化候选</x:v>
      </x:c>
      <x:c r="X66" s="84" t="str">
        <x:v>甲己化土_候选</x:v>
      </x:c>
      <x:c r="Y66" s="84" t="str">
        <x:v>甲己化土格候选列为“候选”：主要依据为月令与格神有效性；仍需M15检验成格、破格、救应与层次。</x:v>
      </x:c>
      <x:c r="Z66" s="82" t="str">
        <x:v>中等</x:v>
      </x:c>
      <x:c r="AA66" s="82" t="str">
        <x:v>子平格局</x:v>
      </x:c>
      <x:c r="AB66" s="68" t="str">
        <x:v>M14只生成和排除格局候选。候选须综合月令、透干、格神有效力量、清纯度、日主配合与全局主导性；候选成立不等于M15最终成格。</x:v>
      </x:c>
      <x:c r="AC66" s="68" t="str">
        <x:v>月令与格神有效性共同支持“甲己化土格候选”，且没有决定性否决条件。</x:v>
      </x:c>
      <x:c r="AD66" s="90" t="str">
        <x:v>仅见相关十神或五行出现，但月令、格神有效性或全局主导性不成立，不能直接列“甲己化土格候选”。</x:v>
      </x:c>
      <x:c r="AE66" s="68" t="str">
        <x:v>https://zh.wikisource.org/wiki/%E6%BB%B4%E5%A4%A9%E9%AB%93%E9%97%A1%E5%BE%AE ; https://zh.wikisource.org/zh-hans/%E6%BB%B4%E5%A4%A9%E9%AB%93</x:v>
      </x:c>
      <x:c r="AF66" s="82" t="str">
        <x:v>采用</x:v>
      </x:c>
      <x:c r="AG66" s="82" t="str">
        <x:v>初审</x:v>
      </x:c>
      <x:c r="AH66" s="87" t="n">
        <x:v>46260</x:v>
      </x:c>
    </x:row>
    <x:row r="67">
      <x:c r="A67" s="72" t="str">
        <x:f>IF(OR(C67="",D67=""),"",B67&amp;"-"&amp;UPPER(C67)&amp;"-"&amp;TEXT(D67,"0000")&amp;"-"&amp;E67)</x:f>
        <x:v>M14-HUAQI-0061-V1.0</x:v>
      </x:c>
      <x:c r="B67" s="74" t="str">
        <x:v>M14</x:v>
      </x:c>
      <x:c r="C67" s="74" t="str">
        <x:v>HUAQI</x:v>
      </x:c>
      <x:c r="D67" s="215" t="n">
        <x:v>61</x:v>
      </x:c>
      <x:c r="E67" s="74" t="str">
        <x:v>V1.0</x:v>
      </x:c>
      <x:c r="F67" s="68" t="str">
        <x:v>乙庚相合生成化金候选</x:v>
      </x:c>
      <x:c r="G67" s="82" t="str">
        <x:v>综合层</x:v>
      </x:c>
      <x:c r="H67" s="82" t="str">
        <x:v>化气格</x:v>
      </x:c>
      <x:c r="I67" s="68" t="str">
        <x:v>乙庚化金格候选</x:v>
      </x:c>
      <x:c r="J67" s="68" t="str">
        <x:v>金得令、得势或全局气势明显转向金</x:v>
      </x:c>
      <x:c r="K67" s="68" t="str">
        <x:v>日主为乙庚之一，并与另一干形成真实合化候选</x:v>
      </x:c>
      <x:c r="L67" s="82" t="str">
        <x:v>较清</x:v>
      </x:c>
      <x:c r="M67" s="68" t="str">
        <x:v>日主原五行无强根或强根受制</x:v>
      </x:c>
      <x:c r="N67" s="68" t="str">
        <x:v>金旺或中和偏旺</x:v>
      </x:c>
      <x:c r="O67" s="68" t="str">
        <x:v>日主不能以原五行独立自立，顺从金势</x:v>
      </x:c>
      <x:c r="P67" s="68" t="str">
        <x:v>M06确认乙庚合化条件高度具备，M08显示力量向金重分配</x:v>
      </x:c>
      <x:c r="Q67" s="68" t="str">
        <x:v>化神金有令有势；原气不强；无决定性破化；辰等引化条件仅作流派证据而非机械充分条件</x:v>
      </x:c>
      <x:c r="R67" s="68" t="str">
        <x:v>格神得令、有根、透达、清纯，并得到有效生扶或制化配合</x:v>
      </x:c>
      <x:c r="S67" s="68" t="str">
        <x:v>存在更强月令主气、格神功能被替代或全局主势明显转向其他结构</x:v>
      </x:c>
      <x:c r="T67" s="90" t="str">
        <x:v>格神失效、无真实功能，或候选只由单一表面十神名称产生</x:v>
      </x:c>
      <x:c r="U67" s="68" t="str">
        <x:v>特殊格局、建禄羊刃及明确从化结构另用专门规则</x:v>
      </x:c>
      <x:c r="V67" s="82" t="str">
        <x:v>候选</x:v>
      </x:c>
      <x:c r="W67" s="68" t="str">
        <x:v>合而不化/假化候选</x:v>
      </x:c>
      <x:c r="X67" s="84" t="str">
        <x:v>乙庚化金_候选</x:v>
      </x:c>
      <x:c r="Y67" s="84" t="str">
        <x:v>乙庚化金格候选列为“候选”：主要依据为月令与格神有效性；仍需M15检验成格、破格、救应与层次。</x:v>
      </x:c>
      <x:c r="Z67" s="82" t="str">
        <x:v>中等</x:v>
      </x:c>
      <x:c r="AA67" s="82" t="str">
        <x:v>子平格局</x:v>
      </x:c>
      <x:c r="AB67" s="68" t="str">
        <x:v>M14只生成和排除格局候选。候选须综合月令、透干、格神有效力量、清纯度、日主配合与全局主导性；候选成立不等于M15最终成格。</x:v>
      </x:c>
      <x:c r="AC67" s="68" t="str">
        <x:v>月令与格神有效性共同支持“乙庚化金格候选”，且没有决定性否决条件。</x:v>
      </x:c>
      <x:c r="AD67" s="90" t="str">
        <x:v>仅见相关十神或五行出现，但月令、格神有效性或全局主导性不成立，不能直接列“乙庚化金格候选”。</x:v>
      </x:c>
      <x:c r="AE67" s="68" t="str">
        <x:v>https://zh.wikisource.org/wiki/%E6%BB%B4%E5%A4%A9%E9%AB%93%E9%97%A1%E5%BE%AE ; https://zh.wikisource.org/zh-hans/%E6%BB%B4%E5%A4%A9%E9%AB%93</x:v>
      </x:c>
      <x:c r="AF67" s="82" t="str">
        <x:v>采用</x:v>
      </x:c>
      <x:c r="AG67" s="82" t="str">
        <x:v>初审</x:v>
      </x:c>
      <x:c r="AH67" s="87" t="n">
        <x:v>46260</x:v>
      </x:c>
    </x:row>
    <x:row r="68">
      <x:c r="A68" s="72" t="str">
        <x:f>IF(OR(C68="",D68=""),"",B68&amp;"-"&amp;UPPER(C68)&amp;"-"&amp;TEXT(D68,"0000")&amp;"-"&amp;E68)</x:f>
        <x:v>M14-HUAQI-0062-V1.0</x:v>
      </x:c>
      <x:c r="B68" s="74" t="str">
        <x:v>M14</x:v>
      </x:c>
      <x:c r="C68" s="74" t="str">
        <x:v>HUAQI</x:v>
      </x:c>
      <x:c r="D68" s="215" t="n">
        <x:v>62</x:v>
      </x:c>
      <x:c r="E68" s="74" t="str">
        <x:v>V1.0</x:v>
      </x:c>
      <x:c r="F68" s="68" t="str">
        <x:v>丙辛相合生成化水候选</x:v>
      </x:c>
      <x:c r="G68" s="82" t="str">
        <x:v>综合层</x:v>
      </x:c>
      <x:c r="H68" s="82" t="str">
        <x:v>化气格</x:v>
      </x:c>
      <x:c r="I68" s="68" t="str">
        <x:v>丙辛化水格候选</x:v>
      </x:c>
      <x:c r="J68" s="68" t="str">
        <x:v>水得令、得势或全局气势明显转向水</x:v>
      </x:c>
      <x:c r="K68" s="68" t="str">
        <x:v>日主为丙辛之一，并与另一干形成真实合化候选</x:v>
      </x:c>
      <x:c r="L68" s="82" t="str">
        <x:v>较清</x:v>
      </x:c>
      <x:c r="M68" s="68" t="str">
        <x:v>日主原五行无强根或强根受制</x:v>
      </x:c>
      <x:c r="N68" s="68" t="str">
        <x:v>水旺或中和偏旺</x:v>
      </x:c>
      <x:c r="O68" s="68" t="str">
        <x:v>日主不能以原五行独立自立，顺从水势</x:v>
      </x:c>
      <x:c r="P68" s="68" t="str">
        <x:v>M06确认丙辛合化条件高度具备，M08显示力量向水重分配</x:v>
      </x:c>
      <x:c r="Q68" s="68" t="str">
        <x:v>化神水有令有势；原气不强；无决定性破化；辰等引化条件仅作流派证据而非机械充分条件</x:v>
      </x:c>
      <x:c r="R68" s="68" t="str">
        <x:v>格神得令、有根、透达、清纯，并得到有效生扶或制化配合</x:v>
      </x:c>
      <x:c r="S68" s="68" t="str">
        <x:v>存在更强月令主气、格神功能被替代或全局主势明显转向其他结构</x:v>
      </x:c>
      <x:c r="T68" s="90" t="str">
        <x:v>格神失效、无真实功能，或候选只由单一表面十神名称产生</x:v>
      </x:c>
      <x:c r="U68" s="68" t="str">
        <x:v>特殊格局、建禄羊刃及明确从化结构另用专门规则</x:v>
      </x:c>
      <x:c r="V68" s="82" t="str">
        <x:v>候选</x:v>
      </x:c>
      <x:c r="W68" s="68" t="str">
        <x:v>合而不化/假化候选</x:v>
      </x:c>
      <x:c r="X68" s="84" t="str">
        <x:v>丙辛化水_候选</x:v>
      </x:c>
      <x:c r="Y68" s="84" t="str">
        <x:v>丙辛化水格候选列为“候选”：主要依据为月令与格神有效性；仍需M15检验成格、破格、救应与层次。</x:v>
      </x:c>
      <x:c r="Z68" s="82" t="str">
        <x:v>中等</x:v>
      </x:c>
      <x:c r="AA68" s="82" t="str">
        <x:v>子平格局</x:v>
      </x:c>
      <x:c r="AB68" s="68" t="str">
        <x:v>M14只生成和排除格局候选。候选须综合月令、透干、格神有效力量、清纯度、日主配合与全局主导性；候选成立不等于M15最终成格。</x:v>
      </x:c>
      <x:c r="AC68" s="68" t="str">
        <x:v>月令与格神有效性共同支持“丙辛化水格候选”，且没有决定性否决条件。</x:v>
      </x:c>
      <x:c r="AD68" s="90" t="str">
        <x:v>仅见相关十神或五行出现，但月令、格神有效性或全局主导性不成立，不能直接列“丙辛化水格候选”。</x:v>
      </x:c>
      <x:c r="AE68" s="68" t="str">
        <x:v>https://zh.wikisource.org/wiki/%E6%BB%B4%E5%A4%A9%E9%AB%93%E9%97%A1%E5%BE%AE ; https://zh.wikisource.org/zh-hans/%E6%BB%B4%E5%A4%A9%E9%AB%93</x:v>
      </x:c>
      <x:c r="AF68" s="82" t="str">
        <x:v>采用</x:v>
      </x:c>
      <x:c r="AG68" s="82" t="str">
        <x:v>初审</x:v>
      </x:c>
      <x:c r="AH68" s="87" t="n">
        <x:v>46260</x:v>
      </x:c>
    </x:row>
    <x:row r="69">
      <x:c r="A69" s="72" t="str">
        <x:f>IF(OR(C69="",D69=""),"",B69&amp;"-"&amp;UPPER(C69)&amp;"-"&amp;TEXT(D69,"0000")&amp;"-"&amp;E69)</x:f>
        <x:v>M14-HUAQI-0063-V1.0</x:v>
      </x:c>
      <x:c r="B69" s="74" t="str">
        <x:v>M14</x:v>
      </x:c>
      <x:c r="C69" s="74" t="str">
        <x:v>HUAQI</x:v>
      </x:c>
      <x:c r="D69" s="215" t="n">
        <x:v>63</x:v>
      </x:c>
      <x:c r="E69" s="74" t="str">
        <x:v>V1.0</x:v>
      </x:c>
      <x:c r="F69" s="68" t="str">
        <x:v>丁壬相合生成化木候选</x:v>
      </x:c>
      <x:c r="G69" s="82" t="str">
        <x:v>综合层</x:v>
      </x:c>
      <x:c r="H69" s="82" t="str">
        <x:v>化气格</x:v>
      </x:c>
      <x:c r="I69" s="68" t="str">
        <x:v>丁壬化木格候选</x:v>
      </x:c>
      <x:c r="J69" s="68" t="str">
        <x:v>木得令、得势或全局气势明显转向木</x:v>
      </x:c>
      <x:c r="K69" s="68" t="str">
        <x:v>日主为丁壬之一，并与另一干形成真实合化候选</x:v>
      </x:c>
      <x:c r="L69" s="82" t="str">
        <x:v>较清</x:v>
      </x:c>
      <x:c r="M69" s="68" t="str">
        <x:v>日主原五行无强根或强根受制</x:v>
      </x:c>
      <x:c r="N69" s="68" t="str">
        <x:v>木旺或中和偏旺</x:v>
      </x:c>
      <x:c r="O69" s="68" t="str">
        <x:v>日主不能以原五行独立自立，顺从木势</x:v>
      </x:c>
      <x:c r="P69" s="68" t="str">
        <x:v>M06确认丁壬合化条件高度具备，M08显示力量向木重分配</x:v>
      </x:c>
      <x:c r="Q69" s="68" t="str">
        <x:v>化神木有令有势；原气不强；无决定性破化；辰等引化条件仅作流派证据而非机械充分条件</x:v>
      </x:c>
      <x:c r="R69" s="68" t="str">
        <x:v>格神得令、有根、透达、清纯，并得到有效生扶或制化配合</x:v>
      </x:c>
      <x:c r="S69" s="68" t="str">
        <x:v>存在更强月令主气、格神功能被替代或全局主势明显转向其他结构</x:v>
      </x:c>
      <x:c r="T69" s="90" t="str">
        <x:v>格神失效、无真实功能，或候选只由单一表面十神名称产生</x:v>
      </x:c>
      <x:c r="U69" s="68" t="str">
        <x:v>特殊格局、建禄羊刃及明确从化结构另用专门规则</x:v>
      </x:c>
      <x:c r="V69" s="82" t="str">
        <x:v>候选</x:v>
      </x:c>
      <x:c r="W69" s="68" t="str">
        <x:v>合而不化/假化候选</x:v>
      </x:c>
      <x:c r="X69" s="84" t="str">
        <x:v>丁壬化木_候选</x:v>
      </x:c>
      <x:c r="Y69" s="84" t="str">
        <x:v>丁壬化木格候选列为“候选”：主要依据为月令与格神有效性；仍需M15检验成格、破格、救应与层次。</x:v>
      </x:c>
      <x:c r="Z69" s="82" t="str">
        <x:v>中等</x:v>
      </x:c>
      <x:c r="AA69" s="82" t="str">
        <x:v>子平格局</x:v>
      </x:c>
      <x:c r="AB69" s="68" t="str">
        <x:v>M14只生成和排除格局候选。候选须综合月令、透干、格神有效力量、清纯度、日主配合与全局主导性；候选成立不等于M15最终成格。</x:v>
      </x:c>
      <x:c r="AC69" s="68" t="str">
        <x:v>月令与格神有效性共同支持“丁壬化木格候选”，且没有决定性否决条件。</x:v>
      </x:c>
      <x:c r="AD69" s="90" t="str">
        <x:v>仅见相关十神或五行出现，但月令、格神有效性或全局主导性不成立，不能直接列“丁壬化木格候选”。</x:v>
      </x:c>
      <x:c r="AE69" s="68" t="str">
        <x:v>https://zh.wikisource.org/wiki/%E6%BB%B4%E5%A4%A9%E9%AB%93%E9%97%A1%E5%BE%AE ; https://zh.wikisource.org/zh-hans/%E6%BB%B4%E5%A4%A9%E9%AB%93</x:v>
      </x:c>
      <x:c r="AF69" s="82" t="str">
        <x:v>采用</x:v>
      </x:c>
      <x:c r="AG69" s="82" t="str">
        <x:v>初审</x:v>
      </x:c>
      <x:c r="AH69" s="87" t="n">
        <x:v>46260</x:v>
      </x:c>
    </x:row>
    <x:row r="70">
      <x:c r="A70" s="72" t="str">
        <x:f>IF(OR(C70="",D70=""),"",B70&amp;"-"&amp;UPPER(C70)&amp;"-"&amp;TEXT(D70,"0000")&amp;"-"&amp;E70)</x:f>
        <x:v>M14-HUAQI-0064-V1.0</x:v>
      </x:c>
      <x:c r="B70" s="74" t="str">
        <x:v>M14</x:v>
      </x:c>
      <x:c r="C70" s="74" t="str">
        <x:v>HUAQI</x:v>
      </x:c>
      <x:c r="D70" s="215" t="n">
        <x:v>64</x:v>
      </x:c>
      <x:c r="E70" s="74" t="str">
        <x:v>V1.0</x:v>
      </x:c>
      <x:c r="F70" s="68" t="str">
        <x:v>戊癸相合生成化火候选</x:v>
      </x:c>
      <x:c r="G70" s="82" t="str">
        <x:v>综合层</x:v>
      </x:c>
      <x:c r="H70" s="82" t="str">
        <x:v>化气格</x:v>
      </x:c>
      <x:c r="I70" s="68" t="str">
        <x:v>戊癸化火格候选</x:v>
      </x:c>
      <x:c r="J70" s="68" t="str">
        <x:v>火得令、得势或全局气势明显转向火</x:v>
      </x:c>
      <x:c r="K70" s="68" t="str">
        <x:v>日主为戊癸之一，并与另一干形成真实合化候选</x:v>
      </x:c>
      <x:c r="L70" s="82" t="str">
        <x:v>较清</x:v>
      </x:c>
      <x:c r="M70" s="68" t="str">
        <x:v>日主原五行无强根或强根受制</x:v>
      </x:c>
      <x:c r="N70" s="68" t="str">
        <x:v>火旺或中和偏旺</x:v>
      </x:c>
      <x:c r="O70" s="68" t="str">
        <x:v>日主不能以原五行独立自立，顺从火势</x:v>
      </x:c>
      <x:c r="P70" s="68" t="str">
        <x:v>M06确认戊癸合化条件高度具备，M08显示力量向火重分配</x:v>
      </x:c>
      <x:c r="Q70" s="68" t="str">
        <x:v>化神火有令有势；原气不强；无决定性破化；辰等引化条件仅作流派证据而非机械充分条件</x:v>
      </x:c>
      <x:c r="R70" s="68" t="str">
        <x:v>格神得令、有根、透达、清纯，并得到有效生扶或制化配合</x:v>
      </x:c>
      <x:c r="S70" s="68" t="str">
        <x:v>存在更强月令主气、格神功能被替代或全局主势明显转向其他结构</x:v>
      </x:c>
      <x:c r="T70" s="90" t="str">
        <x:v>格神失效、无真实功能，或候选只由单一表面十神名称产生</x:v>
      </x:c>
      <x:c r="U70" s="68" t="str">
        <x:v>特殊格局、建禄羊刃及明确从化结构另用专门规则</x:v>
      </x:c>
      <x:c r="V70" s="82" t="str">
        <x:v>候选</x:v>
      </x:c>
      <x:c r="W70" s="68" t="str">
        <x:v>合而不化/假化候选</x:v>
      </x:c>
      <x:c r="X70" s="84" t="str">
        <x:v>戊癸化火_候选</x:v>
      </x:c>
      <x:c r="Y70" s="84" t="str">
        <x:v>戊癸化火格候选列为“候选”：主要依据为月令与格神有效性；仍需M15检验成格、破格、救应与层次。</x:v>
      </x:c>
      <x:c r="Z70" s="82" t="str">
        <x:v>中等</x:v>
      </x:c>
      <x:c r="AA70" s="82" t="str">
        <x:v>子平格局</x:v>
      </x:c>
      <x:c r="AB70" s="68" t="str">
        <x:v>M14只生成和排除格局候选。候选须综合月令、透干、格神有效力量、清纯度、日主配合与全局主导性；候选成立不等于M15最终成格。</x:v>
      </x:c>
      <x:c r="AC70" s="68" t="str">
        <x:v>月令与格神有效性共同支持“戊癸化火格候选”，且没有决定性否决条件。</x:v>
      </x:c>
      <x:c r="AD70" s="90" t="str">
        <x:v>仅见相关十神或五行出现，但月令、格神有效性或全局主导性不成立，不能直接列“戊癸化火格候选”。</x:v>
      </x:c>
      <x:c r="AE70" s="68" t="str">
        <x:v>https://zh.wikisource.org/wiki/%E6%BB%B4%E5%A4%A9%E9%AB%93%E9%97%A1%E5%BE%AE ; https://zh.wikisource.org/zh-hans/%E6%BB%B4%E5%A4%A9%E9%AB%93</x:v>
      </x:c>
      <x:c r="AF70" s="82" t="str">
        <x:v>采用</x:v>
      </x:c>
      <x:c r="AG70" s="82" t="str">
        <x:v>初审</x:v>
      </x:c>
      <x:c r="AH70" s="87" t="n">
        <x:v>46260</x:v>
      </x:c>
    </x:row>
    <x:row r="71">
      <x:c r="A71" s="72" t="str">
        <x:f>IF(OR(C71="",D71=""),"",B71&amp;"-"&amp;UPPER(C71)&amp;"-"&amp;TEXT(D71,"0000")&amp;"-"&amp;E71)</x:f>
        <x:v>M14-ZHUAN-0065-V1.0</x:v>
      </x:c>
      <x:c r="B71" s="74" t="str">
        <x:v>M14</x:v>
      </x:c>
      <x:c r="C71" s="74" t="str">
        <x:v>ZHUAN</x:v>
      </x:c>
      <x:c r="D71" s="215" t="n">
        <x:v>65</x:v>
      </x:c>
      <x:c r="E71" s="74" t="str">
        <x:v>V1.0</x:v>
      </x:c>
      <x:c r="F71" s="68" t="str">
        <x:v>单一五行一气成势可生成专旺候选</x:v>
      </x:c>
      <x:c r="G71" s="82" t="str">
        <x:v>综合层</x:v>
      </x:c>
      <x:c r="H71" s="82" t="str">
        <x:v>专旺候选</x:v>
      </x:c>
      <x:c r="I71" s="68" t="str">
        <x:v>专旺格通用候选</x:v>
      </x:c>
      <x:c r="J71" s="68" t="str">
        <x:v>日主同类五行得令，地支成方成局或多重强根</x:v>
      </x:c>
      <x:c r="K71" s="68" t="str">
        <x:v>同类透干成党</x:v>
      </x:c>
      <x:c r="L71" s="82" t="str">
        <x:v>较清</x:v>
      </x:c>
      <x:c r="M71" s="68" t="str">
        <x:v>多重强根</x:v>
      </x:c>
      <x:c r="N71" s="68" t="str">
        <x:v>极旺</x:v>
      </x:c>
      <x:c r="O71" s="68" t="str">
        <x:v>日主顺从本气极旺之势</x:v>
      </x:c>
      <x:c r="P71" s="68" t="str">
        <x:v>一气独旺，克制该五行的力量无效，生泄路径符合专旺气势</x:v>
      </x:c>
      <x:c r="Q71" s="68" t="str">
        <x:v>同一五行绝对主导；反克力量弱；杂气不足以改变主势；不得仅由数量多生成</x:v>
      </x:c>
      <x:c r="R71" s="68" t="str">
        <x:v>格神得令、有根、透达、清纯，并得到有效生扶或制化配合</x:v>
      </x:c>
      <x:c r="S71" s="68" t="str">
        <x:v>存在更强月令主气、格神功能被替代或全局主势明显转向其他结构</x:v>
      </x:c>
      <x:c r="T71" s="90" t="str">
        <x:v>格神失效、无真实功能，或候选只由单一表面十神名称产生</x:v>
      </x:c>
      <x:c r="U71" s="68" t="str">
        <x:v>特殊格局、建禄羊刃及明确从化结构另用专门规则</x:v>
      </x:c>
      <x:c r="V71" s="82" t="str">
        <x:v>候选</x:v>
      </x:c>
      <x:c r="W71" s="68" t="str">
        <x:v>从旺/建禄/羊刃候选</x:v>
      </x:c>
      <x:c r="X71" s="84" t="str">
        <x:v>专旺_通用候选</x:v>
      </x:c>
      <x:c r="Y71" s="84" t="str">
        <x:v>专旺格通用候选列为“候选”：主要依据为月令与格神有效性；仍需M15检验成格、破格、救应与层次。</x:v>
      </x:c>
      <x:c r="Z71" s="82" t="str">
        <x:v>较高</x:v>
      </x:c>
      <x:c r="AA71" s="82" t="str">
        <x:v>子平格局</x:v>
      </x:c>
      <x:c r="AB71" s="68" t="str">
        <x:v>M14只生成和排除格局候选。候选须综合月令、透干、格神有效力量、清纯度、日主配合与全局主导性；候选成立不等于M15最终成格。</x:v>
      </x:c>
      <x:c r="AC71" s="68" t="str">
        <x:v>月令与格神有效性共同支持“专旺格通用候选”，且没有决定性否决条件。</x:v>
      </x:c>
      <x:c r="AD71" s="90" t="str">
        <x:v>仅见相关十神或五行出现，但月令、格神有效性或全局主导性不成立，不能直接列“专旺格通用候选”。</x:v>
      </x:c>
      <x:c r="AE71" s="68" t="str">
        <x:v>https://zh.wikisource.org/wiki/%E6%BB%B4%E5%A4%A9%E9%AB%93%E9%97%A1%E5%BE%AE ; https://zh.wikisource.org/zh-hans/%E6%BB%B4%E5%A4%A9%E9%AB%93</x:v>
      </x:c>
      <x:c r="AF71" s="82" t="str">
        <x:v>采用</x:v>
      </x:c>
      <x:c r="AG71" s="82" t="str">
        <x:v>初审</x:v>
      </x:c>
      <x:c r="AH71" s="87" t="n">
        <x:v>46260</x:v>
      </x:c>
    </x:row>
    <x:row r="72">
      <x:c r="A72" s="72" t="str">
        <x:f>IF(OR(C72="",D72=""),"",B72&amp;"-"&amp;UPPER(C72)&amp;"-"&amp;TEXT(D72,"0000")&amp;"-"&amp;E72)</x:f>
        <x:v>M14-ZHUAN-0066-V1.0</x:v>
      </x:c>
      <x:c r="B72" s="74" t="str">
        <x:v>M14</x:v>
      </x:c>
      <x:c r="C72" s="74" t="str">
        <x:v>ZHUAN</x:v>
      </x:c>
      <x:c r="D72" s="215" t="n">
        <x:v>66</x:v>
      </x:c>
      <x:c r="E72" s="74" t="str">
        <x:v>V1.0</x:v>
      </x:c>
      <x:c r="F72" s="68" t="str">
        <x:v>木一气成势生成曲直格候选</x:v>
      </x:c>
      <x:c r="G72" s="82" t="str">
        <x:v>综合层</x:v>
      </x:c>
      <x:c r="H72" s="82" t="str">
        <x:v>专旺候选</x:v>
      </x:c>
      <x:c r="I72" s="68" t="str">
        <x:v>曲直格候选</x:v>
      </x:c>
      <x:c r="J72" s="68" t="str">
        <x:v>寅卯辰或木局木势成方</x:v>
      </x:c>
      <x:c r="K72" s="68" t="str">
        <x:v>木透干成党</x:v>
      </x:c>
      <x:c r="L72" s="82" t="str">
        <x:v>较清</x:v>
      </x:c>
      <x:c r="M72" s="68" t="str">
        <x:v>木多重强根</x:v>
      </x:c>
      <x:c r="N72" s="68" t="str">
        <x:v>木极旺</x:v>
      </x:c>
      <x:c r="O72" s="68" t="str">
        <x:v>日主属木并顺从同类旺势</x:v>
      </x:c>
      <x:c r="P72" s="68" t="str">
        <x:v>木成为全局绝对主导，流通方向不逆其势</x:v>
      </x:c>
      <x:c r="Q72" s="68" t="str">
        <x:v>克木的金无力或不能形成有效破局；杂气不足以改变主势</x:v>
      </x:c>
      <x:c r="R72" s="68" t="str">
        <x:v>格神得令、有根、透达、清纯，并得到有效生扶或制化配合</x:v>
      </x:c>
      <x:c r="S72" s="68" t="str">
        <x:v>存在更强月令主气、格神功能被替代或全局主势明显转向其他结构</x:v>
      </x:c>
      <x:c r="T72" s="90" t="str">
        <x:v>格神失效、无真实功能，或候选只由单一表面十神名称产生</x:v>
      </x:c>
      <x:c r="U72" s="68" t="str">
        <x:v>特殊格局、建禄羊刃及明确从化结构另用专门规则</x:v>
      </x:c>
      <x:c r="V72" s="82" t="str">
        <x:v>候选</x:v>
      </x:c>
      <x:c r="W72" s="68" t="str">
        <x:v>从旺/从强候选</x:v>
      </x:c>
      <x:c r="X72" s="84" t="str">
        <x:v>曲直格候选_候选</x:v>
      </x:c>
      <x:c r="Y72" s="84" t="str">
        <x:v>曲直格候选列为“候选”：主要依据为月令与格神有效性；仍需M15检验成格、破格、救应与层次。</x:v>
      </x:c>
      <x:c r="Z72" s="82" t="str">
        <x:v>较高</x:v>
      </x:c>
      <x:c r="AA72" s="82" t="str">
        <x:v>子平格局</x:v>
      </x:c>
      <x:c r="AB72" s="68" t="str">
        <x:v>M14只生成和排除格局候选。候选须综合月令、透干、格神有效力量、清纯度、日主配合与全局主导性；候选成立不等于M15最终成格。</x:v>
      </x:c>
      <x:c r="AC72" s="68" t="str">
        <x:v>月令与格神有效性共同支持“曲直格候选”，且没有决定性否决条件。</x:v>
      </x:c>
      <x:c r="AD72" s="90" t="str">
        <x:v>仅见相关十神或五行出现，但月令、格神有效性或全局主导性不成立，不能直接列“曲直格候选”。</x:v>
      </x:c>
      <x:c r="AE72" s="68" t="str">
        <x:v>https://zh.wikisource.org/wiki/%E6%BB%B4%E5%A4%A9%E9%AB%93%E9%97%A1%E5%BE%AE ; https://zh.wikisource.org/zh-hans/%E6%BB%B4%E5%A4%A9%E9%AB%93</x:v>
      </x:c>
      <x:c r="AF72" s="82" t="str">
        <x:v>采用</x:v>
      </x:c>
      <x:c r="AG72" s="82" t="str">
        <x:v>初审</x:v>
      </x:c>
      <x:c r="AH72" s="87" t="n">
        <x:v>46260</x:v>
      </x:c>
    </x:row>
    <x:row r="73">
      <x:c r="A73" s="72" t="str">
        <x:f>IF(OR(C73="",D73=""),"",B73&amp;"-"&amp;UPPER(C73)&amp;"-"&amp;TEXT(D73,"0000")&amp;"-"&amp;E73)</x:f>
        <x:v>M14-ZHUAN-0067-V1.0</x:v>
      </x:c>
      <x:c r="B73" s="74" t="str">
        <x:v>M14</x:v>
      </x:c>
      <x:c r="C73" s="74" t="str">
        <x:v>ZHUAN</x:v>
      </x:c>
      <x:c r="D73" s="215" t="n">
        <x:v>67</x:v>
      </x:c>
      <x:c r="E73" s="74" t="str">
        <x:v>V1.0</x:v>
      </x:c>
      <x:c r="F73" s="68" t="str">
        <x:v>火一气成势生成炎上格候选</x:v>
      </x:c>
      <x:c r="G73" s="82" t="str">
        <x:v>综合层</x:v>
      </x:c>
      <x:c r="H73" s="82" t="str">
        <x:v>专旺候选</x:v>
      </x:c>
      <x:c r="I73" s="68" t="str">
        <x:v>炎上格候选</x:v>
      </x:c>
      <x:c r="J73" s="68" t="str">
        <x:v>巳午未或火局火势成方</x:v>
      </x:c>
      <x:c r="K73" s="68" t="str">
        <x:v>火透干成党</x:v>
      </x:c>
      <x:c r="L73" s="82" t="str">
        <x:v>较清</x:v>
      </x:c>
      <x:c r="M73" s="68" t="str">
        <x:v>火多重强根</x:v>
      </x:c>
      <x:c r="N73" s="68" t="str">
        <x:v>火极旺</x:v>
      </x:c>
      <x:c r="O73" s="68" t="str">
        <x:v>日主属火并顺从同类旺势</x:v>
      </x:c>
      <x:c r="P73" s="68" t="str">
        <x:v>火成为全局绝对主导，流通方向不逆其势</x:v>
      </x:c>
      <x:c r="Q73" s="68" t="str">
        <x:v>克火的水无力或不能形成有效破局；杂气不足以改变主势</x:v>
      </x:c>
      <x:c r="R73" s="68" t="str">
        <x:v>格神得令、有根、透达、清纯，并得到有效生扶或制化配合</x:v>
      </x:c>
      <x:c r="S73" s="68" t="str">
        <x:v>存在更强月令主气、格神功能被替代或全局主势明显转向其他结构</x:v>
      </x:c>
      <x:c r="T73" s="90" t="str">
        <x:v>格神失效、无真实功能，或候选只由单一表面十神名称产生</x:v>
      </x:c>
      <x:c r="U73" s="68" t="str">
        <x:v>特殊格局、建禄羊刃及明确从化结构另用专门规则</x:v>
      </x:c>
      <x:c r="V73" s="82" t="str">
        <x:v>候选</x:v>
      </x:c>
      <x:c r="W73" s="68" t="str">
        <x:v>从旺/从强候选</x:v>
      </x:c>
      <x:c r="X73" s="84" t="str">
        <x:v>炎上格候选_候选</x:v>
      </x:c>
      <x:c r="Y73" s="84" t="str">
        <x:v>炎上格候选列为“候选”：主要依据为月令与格神有效性；仍需M15检验成格、破格、救应与层次。</x:v>
      </x:c>
      <x:c r="Z73" s="82" t="str">
        <x:v>较高</x:v>
      </x:c>
      <x:c r="AA73" s="82" t="str">
        <x:v>子平格局</x:v>
      </x:c>
      <x:c r="AB73" s="68" t="str">
        <x:v>M14只生成和排除格局候选。候选须综合月令、透干、格神有效力量、清纯度、日主配合与全局主导性；候选成立不等于M15最终成格。</x:v>
      </x:c>
      <x:c r="AC73" s="68" t="str">
        <x:v>月令与格神有效性共同支持“炎上格候选”，且没有决定性否决条件。</x:v>
      </x:c>
      <x:c r="AD73" s="90" t="str">
        <x:v>仅见相关十神或五行出现，但月令、格神有效性或全局主导性不成立，不能直接列“炎上格候选”。</x:v>
      </x:c>
      <x:c r="AE73" s="68" t="str">
        <x:v>https://zh.wikisource.org/wiki/%E6%BB%B4%E5%A4%A9%E9%AB%93%E9%97%A1%E5%BE%AE ; https://zh.wikisource.org/zh-hans/%E6%BB%B4%E5%A4%A9%E9%AB%93</x:v>
      </x:c>
      <x:c r="AF73" s="82" t="str">
        <x:v>采用</x:v>
      </x:c>
      <x:c r="AG73" s="82" t="str">
        <x:v>初审</x:v>
      </x:c>
      <x:c r="AH73" s="87" t="n">
        <x:v>46260</x:v>
      </x:c>
    </x:row>
    <x:row r="74">
      <x:c r="A74" s="72" t="str">
        <x:f>IF(OR(C74="",D74=""),"",B74&amp;"-"&amp;UPPER(C74)&amp;"-"&amp;TEXT(D74,"0000")&amp;"-"&amp;E74)</x:f>
        <x:v>M14-ZHUAN-0068-V1.0</x:v>
      </x:c>
      <x:c r="B74" s="74" t="str">
        <x:v>M14</x:v>
      </x:c>
      <x:c r="C74" s="74" t="str">
        <x:v>ZHUAN</x:v>
      </x:c>
      <x:c r="D74" s="215" t="n">
        <x:v>68</x:v>
      </x:c>
      <x:c r="E74" s="74" t="str">
        <x:v>V1.0</x:v>
      </x:c>
      <x:c r="F74" s="68" t="str">
        <x:v>土一气成势生成稼穑格候选</x:v>
      </x:c>
      <x:c r="G74" s="82" t="str">
        <x:v>综合层</x:v>
      </x:c>
      <x:c r="H74" s="82" t="str">
        <x:v>专旺候选</x:v>
      </x:c>
      <x:c r="I74" s="68" t="str">
        <x:v>稼穑格候选</x:v>
      </x:c>
      <x:c r="J74" s="68" t="str">
        <x:v>四季土月且土势极旺</x:v>
      </x:c>
      <x:c r="K74" s="68" t="str">
        <x:v>土透干成党</x:v>
      </x:c>
      <x:c r="L74" s="82" t="str">
        <x:v>较清</x:v>
      </x:c>
      <x:c r="M74" s="68" t="str">
        <x:v>土多重强根</x:v>
      </x:c>
      <x:c r="N74" s="68" t="str">
        <x:v>土极旺</x:v>
      </x:c>
      <x:c r="O74" s="68" t="str">
        <x:v>日主属土并顺从同类旺势</x:v>
      </x:c>
      <x:c r="P74" s="68" t="str">
        <x:v>土成为全局绝对主导，流通方向不逆其势</x:v>
      </x:c>
      <x:c r="Q74" s="68" t="str">
        <x:v>克土的木无力或不能形成有效破局；杂气不足以改变主势</x:v>
      </x:c>
      <x:c r="R74" s="68" t="str">
        <x:v>格神得令、有根、透达、清纯，并得到有效生扶或制化配合</x:v>
      </x:c>
      <x:c r="S74" s="68" t="str">
        <x:v>存在更强月令主气、格神功能被替代或全局主势明显转向其他结构</x:v>
      </x:c>
      <x:c r="T74" s="90" t="str">
        <x:v>格神失效、无真实功能，或候选只由单一表面十神名称产生</x:v>
      </x:c>
      <x:c r="U74" s="68" t="str">
        <x:v>特殊格局、建禄羊刃及明确从化结构另用专门规则</x:v>
      </x:c>
      <x:c r="V74" s="82" t="str">
        <x:v>候选</x:v>
      </x:c>
      <x:c r="W74" s="68" t="str">
        <x:v>从旺/从强候选</x:v>
      </x:c>
      <x:c r="X74" s="84" t="str">
        <x:v>稼穑格候选_候选</x:v>
      </x:c>
      <x:c r="Y74" s="84" t="str">
        <x:v>稼穑格候选列为“候选”：主要依据为月令与格神有效性；仍需M15检验成格、破格、救应与层次。</x:v>
      </x:c>
      <x:c r="Z74" s="82" t="str">
        <x:v>较高</x:v>
      </x:c>
      <x:c r="AA74" s="82" t="str">
        <x:v>子平格局</x:v>
      </x:c>
      <x:c r="AB74" s="68" t="str">
        <x:v>M14只生成和排除格局候选。候选须综合月令、透干、格神有效力量、清纯度、日主配合与全局主导性；候选成立不等于M15最终成格。</x:v>
      </x:c>
      <x:c r="AC74" s="68" t="str">
        <x:v>月令与格神有效性共同支持“稼穑格候选”，且没有决定性否决条件。</x:v>
      </x:c>
      <x:c r="AD74" s="90" t="str">
        <x:v>仅见相关十神或五行出现，但月令、格神有效性或全局主导性不成立，不能直接列“稼穑格候选”。</x:v>
      </x:c>
      <x:c r="AE74" s="68" t="str">
        <x:v>https://zh.wikisource.org/wiki/%E6%BB%B4%E5%A4%A9%E9%AB%93%E9%97%A1%E5%BE%AE ; https://zh.wikisource.org/zh-hans/%E6%BB%B4%E5%A4%A9%E9%AB%93</x:v>
      </x:c>
      <x:c r="AF74" s="82" t="str">
        <x:v>采用</x:v>
      </x:c>
      <x:c r="AG74" s="82" t="str">
        <x:v>初审</x:v>
      </x:c>
      <x:c r="AH74" s="87" t="n">
        <x:v>46260</x:v>
      </x:c>
    </x:row>
    <x:row r="75">
      <x:c r="A75" s="72" t="str">
        <x:f>IF(OR(C75="",D75=""),"",B75&amp;"-"&amp;UPPER(C75)&amp;"-"&amp;TEXT(D75,"0000")&amp;"-"&amp;E75)</x:f>
        <x:v>M14-ZHUAN-0069-V1.0</x:v>
      </x:c>
      <x:c r="B75" s="74" t="str">
        <x:v>M14</x:v>
      </x:c>
      <x:c r="C75" s="74" t="str">
        <x:v>ZHUAN</x:v>
      </x:c>
      <x:c r="D75" s="215" t="n">
        <x:v>69</x:v>
      </x:c>
      <x:c r="E75" s="74" t="str">
        <x:v>V1.0</x:v>
      </x:c>
      <x:c r="F75" s="68" t="str">
        <x:v>金一气成势生成从革格候选</x:v>
      </x:c>
      <x:c r="G75" s="82" t="str">
        <x:v>综合层</x:v>
      </x:c>
      <x:c r="H75" s="82" t="str">
        <x:v>专旺候选</x:v>
      </x:c>
      <x:c r="I75" s="68" t="str">
        <x:v>从革格候选</x:v>
      </x:c>
      <x:c r="J75" s="68" t="str">
        <x:v>申酉戌或金局金势成方</x:v>
      </x:c>
      <x:c r="K75" s="68" t="str">
        <x:v>金透干成党</x:v>
      </x:c>
      <x:c r="L75" s="82" t="str">
        <x:v>较清</x:v>
      </x:c>
      <x:c r="M75" s="68" t="str">
        <x:v>金多重强根</x:v>
      </x:c>
      <x:c r="N75" s="68" t="str">
        <x:v>金极旺</x:v>
      </x:c>
      <x:c r="O75" s="68" t="str">
        <x:v>日主属金并顺从同类旺势</x:v>
      </x:c>
      <x:c r="P75" s="68" t="str">
        <x:v>金成为全局绝对主导，流通方向不逆其势</x:v>
      </x:c>
      <x:c r="Q75" s="68" t="str">
        <x:v>克金的火无力或不能形成有效破局；杂气不足以改变主势</x:v>
      </x:c>
      <x:c r="R75" s="68" t="str">
        <x:v>格神得令、有根、透达、清纯，并得到有效生扶或制化配合</x:v>
      </x:c>
      <x:c r="S75" s="68" t="str">
        <x:v>存在更强月令主气、格神功能被替代或全局主势明显转向其他结构</x:v>
      </x:c>
      <x:c r="T75" s="90" t="str">
        <x:v>格神失效、无真实功能，或候选只由单一表面十神名称产生</x:v>
      </x:c>
      <x:c r="U75" s="68" t="str">
        <x:v>特殊格局、建禄羊刃及明确从化结构另用专门规则</x:v>
      </x:c>
      <x:c r="V75" s="82" t="str">
        <x:v>候选</x:v>
      </x:c>
      <x:c r="W75" s="68" t="str">
        <x:v>从旺/从强候选</x:v>
      </x:c>
      <x:c r="X75" s="84" t="str">
        <x:v>从革格候选_候选</x:v>
      </x:c>
      <x:c r="Y75" s="84" t="str">
        <x:v>从革格候选列为“候选”：主要依据为月令与格神有效性；仍需M15检验成格、破格、救应与层次。</x:v>
      </x:c>
      <x:c r="Z75" s="82" t="str">
        <x:v>较高</x:v>
      </x:c>
      <x:c r="AA75" s="82" t="str">
        <x:v>子平格局</x:v>
      </x:c>
      <x:c r="AB75" s="68" t="str">
        <x:v>M14只生成和排除格局候选。候选须综合月令、透干、格神有效力量、清纯度、日主配合与全局主导性；候选成立不等于M15最终成格。</x:v>
      </x:c>
      <x:c r="AC75" s="68" t="str">
        <x:v>月令与格神有效性共同支持“从革格候选”，且没有决定性否决条件。</x:v>
      </x:c>
      <x:c r="AD75" s="90" t="str">
        <x:v>仅见相关十神或五行出现，但月令、格神有效性或全局主导性不成立，不能直接列“从革格候选”。</x:v>
      </x:c>
      <x:c r="AE75" s="68" t="str">
        <x:v>https://zh.wikisource.org/wiki/%E6%BB%B4%E5%A4%A9%E9%AB%93%E9%97%A1%E5%BE%AE ; https://zh.wikisource.org/zh-hans/%E6%BB%B4%E5%A4%A9%E9%AB%93</x:v>
      </x:c>
      <x:c r="AF75" s="82" t="str">
        <x:v>采用</x:v>
      </x:c>
      <x:c r="AG75" s="82" t="str">
        <x:v>初审</x:v>
      </x:c>
      <x:c r="AH75" s="87" t="n">
        <x:v>46260</x:v>
      </x:c>
    </x:row>
    <x:row r="76">
      <x:c r="A76" s="72" t="str">
        <x:f>IF(OR(C76="",D76=""),"",B76&amp;"-"&amp;UPPER(C76)&amp;"-"&amp;TEXT(D76,"0000")&amp;"-"&amp;E76)</x:f>
        <x:v>M14-ZHUAN-0070-V1.0</x:v>
      </x:c>
      <x:c r="B76" s="74" t="str">
        <x:v>M14</x:v>
      </x:c>
      <x:c r="C76" s="74" t="str">
        <x:v>ZHUAN</x:v>
      </x:c>
      <x:c r="D76" s="215" t="n">
        <x:v>70</x:v>
      </x:c>
      <x:c r="E76" s="74" t="str">
        <x:v>V1.0</x:v>
      </x:c>
      <x:c r="F76" s="68" t="str">
        <x:v>水一气成势生成润下格候选</x:v>
      </x:c>
      <x:c r="G76" s="82" t="str">
        <x:v>综合层</x:v>
      </x:c>
      <x:c r="H76" s="82" t="str">
        <x:v>专旺候选</x:v>
      </x:c>
      <x:c r="I76" s="68" t="str">
        <x:v>润下格候选</x:v>
      </x:c>
      <x:c r="J76" s="68" t="str">
        <x:v>亥子丑或水局水势成方</x:v>
      </x:c>
      <x:c r="K76" s="68" t="str">
        <x:v>水透干成党</x:v>
      </x:c>
      <x:c r="L76" s="82" t="str">
        <x:v>较清</x:v>
      </x:c>
      <x:c r="M76" s="68" t="str">
        <x:v>水多重强根</x:v>
      </x:c>
      <x:c r="N76" s="68" t="str">
        <x:v>水极旺</x:v>
      </x:c>
      <x:c r="O76" s="68" t="str">
        <x:v>日主属水并顺从同类旺势</x:v>
      </x:c>
      <x:c r="P76" s="68" t="str">
        <x:v>水成为全局绝对主导，流通方向不逆其势</x:v>
      </x:c>
      <x:c r="Q76" s="68" t="str">
        <x:v>克水的土无力或不能形成有效破局；杂气不足以改变主势</x:v>
      </x:c>
      <x:c r="R76" s="68" t="str">
        <x:v>格神得令、有根、透达、清纯，并得到有效生扶或制化配合</x:v>
      </x:c>
      <x:c r="S76" s="68" t="str">
        <x:v>存在更强月令主气、格神功能被替代或全局主势明显转向其他结构</x:v>
      </x:c>
      <x:c r="T76" s="90" t="str">
        <x:v>格神失效、无真实功能，或候选只由单一表面十神名称产生</x:v>
      </x:c>
      <x:c r="U76" s="68" t="str">
        <x:v>特殊格局、建禄羊刃及明确从化结构另用专门规则</x:v>
      </x:c>
      <x:c r="V76" s="82" t="str">
        <x:v>候选</x:v>
      </x:c>
      <x:c r="W76" s="68" t="str">
        <x:v>从旺/从强候选</x:v>
      </x:c>
      <x:c r="X76" s="84" t="str">
        <x:v>润下格候选_候选</x:v>
      </x:c>
      <x:c r="Y76" s="84" t="str">
        <x:v>润下格候选列为“候选”：主要依据为月令与格神有效性；仍需M15检验成格、破格、救应与层次。</x:v>
      </x:c>
      <x:c r="Z76" s="82" t="str">
        <x:v>较高</x:v>
      </x:c>
      <x:c r="AA76" s="82" t="str">
        <x:v>子平格局</x:v>
      </x:c>
      <x:c r="AB76" s="68" t="str">
        <x:v>M14只生成和排除格局候选。候选须综合月令、透干、格神有效力量、清纯度、日主配合与全局主导性；候选成立不等于M15最终成格。</x:v>
      </x:c>
      <x:c r="AC76" s="68" t="str">
        <x:v>月令与格神有效性共同支持“润下格候选”，且没有决定性否决条件。</x:v>
      </x:c>
      <x:c r="AD76" s="90" t="str">
        <x:v>仅见相关十神或五行出现，但月令、格神有效性或全局主导性不成立，不能直接列“润下格候选”。</x:v>
      </x:c>
      <x:c r="AE76" s="68" t="str">
        <x:v>https://zh.wikisource.org/wiki/%E6%BB%B4%E5%A4%A9%E9%AB%93%E9%97%A1%E5%BE%AE ; https://zh.wikisource.org/zh-hans/%E6%BB%B4%E5%A4%A9%E9%AB%93</x:v>
      </x:c>
      <x:c r="AF76" s="82" t="str">
        <x:v>采用</x:v>
      </x:c>
      <x:c r="AG76" s="82" t="str">
        <x:v>初审</x:v>
      </x:c>
      <x:c r="AH76" s="87" t="n">
        <x:v>46260</x:v>
      </x:c>
    </x:row>
    <x:row r="77">
      <x:c r="A77" s="72" t="str">
        <x:f>IF(OR(C77="",D77=""),"",B77&amp;"-"&amp;UPPER(C77)&amp;"-"&amp;TEXT(D77,"0000")&amp;"-"&amp;E77)</x:f>
        <x:v>M14-RANK-0071-V1.0</x:v>
      </x:c>
      <x:c r="B77" s="74" t="str">
        <x:v>M14</x:v>
      </x:c>
      <x:c r="C77" s="74" t="str">
        <x:v>RANK</x:v>
      </x:c>
      <x:c r="D77" s="215" t="n">
        <x:v>71</x:v>
      </x:c>
      <x:c r="E77" s="74" t="str">
        <x:v>V1.0</x:v>
      </x:c>
      <x:c r="F77" s="68" t="str">
        <x:v>月令主气候选通常高于非月令局部组合候选</x:v>
      </x:c>
      <x:c r="G77" s="82" t="str">
        <x:v>综合层</x:v>
      </x:c>
      <x:c r="H77" s="82" t="str">
        <x:v>普通格局</x:v>
      </x:c>
      <x:c r="I77" s="68" t="str">
        <x:v>格局候选排序</x:v>
      </x:c>
      <x:c r="J77" s="68" t="str">
        <x:v>比较月令主气与局部组合来源</x:v>
      </x:c>
      <x:c r="K77" s="68" t="str">
        <x:v>透干可增强候选，但不作为所有格局的绝对唯一条件</x:v>
      </x:c>
      <x:c r="L77" s="82" t="str">
        <x:v>待定</x:v>
      </x:c>
      <x:c r="M77" s="68" t="str">
        <x:v>待定</x:v>
      </x:c>
      <x:c r="N77" s="68" t="str">
        <x:v>待定</x:v>
      </x:c>
      <x:c r="O77" s="68" t="str">
        <x:v>结合M09日主旺衰与承载判断</x:v>
      </x:c>
      <x:c r="P77" s="68" t="str">
        <x:v>月令主气格神有效，局部组合未形成全局主导</x:v>
      </x:c>
      <x:c r="Q77" s="68" t="str">
        <x:v>不适用</x:v>
      </x:c>
      <x:c r="R77" s="68" t="str">
        <x:v>格神得令、有根、透达、清纯，并得到有效生扶或制化配合</x:v>
      </x:c>
      <x:c r="S77" s="68" t="str">
        <x:v>存在更强月令主气、格神功能被替代或全局主势明显转向其他结构</x:v>
      </x:c>
      <x:c r="T77" s="90" t="str">
        <x:v>格神失效、无真实功能，或候选只由单一表面十神名称产生</x:v>
      </x:c>
      <x:c r="U77" s="68" t="str">
        <x:v>特殊格局、建禄羊刃及明确从化结构另用专门规则</x:v>
      </x:c>
      <x:c r="V77" s="82" t="str">
        <x:v>基本成立</x:v>
      </x:c>
      <x:c r="W77" s="68" t="str">
        <x:v>次级局部组合候选</x:v>
      </x:c>
      <x:c r="X77" s="84" t="str">
        <x:v>候选排序_月令优先</x:v>
      </x:c>
      <x:c r="Y77" s="84" t="str">
        <x:v>月令主气格神有效时通常列第一候选；局部组合保留为结构支持，不越级替代。</x:v>
      </x:c>
      <x:c r="Z77" s="82" t="str">
        <x:v>较高</x:v>
      </x:c>
      <x:c r="AA77" s="82" t="str">
        <x:v>子平格局</x:v>
      </x:c>
      <x:c r="AB77" s="68" t="str">
        <x:v>M14只生成和排除格局候选。候选须综合月令、透干、格神有效力量、清纯度、日主配合与全局主导性；候选成立不等于M15最终成格。</x:v>
      </x:c>
      <x:c r="AC77" s="68" t="str">
        <x:v>月令与格神有效性共同支持“格局候选排序”，且没有决定性否决条件。</x:v>
      </x:c>
      <x:c r="AD77" s="90" t="str">
        <x:v>仅见相关十神或五行出现，但月令、格神有效性或全局主导性不成立，不能直接列“格局候选排序”。</x:v>
      </x:c>
      <x:c r="AE77" s="68" t="str">
        <x:v>https://zh.wikisource.org/zh-hans/%E6%B7%B5%E6%B5%B7%E5%AD%90%E5%B9%B3 ; https://zh.wikisource.org/wiki/%E6%BB%B4%E5%A4%A9%E9%AB%93%E9%97%A1%E5%BE%AE</x:v>
      </x:c>
      <x:c r="AF77" s="82" t="str">
        <x:v>采用</x:v>
      </x:c>
      <x:c r="AG77" s="82" t="str">
        <x:v>初审</x:v>
      </x:c>
      <x:c r="AH77" s="87" t="n">
        <x:v>46260</x:v>
      </x:c>
    </x:row>
    <x:row r="78">
      <x:c r="A78" s="72" t="str">
        <x:f>IF(OR(C78="",D78=""),"",B78&amp;"-"&amp;UPPER(C78)&amp;"-"&amp;TEXT(D78,"0000")&amp;"-"&amp;E78)</x:f>
        <x:v>M14-RANK-0072-V1.0</x:v>
      </x:c>
      <x:c r="B78" s="74" t="str">
        <x:v>M14</x:v>
      </x:c>
      <x:c r="C78" s="74" t="str">
        <x:v>RANK</x:v>
      </x:c>
      <x:c r="D78" s="215" t="n">
        <x:v>72</x:v>
      </x:c>
      <x:c r="E78" s="74" t="str">
        <x:v>V1.0</x:v>
      </x:c>
      <x:c r="F78" s="68" t="str">
        <x:v>特殊格局必须凭严格门槛而非优先级自动覆盖普通格</x:v>
      </x:c>
      <x:c r="G78" s="82" t="str">
        <x:v>综合层</x:v>
      </x:c>
      <x:c r="H78" s="82" t="str">
        <x:v>特殊格局</x:v>
      </x:c>
      <x:c r="I78" s="68" t="str">
        <x:v>格局候选排序</x:v>
      </x:c>
      <x:c r="J78" s="68" t="str">
        <x:v>待核查月令主气、中气与全局主势</x:v>
      </x:c>
      <x:c r="K78" s="68" t="str">
        <x:v>透干可增强候选，但不作为所有格局的绝对唯一条件</x:v>
      </x:c>
      <x:c r="L78" s="82" t="str">
        <x:v>待定</x:v>
      </x:c>
      <x:c r="M78" s="68" t="str">
        <x:v>待定</x:v>
      </x:c>
      <x:c r="N78" s="68" t="str">
        <x:v>待定</x:v>
      </x:c>
      <x:c r="O78" s="68" t="str">
        <x:v>结合M09日主旺衰与承载判断</x:v>
      </x:c>
      <x:c r="P78" s="68" t="str">
        <x:v>从格、化气或专旺达到各自严格门槛</x:v>
      </x:c>
      <x:c r="Q78" s="68" t="str">
        <x:v>特殊格证据必须同时满足，不因名称特殊自动优先</x:v>
      </x:c>
      <x:c r="R78" s="68" t="str">
        <x:v>格神得令、有根、透达、清纯，并得到有效生扶或制化配合</x:v>
      </x:c>
      <x:c r="S78" s="68" t="str">
        <x:v>存在更强月令主气、格神功能被替代或全局主势明显转向其他结构</x:v>
      </x:c>
      <x:c r="T78" s="90" t="str">
        <x:v>格神失效、无真实功能，或候选只由单一表面十神名称产生</x:v>
      </x:c>
      <x:c r="U78" s="68" t="str">
        <x:v>特殊格局、建禄羊刃及明确从化结构另用专门规则</x:v>
      </x:c>
      <x:c r="V78" s="82" t="str">
        <x:v>候选</x:v>
      </x:c>
      <x:c r="W78" s="68" t="str">
        <x:v>普通格局候选</x:v>
      </x:c>
      <x:c r="X78" s="84" t="str">
        <x:v>候选排序_特殊格严格</x:v>
      </x:c>
      <x:c r="Y78" s="84" t="str">
        <x:v>格局候选排序列为“候选”：主要依据为月令与格神有效性；仍需M15检验成格、破格、救应与层次。</x:v>
      </x:c>
      <x:c r="Z78" s="82" t="str">
        <x:v>较高</x:v>
      </x:c>
      <x:c r="AA78" s="82" t="str">
        <x:v>子平格局</x:v>
      </x:c>
      <x:c r="AB78" s="68" t="str">
        <x:v>M14只生成和排除格局候选。候选须综合月令、透干、格神有效力量、清纯度、日主配合与全局主导性；候选成立不等于M15最终成格。</x:v>
      </x:c>
      <x:c r="AC78" s="68" t="str">
        <x:v>月令与格神有效性共同支持“格局候选排序”，且没有决定性否决条件。</x:v>
      </x:c>
      <x:c r="AD78" s="90" t="str">
        <x:v>仅见相关十神或五行出现，但月令、格神有效性或全局主导性不成立，不能直接列“格局候选排序”。</x:v>
      </x:c>
      <x:c r="AE78" s="68" t="str">
        <x:v>https://zh.wikisource.org/zh-hans/%E6%B7%B5%E6%B5%B7%E5%AD%90%E5%B9%B3 ; https://zh.wikisource.org/wiki/%E6%BB%B4%E5%A4%A9%E9%AB%93%E9%97%A1%E5%BE%AE</x:v>
      </x:c>
      <x:c r="AF78" s="82" t="str">
        <x:v>采用</x:v>
      </x:c>
      <x:c r="AG78" s="82" t="str">
        <x:v>初审</x:v>
      </x:c>
      <x:c r="AH78" s="87" t="n">
        <x:v>46260</x:v>
      </x:c>
    </x:row>
    <x:row r="79">
      <x:c r="A79" s="72" t="str">
        <x:f>IF(OR(C79="",D79=""),"",B79&amp;"-"&amp;UPPER(C79)&amp;"-"&amp;TEXT(D79,"0000")&amp;"-"&amp;E79)</x:f>
        <x:v>M14-RANK-0073-V1.0</x:v>
      </x:c>
      <x:c r="B79" s="74" t="str">
        <x:v>M14</x:v>
      </x:c>
      <x:c r="C79" s="74" t="str">
        <x:v>RANK</x:v>
      </x:c>
      <x:c r="D79" s="215" t="n">
        <x:v>73</x:v>
      </x:c>
      <x:c r="E79" s="74" t="str">
        <x:v>V1.0</x:v>
      </x:c>
      <x:c r="F79" s="68" t="str">
        <x:v>格神有效力量高于名义月令标签</x:v>
      </x:c>
      <x:c r="G79" s="82" t="str">
        <x:v>综合层</x:v>
      </x:c>
      <x:c r="H79" s="82" t="str">
        <x:v>普通格局</x:v>
      </x:c>
      <x:c r="I79" s="68" t="str">
        <x:v>格局候选排序</x:v>
      </x:c>
      <x:c r="J79" s="68" t="str">
        <x:v>月令虽提供候选，但格神已被制化或失效</x:v>
      </x:c>
      <x:c r="K79" s="68" t="str">
        <x:v>透干可增强候选，但不作为所有格局的绝对唯一条件</x:v>
      </x:c>
      <x:c r="L79" s="82" t="str">
        <x:v>待定</x:v>
      </x:c>
      <x:c r="M79" s="68" t="str">
        <x:v>待定</x:v>
      </x:c>
      <x:c r="N79" s="68" t="str">
        <x:v>格神实际有效力量优先</x:v>
      </x:c>
      <x:c r="O79" s="68" t="str">
        <x:v>结合M09日主旺衰与承载判断</x:v>
      </x:c>
      <x:c r="P79" s="68" t="str">
        <x:v>比较月令标签与M08/M10实际功能</x:v>
      </x:c>
      <x:c r="Q79" s="68" t="str">
        <x:v>不适用</x:v>
      </x:c>
      <x:c r="R79" s="68" t="str">
        <x:v>格神得令、有根、透达、清纯，并得到有效生扶或制化配合</x:v>
      </x:c>
      <x:c r="S79" s="68" t="str">
        <x:v>存在更强月令主气、格神功能被替代或全局主势明显转向其他结构</x:v>
      </x:c>
      <x:c r="T79" s="90" t="str">
        <x:v>格神失效、无真实功能，或候选只由单一表面十神名称产生</x:v>
      </x:c>
      <x:c r="U79" s="68" t="str">
        <x:v>特殊格局、建禄羊刃及明确从化结构另用专门规则</x:v>
      </x:c>
      <x:c r="V79" s="82" t="str">
        <x:v>候选</x:v>
      </x:c>
      <x:c r="W79" s="68" t="str">
        <x:v>实际主导格神候选</x:v>
      </x:c>
      <x:c r="X79" s="84" t="str">
        <x:v>候选排序_有效性优先</x:v>
      </x:c>
      <x:c r="Y79" s="84" t="str">
        <x:v>格局候选排序列为“候选”：主要依据为月令与格神有效性；仍需M15检验成格、破格、救应与层次。</x:v>
      </x:c>
      <x:c r="Z79" s="82" t="str">
        <x:v>较高</x:v>
      </x:c>
      <x:c r="AA79" s="82" t="str">
        <x:v>子平格局</x:v>
      </x:c>
      <x:c r="AB79" s="68" t="str">
        <x:v>M14只生成和排除格局候选。候选须综合月令、透干、格神有效力量、清纯度、日主配合与全局主导性；候选成立不等于M15最终成格。</x:v>
      </x:c>
      <x:c r="AC79" s="68" t="str">
        <x:v>月令与格神有效性共同支持“格局候选排序”，且没有决定性否决条件。</x:v>
      </x:c>
      <x:c r="AD79" s="90" t="str">
        <x:v>仅见相关十神或五行出现，但月令、格神有效性或全局主导性不成立，不能直接列“格局候选排序”。</x:v>
      </x:c>
      <x:c r="AE79" s="68" t="str">
        <x:v>https://zh.wikisource.org/zh-hans/%E6%B7%B5%E6%B5%B7%E5%AD%90%E5%B9%B3 ; https://zh.wikisource.org/wiki/%E6%BB%B4%E5%A4%A9%E9%AB%93%E9%97%A1%E5%BE%AE</x:v>
      </x:c>
      <x:c r="AF79" s="82" t="str">
        <x:v>采用</x:v>
      </x:c>
      <x:c r="AG79" s="82" t="str">
        <x:v>初审</x:v>
      </x:c>
      <x:c r="AH79" s="87" t="n">
        <x:v>46260</x:v>
      </x:c>
    </x:row>
    <x:row r="80">
      <x:c r="A80" s="72" t="str">
        <x:f>IF(OR(C80="",D80=""),"",B80&amp;"-"&amp;UPPER(C80)&amp;"-"&amp;TEXT(D80,"0000")&amp;"-"&amp;E80)</x:f>
        <x:v>M14-RANK-0074-V1.0</x:v>
      </x:c>
      <x:c r="B80" s="74" t="str">
        <x:v>M14</x:v>
      </x:c>
      <x:c r="C80" s="74" t="str">
        <x:v>RANK</x:v>
      </x:c>
      <x:c r="D80" s="215" t="n">
        <x:v>74</x:v>
      </x:c>
      <x:c r="E80" s="74" t="str">
        <x:v>V1.0</x:v>
      </x:c>
      <x:c r="F80" s="68" t="str">
        <x:v>全局主导性用于区分第一候选和备选</x:v>
      </x:c>
      <x:c r="G80" s="82" t="str">
        <x:v>综合层</x:v>
      </x:c>
      <x:c r="H80" s="82" t="str">
        <x:v>普通格局</x:v>
      </x:c>
      <x:c r="I80" s="68" t="str">
        <x:v>格局候选排序</x:v>
      </x:c>
      <x:c r="J80" s="68" t="str">
        <x:v>待核查月令主气、中气与全局主势</x:v>
      </x:c>
      <x:c r="K80" s="68" t="str">
        <x:v>透干可增强候选，但不作为所有格局的绝对唯一条件</x:v>
      </x:c>
      <x:c r="L80" s="82" t="str">
        <x:v>待定</x:v>
      </x:c>
      <x:c r="M80" s="68" t="str">
        <x:v>待定</x:v>
      </x:c>
      <x:c r="N80" s="68" t="str">
        <x:v>待定</x:v>
      </x:c>
      <x:c r="O80" s="68" t="str">
        <x:v>结合M09日主旺衰与承载判断</x:v>
      </x:c>
      <x:c r="P80" s="68" t="str">
        <x:v>候选格神覆盖月令、透干、根气、组合和主要流通路径</x:v>
      </x:c>
      <x:c r="Q80" s="68" t="str">
        <x:v>不适用</x:v>
      </x:c>
      <x:c r="R80" s="68" t="str">
        <x:v>格神得令、有根、透达、清纯，并得到有效生扶或制化配合</x:v>
      </x:c>
      <x:c r="S80" s="68" t="str">
        <x:v>存在更强月令主气、格神功能被替代或全局主势明显转向其他结构</x:v>
      </x:c>
      <x:c r="T80" s="90" t="str">
        <x:v>格神失效、无真实功能，或候选只由单一表面十神名称产生</x:v>
      </x:c>
      <x:c r="U80" s="68" t="str">
        <x:v>特殊格局、建禄羊刃及明确从化结构另用专门规则</x:v>
      </x:c>
      <x:c r="V80" s="82" t="str">
        <x:v>基本成立</x:v>
      </x:c>
      <x:c r="W80" s="68" t="str">
        <x:v>次候选</x:v>
      </x:c>
      <x:c r="X80" s="84" t="str">
        <x:v>候选排序_全局主导</x:v>
      </x:c>
      <x:c r="Y80" s="84" t="str">
        <x:v>格局候选排序列为“基本成立”：主要依据为月令与格神有效性；仍需M15检验成格、破格、救应与层次。</x:v>
      </x:c>
      <x:c r="Z80" s="82" t="str">
        <x:v>较高</x:v>
      </x:c>
      <x:c r="AA80" s="82" t="str">
        <x:v>子平格局</x:v>
      </x:c>
      <x:c r="AB80" s="68" t="str">
        <x:v>M14只生成和排除格局候选。候选须综合月令、透干、格神有效力量、清纯度、日主配合与全局主导性；候选成立不等于M15最终成格。</x:v>
      </x:c>
      <x:c r="AC80" s="68" t="str">
        <x:v>月令与格神有效性共同支持“格局候选排序”，且没有决定性否决条件。</x:v>
      </x:c>
      <x:c r="AD80" s="90" t="str">
        <x:v>仅见相关十神或五行出现，但月令、格神有效性或全局主导性不成立，不能直接列“格局候选排序”。</x:v>
      </x:c>
      <x:c r="AE80" s="68" t="str">
        <x:v>https://zh.wikisource.org/zh-hans/%E6%B7%B5%E6%B5%B7%E5%AD%90%E5%B9%B3 ; https://zh.wikisource.org/wiki/%E6%BB%B4%E5%A4%A9%E9%AB%93%E9%97%A1%E5%BE%AE</x:v>
      </x:c>
      <x:c r="AF80" s="82" t="str">
        <x:v>采用</x:v>
      </x:c>
      <x:c r="AG80" s="82" t="str">
        <x:v>初审</x:v>
      </x:c>
      <x:c r="AH80" s="87" t="n">
        <x:v>46260</x:v>
      </x:c>
    </x:row>
    <x:row r="81">
      <x:c r="A81" s="72" t="str">
        <x:f>IF(OR(C81="",D81=""),"",B81&amp;"-"&amp;UPPER(C81)&amp;"-"&amp;TEXT(D81,"0000")&amp;"-"&amp;E81)</x:f>
        <x:v>M14-RANK-0075-V1.0</x:v>
      </x:c>
      <x:c r="B81" s="74" t="str">
        <x:v>M14</x:v>
      </x:c>
      <x:c r="C81" s="74" t="str">
        <x:v>RANK</x:v>
      </x:c>
      <x:c r="D81" s="215" t="n">
        <x:v>75</x:v>
      </x:c>
      <x:c r="E81" s="74" t="str">
        <x:v>V1.0</x:v>
      </x:c>
      <x:c r="F81" s="68" t="str">
        <x:v>主候选与替代候选都必须保留排除理由</x:v>
      </x:c>
      <x:c r="G81" s="82" t="str">
        <x:v>综合层</x:v>
      </x:c>
      <x:c r="H81" s="82" t="str">
        <x:v>普通格局</x:v>
      </x:c>
      <x:c r="I81" s="68" t="str">
        <x:v>格局候选排序</x:v>
      </x:c>
      <x:c r="J81" s="68" t="str">
        <x:v>待核查月令主气、中气与全局主势</x:v>
      </x:c>
      <x:c r="K81" s="68" t="str">
        <x:v>透干可增强候选，但不作为所有格局的绝对唯一条件</x:v>
      </x:c>
      <x:c r="L81" s="82" t="str">
        <x:v>待定</x:v>
      </x:c>
      <x:c r="M81" s="68" t="str">
        <x:v>待定</x:v>
      </x:c>
      <x:c r="N81" s="68" t="str">
        <x:v>待定</x:v>
      </x:c>
      <x:c r="O81" s="68" t="str">
        <x:v>结合M09日主旺衰与承载判断</x:v>
      </x:c>
      <x:c r="P81" s="68" t="str">
        <x:v>存在两个以上候选且证据接近</x:v>
      </x:c>
      <x:c r="Q81" s="68" t="str">
        <x:v>不适用</x:v>
      </x:c>
      <x:c r="R81" s="68" t="str">
        <x:v>格神得令、有根、透达、清纯，并得到有效生扶或制化配合</x:v>
      </x:c>
      <x:c r="S81" s="68" t="str">
        <x:v>存在更强月令主气、格神功能被替代或全局主势明显转向其他结构</x:v>
      </x:c>
      <x:c r="T81" s="90" t="str">
        <x:v>格神失效、无真实功能，或候选只由单一表面十神名称产生</x:v>
      </x:c>
      <x:c r="U81" s="68" t="str">
        <x:v>特殊格局、建禄羊刃及明确从化结构另用专门规则</x:v>
      </x:c>
      <x:c r="V81" s="82" t="str">
        <x:v>待定</x:v>
      </x:c>
      <x:c r="W81" s="68" t="str">
        <x:v>并列候选</x:v>
      </x:c>
      <x:c r="X81" s="84" t="str">
        <x:v>候选排序_并列保留</x:v>
      </x:c>
      <x:c r="Y81" s="84" t="str">
        <x:v>证据接近时保留第一候选、第二候选及各自支持/反向证据，不得强行唯一化。</x:v>
      </x:c>
      <x:c r="Z81" s="82" t="str">
        <x:v>中等</x:v>
      </x:c>
      <x:c r="AA81" s="82" t="str">
        <x:v>子平格局</x:v>
      </x:c>
      <x:c r="AB81" s="68" t="str">
        <x:v>M14只生成和排除格局候选。候选须综合月令、透干、格神有效力量、清纯度、日主配合与全局主导性；候选成立不等于M15最终成格。</x:v>
      </x:c>
      <x:c r="AC81" s="68" t="str">
        <x:v>月令与格神有效性共同支持“格局候选排序”，且没有决定性否决条件。</x:v>
      </x:c>
      <x:c r="AD81" s="90" t="str">
        <x:v>仅见相关十神或五行出现，但月令、格神有效性或全局主导性不成立，不能直接列“格局候选排序”。</x:v>
      </x:c>
      <x:c r="AE81" s="68" t="str">
        <x:v>https://zh.wikisource.org/zh-hans/%E6%B7%B5%E6%B5%B7%E5%AD%90%E5%B9%B3 ; https://zh.wikisource.org/wiki/%E6%BB%B4%E5%A4%A9%E9%AB%93%E9%97%A1%E5%BE%AE</x:v>
      </x:c>
      <x:c r="AF81" s="82" t="str">
        <x:v>采用</x:v>
      </x:c>
      <x:c r="AG81" s="82" t="str">
        <x:v>初审</x:v>
      </x:c>
      <x:c r="AH81" s="87" t="n">
        <x:v>46260</x:v>
      </x:c>
    </x:row>
    <x:row r="82">
      <x:c r="A82" s="72" t="str">
        <x:f>IF(OR(C82="",D82=""),"",B82&amp;"-"&amp;UPPER(C82)&amp;"-"&amp;TEXT(D82,"0000")&amp;"-"&amp;E82)</x:f>
        <x:v>M14-RANK-0076-V1.0</x:v>
      </x:c>
      <x:c r="B82" s="74" t="str">
        <x:v>M14</x:v>
      </x:c>
      <x:c r="C82" s="74" t="str">
        <x:v>RANK</x:v>
      </x:c>
      <x:c r="D82" s="215" t="n">
        <x:v>76</x:v>
      </x:c>
      <x:c r="E82" s="74" t="str">
        <x:v>V1.0</x:v>
      </x:c>
      <x:c r="F82" s="68" t="str">
        <x:v>M14最终最多输出一至三个核心候选</x:v>
      </x:c>
      <x:c r="G82" s="82" t="str">
        <x:v>综合层</x:v>
      </x:c>
      <x:c r="H82" s="82" t="str">
        <x:v>普通格局</x:v>
      </x:c>
      <x:c r="I82" s="68" t="str">
        <x:v>格局候选排序</x:v>
      </x:c>
      <x:c r="J82" s="68" t="str">
        <x:v>待核查月令主气、中气与全局主势</x:v>
      </x:c>
      <x:c r="K82" s="68" t="str">
        <x:v>透干可增强候选，但不作为所有格局的绝对唯一条件</x:v>
      </x:c>
      <x:c r="L82" s="82" t="str">
        <x:v>待定</x:v>
      </x:c>
      <x:c r="M82" s="68" t="str">
        <x:v>待定</x:v>
      </x:c>
      <x:c r="N82" s="68" t="str">
        <x:v>待定</x:v>
      </x:c>
      <x:c r="O82" s="68" t="str">
        <x:v>结合M09日主旺衰与承载判断</x:v>
      </x:c>
      <x:c r="P82" s="68" t="str">
        <x:v>完成全部候选生成、排除与排序</x:v>
      </x:c>
      <x:c r="Q82" s="68" t="str">
        <x:v>不适用</x:v>
      </x:c>
      <x:c r="R82" s="68" t="str">
        <x:v>格神得令、有根、透达、清纯，并得到有效生扶或制化配合</x:v>
      </x:c>
      <x:c r="S82" s="68" t="str">
        <x:v>存在更强月令主气、格神功能被替代或全局主势明显转向其他结构</x:v>
      </x:c>
      <x:c r="T82" s="90" t="str">
        <x:v>格神失效、无真实功能，或候选只由单一表面十神名称产生</x:v>
      </x:c>
      <x:c r="U82" s="68" t="str">
        <x:v>特殊格局、建禄羊刃及明确从化结构另用专门规则</x:v>
      </x:c>
      <x:c r="V82" s="82" t="str">
        <x:v>待定</x:v>
      </x:c>
      <x:c r="W82" s="68" t="str">
        <x:v>其他被排除候选</x:v>
      </x:c>
      <x:c r="X82" s="84" t="str">
        <x:v>M14候选输出</x:v>
      </x:c>
      <x:c r="Y82" s="84" t="str">
        <x:v>M14最终输出1—3个核心候选：候选名称、类别、月令依据、格神有效性、日主配合、增强、排除、替代候选、状态与置信度。</x:v>
      </x:c>
      <x:c r="Z82" s="82" t="str">
        <x:v>较高</x:v>
      </x:c>
      <x:c r="AA82" s="82" t="str">
        <x:v>子平格局</x:v>
      </x:c>
      <x:c r="AB82" s="68" t="str">
        <x:v>M14只生成和排除格局候选。候选须综合月令、透干、格神有效力量、清纯度、日主配合与全局主导性；候选成立不等于M15最终成格。</x:v>
      </x:c>
      <x:c r="AC82" s="68" t="str">
        <x:v>月令与格神有效性共同支持“格局候选排序”，且没有决定性否决条件。</x:v>
      </x:c>
      <x:c r="AD82" s="90" t="str">
        <x:v>仅见相关十神或五行出现，但月令、格神有效性或全局主导性不成立，不能直接列“格局候选排序”。</x:v>
      </x:c>
      <x:c r="AE82" s="68" t="str">
        <x:v>https://zh.wikisource.org/zh-hans/%E6%B7%B5%E6%B5%B7%E5%AD%90%E5%B9%B3 ; https://zh.wikisource.org/wiki/%E6%BB%B4%E5%A4%A9%E9%AB%93%E9%97%A1%E5%BE%AE</x:v>
      </x:c>
      <x:c r="AF82" s="82" t="str">
        <x:v>采用</x:v>
      </x:c>
      <x:c r="AG82" s="82" t="str">
        <x:v>初审</x:v>
      </x:c>
      <x:c r="AH82" s="87" t="n">
        <x:v>46260</x:v>
      </x:c>
    </x:row>
    <x:row r="83">
      <x:c r="A83" s="72" t="str">
        <x:f>IF(OR(C83="",D83=""),"",B83&amp;"-"&amp;UPPER(C83)&amp;"-"&amp;TEXT(D83,"0000")&amp;"-"&amp;E83)</x:f>
        <x:v>M14-BOUND-0077-V1.0</x:v>
      </x:c>
      <x:c r="B83" s="74" t="str">
        <x:v>M14</x:v>
      </x:c>
      <x:c r="C83" s="74" t="str">
        <x:v>BOUND</x:v>
      </x:c>
      <x:c r="D83" s="215" t="n">
        <x:v>77</x:v>
      </x:c>
      <x:c r="E83" s="74" t="str">
        <x:v>V1.0</x:v>
      </x:c>
      <x:c r="F83" s="68" t="str">
        <x:v>候选状态不等于最终成格</x:v>
      </x:c>
      <x:c r="G83" s="82" t="str">
        <x:v>综合层</x:v>
      </x:c>
      <x:c r="H83" s="82" t="str">
        <x:v>其他</x:v>
      </x:c>
      <x:c r="I83" s="68" t="str">
        <x:v>格局判断边界</x:v>
      </x:c>
      <x:c r="J83" s="68" t="str">
        <x:v>待核查月令主气、中气与全局主势</x:v>
      </x:c>
      <x:c r="K83" s="68" t="str">
        <x:v>透干可增强候选，但不作为所有格局的绝对唯一条件</x:v>
      </x:c>
      <x:c r="L83" s="82" t="str">
        <x:v>待定</x:v>
      </x:c>
      <x:c r="M83" s="68" t="str">
        <x:v>待定</x:v>
      </x:c>
      <x:c r="N83" s="68" t="str">
        <x:v>待定</x:v>
      </x:c>
      <x:c r="O83" s="68" t="str">
        <x:v>结合M09日主旺衰与承载判断</x:v>
      </x:c>
      <x:c r="P83" s="68" t="str">
        <x:v>M14某候选达到候选或基本成立</x:v>
      </x:c>
      <x:c r="Q83" s="68" t="str">
        <x:v>不适用</x:v>
      </x:c>
      <x:c r="R83" s="68" t="str">
        <x:v>格神得令、有根、透达、清纯，并得到有效生扶或制化配合</x:v>
      </x:c>
      <x:c r="S83" s="68" t="str">
        <x:v>存在更强月令主气、格神功能被替代或全局主势明显转向其他结构</x:v>
      </x:c>
      <x:c r="T83" s="90" t="str">
        <x:v>格神失效、无真实功能，或候选只由单一表面十神名称产生</x:v>
      </x:c>
      <x:c r="U83" s="68" t="str">
        <x:v>特殊格局、建禄羊刃及明确从化结构另用专门规则</x:v>
      </x:c>
      <x:c r="V83" s="82" t="str">
        <x:v>候选</x:v>
      </x:c>
      <x:c r="W83" s="68" t="str">
        <x:v>转M15</x:v>
      </x:c>
      <x:c r="X83" s="84" t="str">
        <x:v>候选成格分离</x:v>
      </x:c>
      <x:c r="Y83" s="84" t="str">
        <x:v>M14只说明值得进入M15审查；不得直接写成最终格局、清纯成立或层次高低。</x:v>
      </x:c>
      <x:c r="Z83" s="82" t="str">
        <x:v>较高</x:v>
      </x:c>
      <x:c r="AA83" s="82" t="str">
        <x:v>子平格局</x:v>
      </x:c>
      <x:c r="AB83" s="68" t="str">
        <x:v>M14只生成和排除格局候选。候选须综合月令、透干、格神有效力量、清纯度、日主配合与全局主导性；候选成立不等于M15最终成格。</x:v>
      </x:c>
      <x:c r="AC83" s="68" t="str">
        <x:v>月令与格神有效性共同支持“格局判断边界”，且没有决定性否决条件。</x:v>
      </x:c>
      <x:c r="AD83" s="90" t="str">
        <x:v>仅见相关十神或五行出现，但月令、格神有效性或全局主导性不成立，不能直接列“格局判断边界”。</x:v>
      </x:c>
      <x:c r="AE83" s="68" t="str">
        <x:v>https://zh.wikisource.org/zh-hans/%E6%B7%B5%E6%B5%B7%E5%AD%90%E5%B9%B3 ; https://zh.wikisource.org/wiki/%E6%BB%B4%E5%A4%A9%E9%AB%93%E9%97%A1%E5%BE%AE</x:v>
      </x:c>
      <x:c r="AF83" s="82" t="str">
        <x:v>采用</x:v>
      </x:c>
      <x:c r="AG83" s="82" t="str">
        <x:v>初审</x:v>
      </x:c>
      <x:c r="AH83" s="87" t="n">
        <x:v>46260</x:v>
      </x:c>
    </x:row>
    <x:row r="84">
      <x:c r="A84" s="72" t="str">
        <x:f>IF(OR(C84="",D84=""),"",B84&amp;"-"&amp;UPPER(C84)&amp;"-"&amp;TEXT(D84,"0000")&amp;"-"&amp;E84)</x:f>
        <x:v>M14-BOUND-0078-V1.0</x:v>
      </x:c>
      <x:c r="B84" s="74" t="str">
        <x:v>M14</x:v>
      </x:c>
      <x:c r="C84" s="74" t="str">
        <x:v>BOUND</x:v>
      </x:c>
      <x:c r="D84" s="215" t="n">
        <x:v>78</x:v>
      </x:c>
      <x:c r="E84" s="74" t="str">
        <x:v>V1.0</x:v>
      </x:c>
      <x:c r="F84" s="68" t="str">
        <x:v>不能只凭月令一个字机械定格</x:v>
      </x:c>
      <x:c r="G84" s="82" t="str">
        <x:v>综合层</x:v>
      </x:c>
      <x:c r="H84" s="82" t="str">
        <x:v>其他</x:v>
      </x:c>
      <x:c r="I84" s="68" t="str">
        <x:v>格局判断边界</x:v>
      </x:c>
      <x:c r="J84" s="68" t="str">
        <x:v>月令提供重要候选来源</x:v>
      </x:c>
      <x:c r="K84" s="68" t="str">
        <x:v>透干可增强候选，但不作为所有格局的绝对唯一条件</x:v>
      </x:c>
      <x:c r="L84" s="82" t="str">
        <x:v>待定</x:v>
      </x:c>
      <x:c r="M84" s="68" t="str">
        <x:v>待定</x:v>
      </x:c>
      <x:c r="N84" s="68" t="str">
        <x:v>待定</x:v>
      </x:c>
      <x:c r="O84" s="68" t="str">
        <x:v>结合M09日主旺衰与承载判断</x:v>
      </x:c>
      <x:c r="P84" s="68" t="str">
        <x:v>仍需格神有效性、透干根气、日主配合和全局主导性</x:v>
      </x:c>
      <x:c r="Q84" s="68" t="str">
        <x:v>不适用</x:v>
      </x:c>
      <x:c r="R84" s="68" t="str">
        <x:v>格神得令、有根、透达、清纯，并得到有效生扶或制化配合</x:v>
      </x:c>
      <x:c r="S84" s="68" t="str">
        <x:v>存在更强月令主气、格神功能被替代或全局主势明显转向其他结构</x:v>
      </x:c>
      <x:c r="T84" s="90" t="str">
        <x:v>仅凭月支藏干标签直接定格</x:v>
      </x:c>
      <x:c r="U84" s="68" t="str">
        <x:v>特殊格局、建禄羊刃及明确从化结构另用专门规则</x:v>
      </x:c>
      <x:c r="V84" s="82" t="str">
        <x:v>不成立</x:v>
      </x:c>
      <x:c r="W84" s="68" t="str">
        <x:v>重新生成候选</x:v>
      </x:c>
      <x:c r="X84" s="84" t="str">
        <x:v>禁止月令一字定格</x:v>
      </x:c>
      <x:c r="Y84" s="84" t="str">
        <x:v>格局判断边界列为“不成立”：主要依据为月令与格神有效性；仍需M15检验成格、破格、救应与层次。</x:v>
      </x:c>
      <x:c r="Z84" s="82" t="str">
        <x:v>较高</x:v>
      </x:c>
      <x:c r="AA84" s="82" t="str">
        <x:v>子平格局</x:v>
      </x:c>
      <x:c r="AB84" s="68" t="str">
        <x:v>M14只生成和排除格局候选。候选须综合月令、透干、格神有效力量、清纯度、日主配合与全局主导性；候选成立不等于M15最终成格。</x:v>
      </x:c>
      <x:c r="AC84" s="68" t="str">
        <x:v>月令与格神有效性共同支持“格局判断边界”，且没有决定性否决条件。</x:v>
      </x:c>
      <x:c r="AD84" s="90" t="str">
        <x:v>仅见相关十神或五行出现，但月令、格神有效性或全局主导性不成立，不能直接列“格局判断边界”。</x:v>
      </x:c>
      <x:c r="AE84" s="68" t="str">
        <x:v>https://zh.wikisource.org/zh-hans/%E6%B7%B5%E6%B5%B7%E5%AD%90%E5%B9%B3 ; https://zh.wikisource.org/wiki/%E6%BB%B4%E5%A4%A9%E9%AB%93%E9%97%A1%E5%BE%AE</x:v>
      </x:c>
      <x:c r="AF84" s="82" t="str">
        <x:v>采用</x:v>
      </x:c>
      <x:c r="AG84" s="82" t="str">
        <x:v>初审</x:v>
      </x:c>
      <x:c r="AH84" s="87" t="n">
        <x:v>46260</x:v>
      </x:c>
    </x:row>
    <x:row r="85">
      <x:c r="A85" s="72" t="str">
        <x:f>IF(OR(C85="",D85=""),"",B85&amp;"-"&amp;UPPER(C85)&amp;"-"&amp;TEXT(D85,"0000")&amp;"-"&amp;E85)</x:f>
        <x:v>M14-BOUND-0079-V1.0</x:v>
      </x:c>
      <x:c r="B85" s="74" t="str">
        <x:v>M14</x:v>
      </x:c>
      <x:c r="C85" s="74" t="str">
        <x:v>BOUND</x:v>
      </x:c>
      <x:c r="D85" s="215" t="n">
        <x:v>79</x:v>
      </x:c>
      <x:c r="E85" s="74" t="str">
        <x:v>V1.0</x:v>
      </x:c>
      <x:c r="F85" s="68" t="str">
        <x:v>格局候选不能直接推出富贵贫贱或具体事件</x:v>
      </x:c>
      <x:c r="G85" s="82" t="str">
        <x:v>综合层</x:v>
      </x:c>
      <x:c r="H85" s="82" t="str">
        <x:v>其他</x:v>
      </x:c>
      <x:c r="I85" s="68" t="str">
        <x:v>格局判断边界</x:v>
      </x:c>
      <x:c r="J85" s="68" t="str">
        <x:v>待核查月令主气、中气与全局主势</x:v>
      </x:c>
      <x:c r="K85" s="68" t="str">
        <x:v>透干可增强候选，但不作为所有格局的绝对唯一条件</x:v>
      </x:c>
      <x:c r="L85" s="82" t="str">
        <x:v>待定</x:v>
      </x:c>
      <x:c r="M85" s="68" t="str">
        <x:v>待定</x:v>
      </x:c>
      <x:c r="N85" s="68" t="str">
        <x:v>待定</x:v>
      </x:c>
      <x:c r="O85" s="68" t="str">
        <x:v>结合M09日主旺衰与承载判断</x:v>
      </x:c>
      <x:c r="P85" s="68" t="str">
        <x:v>格局候选已经确定</x:v>
      </x:c>
      <x:c r="Q85" s="68" t="str">
        <x:v>不适用</x:v>
      </x:c>
      <x:c r="R85" s="68" t="str">
        <x:v>格神得令、有根、透达、清纯，并得到有效生扶或制化配合</x:v>
      </x:c>
      <x:c r="S85" s="68" t="str">
        <x:v>存在更强月令主气、格神功能被替代或全局主势明显转向其他结构</x:v>
      </x:c>
      <x:c r="T85" s="90" t="str">
        <x:v>格神失效、无真实功能，或候选只由单一表面十神名称产生</x:v>
      </x:c>
      <x:c r="U85" s="68" t="str">
        <x:v>特殊格局、建禄羊刃及明确从化结构另用专门规则</x:v>
      </x:c>
      <x:c r="V85" s="82" t="str">
        <x:v>待定</x:v>
      </x:c>
      <x:c r="W85" s="68" t="str">
        <x:v>上层模型</x:v>
      </x:c>
      <x:c r="X85" s="84" t="str">
        <x:v>格局事件边界</x:v>
      </x:c>
      <x:c r="Y85" s="84" t="str">
        <x:v>格局候选仅为结构分类，不直接推出财富、职位、婚姻、健康或具体人生事件。</x:v>
      </x:c>
      <x:c r="Z85" s="82" t="str">
        <x:v>较高</x:v>
      </x:c>
      <x:c r="AA85" s="82" t="str">
        <x:v>子平格局</x:v>
      </x:c>
      <x:c r="AB85" s="68" t="str">
        <x:v>M14只生成和排除格局候选。候选须综合月令、透干、格神有效力量、清纯度、日主配合与全局主导性；候选成立不等于M15最终成格。</x:v>
      </x:c>
      <x:c r="AC85" s="68" t="str">
        <x:v>月令与格神有效性共同支持“格局判断边界”，且没有决定性否决条件。</x:v>
      </x:c>
      <x:c r="AD85" s="90" t="str">
        <x:v>仅见相关十神或五行出现，但月令、格神有效性或全局主导性不成立，不能直接列“格局判断边界”。</x:v>
      </x:c>
      <x:c r="AE85" s="68" t="str">
        <x:v>https://zh.wikisource.org/zh-hans/%E6%B7%B5%E6%B5%B7%E5%AD%90%E5%B9%B3 ; https://zh.wikisource.org/wiki/%E6%BB%B4%E5%A4%A9%E9%AB%93%E9%97%A1%E5%BE%AE</x:v>
      </x:c>
      <x:c r="AF85" s="82" t="str">
        <x:v>采用</x:v>
      </x:c>
      <x:c r="AG85" s="82" t="str">
        <x:v>初审</x:v>
      </x:c>
      <x:c r="AH85" s="87" t="n">
        <x:v>46260</x:v>
      </x:c>
    </x:row>
    <x:row r="86">
      <x:c r="A86" s="72" t="str">
        <x:f>IF(OR(C86="",D86=""),"",B86&amp;"-"&amp;UPPER(C86)&amp;"-"&amp;TEXT(D86,"0000")&amp;"-"&amp;E86)</x:f>
        <x:v>M14-BOUND-0080-V1.0</x:v>
      </x:c>
      <x:c r="B86" s="74" t="str">
        <x:v>M14</x:v>
      </x:c>
      <x:c r="C86" s="74" t="str">
        <x:v>BOUND</x:v>
      </x:c>
      <x:c r="D86" s="215" t="n">
        <x:v>80</x:v>
      </x:c>
      <x:c r="E86" s="74" t="str">
        <x:v>V1.0</x:v>
      </x:c>
      <x:c r="F86" s="68" t="str">
        <x:v>原局候选与岁运成格必须分开</x:v>
      </x:c>
      <x:c r="G86" s="82" t="str">
        <x:v>综合层</x:v>
      </x:c>
      <x:c r="H86" s="82" t="str">
        <x:v>其他</x:v>
      </x:c>
      <x:c r="I86" s="68" t="str">
        <x:v>格局判断边界</x:v>
      </x:c>
      <x:c r="J86" s="68" t="str">
        <x:v>待核查月令主气、中气与全局主势</x:v>
      </x:c>
      <x:c r="K86" s="68" t="str">
        <x:v>透干可增强候选，但不作为所有格局的绝对唯一条件</x:v>
      </x:c>
      <x:c r="L86" s="82" t="str">
        <x:v>待定</x:v>
      </x:c>
      <x:c r="M86" s="68" t="str">
        <x:v>待定</x:v>
      </x:c>
      <x:c r="N86" s="68" t="str">
        <x:v>待定</x:v>
      </x:c>
      <x:c r="O86" s="68" t="str">
        <x:v>结合M09日主旺衰与承载判断</x:v>
      </x:c>
      <x:c r="P86" s="68" t="str">
        <x:v>原局缺少关键格神、清化或严格条件，但未来岁运可能补足</x:v>
      </x:c>
      <x:c r="Q86" s="68" t="str">
        <x:v>不适用</x:v>
      </x:c>
      <x:c r="R86" s="68" t="str">
        <x:v>格神得令、有根、透达、清纯，并得到有效生扶或制化配合</x:v>
      </x:c>
      <x:c r="S86" s="68" t="str">
        <x:v>存在更强月令主气、格神功能被替代或全局主势明显转向其他结构</x:v>
      </x:c>
      <x:c r="T86" s="90" t="str">
        <x:v>格神失效、无真实功能，或候选只由单一表面十神名称产生</x:v>
      </x:c>
      <x:c r="U86" s="68" t="str">
        <x:v>岁运补成由动态作用引擎判断</x:v>
      </x:c>
      <x:c r="V86" s="82" t="str">
        <x:v>不成立</x:v>
      </x:c>
      <x:c r="W86" s="68" t="str">
        <x:v>岁运触发候选</x:v>
      </x:c>
      <x:c r="X86" s="84" t="str">
        <x:v>格局静动态边界</x:v>
      </x:c>
      <x:c r="Y86" s="84" t="str">
        <x:v>原局未满足候选门槛时不得用未来岁运提前认定原局成格。</x:v>
      </x:c>
      <x:c r="Z86" s="82" t="str">
        <x:v>较高</x:v>
      </x:c>
      <x:c r="AA86" s="82" t="str">
        <x:v>子平格局</x:v>
      </x:c>
      <x:c r="AB86" s="68" t="str">
        <x:v>M14只生成和排除格局候选。候选须综合月令、透干、格神有效力量、清纯度、日主配合与全局主导性；候选成立不等于M15最终成格。</x:v>
      </x:c>
      <x:c r="AC86" s="68" t="str">
        <x:v>月令与格神有效性共同支持“格局判断边界”，且没有决定性否决条件。</x:v>
      </x:c>
      <x:c r="AD86" s="90" t="str">
        <x:v>仅见相关十神或五行出现，但月令、格神有效性或全局主导性不成立，不能直接列“格局判断边界”。</x:v>
      </x:c>
      <x:c r="AE86" s="68" t="str">
        <x:v>https://zh.wikisource.org/zh-hans/%E6%B7%B5%E6%B5%B7%E5%AD%90%E5%B9%B3 ; https://zh.wikisource.org/wiki/%E6%BB%B4%E5%A4%A9%E9%AB%93%E9%97%A1%E5%BE%AE</x:v>
      </x:c>
      <x:c r="AF86" s="82" t="str">
        <x:v>采用</x:v>
      </x:c>
      <x:c r="AG86" s="82" t="str">
        <x:v>初审</x:v>
      </x:c>
      <x:c r="AH86" s="87" t="n">
        <x:v>46260</x:v>
      </x:c>
    </x:row>
    <x:row r="87">
      <x:c r="A87" s="72" t="str">
        <x:f>IF(OR(C87="",D87=""),"",B87&amp;"-"&amp;UPPER(C87)&amp;"-"&amp;TEXT(D87,"0000")&amp;"-"&amp;E87)</x:f>
      </x:c>
      <x:c r="B87" s="74" t="str">
        <x:v>M14</x:v>
      </x:c>
      <x:c r="C87" s="74"/>
      <x:c r="D87" s="79"/>
      <x:c r="E87" s="74" t="str">
        <x:v>V1.0</x:v>
      </x:c>
      <x:c r="F87" s="68"/>
      <x:c r="G87" s="82"/>
      <x:c r="H87" s="82"/>
      <x:c r="I87" s="68"/>
      <x:c r="J87" s="68"/>
      <x:c r="K87" s="68"/>
      <x:c r="L87" s="82"/>
      <x:c r="M87" s="68"/>
      <x:c r="N87" s="68"/>
      <x:c r="O87" s="68"/>
      <x:c r="P87" s="68"/>
      <x:c r="Q87" s="68"/>
      <x:c r="R87" s="68"/>
      <x:c r="S87" s="68"/>
      <x:c r="T87" s="90"/>
      <x:c r="U87" s="68"/>
      <x:c r="V87" s="82"/>
      <x:c r="W87" s="68"/>
      <x:c r="X87" s="84"/>
      <x:c r="Y87" s="84"/>
      <x:c r="Z87" s="82"/>
      <x:c r="AA87" s="82"/>
      <x:c r="AB87" s="68"/>
      <x:c r="AC87" s="68"/>
      <x:c r="AD87" s="90"/>
      <x:c r="AE87" s="68"/>
      <x:c r="AF87" s="82"/>
      <x:c r="AG87" s="82"/>
      <x:c r="AH87" s="87"/>
    </x:row>
    <x:row r="88">
      <x:c r="A88" s="72" t="str">
        <x:f>IF(OR(C88="",D88=""),"",B88&amp;"-"&amp;UPPER(C88)&amp;"-"&amp;TEXT(D88,"0000")&amp;"-"&amp;E88)</x:f>
      </x:c>
      <x:c r="B88" s="74" t="str">
        <x:v>M14</x:v>
      </x:c>
      <x:c r="C88" s="74"/>
      <x:c r="D88" s="79"/>
      <x:c r="E88" s="74" t="str">
        <x:v>V1.0</x:v>
      </x:c>
      <x:c r="F88" s="68"/>
      <x:c r="G88" s="82"/>
      <x:c r="H88" s="82"/>
      <x:c r="I88" s="68"/>
      <x:c r="J88" s="68"/>
      <x:c r="K88" s="68"/>
      <x:c r="L88" s="82"/>
      <x:c r="M88" s="68"/>
      <x:c r="N88" s="68"/>
      <x:c r="O88" s="68"/>
      <x:c r="P88" s="68"/>
      <x:c r="Q88" s="68"/>
      <x:c r="R88" s="68"/>
      <x:c r="S88" s="68"/>
      <x:c r="T88" s="90"/>
      <x:c r="U88" s="68"/>
      <x:c r="V88" s="82"/>
      <x:c r="W88" s="68"/>
      <x:c r="X88" s="84"/>
      <x:c r="Y88" s="84"/>
      <x:c r="Z88" s="82"/>
      <x:c r="AA88" s="82"/>
      <x:c r="AB88" s="68"/>
      <x:c r="AC88" s="68"/>
      <x:c r="AD88" s="90"/>
      <x:c r="AE88" s="68"/>
      <x:c r="AF88" s="82"/>
      <x:c r="AG88" s="82"/>
      <x:c r="AH88" s="87"/>
    </x:row>
    <x:row r="89">
      <x:c r="A89" s="72" t="str">
        <x:f>IF(OR(C89="",D89=""),"",B89&amp;"-"&amp;UPPER(C89)&amp;"-"&amp;TEXT(D89,"0000")&amp;"-"&amp;E89)</x:f>
      </x:c>
      <x:c r="B89" s="74" t="str">
        <x:v>M14</x:v>
      </x:c>
      <x:c r="C89" s="74"/>
      <x:c r="D89" s="79"/>
      <x:c r="E89" s="74" t="str">
        <x:v>V1.0</x:v>
      </x:c>
      <x:c r="F89" s="68"/>
      <x:c r="G89" s="82"/>
      <x:c r="H89" s="82"/>
      <x:c r="I89" s="68"/>
      <x:c r="J89" s="68"/>
      <x:c r="K89" s="68"/>
      <x:c r="L89" s="82"/>
      <x:c r="M89" s="68"/>
      <x:c r="N89" s="68"/>
      <x:c r="O89" s="68"/>
      <x:c r="P89" s="68"/>
      <x:c r="Q89" s="68"/>
      <x:c r="R89" s="68"/>
      <x:c r="S89" s="68"/>
      <x:c r="T89" s="90"/>
      <x:c r="U89" s="68"/>
      <x:c r="V89" s="82"/>
      <x:c r="W89" s="68"/>
      <x:c r="X89" s="84"/>
      <x:c r="Y89" s="84"/>
      <x:c r="Z89" s="82"/>
      <x:c r="AA89" s="82"/>
      <x:c r="AB89" s="68"/>
      <x:c r="AC89" s="68"/>
      <x:c r="AD89" s="90"/>
      <x:c r="AE89" s="68"/>
      <x:c r="AF89" s="82"/>
      <x:c r="AG89" s="82"/>
      <x:c r="AH89" s="87"/>
    </x:row>
    <x:row r="90">
      <x:c r="A90" s="72" t="str">
        <x:f>IF(OR(C90="",D90=""),"",B90&amp;"-"&amp;UPPER(C90)&amp;"-"&amp;TEXT(D90,"0000")&amp;"-"&amp;E90)</x:f>
      </x:c>
      <x:c r="B90" s="74" t="str">
        <x:v>M14</x:v>
      </x:c>
      <x:c r="C90" s="74"/>
      <x:c r="D90" s="79"/>
      <x:c r="E90" s="74" t="str">
        <x:v>V1.0</x:v>
      </x:c>
      <x:c r="F90" s="68"/>
      <x:c r="G90" s="82"/>
      <x:c r="H90" s="82"/>
      <x:c r="I90" s="68"/>
      <x:c r="J90" s="68"/>
      <x:c r="K90" s="68"/>
      <x:c r="L90" s="82"/>
      <x:c r="M90" s="68"/>
      <x:c r="N90" s="68"/>
      <x:c r="O90" s="68"/>
      <x:c r="P90" s="68"/>
      <x:c r="Q90" s="68"/>
      <x:c r="R90" s="68"/>
      <x:c r="S90" s="68"/>
      <x:c r="T90" s="90"/>
      <x:c r="U90" s="68"/>
      <x:c r="V90" s="82"/>
      <x:c r="W90" s="68"/>
      <x:c r="X90" s="84"/>
      <x:c r="Y90" s="84"/>
      <x:c r="Z90" s="82"/>
      <x:c r="AA90" s="82"/>
      <x:c r="AB90" s="68"/>
      <x:c r="AC90" s="68"/>
      <x:c r="AD90" s="90"/>
      <x:c r="AE90" s="68"/>
      <x:c r="AF90" s="82"/>
      <x:c r="AG90" s="82"/>
      <x:c r="AH90" s="87"/>
    </x:row>
    <x:row r="91">
      <x:c r="A91" s="72" t="str">
        <x:f>IF(OR(C91="",D91=""),"",B91&amp;"-"&amp;UPPER(C91)&amp;"-"&amp;TEXT(D91,"0000")&amp;"-"&amp;E91)</x:f>
      </x:c>
      <x:c r="B91" s="74" t="str">
        <x:v>M14</x:v>
      </x:c>
      <x:c r="C91" s="74"/>
      <x:c r="D91" s="79"/>
      <x:c r="E91" s="74" t="str">
        <x:v>V1.0</x:v>
      </x:c>
      <x:c r="F91" s="68"/>
      <x:c r="G91" s="82"/>
      <x:c r="H91" s="82"/>
      <x:c r="I91" s="68"/>
      <x:c r="J91" s="68"/>
      <x:c r="K91" s="68"/>
      <x:c r="L91" s="82"/>
      <x:c r="M91" s="68"/>
      <x:c r="N91" s="68"/>
      <x:c r="O91" s="68"/>
      <x:c r="P91" s="68"/>
      <x:c r="Q91" s="68"/>
      <x:c r="R91" s="68"/>
      <x:c r="S91" s="68"/>
      <x:c r="T91" s="90"/>
      <x:c r="U91" s="68"/>
      <x:c r="V91" s="82"/>
      <x:c r="W91" s="68"/>
      <x:c r="X91" s="84"/>
      <x:c r="Y91" s="84"/>
      <x:c r="Z91" s="82"/>
      <x:c r="AA91" s="82"/>
      <x:c r="AB91" s="68"/>
      <x:c r="AC91" s="68"/>
      <x:c r="AD91" s="90"/>
      <x:c r="AE91" s="68"/>
      <x:c r="AF91" s="82"/>
      <x:c r="AG91" s="82"/>
      <x:c r="AH91" s="87"/>
    </x:row>
    <x:row r="92">
      <x:c r="A92" s="72" t="str">
        <x:f>IF(OR(C92="",D92=""),"",B92&amp;"-"&amp;UPPER(C92)&amp;"-"&amp;TEXT(D92,"0000")&amp;"-"&amp;E92)</x:f>
      </x:c>
      <x:c r="B92" s="74" t="str">
        <x:v>M14</x:v>
      </x:c>
      <x:c r="C92" s="74"/>
      <x:c r="D92" s="79"/>
      <x:c r="E92" s="74" t="str">
        <x:v>V1.0</x:v>
      </x:c>
      <x:c r="F92" s="68"/>
      <x:c r="G92" s="82"/>
      <x:c r="H92" s="82"/>
      <x:c r="I92" s="68"/>
      <x:c r="J92" s="68"/>
      <x:c r="K92" s="68"/>
      <x:c r="L92" s="82"/>
      <x:c r="M92" s="68"/>
      <x:c r="N92" s="68"/>
      <x:c r="O92" s="68"/>
      <x:c r="P92" s="68"/>
      <x:c r="Q92" s="68"/>
      <x:c r="R92" s="68"/>
      <x:c r="S92" s="68"/>
      <x:c r="T92" s="90"/>
      <x:c r="U92" s="68"/>
      <x:c r="V92" s="82"/>
      <x:c r="W92" s="68"/>
      <x:c r="X92" s="84"/>
      <x:c r="Y92" s="84"/>
      <x:c r="Z92" s="82"/>
      <x:c r="AA92" s="82"/>
      <x:c r="AB92" s="68"/>
      <x:c r="AC92" s="68"/>
      <x:c r="AD92" s="90"/>
      <x:c r="AE92" s="68"/>
      <x:c r="AF92" s="82"/>
      <x:c r="AG92" s="82"/>
      <x:c r="AH92" s="87"/>
    </x:row>
    <x:row r="93">
      <x:c r="A93" s="72" t="str">
        <x:f>IF(OR(C93="",D93=""),"",B93&amp;"-"&amp;UPPER(C93)&amp;"-"&amp;TEXT(D93,"0000")&amp;"-"&amp;E93)</x:f>
      </x:c>
      <x:c r="B93" s="74" t="str">
        <x:v>M14</x:v>
      </x:c>
      <x:c r="C93" s="74"/>
      <x:c r="D93" s="79"/>
      <x:c r="E93" s="74" t="str">
        <x:v>V1.0</x:v>
      </x:c>
      <x:c r="F93" s="68"/>
      <x:c r="G93" s="82"/>
      <x:c r="H93" s="82"/>
      <x:c r="I93" s="68"/>
      <x:c r="J93" s="68"/>
      <x:c r="K93" s="68"/>
      <x:c r="L93" s="82"/>
      <x:c r="M93" s="68"/>
      <x:c r="N93" s="68"/>
      <x:c r="O93" s="68"/>
      <x:c r="P93" s="68"/>
      <x:c r="Q93" s="68"/>
      <x:c r="R93" s="68"/>
      <x:c r="S93" s="68"/>
      <x:c r="T93" s="90"/>
      <x:c r="U93" s="68"/>
      <x:c r="V93" s="82"/>
      <x:c r="W93" s="68"/>
      <x:c r="X93" s="84"/>
      <x:c r="Y93" s="84"/>
      <x:c r="Z93" s="82"/>
      <x:c r="AA93" s="82"/>
      <x:c r="AB93" s="68"/>
      <x:c r="AC93" s="68"/>
      <x:c r="AD93" s="90"/>
      <x:c r="AE93" s="68"/>
      <x:c r="AF93" s="82"/>
      <x:c r="AG93" s="82"/>
      <x:c r="AH93" s="87"/>
    </x:row>
    <x:row r="94">
      <x:c r="A94" s="72" t="str">
        <x:f>IF(OR(C94="",D94=""),"",B94&amp;"-"&amp;UPPER(C94)&amp;"-"&amp;TEXT(D94,"0000")&amp;"-"&amp;E94)</x:f>
      </x:c>
      <x:c r="B94" s="74" t="str">
        <x:v>M14</x:v>
      </x:c>
      <x:c r="C94" s="74"/>
      <x:c r="D94" s="79"/>
      <x:c r="E94" s="74" t="str">
        <x:v>V1.0</x:v>
      </x:c>
      <x:c r="F94" s="68"/>
      <x:c r="G94" s="82"/>
      <x:c r="H94" s="82"/>
      <x:c r="I94" s="68"/>
      <x:c r="J94" s="68"/>
      <x:c r="K94" s="68"/>
      <x:c r="L94" s="82"/>
      <x:c r="M94" s="68"/>
      <x:c r="N94" s="68"/>
      <x:c r="O94" s="68"/>
      <x:c r="P94" s="68"/>
      <x:c r="Q94" s="68"/>
      <x:c r="R94" s="68"/>
      <x:c r="S94" s="68"/>
      <x:c r="T94" s="90"/>
      <x:c r="U94" s="68"/>
      <x:c r="V94" s="82"/>
      <x:c r="W94" s="68"/>
      <x:c r="X94" s="84"/>
      <x:c r="Y94" s="84"/>
      <x:c r="Z94" s="82"/>
      <x:c r="AA94" s="82"/>
      <x:c r="AB94" s="68"/>
      <x:c r="AC94" s="68"/>
      <x:c r="AD94" s="90"/>
      <x:c r="AE94" s="68"/>
      <x:c r="AF94" s="82"/>
      <x:c r="AG94" s="82"/>
      <x:c r="AH94" s="87"/>
    </x:row>
    <x:row r="95">
      <x:c r="A95" s="72" t="str">
        <x:f>IF(OR(C95="",D95=""),"",B95&amp;"-"&amp;UPPER(C95)&amp;"-"&amp;TEXT(D95,"0000")&amp;"-"&amp;E95)</x:f>
      </x:c>
      <x:c r="B95" s="74" t="str">
        <x:v>M14</x:v>
      </x:c>
      <x:c r="C95" s="74"/>
      <x:c r="D95" s="79"/>
      <x:c r="E95" s="74" t="str">
        <x:v>V1.0</x:v>
      </x:c>
      <x:c r="F95" s="68"/>
      <x:c r="G95" s="82"/>
      <x:c r="H95" s="82"/>
      <x:c r="I95" s="68"/>
      <x:c r="J95" s="68"/>
      <x:c r="K95" s="68"/>
      <x:c r="L95" s="82"/>
      <x:c r="M95" s="68"/>
      <x:c r="N95" s="68"/>
      <x:c r="O95" s="68"/>
      <x:c r="P95" s="68"/>
      <x:c r="Q95" s="68"/>
      <x:c r="R95" s="68"/>
      <x:c r="S95" s="68"/>
      <x:c r="T95" s="90"/>
      <x:c r="U95" s="68"/>
      <x:c r="V95" s="82"/>
      <x:c r="W95" s="68"/>
      <x:c r="X95" s="84"/>
      <x:c r="Y95" s="84"/>
      <x:c r="Z95" s="82"/>
      <x:c r="AA95" s="82"/>
      <x:c r="AB95" s="68"/>
      <x:c r="AC95" s="68"/>
      <x:c r="AD95" s="90"/>
      <x:c r="AE95" s="68"/>
      <x:c r="AF95" s="82"/>
      <x:c r="AG95" s="82"/>
      <x:c r="AH95" s="87"/>
    </x:row>
    <x:row r="96">
      <x:c r="A96" s="72" t="str">
        <x:f>IF(OR(C96="",D96=""),"",B96&amp;"-"&amp;UPPER(C96)&amp;"-"&amp;TEXT(D96,"0000")&amp;"-"&amp;E96)</x:f>
      </x:c>
      <x:c r="B96" s="74" t="str">
        <x:v>M14</x:v>
      </x:c>
      <x:c r="C96" s="74"/>
      <x:c r="D96" s="79"/>
      <x:c r="E96" s="74" t="str">
        <x:v>V1.0</x:v>
      </x:c>
      <x:c r="F96" s="68"/>
      <x:c r="G96" s="82"/>
      <x:c r="H96" s="82"/>
      <x:c r="I96" s="68"/>
      <x:c r="J96" s="68"/>
      <x:c r="K96" s="68"/>
      <x:c r="L96" s="82"/>
      <x:c r="M96" s="68"/>
      <x:c r="N96" s="68"/>
      <x:c r="O96" s="68"/>
      <x:c r="P96" s="68"/>
      <x:c r="Q96" s="68"/>
      <x:c r="R96" s="68"/>
      <x:c r="S96" s="68"/>
      <x:c r="T96" s="90"/>
      <x:c r="U96" s="68"/>
      <x:c r="V96" s="82"/>
      <x:c r="W96" s="68"/>
      <x:c r="X96" s="84"/>
      <x:c r="Y96" s="84"/>
      <x:c r="Z96" s="82"/>
      <x:c r="AA96" s="82"/>
      <x:c r="AB96" s="68"/>
      <x:c r="AC96" s="68"/>
      <x:c r="AD96" s="90"/>
      <x:c r="AE96" s="68"/>
      <x:c r="AF96" s="82"/>
      <x:c r="AG96" s="82"/>
      <x:c r="AH96" s="87"/>
    </x:row>
    <x:row r="97">
      <x:c r="A97" s="72" t="str">
        <x:f>IF(OR(C97="",D97=""),"",B97&amp;"-"&amp;UPPER(C97)&amp;"-"&amp;TEXT(D97,"0000")&amp;"-"&amp;E97)</x:f>
      </x:c>
      <x:c r="B97" s="74" t="str">
        <x:v>M14</x:v>
      </x:c>
      <x:c r="C97" s="74"/>
      <x:c r="D97" s="79"/>
      <x:c r="E97" s="74" t="str">
        <x:v>V1.0</x:v>
      </x:c>
      <x:c r="F97" s="68"/>
      <x:c r="G97" s="82"/>
      <x:c r="H97" s="82"/>
      <x:c r="I97" s="68"/>
      <x:c r="J97" s="68"/>
      <x:c r="K97" s="68"/>
      <x:c r="L97" s="82"/>
      <x:c r="M97" s="68"/>
      <x:c r="N97" s="68"/>
      <x:c r="O97" s="68"/>
      <x:c r="P97" s="68"/>
      <x:c r="Q97" s="68"/>
      <x:c r="R97" s="68"/>
      <x:c r="S97" s="68"/>
      <x:c r="T97" s="90"/>
      <x:c r="U97" s="68"/>
      <x:c r="V97" s="82"/>
      <x:c r="W97" s="68"/>
      <x:c r="X97" s="84"/>
      <x:c r="Y97" s="84"/>
      <x:c r="Z97" s="82"/>
      <x:c r="AA97" s="82"/>
      <x:c r="AB97" s="68"/>
      <x:c r="AC97" s="68"/>
      <x:c r="AD97" s="90"/>
      <x:c r="AE97" s="68"/>
      <x:c r="AF97" s="82"/>
      <x:c r="AG97" s="82"/>
      <x:c r="AH97" s="87"/>
    </x:row>
    <x:row r="98">
      <x:c r="A98" s="72" t="str">
        <x:f>IF(OR(C98="",D98=""),"",B98&amp;"-"&amp;UPPER(C98)&amp;"-"&amp;TEXT(D98,"0000")&amp;"-"&amp;E98)</x:f>
      </x:c>
      <x:c r="B98" s="74" t="str">
        <x:v>M14</x:v>
      </x:c>
      <x:c r="C98" s="74"/>
      <x:c r="D98" s="79"/>
      <x:c r="E98" s="74" t="str">
        <x:v>V1.0</x:v>
      </x:c>
      <x:c r="F98" s="68"/>
      <x:c r="G98" s="82"/>
      <x:c r="H98" s="82"/>
      <x:c r="I98" s="68"/>
      <x:c r="J98" s="68"/>
      <x:c r="K98" s="68"/>
      <x:c r="L98" s="82"/>
      <x:c r="M98" s="68"/>
      <x:c r="N98" s="68"/>
      <x:c r="O98" s="68"/>
      <x:c r="P98" s="68"/>
      <x:c r="Q98" s="68"/>
      <x:c r="R98" s="68"/>
      <x:c r="S98" s="68"/>
      <x:c r="T98" s="90"/>
      <x:c r="U98" s="68"/>
      <x:c r="V98" s="82"/>
      <x:c r="W98" s="68"/>
      <x:c r="X98" s="84"/>
      <x:c r="Y98" s="84"/>
      <x:c r="Z98" s="82"/>
      <x:c r="AA98" s="82"/>
      <x:c r="AB98" s="68"/>
      <x:c r="AC98" s="68"/>
      <x:c r="AD98" s="90"/>
      <x:c r="AE98" s="68"/>
      <x:c r="AF98" s="82"/>
      <x:c r="AG98" s="82"/>
      <x:c r="AH98" s="87"/>
    </x:row>
    <x:row r="99">
      <x:c r="A99" s="72" t="str">
        <x:f>IF(OR(C99="",D99=""),"",B99&amp;"-"&amp;UPPER(C99)&amp;"-"&amp;TEXT(D99,"0000")&amp;"-"&amp;E99)</x:f>
      </x:c>
      <x:c r="B99" s="74" t="str">
        <x:v>M14</x:v>
      </x:c>
      <x:c r="C99" s="74"/>
      <x:c r="D99" s="79"/>
      <x:c r="E99" s="74" t="str">
        <x:v>V1.0</x:v>
      </x:c>
      <x:c r="F99" s="68"/>
      <x:c r="G99" s="82"/>
      <x:c r="H99" s="82"/>
      <x:c r="I99" s="68"/>
      <x:c r="J99" s="68"/>
      <x:c r="K99" s="68"/>
      <x:c r="L99" s="82"/>
      <x:c r="M99" s="68"/>
      <x:c r="N99" s="68"/>
      <x:c r="O99" s="68"/>
      <x:c r="P99" s="68"/>
      <x:c r="Q99" s="68"/>
      <x:c r="R99" s="68"/>
      <x:c r="S99" s="68"/>
      <x:c r="T99" s="90"/>
      <x:c r="U99" s="68"/>
      <x:c r="V99" s="82"/>
      <x:c r="W99" s="68"/>
      <x:c r="X99" s="84"/>
      <x:c r="Y99" s="84"/>
      <x:c r="Z99" s="82"/>
      <x:c r="AA99" s="82"/>
      <x:c r="AB99" s="68"/>
      <x:c r="AC99" s="68"/>
      <x:c r="AD99" s="90"/>
      <x:c r="AE99" s="68"/>
      <x:c r="AF99" s="82"/>
      <x:c r="AG99" s="82"/>
      <x:c r="AH99" s="87"/>
    </x:row>
    <x:row r="100">
      <x:c r="A100" s="72" t="str">
        <x:f>IF(OR(C100="",D100=""),"",B100&amp;"-"&amp;UPPER(C100)&amp;"-"&amp;TEXT(D100,"0000")&amp;"-"&amp;E100)</x:f>
      </x:c>
      <x:c r="B100" s="74" t="str">
        <x:v>M14</x:v>
      </x:c>
      <x:c r="C100" s="74"/>
      <x:c r="D100" s="79"/>
      <x:c r="E100" s="74" t="str">
        <x:v>V1.0</x:v>
      </x:c>
      <x:c r="F100" s="68"/>
      <x:c r="G100" s="82"/>
      <x:c r="H100" s="82"/>
      <x:c r="I100" s="68"/>
      <x:c r="J100" s="68"/>
      <x:c r="K100" s="68"/>
      <x:c r="L100" s="82"/>
      <x:c r="M100" s="68"/>
      <x:c r="N100" s="68"/>
      <x:c r="O100" s="68"/>
      <x:c r="P100" s="68"/>
      <x:c r="Q100" s="68"/>
      <x:c r="R100" s="68"/>
      <x:c r="S100" s="68"/>
      <x:c r="T100" s="90"/>
      <x:c r="U100" s="68"/>
      <x:c r="V100" s="82"/>
      <x:c r="W100" s="68"/>
      <x:c r="X100" s="84"/>
      <x:c r="Y100" s="84"/>
      <x:c r="Z100" s="82"/>
      <x:c r="AA100" s="82"/>
      <x:c r="AB100" s="68"/>
      <x:c r="AC100" s="68"/>
      <x:c r="AD100" s="90"/>
      <x:c r="AE100" s="68"/>
      <x:c r="AF100" s="82"/>
      <x:c r="AG100" s="82"/>
      <x:c r="AH100" s="87"/>
    </x:row>
    <x:row r="101">
      <x:c r="A101" s="72" t="str">
        <x:f>IF(OR(C101="",D101=""),"",B101&amp;"-"&amp;UPPER(C101)&amp;"-"&amp;TEXT(D101,"0000")&amp;"-"&amp;E101)</x:f>
      </x:c>
      <x:c r="B101" s="74" t="str">
        <x:v>M14</x:v>
      </x:c>
      <x:c r="C101" s="74"/>
      <x:c r="D101" s="79"/>
      <x:c r="E101" s="74" t="str">
        <x:v>V1.0</x:v>
      </x:c>
      <x:c r="F101" s="68"/>
      <x:c r="G101" s="82"/>
      <x:c r="H101" s="82"/>
      <x:c r="I101" s="68"/>
      <x:c r="J101" s="68"/>
      <x:c r="K101" s="68"/>
      <x:c r="L101" s="82"/>
      <x:c r="M101" s="68"/>
      <x:c r="N101" s="68"/>
      <x:c r="O101" s="68"/>
      <x:c r="P101" s="68"/>
      <x:c r="Q101" s="68"/>
      <x:c r="R101" s="68"/>
      <x:c r="S101" s="68"/>
      <x:c r="T101" s="90"/>
      <x:c r="U101" s="68"/>
      <x:c r="V101" s="82"/>
      <x:c r="W101" s="68"/>
      <x:c r="X101" s="84"/>
      <x:c r="Y101" s="84"/>
      <x:c r="Z101" s="82"/>
      <x:c r="AA101" s="82"/>
      <x:c r="AB101" s="68"/>
      <x:c r="AC101" s="68"/>
      <x:c r="AD101" s="90"/>
      <x:c r="AE101" s="68"/>
      <x:c r="AF101" s="82"/>
      <x:c r="AG101" s="82"/>
      <x:c r="AH101" s="87"/>
    </x:row>
    <x:row r="102">
      <x:c r="A102" s="72" t="str">
        <x:f>IF(OR(C102="",D102=""),"",B102&amp;"-"&amp;UPPER(C102)&amp;"-"&amp;TEXT(D102,"0000")&amp;"-"&amp;E102)</x:f>
      </x:c>
      <x:c r="B102" s="74" t="str">
        <x:v>M14</x:v>
      </x:c>
      <x:c r="C102" s="74"/>
      <x:c r="D102" s="79"/>
      <x:c r="E102" s="74" t="str">
        <x:v>V1.0</x:v>
      </x:c>
      <x:c r="F102" s="68"/>
      <x:c r="G102" s="82"/>
      <x:c r="H102" s="82"/>
      <x:c r="I102" s="68"/>
      <x:c r="J102" s="68"/>
      <x:c r="K102" s="68"/>
      <x:c r="L102" s="82"/>
      <x:c r="M102" s="68"/>
      <x:c r="N102" s="68"/>
      <x:c r="O102" s="68"/>
      <x:c r="P102" s="68"/>
      <x:c r="Q102" s="68"/>
      <x:c r="R102" s="68"/>
      <x:c r="S102" s="68"/>
      <x:c r="T102" s="90"/>
      <x:c r="U102" s="68"/>
      <x:c r="V102" s="82"/>
      <x:c r="W102" s="68"/>
      <x:c r="X102" s="84"/>
      <x:c r="Y102" s="84"/>
      <x:c r="Z102" s="82"/>
      <x:c r="AA102" s="82"/>
      <x:c r="AB102" s="68"/>
      <x:c r="AC102" s="68"/>
      <x:c r="AD102" s="90"/>
      <x:c r="AE102" s="68"/>
      <x:c r="AF102" s="82"/>
      <x:c r="AG102" s="82"/>
      <x:c r="AH102" s="87"/>
    </x:row>
    <x:row r="103">
      <x:c r="A103" s="72" t="str">
        <x:f>IF(OR(C103="",D103=""),"",B103&amp;"-"&amp;UPPER(C103)&amp;"-"&amp;TEXT(D103,"0000")&amp;"-"&amp;E103)</x:f>
      </x:c>
      <x:c r="B103" s="74" t="str">
        <x:v>M14</x:v>
      </x:c>
      <x:c r="C103" s="74"/>
      <x:c r="D103" s="79"/>
      <x:c r="E103" s="74" t="str">
        <x:v>V1.0</x:v>
      </x:c>
      <x:c r="F103" s="68"/>
      <x:c r="G103" s="82"/>
      <x:c r="H103" s="82"/>
      <x:c r="I103" s="68"/>
      <x:c r="J103" s="68"/>
      <x:c r="K103" s="68"/>
      <x:c r="L103" s="82"/>
      <x:c r="M103" s="68"/>
      <x:c r="N103" s="68"/>
      <x:c r="O103" s="68"/>
      <x:c r="P103" s="68"/>
      <x:c r="Q103" s="68"/>
      <x:c r="R103" s="68"/>
      <x:c r="S103" s="68"/>
      <x:c r="T103" s="90"/>
      <x:c r="U103" s="68"/>
      <x:c r="V103" s="82"/>
      <x:c r="W103" s="68"/>
      <x:c r="X103" s="84"/>
      <x:c r="Y103" s="84"/>
      <x:c r="Z103" s="82"/>
      <x:c r="AA103" s="82"/>
      <x:c r="AB103" s="68"/>
      <x:c r="AC103" s="68"/>
      <x:c r="AD103" s="90"/>
      <x:c r="AE103" s="68"/>
      <x:c r="AF103" s="82"/>
      <x:c r="AG103" s="82"/>
      <x:c r="AH103" s="87"/>
    </x:row>
    <x:row r="104">
      <x:c r="A104" s="72" t="str">
        <x:f>IF(OR(C104="",D104=""),"",B104&amp;"-"&amp;UPPER(C104)&amp;"-"&amp;TEXT(D104,"0000")&amp;"-"&amp;E104)</x:f>
      </x:c>
      <x:c r="B104" s="74" t="str">
        <x:v>M14</x:v>
      </x:c>
      <x:c r="C104" s="74"/>
      <x:c r="D104" s="79"/>
      <x:c r="E104" s="74" t="str">
        <x:v>V1.0</x:v>
      </x:c>
      <x:c r="F104" s="68"/>
      <x:c r="G104" s="82"/>
      <x:c r="H104" s="82"/>
      <x:c r="I104" s="68"/>
      <x:c r="J104" s="68"/>
      <x:c r="K104" s="68"/>
      <x:c r="L104" s="82"/>
      <x:c r="M104" s="68"/>
      <x:c r="N104" s="68"/>
      <x:c r="O104" s="68"/>
      <x:c r="P104" s="68"/>
      <x:c r="Q104" s="68"/>
      <x:c r="R104" s="68"/>
      <x:c r="S104" s="68"/>
      <x:c r="T104" s="90"/>
      <x:c r="U104" s="68"/>
      <x:c r="V104" s="82"/>
      <x:c r="W104" s="68"/>
      <x:c r="X104" s="84"/>
      <x:c r="Y104" s="84"/>
      <x:c r="Z104" s="82"/>
      <x:c r="AA104" s="82"/>
      <x:c r="AB104" s="68"/>
      <x:c r="AC104" s="68"/>
      <x:c r="AD104" s="90"/>
      <x:c r="AE104" s="68"/>
      <x:c r="AF104" s="82"/>
      <x:c r="AG104" s="82"/>
      <x:c r="AH104" s="87"/>
    </x:row>
    <x:row r="105">
      <x:c r="A105" s="72" t="str">
        <x:f>IF(OR(C105="",D105=""),"",B105&amp;"-"&amp;UPPER(C105)&amp;"-"&amp;TEXT(D105,"0000")&amp;"-"&amp;E105)</x:f>
      </x:c>
      <x:c r="B105" s="74" t="str">
        <x:v>M14</x:v>
      </x:c>
      <x:c r="C105" s="74"/>
      <x:c r="D105" s="79"/>
      <x:c r="E105" s="74" t="str">
        <x:v>V1.0</x:v>
      </x:c>
      <x:c r="F105" s="68"/>
      <x:c r="G105" s="82"/>
      <x:c r="H105" s="82"/>
      <x:c r="I105" s="68"/>
      <x:c r="J105" s="68"/>
      <x:c r="K105" s="68"/>
      <x:c r="L105" s="82"/>
      <x:c r="M105" s="68"/>
      <x:c r="N105" s="68"/>
      <x:c r="O105" s="68"/>
      <x:c r="P105" s="68"/>
      <x:c r="Q105" s="68"/>
      <x:c r="R105" s="68"/>
      <x:c r="S105" s="68"/>
      <x:c r="T105" s="90"/>
      <x:c r="U105" s="68"/>
      <x:c r="V105" s="82"/>
      <x:c r="W105" s="68"/>
      <x:c r="X105" s="84"/>
      <x:c r="Y105" s="84"/>
      <x:c r="Z105" s="82"/>
      <x:c r="AA105" s="82"/>
      <x:c r="AB105" s="68"/>
      <x:c r="AC105" s="68"/>
      <x:c r="AD105" s="90"/>
      <x:c r="AE105" s="68"/>
      <x:c r="AF105" s="82"/>
      <x:c r="AG105" s="82"/>
      <x:c r="AH105" s="87"/>
    </x:row>
  </x:sheetData>
  <x:mergeCells>
    <x:mergeCell ref="A1:O1"/>
    <x:mergeCell ref="A2:O2"/>
    <x:mergeCell ref="A3:O3"/>
    <x:mergeCell ref="A4:O4"/>
  </x:mergeCells>
  <x:conditionalFormatting sqref="A6:A105">
    <x:cfRule type="expression" dxfId="12" priority="1">
      <x:formula>AND(A6&lt;&gt;"",COUNTIF($A$6:$A$105,A6)&gt;1)</x:formula>
    </x:cfRule>
  </x:conditionalFormatting>
  <x:dataValidations count="20">
    <x:dataValidation type="list" sqref="E6:E105">
      <x:formula1>'99_下拉选项'!$BG$4:$BG$12</x:formula1>
    </x:dataValidation>
    <x:dataValidation type="list" sqref="G6:G105">
      <x:formula1>'99_下拉选项'!$F$4:$F$7</x:formula1>
    </x:dataValidation>
    <x:dataValidation type="list" sqref="H6:H105">
      <x:formula1>'99_下拉选项'!$AC$4:$AC$10</x:formula1>
    </x:dataValidation>
    <x:dataValidation type="list" sqref="L6:L105">
      <x:formula1>'99_下拉选项'!$AE$4:$AE$9</x:formula1>
    </x:dataValidation>
    <x:dataValidation type="list" sqref="V6:V105">
      <x:formula1>'99_下拉选项'!$AD$4:$AD$11</x:formula1>
    </x:dataValidation>
    <x:dataValidation type="list" sqref="Z6:Z105">
      <x:formula1>'99_下拉选项'!$Q$4:$Q$8</x:formula1>
    </x:dataValidation>
    <x:dataValidation type="list" sqref="AA6:AA105">
      <x:formula1>'99_下拉选项'!$R$4:$R$11</x:formula1>
    </x:dataValidation>
    <x:dataValidation type="list" sqref="AF6:AF105">
      <x:formula1>'99_下拉选项'!$S$4:$S$9</x:formula1>
    </x:dataValidation>
    <x:dataValidation type="list" sqref="AG6:AG105">
      <x:formula1>'99_下拉选项'!$T$4:$T$8</x:formula1>
    </x:dataValidation>
    <x:dataValidation type="list" sqref="E6:E130">
      <x:formula1>'99_下拉选项'!$BG$4:$BG$14</x:formula1>
    </x:dataValidation>
    <x:dataValidation type="list" sqref="E7:E105">
      <x:formula1>'99_下拉选项'!$BG$4:$BG$16</x:formula1>
    </x:dataValidation>
    <x:dataValidation type="list" sqref="E7:E86">
      <x:formula1>'99_下拉选项'!$BG$4:$BG$14</x:formula1>
    </x:dataValidation>
    <x:dataValidation type="list" sqref="G7:G86">
      <x:formula1>'99_下拉选项'!$F$4:$F$7</x:formula1>
    </x:dataValidation>
    <x:dataValidation type="list" sqref="H7:H86">
      <x:formula1>'99_下拉选项'!$AC$4:$AC$10</x:formula1>
    </x:dataValidation>
    <x:dataValidation type="list" sqref="L7:L86">
      <x:formula1>'99_下拉选项'!$AE$4:$AE$9</x:formula1>
    </x:dataValidation>
    <x:dataValidation type="list" sqref="V7:V86">
      <x:formula1>'99_下拉选项'!$AD$4:$AD$11</x:formula1>
    </x:dataValidation>
    <x:dataValidation type="list" sqref="Z7:Z86">
      <x:formula1>'99_下拉选项'!$Q$4:$Q$8</x:formula1>
    </x:dataValidation>
    <x:dataValidation type="list" sqref="AA7:AA86">
      <x:formula1>'99_下拉选项'!$R$4:$R$11</x:formula1>
    </x:dataValidation>
    <x:dataValidation type="list" sqref="AF7:AF86">
      <x:formula1>'99_下拉选项'!$S$4:$S$9</x:formula1>
    </x:dataValidation>
    <x:dataValidation type="list" sqref="AG7:AG86">
      <x:formula1>'99_下拉选项'!$T$4:$T$8</x:formula1>
    </x:dataValidation>
  </x:dataValidations>
  <x:pageMargins left="0.7" right="0.7" top="0.75" bottom="0.75" header="0.3" footer="0.3"/>
  <x:tableParts count="1">
    <x:tablePart xmlns:r="http://schemas.openxmlformats.org/officeDocument/2006/relationships" r:id="R54b4f689de864195"/>
  </x:tableParts>
</x:worksheet>
</file>

<file path=xl/worksheets/sheet1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16" hidden="0" customWidth="1"/>
    <x:col min="13" max="13" width="30"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M15｜格局成立、破格与救应规则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对M14候选逐项判断成格、破格、清纯度、救应有效性和层次，保留反向证据，并区分“成立”与“层次高低”。</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前置依赖：M14/M11/M08　｜　主要输出：最终格局、破格、救应与层次　｜　直接下游：M16/M17/M18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关联格局</x:v>
      </x:c>
      <x:c r="I5" s="61" t="str">
        <x:v>成格条件</x:v>
      </x:c>
      <x:c r="J5" s="61" t="str">
        <x:v>成格证据</x:v>
      </x:c>
      <x:c r="K5" s="61" t="str">
        <x:v>破格因素</x:v>
      </x:c>
      <x:c r="L5" s="61" t="str">
        <x:v>破格等级</x:v>
      </x:c>
      <x:c r="M5" s="61" t="str">
        <x:v>救应因素</x:v>
      </x:c>
      <x:c r="N5" s="61" t="str">
        <x:v>救应有效性</x:v>
      </x:c>
      <x:c r="O5" s="61" t="str">
        <x:v>格局状态</x:v>
      </x:c>
      <x:c r="P5" s="61" t="str">
        <x:v>清纯程度</x:v>
      </x:c>
      <x:c r="Q5" s="61" t="str">
        <x:v>层次判断</x:v>
      </x:c>
      <x:c r="R5" s="61" t="str">
        <x:v>前置条件</x:v>
      </x:c>
      <x:c r="S5" s="61" t="str">
        <x:v>必要条件</x:v>
      </x:c>
      <x:c r="T5" s="61" t="str">
        <x:v>增强条件</x:v>
      </x:c>
      <x:c r="U5" s="61" t="str">
        <x:v>削弱条件</x:v>
      </x:c>
      <x:c r="V5" s="61" t="str">
        <x:v>否决条件</x:v>
      </x:c>
      <x:c r="W5" s="61" t="str">
        <x:v>例外条件</x:v>
      </x:c>
      <x:c r="X5" s="61" t="str">
        <x:v>结论标签</x:v>
      </x:c>
      <x:c r="Y5" s="61" t="str">
        <x:v>标准输出</x:v>
      </x:c>
      <x:c r="Z5" s="61" t="str">
        <x:v>反向证据</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M15-DEMO-9999-V0.1</x:v>
      </x:c>
      <x:c r="B6" s="76" t="str">
        <x:v>M15</x:v>
      </x:c>
      <x:c r="C6" s="76" t="str">
        <x:v>DEMO</x:v>
      </x:c>
      <x:c r="D6" s="78" t="n">
        <x:v>9999</x:v>
      </x:c>
      <x:c r="E6" s="76" t="str">
        <x:v>V0.1</x:v>
      </x:c>
      <x:c r="F6" s="76" t="str">
        <x:v>破格后存在有效救应可标记有破有救</x:v>
      </x:c>
      <x:c r="G6" s="76" t="str">
        <x:v>综合层</x:v>
      </x:c>
      <x:c r="H6" s="76" t="str">
        <x:v>伤官配印候选</x:v>
      </x:c>
      <x:c r="I6" s="76" t="str">
        <x:v>伤官有力，印星能有效制伤并护持日主</x:v>
      </x:c>
      <x:c r="J6" s="76" t="str">
        <x:v>伤印作用路径明确</x:v>
      </x:c>
      <x:c r="K6" s="76" t="str">
        <x:v>财星强力坏印</x:v>
      </x:c>
      <x:c r="L6" s="76" t="str">
        <x:v>一般</x:v>
      </x:c>
      <x:c r="M6" s="76" t="str">
        <x:v>比劫制财或财星受合制，印功能恢复</x:v>
      </x:c>
      <x:c r="N6" s="76" t="str">
        <x:v>部分有效</x:v>
      </x:c>
      <x:c r="O6" s="76" t="str">
        <x:v>有破有救</x:v>
      </x:c>
      <x:c r="P6" s="76" t="str">
        <x:v>有杂</x:v>
      </x:c>
      <x:c r="Q6" s="76" t="str">
        <x:v>格局可运行但稳定性下降</x:v>
      </x:c>
      <x:c r="R6" s="76" t="str">
        <x:v>M14候选已成立</x:v>
      </x:c>
      <x:c r="S6" s="76" t="str">
        <x:v>救应必须实际作用于破格因素</x:v>
      </x:c>
      <x:c r="T6" s="76" t="str">
        <x:v>救应有根有力且不产生更大副作用</x:v>
      </x:c>
      <x:c r="U6" s="76" t="str">
        <x:v>救应遥隔、无根或同时破坏格神</x:v>
      </x:c>
      <x:c r="V6" s="76" t="str">
        <x:v>不存在有效作用路径时不得写有救</x:v>
      </x:c>
      <x:c r="W6" s="76" t="str">
        <x:v>救应仅局部有效时须降低格局层次</x:v>
      </x:c>
      <x:c r="X6" s="76" t="str">
        <x:v>格局救应</x:v>
      </x:c>
      <x:c r="Y6" s="76" t="str">
        <x:v>该格局存在破损，但有部分有效救应，故可判“有破有救”；格局稳定性与层次低于清纯成立。</x:v>
      </x:c>
      <x:c r="Z6" s="76" t="str">
        <x:v>若财星持续有力坏印且无制化，则应降为成立但有破或不成立。</x:v>
      </x:c>
      <x:c r="AA6" s="76" t="str">
        <x:v>中等</x:v>
      </x:c>
      <x:c r="AB6" s="76" t="str">
        <x:v>子平格局</x:v>
      </x:c>
      <x:c r="AC6" s="76" t="str">
        <x:v>救应不是“另有好五行”，而是必须对破格机制形成真实修复。</x:v>
      </x:c>
      <x:c r="AD6" s="76" t="str">
        <x:v>财坏印但比劫制财，印功能得到恢复。</x:v>
      </x:c>
      <x:c r="AE6" s="76" t="str">
        <x:v>虽有比劫但与财印无有效作用路径，仍写有救。</x:v>
      </x:c>
      <x:c r="AF6" s="76" t="str">
        <x:v>示例，仅演示字段用法</x:v>
      </x:c>
      <x:c r="AG6" s="76" t="str">
        <x:v>示例</x:v>
      </x:c>
      <x:c r="AH6" s="76" t="str">
        <x:v>未审核</x:v>
      </x:c>
      <x:c r="AI6" s="86" t="n">
        <x:v>46254</x:v>
      </x:c>
    </x:row>
    <x:row r="7">
      <x:c r="A7" s="72" t="str">
        <x:f>IF(OR(C7="",D7=""),"",B7&amp;"-"&amp;UPPER(C7)&amp;"-"&amp;TEXT(D7,"0000")&amp;"-"&amp;E7)</x:f>
        <x:v>M15-GEN-0001-V1.0</x:v>
      </x:c>
      <x:c r="B7" s="74" t="str">
        <x:v>M15</x:v>
      </x:c>
      <x:c r="C7" s="74" t="str">
        <x:v>GEN</x:v>
      </x:c>
      <x:c r="D7" s="215" t="n">
        <x:v>1</x:v>
      </x:c>
      <x:c r="E7" s="74" t="str">
        <x:v>V1.0</x:v>
      </x:c>
      <x:c r="F7" s="68" t="str">
        <x:v>候选只有满足核心成格条件才进入基本成立</x:v>
      </x:c>
      <x:c r="G7" s="82" t="str">
        <x:v>综合层</x:v>
      </x:c>
      <x:c r="H7" s="68" t="str">
        <x:v>所有M14候选</x:v>
      </x:c>
      <x:c r="I7" s="68" t="str">
        <x:v>M14候选具备月令或严格结构依据，格神有效，日主配合，结构可真实运行</x:v>
      </x:c>
      <x:c r="J7" s="68" t="str">
        <x:v>月令依据、格神根气与有效力量、日主配合及M11组合证据相互支持</x:v>
      </x:c>
      <x:c r="K7" s="68" t="str">
        <x:v>无决定性破格因素</x:v>
      </x:c>
      <x:c r="L7" s="82" t="str">
        <x:v>无破</x:v>
      </x:c>
      <x:c r="M7" s="68" t="str">
        <x:v>无须救应</x:v>
      </x:c>
      <x:c r="N7" s="82" t="str">
        <x:v>无救应</x:v>
      </x:c>
      <x:c r="O7" s="84" t="str">
        <x:v>基本成立</x:v>
      </x:c>
      <x:c r="P7" s="82" t="str">
        <x:v>待定</x:v>
      </x:c>
      <x:c r="Q7" s="68" t="str">
        <x:v>达到成格最低门槛，但尚未证明清纯或高层次</x:v>
      </x:c>
      <x:c r="R7" s="68" t="str">
        <x:v>M14已生成候选；M08、M09、M10、M11相关结论可追溯</x:v>
      </x:c>
      <x:c r="S7" s="68" t="str">
        <x:v>格神与关键配合十神均以有效力量和实际功能为准</x:v>
      </x:c>
      <x:c r="T7" s="68" t="str">
        <x:v>格神得令、有根、透达、清纯，组合路径稳定且日主承载匹配</x:v>
      </x:c>
      <x:c r="U7" s="68" t="str">
        <x:v>格神受制、混杂、路径受阻、日主承载不足或救应只能局部作用</x:v>
      </x:c>
      <x:c r="V7" s="90" t="str">
        <x:v>格神失效、核心作用路径完全中断，或特殊格局硬门槛被有效反证否决</x:v>
      </x:c>
      <x:c r="W7" s="68" t="str">
        <x:v>特殊格局严格条件、流派争议及岁运补成另按专门规则处理</x:v>
      </x:c>
      <x:c r="X7" s="84" t="str">
        <x:v>格局最低成立门槛</x:v>
      </x:c>
      <x:c r="Y7" s="84" t="str">
        <x:v>所有M14候选判为“基本成立”：破格等级为“无破”，救应为“无救应”，清纯度为“待定”；层次需结合全局继续评估。</x:v>
      </x:c>
      <x:c r="Z7" s="68" t="str">
        <x:v>若“格神失效、核心作用路径完全中断，或特殊格局硬门槛被有效反证否决”成立，应降低为成立但有破或不成立，不得维持当前结论。</x:v>
      </x:c>
      <x:c r="AA7" s="82" t="str">
        <x:v>较高</x:v>
      </x:c>
      <x:c r="AB7" s="82" t="str">
        <x:v>子平格局</x:v>
      </x:c>
      <x:c r="AC7" s="68" t="str">
        <x:v>格局成败须区分：格神是否有效、结构是否能运行、是否存在破坏、救应是否直接修复破格机制，以及格局成立与层次高低。</x:v>
      </x:c>
      <x:c r="AD7" s="68" t="str">
        <x:v>当“M14候选具备月令或严格结构依据，格神有效，日主配合，结构可真实运行”成立，且成格证据相互支持、无决定性否决时，可按本规则判断。</x:v>
      </x:c>
      <x:c r="AE7" s="90" t="str">
        <x:v>只有格局名称或局部组合，但“格神失效、核心作用路径完全中断，或特殊格局硬门槛被有效反证否决”成立时，不能按本规则维持格局。</x:v>
      </x:c>
      <x:c r="AF7" s="68" t="str">
        <x:v>https://zh.wikisource.org/zh-hans/%E6%B7%B5%E6%B5%B7%E5%AD%90%E5%B9%B3 ; https://zh.wikisource.org/wiki/%E6%BB%B4%E5%A4%A9%E9%AB%93%E9%97%A1%E5%BE%AE</x:v>
      </x:c>
      <x:c r="AG7" s="82" t="str">
        <x:v>采用</x:v>
      </x:c>
      <x:c r="AH7" s="82" t="str">
        <x:v>初审</x:v>
      </x:c>
      <x:c r="AI7" s="87" t="n">
        <x:v>46260</x:v>
      </x:c>
    </x:row>
    <x:row r="8">
      <x:c r="A8" s="72" t="str">
        <x:f>IF(OR(C8="",D8=""),"",B8&amp;"-"&amp;UPPER(C8)&amp;"-"&amp;TEXT(D8,"0000")&amp;"-"&amp;E8)</x:f>
        <x:v>M15-GEN-0002-V1.0</x:v>
      </x:c>
      <x:c r="B8" s="74" t="str">
        <x:v>M15</x:v>
      </x:c>
      <x:c r="C8" s="74" t="str">
        <x:v>GEN</x:v>
      </x:c>
      <x:c r="D8" s="215" t="n">
        <x:v>2</x:v>
      </x:c>
      <x:c r="E8" s="74" t="str">
        <x:v>V1.0</x:v>
      </x:c>
      <x:c r="F8" s="68" t="str">
        <x:v>格神清纯且无实质破坏可判清纯成立</x:v>
      </x:c>
      <x:c r="G8" s="82" t="str">
        <x:v>综合层</x:v>
      </x:c>
      <x:c r="H8" s="68" t="str">
        <x:v>所有M14候选</x:v>
      </x:c>
      <x:c r="I8" s="68" t="str">
        <x:v>格神得令有根、功能主导，关键配合完整，未发现实际破格因素</x:v>
      </x:c>
      <x:c r="J8" s="68" t="str">
        <x:v>月令依据、格神根气与有效力量、日主配合及M11组合证据相互支持</x:v>
      </x:c>
      <x:c r="K8" s="68" t="str">
        <x:v>无实质破格</x:v>
      </x:c>
      <x:c r="L8" s="82" t="str">
        <x:v>无破</x:v>
      </x:c>
      <x:c r="M8" s="68" t="str">
        <x:v>无须救应</x:v>
      </x:c>
      <x:c r="N8" s="82" t="str">
        <x:v>无救应</x:v>
      </x:c>
      <x:c r="O8" s="84" t="str">
        <x:v>清纯成立</x:v>
      </x:c>
      <x:c r="P8" s="82" t="str">
        <x:v>清纯</x:v>
      </x:c>
      <x:c r="Q8" s="68" t="str">
        <x:v>结构完整、主次明确、运行稳定，属于较高质量的成立状态</x:v>
      </x:c>
      <x:c r="R8" s="68" t="str">
        <x:v>M14已生成候选；M08、M09、M10、M11相关结论可追溯</x:v>
      </x:c>
      <x:c r="S8" s="68" t="str">
        <x:v>格神与关键配合十神均以有效力量和实际功能为准</x:v>
      </x:c>
      <x:c r="T8" s="68" t="str">
        <x:v>格神得令、有根、透达、清纯，组合路径稳定且日主承载匹配</x:v>
      </x:c>
      <x:c r="U8" s="68" t="str">
        <x:v>格神受制、混杂、路径受阻、日主承载不足或救应只能局部作用</x:v>
      </x:c>
      <x:c r="V8" s="90" t="str">
        <x:v>格神失效、核心作用路径完全中断，或特殊格局硬门槛被有效反证否决</x:v>
      </x:c>
      <x:c r="W8" s="68" t="str">
        <x:v>特殊格局严格条件、流派争议及岁运补成另按专门规则处理</x:v>
      </x:c>
      <x:c r="X8" s="84" t="str">
        <x:v>清纯成立</x:v>
      </x:c>
      <x:c r="Y8" s="84" t="str">
        <x:v>所有M14候选判为“清纯成立”：破格等级为“无破”，救应为“无救应”，清纯度为“清纯”；层次需结合全局继续评估。</x:v>
      </x:c>
      <x:c r="Z8" s="68" t="str">
        <x:v>若“格神失效、核心作用路径完全中断，或特殊格局硬门槛被有效反证否决”成立，应降低为成立但有破或不成立，不得维持当前结论。</x:v>
      </x:c>
      <x:c r="AA8" s="82" t="str">
        <x:v>较高</x:v>
      </x:c>
      <x:c r="AB8" s="82" t="str">
        <x:v>子平格局</x:v>
      </x:c>
      <x:c r="AC8" s="68" t="str">
        <x:v>格局成败须区分：格神是否有效、结构是否能运行、是否存在破坏、救应是否直接修复破格机制，以及格局成立与层次高低。</x:v>
      </x:c>
      <x:c r="AD8" s="68" t="str">
        <x:v>当“格神得令有根、功能主导，关键配合完整，未发现实际破格因素”成立，且成格证据相互支持、无决定性否决时，可按本规则判断。</x:v>
      </x:c>
      <x:c r="AE8" s="90" t="str">
        <x:v>只有格局名称或局部组合，但“格神失效、核心作用路径完全中断，或特殊格局硬门槛被有效反证否决”成立时，不能按本规则维持格局。</x:v>
      </x:c>
      <x:c r="AF8" s="68" t="str">
        <x:v>https://zh.wikisource.org/zh-hans/%E6%B7%B5%E6%B5%B7%E5%AD%90%E5%B9%B3 ; https://zh.wikisource.org/wiki/%E6%BB%B4%E5%A4%A9%E9%AB%93%E9%97%A1%E5%BE%AE</x:v>
      </x:c>
      <x:c r="AG8" s="82" t="str">
        <x:v>采用</x:v>
      </x:c>
      <x:c r="AH8" s="82" t="str">
        <x:v>初审</x:v>
      </x:c>
      <x:c r="AI8" s="87" t="n">
        <x:v>46260</x:v>
      </x:c>
    </x:row>
    <x:row r="9">
      <x:c r="A9" s="72" t="str">
        <x:f>IF(OR(C9="",D9=""),"",B9&amp;"-"&amp;UPPER(C9)&amp;"-"&amp;TEXT(D9,"0000")&amp;"-"&amp;E9)</x:f>
        <x:v>M15-GEN-0003-V1.0</x:v>
      </x:c>
      <x:c r="B9" s="74" t="str">
        <x:v>M15</x:v>
      </x:c>
      <x:c r="C9" s="74" t="str">
        <x:v>GEN</x:v>
      </x:c>
      <x:c r="D9" s="215" t="n">
        <x:v>3</x:v>
      </x:c>
      <x:c r="E9" s="74" t="str">
        <x:v>V1.0</x:v>
      </x:c>
      <x:c r="F9" s="68" t="str">
        <x:v>轻微破损不否决格局但降低稳定性</x:v>
      </x:c>
      <x:c r="G9" s="82" t="str">
        <x:v>综合层</x:v>
      </x:c>
      <x:c r="H9" s="68" t="str">
        <x:v>所有M14候选</x:v>
      </x:c>
      <x:c r="I9" s="68" t="str">
        <x:v>格局核心条件仍成立，破坏只影响局部节点或次级功能</x:v>
      </x:c>
      <x:c r="J9" s="68" t="str">
        <x:v>月令依据、格神根气与有效力量、日主配合及M11组合证据相互支持</x:v>
      </x:c>
      <x:c r="K9" s="68" t="str">
        <x:v>存在局部合绊、轻制、轻杂或次级通路受阻</x:v>
      </x:c>
      <x:c r="L9" s="82" t="str">
        <x:v>轻微</x:v>
      </x:c>
      <x:c r="M9" s="68" t="str">
        <x:v>无须救应</x:v>
      </x:c>
      <x:c r="N9" s="82" t="str">
        <x:v>无救应</x:v>
      </x:c>
      <x:c r="O9" s="84" t="str">
        <x:v>成立但有破</x:v>
      </x:c>
      <x:c r="P9" s="82" t="str">
        <x:v>有杂</x:v>
      </x:c>
      <x:c r="Q9" s="68" t="str">
        <x:v>格局可运行，但稳定性和清纯度低于无破结构</x:v>
      </x:c>
      <x:c r="R9" s="68" t="str">
        <x:v>M14已生成候选；M08、M09、M10、M11相关结论可追溯</x:v>
      </x:c>
      <x:c r="S9" s="68" t="str">
        <x:v>格神与关键配合十神均以有效力量和实际功能为准</x:v>
      </x:c>
      <x:c r="T9" s="68" t="str">
        <x:v>格神得令、有根、透达、清纯，组合路径稳定且日主承载匹配</x:v>
      </x:c>
      <x:c r="U9" s="68" t="str">
        <x:v>格神受制、混杂、路径受阻、日主承载不足或救应只能局部作用</x:v>
      </x:c>
      <x:c r="V9" s="90" t="str">
        <x:v>格神失效、核心作用路径完全中断，或特殊格局硬门槛被有效反证否决</x:v>
      </x:c>
      <x:c r="W9" s="68" t="str">
        <x:v>特殊格局严格条件、流派争议及岁运补成另按专门规则处理</x:v>
      </x:c>
      <x:c r="X9" s="84" t="str">
        <x:v>轻微破格</x:v>
      </x:c>
      <x:c r="Y9" s="84" t="str">
        <x:v>所有M14候选判为“成立但有破”：破格等级为“轻微”，救应为“无救应”，清纯度为“有杂”；层次需结合全局继续评估。</x:v>
      </x:c>
      <x:c r="Z9" s="68" t="str">
        <x:v>若“格神失效、核心作用路径完全中断，或特殊格局硬门槛被有效反证否决”成立，应降低为成立但有破或不成立，不得维持当前结论。</x:v>
      </x:c>
      <x:c r="AA9" s="82" t="str">
        <x:v>较高</x:v>
      </x:c>
      <x:c r="AB9" s="82" t="str">
        <x:v>子平格局</x:v>
      </x:c>
      <x:c r="AC9" s="68" t="str">
        <x:v>格局成败须区分：格神是否有效、结构是否能运行、是否存在破坏、救应是否直接修复破格机制，以及格局成立与层次高低。</x:v>
      </x:c>
      <x:c r="AD9" s="68" t="str">
        <x:v>当“格局核心条件仍成立，破坏只影响局部节点或次级功能”成立，且成格证据相互支持、无决定性否决时，可按本规则判断。</x:v>
      </x:c>
      <x:c r="AE9" s="90" t="str">
        <x:v>只有格局名称或局部组合，但“格神失效、核心作用路径完全中断，或特殊格局硬门槛被有效反证否决”成立时，不能按本规则维持格局。</x:v>
      </x:c>
      <x:c r="AF9" s="68" t="str">
        <x:v>https://zh.wikisource.org/zh-hans/%E6%B7%B5%E6%B5%B7%E5%AD%90%E5%B9%B3 ; https://zh.wikisource.org/wiki/%E6%BB%B4%E5%A4%A9%E9%AB%93%E9%97%A1%E5%BE%AE</x:v>
      </x:c>
      <x:c r="AG9" s="82" t="str">
        <x:v>采用</x:v>
      </x:c>
      <x:c r="AH9" s="82" t="str">
        <x:v>初审</x:v>
      </x:c>
      <x:c r="AI9" s="87" t="n">
        <x:v>46260</x:v>
      </x:c>
    </x:row>
    <x:row r="10">
      <x:c r="A10" s="72" t="str">
        <x:f>IF(OR(C10="",D10=""),"",B10&amp;"-"&amp;UPPER(C10)&amp;"-"&amp;TEXT(D10,"0000")&amp;"-"&amp;E10)</x:f>
        <x:v>M15-GEN-0004-V1.0</x:v>
      </x:c>
      <x:c r="B10" s="74" t="str">
        <x:v>M15</x:v>
      </x:c>
      <x:c r="C10" s="74" t="str">
        <x:v>GEN</x:v>
      </x:c>
      <x:c r="D10" s="215" t="n">
        <x:v>4</x:v>
      </x:c>
      <x:c r="E10" s="74" t="str">
        <x:v>V1.0</x:v>
      </x:c>
      <x:c r="F10" s="68" t="str">
        <x:v>一般破格会明显降低格局层次</x:v>
      </x:c>
      <x:c r="G10" s="82" t="str">
        <x:v>综合层</x:v>
      </x:c>
      <x:c r="H10" s="68" t="str">
        <x:v>所有M14候选</x:v>
      </x:c>
      <x:c r="I10" s="68" t="str">
        <x:v>格局核心仍未完全失效，但格神、关键配合或日主承载受到明显损伤</x:v>
      </x:c>
      <x:c r="J10" s="68" t="str">
        <x:v>月令依据、格神根气与有效力量、日主配合及M11组合证据相互支持</x:v>
      </x:c>
      <x:c r="K10" s="68" t="str">
        <x:v>关键节点受制、混杂、比例失衡或主路径局部中断</x:v>
      </x:c>
      <x:c r="L10" s="82" t="str">
        <x:v>一般</x:v>
      </x:c>
      <x:c r="M10" s="68" t="str">
        <x:v>无须救应</x:v>
      </x:c>
      <x:c r="N10" s="82" t="str">
        <x:v>无救应</x:v>
      </x:c>
      <x:c r="O10" s="84" t="str">
        <x:v>成立但有破</x:v>
      </x:c>
      <x:c r="P10" s="82" t="str">
        <x:v>混杂</x:v>
      </x:c>
      <x:c r="Q10" s="68" t="str">
        <x:v>格局只能部分运行，层次和可持续性明显下降</x:v>
      </x:c>
      <x:c r="R10" s="68" t="str">
        <x:v>M14已生成候选；M08、M09、M10、M11相关结论可追溯</x:v>
      </x:c>
      <x:c r="S10" s="68" t="str">
        <x:v>格神与关键配合十神均以有效力量和实际功能为准</x:v>
      </x:c>
      <x:c r="T10" s="68" t="str">
        <x:v>格神得令、有根、透达、清纯，组合路径稳定且日主承载匹配</x:v>
      </x:c>
      <x:c r="U10" s="68" t="str">
        <x:v>格神受制、混杂、路径受阻、日主承载不足或救应只能局部作用</x:v>
      </x:c>
      <x:c r="V10" s="90" t="str">
        <x:v>格神失效、核心作用路径完全中断，或特殊格局硬门槛被有效反证否决</x:v>
      </x:c>
      <x:c r="W10" s="68" t="str">
        <x:v>特殊格局严格条件、流派争议及岁运补成另按专门规则处理</x:v>
      </x:c>
      <x:c r="X10" s="84" t="str">
        <x:v>一般破格</x:v>
      </x:c>
      <x:c r="Y10" s="84" t="str">
        <x:v>所有M14候选判为“成立但有破”：破格等级为“一般”，救应为“无救应”，清纯度为“混杂”；层次需结合全局继续评估。</x:v>
      </x:c>
      <x:c r="Z10" s="68" t="str">
        <x:v>若“格神失效、核心作用路径完全中断，或特殊格局硬门槛被有效反证否决”成立，应降低为成立但有破或不成立，不得维持当前结论。</x:v>
      </x:c>
      <x:c r="AA10" s="82" t="str">
        <x:v>较高</x:v>
      </x:c>
      <x:c r="AB10" s="82" t="str">
        <x:v>子平格局</x:v>
      </x:c>
      <x:c r="AC10" s="68" t="str">
        <x:v>格局成败须区分：格神是否有效、结构是否能运行、是否存在破坏、救应是否直接修复破格机制，以及格局成立与层次高低。</x:v>
      </x:c>
      <x:c r="AD10" s="68" t="str">
        <x:v>当“格局核心仍未完全失效，但格神、关键配合或日主承载受到明显损伤”成立，且成格证据相互支持、无决定性否决时，可按本规则判断。</x:v>
      </x:c>
      <x:c r="AE10" s="90" t="str">
        <x:v>只有格局名称或局部组合，但“格神失效、核心作用路径完全中断，或特殊格局硬门槛被有效反证否决”成立时，不能按本规则维持格局。</x:v>
      </x:c>
      <x:c r="AF10" s="68" t="str">
        <x:v>https://zh.wikisource.org/zh-hans/%E6%B7%B5%E6%B5%B7%E5%AD%90%E5%B9%B3 ; https://zh.wikisource.org/wiki/%E6%BB%B4%E5%A4%A9%E9%AB%93%E9%97%A1%E5%BE%AE</x:v>
      </x:c>
      <x:c r="AG10" s="82" t="str">
        <x:v>采用</x:v>
      </x:c>
      <x:c r="AH10" s="82" t="str">
        <x:v>初审</x:v>
      </x:c>
      <x:c r="AI10" s="87" t="n">
        <x:v>46260</x:v>
      </x:c>
    </x:row>
    <x:row r="11">
      <x:c r="A11" s="72" t="str">
        <x:f>IF(OR(C11="",D11=""),"",B11&amp;"-"&amp;UPPER(C11)&amp;"-"&amp;TEXT(D11,"0000")&amp;"-"&amp;E11)</x:f>
        <x:v>M15-GEN-0005-V1.0</x:v>
      </x:c>
      <x:c r="B11" s="74" t="str">
        <x:v>M15</x:v>
      </x:c>
      <x:c r="C11" s="74" t="str">
        <x:v>GEN</x:v>
      </x:c>
      <x:c r="D11" s="215" t="n">
        <x:v>5</x:v>
      </x:c>
      <x:c r="E11" s="74" t="str">
        <x:v>V1.0</x:v>
      </x:c>
      <x:c r="F11" s="68" t="str">
        <x:v>严重破格使格局接近失去主导性</x:v>
      </x:c>
      <x:c r="G11" s="82" t="str">
        <x:v>综合层</x:v>
      </x:c>
      <x:c r="H11" s="68" t="str">
        <x:v>所有M14候选</x:v>
      </x:c>
      <x:c r="I11" s="68" t="str">
        <x:v>候选曾具成格基础，但主要格神或关键配合受到严重损伤</x:v>
      </x:c>
      <x:c r="J11" s="68" t="str">
        <x:v>月令依据、格神根气与有效力量、日主配合及M11组合证据相互支持</x:v>
      </x:c>
      <x:c r="K11" s="68" t="str">
        <x:v>格神受重制、关键用神失效、主结构被另一集团夺权</x:v>
      </x:c>
      <x:c r="L11" s="82" t="str">
        <x:v>严重</x:v>
      </x:c>
      <x:c r="M11" s="68" t="str">
        <x:v>无须救应</x:v>
      </x:c>
      <x:c r="N11" s="82" t="str">
        <x:v>无救应</x:v>
      </x:c>
      <x:c r="O11" s="84" t="str">
        <x:v>成立但有破</x:v>
      </x:c>
      <x:c r="P11" s="82" t="str">
        <x:v>严重混杂</x:v>
      </x:c>
      <x:c r="Q11" s="68" t="str">
        <x:v>仅保留残余格局功能，通常不再作为清晰主格</x:v>
      </x:c>
      <x:c r="R11" s="68" t="str">
        <x:v>M14已生成候选；M08、M09、M10、M11相关结论可追溯</x:v>
      </x:c>
      <x:c r="S11" s="68" t="str">
        <x:v>格神与关键配合十神均以有效力量和实际功能为准</x:v>
      </x:c>
      <x:c r="T11" s="68" t="str">
        <x:v>格神得令、有根、透达、清纯，组合路径稳定且日主承载匹配</x:v>
      </x:c>
      <x:c r="U11" s="68" t="str">
        <x:v>格神受制、混杂、路径受阻、日主承载不足或救应只能局部作用</x:v>
      </x:c>
      <x:c r="V11" s="90" t="str">
        <x:v>格神失效、核心作用路径完全中断，或特殊格局硬门槛被有效反证否决</x:v>
      </x:c>
      <x:c r="W11" s="68" t="str">
        <x:v>特殊格局严格条件、流派争议及岁运补成另按专门规则处理</x:v>
      </x:c>
      <x:c r="X11" s="84" t="str">
        <x:v>严重破格</x:v>
      </x:c>
      <x:c r="Y11" s="84" t="str">
        <x:v>所有M14候选判为“成立但有破”：破格等级为“严重”，救应为“无救应”，清纯度为“严重混杂”；层次需结合全局继续评估。</x:v>
      </x:c>
      <x:c r="Z11" s="68" t="str">
        <x:v>若“格神失效、核心作用路径完全中断，或特殊格局硬门槛被有效反证否决”成立，应降低为成立但有破或不成立，不得维持当前结论。</x:v>
      </x:c>
      <x:c r="AA11" s="82" t="str">
        <x:v>较高</x:v>
      </x:c>
      <x:c r="AB11" s="82" t="str">
        <x:v>子平格局</x:v>
      </x:c>
      <x:c r="AC11" s="68" t="str">
        <x:v>格局成败须区分：格神是否有效、结构是否能运行、是否存在破坏、救应是否直接修复破格机制，以及格局成立与层次高低。</x:v>
      </x:c>
      <x:c r="AD11" s="68" t="str">
        <x:v>当“候选曾具成格基础，但主要格神或关键配合受到严重损伤”成立，且成格证据相互支持、无决定性否决时，可按本规则判断。</x:v>
      </x:c>
      <x:c r="AE11" s="90" t="str">
        <x:v>只有格局名称或局部组合，但“格神失效、核心作用路径完全中断，或特殊格局硬门槛被有效反证否决”成立时，不能按本规则维持格局。</x:v>
      </x:c>
      <x:c r="AF11" s="68" t="str">
        <x:v>https://zh.wikisource.org/zh-hans/%E6%B7%B5%E6%B5%B7%E5%AD%90%E5%B9%B3 ; https://zh.wikisource.org/wiki/%E6%BB%B4%E5%A4%A9%E9%AB%93%E9%97%A1%E5%BE%AE</x:v>
      </x:c>
      <x:c r="AG11" s="82" t="str">
        <x:v>采用</x:v>
      </x:c>
      <x:c r="AH11" s="82" t="str">
        <x:v>初审</x:v>
      </x:c>
      <x:c r="AI11" s="87" t="n">
        <x:v>46260</x:v>
      </x:c>
    </x:row>
    <x:row r="12">
      <x:c r="A12" s="72" t="str">
        <x:f>IF(OR(C12="",D12=""),"",B12&amp;"-"&amp;UPPER(C12)&amp;"-"&amp;TEXT(D12,"0000")&amp;"-"&amp;E12)</x:f>
        <x:v>M15-GEN-0006-V1.0</x:v>
      </x:c>
      <x:c r="B12" s="74" t="str">
        <x:v>M15</x:v>
      </x:c>
      <x:c r="C12" s="74" t="str">
        <x:v>GEN</x:v>
      </x:c>
      <x:c r="D12" s="215" t="n">
        <x:v>6</x:v>
      </x:c>
      <x:c r="E12" s="74" t="str">
        <x:v>V1.0</x:v>
      </x:c>
      <x:c r="F12" s="68" t="str">
        <x:v>根本破格应判格局不成立</x:v>
      </x:c>
      <x:c r="G12" s="82" t="str">
        <x:v>综合层</x:v>
      </x:c>
      <x:c r="H12" s="68" t="str">
        <x:v>所有M14候选</x:v>
      </x:c>
      <x:c r="I12" s="68" t="str">
        <x:v>表面候选存在，但格神失效或核心结构不能运行</x:v>
      </x:c>
      <x:c r="J12" s="68" t="str">
        <x:v>月令依据、格神根气与有效力量、日主配合及M11组合证据相互支持</x:v>
      </x:c>
      <x:c r="K12" s="68" t="str">
        <x:v>格神被制化至失效、核心路径完全切断或特殊格局硬门槛失败</x:v>
      </x:c>
      <x:c r="L12" s="82" t="str">
        <x:v>根本破格</x:v>
      </x:c>
      <x:c r="M12" s="68" t="str">
        <x:v>无有效救应</x:v>
      </x:c>
      <x:c r="N12" s="82" t="str">
        <x:v>无救应</x:v>
      </x:c>
      <x:c r="O12" s="84" t="str">
        <x:v>不成立</x:v>
      </x:c>
      <x:c r="P12" s="82" t="str">
        <x:v>待定</x:v>
      </x:c>
      <x:c r="Q12" s="68" t="str">
        <x:v>格局名称不能成立，应返回M14替代候选</x:v>
      </x:c>
      <x:c r="R12" s="68" t="str">
        <x:v>M14已生成候选；M08、M09、M10、M11相关结论可追溯</x:v>
      </x:c>
      <x:c r="S12" s="68" t="str">
        <x:v>格神与关键配合十神均以有效力量和实际功能为准</x:v>
      </x:c>
      <x:c r="T12" s="68" t="str">
        <x:v>格神得令、有根、透达、清纯，组合路径稳定且日主承载匹配</x:v>
      </x:c>
      <x:c r="U12" s="68" t="str">
        <x:v>格神受制、混杂、路径受阻、日主承载不足或救应只能局部作用</x:v>
      </x:c>
      <x:c r="V12" s="90" t="str">
        <x:v>格神失效、核心作用路径完全中断，或特殊格局硬门槛被有效反证否决</x:v>
      </x:c>
      <x:c r="W12" s="68" t="str">
        <x:v>特殊格局严格条件、流派争议及岁运补成另按专门规则处理</x:v>
      </x:c>
      <x:c r="X12" s="84" t="str">
        <x:v>根本破格否决</x:v>
      </x:c>
      <x:c r="Y12" s="84" t="str">
        <x:v>所有M14候选判为“不成立”：破格等级为“根本破格”，救应为“无救应”，清纯度为“待定”；层次需结合全局继续评估。</x:v>
      </x:c>
      <x:c r="Z12" s="68" t="str">
        <x:v>若“格神失效、核心作用路径完全中断，或特殊格局硬门槛被有效反证否决”成立，应降低为成立但有破或不成立，不得维持当前结论。</x:v>
      </x:c>
      <x:c r="AA12" s="82" t="str">
        <x:v>较高</x:v>
      </x:c>
      <x:c r="AB12" s="82" t="str">
        <x:v>子平格局</x:v>
      </x:c>
      <x:c r="AC12" s="68" t="str">
        <x:v>格局成败须区分：格神是否有效、结构是否能运行、是否存在破坏、救应是否直接修复破格机制，以及格局成立与层次高低。</x:v>
      </x:c>
      <x:c r="AD12" s="68" t="str">
        <x:v>当“表面候选存在，但格神失效或核心结构不能运行”成立，且成格证据相互支持、无决定性否决时，可按本规则判断。</x:v>
      </x:c>
      <x:c r="AE12" s="90" t="str">
        <x:v>只有格局名称或局部组合，但“格神失效、核心作用路径完全中断，或特殊格局硬门槛被有效反证否决”成立时，不能按本规则维持格局。</x:v>
      </x:c>
      <x:c r="AF12" s="68" t="str">
        <x:v>https://zh.wikisource.org/zh-hans/%E6%B7%B5%E6%B5%B7%E5%AD%90%E5%B9%B3 ; https://zh.wikisource.org/wiki/%E6%BB%B4%E5%A4%A9%E9%AB%93%E9%97%A1%E5%BE%AE</x:v>
      </x:c>
      <x:c r="AG12" s="82" t="str">
        <x:v>采用</x:v>
      </x:c>
      <x:c r="AH12" s="82" t="str">
        <x:v>初审</x:v>
      </x:c>
      <x:c r="AI12" s="87" t="n">
        <x:v>46260</x:v>
      </x:c>
    </x:row>
    <x:row r="13">
      <x:c r="A13" s="72" t="str">
        <x:f>IF(OR(C13="",D13=""),"",B13&amp;"-"&amp;UPPER(C13)&amp;"-"&amp;TEXT(D13,"0000")&amp;"-"&amp;E13)</x:f>
        <x:v>M15-GEN-0007-V1.0</x:v>
      </x:c>
      <x:c r="B13" s="74" t="str">
        <x:v>M15</x:v>
      </x:c>
      <x:c r="C13" s="74" t="str">
        <x:v>GEN</x:v>
      </x:c>
      <x:c r="D13" s="215" t="n">
        <x:v>7</x:v>
      </x:c>
      <x:c r="E13" s="74" t="str">
        <x:v>V1.0</x:v>
      </x:c>
      <x:c r="F13" s="68" t="str">
        <x:v>救应必须直接修复破格机制</x:v>
      </x:c>
      <x:c r="G13" s="82" t="str">
        <x:v>综合层</x:v>
      </x:c>
      <x:c r="H13" s="68" t="str">
        <x:v>所有M14候选</x:v>
      </x:c>
      <x:c r="I13" s="68" t="str">
        <x:v>格局存在明确破格因素，同时出现第三力量</x:v>
      </x:c>
      <x:c r="J13" s="68" t="str">
        <x:v>第三力量与破格因素存在真实作用路径，能恢复格神或关键配合</x:v>
      </x:c>
      <x:c r="K13" s="68" t="str">
        <x:v>已有破格</x:v>
      </x:c>
      <x:c r="L13" s="82" t="str">
        <x:v>一般</x:v>
      </x:c>
      <x:c r="M13" s="68" t="str">
        <x:v>直接制去、合住、通关或重新生扶受损关键节点</x:v>
      </x:c>
      <x:c r="N13" s="82" t="str">
        <x:v>部分有效</x:v>
      </x:c>
      <x:c r="O13" s="84" t="str">
        <x:v>有破有救</x:v>
      </x:c>
      <x:c r="P13" s="82" t="str">
        <x:v>有杂</x:v>
      </x:c>
      <x:c r="Q13" s="68" t="str">
        <x:v>救应只在实际修复破格时有效，不因另有喜神而自动称救</x:v>
      </x:c>
      <x:c r="R13" s="68" t="str">
        <x:v>M14已生成候选；M08、M09、M10、M11相关结论可追溯</x:v>
      </x:c>
      <x:c r="S13" s="68" t="str">
        <x:v>格神与关键配合十神均以有效力量和实际功能为准</x:v>
      </x:c>
      <x:c r="T13" s="68" t="str">
        <x:v>格神得令、有根、透达、清纯，组合路径稳定且日主承载匹配</x:v>
      </x:c>
      <x:c r="U13" s="68" t="str">
        <x:v>格神受制、混杂、路径受阻、日主承载不足或救应只能局部作用</x:v>
      </x:c>
      <x:c r="V13" s="90" t="str">
        <x:v>格神失效、核心作用路径完全中断，或特殊格局硬门槛被有效反证否决</x:v>
      </x:c>
      <x:c r="W13" s="68" t="str">
        <x:v>特殊格局严格条件、流派争议及岁运补成另按专门规则处理</x:v>
      </x:c>
      <x:c r="X13" s="84" t="str">
        <x:v>救应直接性</x:v>
      </x:c>
      <x:c r="Y13" s="84" t="str">
        <x:v>所有M14候选判为“有破有救”：破格等级为“一般”，救应为“部分有效”，清纯度为“有杂”；层次需结合全局继续评估。</x:v>
      </x:c>
      <x:c r="Z13" s="68" t="str">
        <x:v>若“格神失效、核心作用路径完全中断，或特殊格局硬门槛被有效反证否决”成立，应降低为成立但有破或不成立，不得维持当前结论。</x:v>
      </x:c>
      <x:c r="AA13" s="82" t="str">
        <x:v>较高</x:v>
      </x:c>
      <x:c r="AB13" s="82" t="str">
        <x:v>子平格局</x:v>
      </x:c>
      <x:c r="AC13" s="68" t="str">
        <x:v>格局成败须区分：格神是否有效、结构是否能运行、是否存在破坏、救应是否直接修复破格机制，以及格局成立与层次高低。</x:v>
      </x:c>
      <x:c r="AD13" s="68" t="str">
        <x:v>当“格局存在明确破格因素，同时出现第三力量”成立，且成格证据相互支持、无决定性否决时，可按本规则判断。</x:v>
      </x:c>
      <x:c r="AE13" s="90" t="str">
        <x:v>只有格局名称或局部组合，但“格神失效、核心作用路径完全中断，或特殊格局硬门槛被有效反证否决”成立时，不能按本规则维持格局。</x:v>
      </x:c>
      <x:c r="AF13" s="68" t="str">
        <x:v>https://zh.wikisource.org/zh-hans/%E6%B7%B5%E6%B5%B7%E5%AD%90%E5%B9%B3 ; https://zh.wikisource.org/wiki/%E6%BB%B4%E5%A4%A9%E9%AB%93%E9%97%A1%E5%BE%AE</x:v>
      </x:c>
      <x:c r="AG13" s="82" t="str">
        <x:v>采用</x:v>
      </x:c>
      <x:c r="AH13" s="82" t="str">
        <x:v>初审</x:v>
      </x:c>
      <x:c r="AI13" s="87" t="n">
        <x:v>46260</x:v>
      </x:c>
    </x:row>
    <x:row r="14">
      <x:c r="A14" s="72" t="str">
        <x:f>IF(OR(C14="",D14=""),"",B14&amp;"-"&amp;UPPER(C14)&amp;"-"&amp;TEXT(D14,"0000")&amp;"-"&amp;E14)</x:f>
        <x:v>M15-GEN-0008-V1.0</x:v>
      </x:c>
      <x:c r="B14" s="74" t="str">
        <x:v>M15</x:v>
      </x:c>
      <x:c r="C14" s="74" t="str">
        <x:v>GEN</x:v>
      </x:c>
      <x:c r="D14" s="215" t="n">
        <x:v>8</x:v>
      </x:c>
      <x:c r="E14" s="74" t="str">
        <x:v>V1.0</x:v>
      </x:c>
      <x:c r="F14" s="68" t="str">
        <x:v>救应强弱决定格局恢复程度</x:v>
      </x:c>
      <x:c r="G14" s="82" t="str">
        <x:v>综合层</x:v>
      </x:c>
      <x:c r="H14" s="68" t="str">
        <x:v>所有M14候选</x:v>
      </x:c>
      <x:c r="I14" s="68" t="str">
        <x:v>破格与救应同时存在</x:v>
      </x:c>
      <x:c r="J14" s="68" t="str">
        <x:v>比较破格力量、救应力量、作用路径和持续性</x:v>
      </x:c>
      <x:c r="K14" s="68" t="str">
        <x:v>破格因素仍有剩余作用</x:v>
      </x:c>
      <x:c r="L14" s="82" t="str">
        <x:v>一般</x:v>
      </x:c>
      <x:c r="M14" s="68" t="str">
        <x:v>有效救应</x:v>
      </x:c>
      <x:c r="N14" s="82" t="str">
        <x:v>明显有效</x:v>
      </x:c>
      <x:c r="O14" s="84" t="str">
        <x:v>有破有救</x:v>
      </x:c>
      <x:c r="P14" s="82" t="str">
        <x:v>有杂</x:v>
      </x:c>
      <x:c r="Q14" s="68" t="str">
        <x:v>弱救应仅减轻破损，强救应才能恢复格局主要功能</x:v>
      </x:c>
      <x:c r="R14" s="68" t="str">
        <x:v>M14已生成候选；M08、M09、M10、M11相关结论可追溯</x:v>
      </x:c>
      <x:c r="S14" s="68" t="str">
        <x:v>格神与关键配合十神均以有效力量和实际功能为准</x:v>
      </x:c>
      <x:c r="T14" s="68" t="str">
        <x:v>格神得令、有根、透达、清纯，组合路径稳定且日主承载匹配</x:v>
      </x:c>
      <x:c r="U14" s="68" t="str">
        <x:v>格神受制、混杂、路径受阻、日主承载不足或救应只能局部作用</x:v>
      </x:c>
      <x:c r="V14" s="90" t="str">
        <x:v>格神失效、核心作用路径完全中断，或特殊格局硬门槛被有效反证否决</x:v>
      </x:c>
      <x:c r="W14" s="68" t="str">
        <x:v>特殊格局严格条件、流派争议及岁运补成另按专门规则处理</x:v>
      </x:c>
      <x:c r="X14" s="84" t="str">
        <x:v>救应强度分级</x:v>
      </x:c>
      <x:c r="Y14" s="84" t="str">
        <x:v>所有M14候选判为“有破有救”：破格等级为“一般”，救应为“明显有效”，清纯度为“有杂”；层次需结合全局继续评估。</x:v>
      </x:c>
      <x:c r="Z14" s="68" t="str">
        <x:v>若“格神失效、核心作用路径完全中断，或特殊格局硬门槛被有效反证否决”成立，应降低为成立但有破或不成立，不得维持当前结论。</x:v>
      </x:c>
      <x:c r="AA14" s="82" t="str">
        <x:v>较高</x:v>
      </x:c>
      <x:c r="AB14" s="82" t="str">
        <x:v>子平格局</x:v>
      </x:c>
      <x:c r="AC14" s="68" t="str">
        <x:v>格局成败须区分：格神是否有效、结构是否能运行、是否存在破坏、救应是否直接修复破格机制，以及格局成立与层次高低。</x:v>
      </x:c>
      <x:c r="AD14" s="68" t="str">
        <x:v>当“破格与救应同时存在”成立，且成格证据相互支持、无决定性否决时，可按本规则判断。</x:v>
      </x:c>
      <x:c r="AE14" s="90" t="str">
        <x:v>只有格局名称或局部组合，但“格神失效、核心作用路径完全中断，或特殊格局硬门槛被有效反证否决”成立时，不能按本规则维持格局。</x:v>
      </x:c>
      <x:c r="AF14" s="68" t="str">
        <x:v>https://zh.wikisource.org/zh-hans/%E6%B7%B5%E6%B5%B7%E5%AD%90%E5%B9%B3 ; https://zh.wikisource.org/wiki/%E6%BB%B4%E5%A4%A9%E9%AB%93%E9%97%A1%E5%BE%AE</x:v>
      </x:c>
      <x:c r="AG14" s="82" t="str">
        <x:v>采用</x:v>
      </x:c>
      <x:c r="AH14" s="82" t="str">
        <x:v>初审</x:v>
      </x:c>
      <x:c r="AI14" s="87" t="n">
        <x:v>46260</x:v>
      </x:c>
    </x:row>
    <x:row r="15">
      <x:c r="A15" s="72" t="str">
        <x:f>IF(OR(C15="",D15=""),"",B15&amp;"-"&amp;UPPER(C15)&amp;"-"&amp;TEXT(D15,"0000")&amp;"-"&amp;E15)</x:f>
        <x:v>M15-GEN-0009-V1.0</x:v>
      </x:c>
      <x:c r="B15" s="74" t="str">
        <x:v>M15</x:v>
      </x:c>
      <x:c r="C15" s="74" t="str">
        <x:v>GEN</x:v>
      </x:c>
      <x:c r="D15" s="215" t="n">
        <x:v>9</x:v>
      </x:c>
      <x:c r="E15" s="74" t="str">
        <x:v>V1.0</x:v>
      </x:c>
      <x:c r="F15" s="68" t="str">
        <x:v>格局成立与格局层次必须分开</x:v>
      </x:c>
      <x:c r="G15" s="82" t="str">
        <x:v>综合层</x:v>
      </x:c>
      <x:c r="H15" s="68" t="str">
        <x:v>所有M14候选</x:v>
      </x:c>
      <x:c r="I15" s="68" t="str">
        <x:v>格局达到基本成立或以上</x:v>
      </x:c>
      <x:c r="J15" s="68" t="str">
        <x:v>成格条件成立，但清纯度、制化比例、流通、调候和日主承载可能不同</x:v>
      </x:c>
      <x:c r="K15" s="68" t="str">
        <x:v>待定</x:v>
      </x:c>
      <x:c r="L15" s="82" t="str">
        <x:v>待定</x:v>
      </x:c>
      <x:c r="M15" s="68" t="str">
        <x:v>待定</x:v>
      </x:c>
      <x:c r="N15" s="82" t="str">
        <x:v>待定</x:v>
      </x:c>
      <x:c r="O15" s="84" t="str">
        <x:v>基本成立</x:v>
      </x:c>
      <x:c r="P15" s="82" t="str">
        <x:v>待定</x:v>
      </x:c>
      <x:c r="Q15" s="68" t="str">
        <x:v>成立只回答能否运行；层次回答运行质量、稳定性和副作用</x:v>
      </x:c>
      <x:c r="R15" s="68" t="str">
        <x:v>M14已生成候选；M08、M09、M10、M11相关结论可追溯</x:v>
      </x:c>
      <x:c r="S15" s="68" t="str">
        <x:v>格神与关键配合十神均以有效力量和实际功能为准</x:v>
      </x:c>
      <x:c r="T15" s="68" t="str">
        <x:v>格神得令、有根、透达、清纯，组合路径稳定且日主承载匹配</x:v>
      </x:c>
      <x:c r="U15" s="68" t="str">
        <x:v>格神受制、混杂、路径受阻、日主承载不足或救应只能局部作用</x:v>
      </x:c>
      <x:c r="V15" s="90" t="str">
        <x:v>格神失效、核心作用路径完全中断，或特殊格局硬门槛被有效反证否决</x:v>
      </x:c>
      <x:c r="W15" s="68" t="str">
        <x:v>特殊格局严格条件、流派争议及岁运补成另按专门规则处理</x:v>
      </x:c>
      <x:c r="X15" s="84" t="str">
        <x:v>成立层次分离</x:v>
      </x:c>
      <x:c r="Y15" s="84" t="str">
        <x:v>所有M14候选判为“基本成立”：破格等级为“待定”，救应为“待定”，清纯度为“待定”；层次需结合全局继续评估。</x:v>
      </x:c>
      <x:c r="Z15" s="68" t="str">
        <x:v>若“格神失效、核心作用路径完全中断，或特殊格局硬门槛被有效反证否决”成立，应降低为成立但有破或不成立，不得维持当前结论。</x:v>
      </x:c>
      <x:c r="AA15" s="82" t="str">
        <x:v>较高</x:v>
      </x:c>
      <x:c r="AB15" s="82" t="str">
        <x:v>子平格局</x:v>
      </x:c>
      <x:c r="AC15" s="68" t="str">
        <x:v>格局成败须区分：格神是否有效、结构是否能运行、是否存在破坏、救应是否直接修复破格机制，以及格局成立与层次高低。</x:v>
      </x:c>
      <x:c r="AD15" s="68" t="str">
        <x:v>当“格局达到基本成立或以上”成立，且成格证据相互支持、无决定性否决时，可按本规则判断。</x:v>
      </x:c>
      <x:c r="AE15" s="90" t="str">
        <x:v>只有格局名称或局部组合，但“格神失效、核心作用路径完全中断，或特殊格局硬门槛被有效反证否决”成立时，不能按本规则维持格局。</x:v>
      </x:c>
      <x:c r="AF15" s="68" t="str">
        <x:v>https://zh.wikisource.org/zh-hans/%E6%B7%B5%E6%B5%B7%E5%AD%90%E5%B9%B3 ; https://zh.wikisource.org/wiki/%E6%BB%B4%E5%A4%A9%E9%AB%93%E9%97%A1%E5%BE%AE</x:v>
      </x:c>
      <x:c r="AG15" s="82" t="str">
        <x:v>采用</x:v>
      </x:c>
      <x:c r="AH15" s="82" t="str">
        <x:v>初审</x:v>
      </x:c>
      <x:c r="AI15" s="87" t="n">
        <x:v>46260</x:v>
      </x:c>
    </x:row>
    <x:row r="16">
      <x:c r="A16" s="72" t="str">
        <x:f>IF(OR(C16="",D16=""),"",B16&amp;"-"&amp;UPPER(C16)&amp;"-"&amp;TEXT(D16,"0000")&amp;"-"&amp;E16)</x:f>
        <x:v>M15-GEN-0010-V1.0</x:v>
      </x:c>
      <x:c r="B16" s="74" t="str">
        <x:v>M15</x:v>
      </x:c>
      <x:c r="C16" s="74" t="str">
        <x:v>GEN</x:v>
      </x:c>
      <x:c r="D16" s="215" t="n">
        <x:v>10</x:v>
      </x:c>
      <x:c r="E16" s="74" t="str">
        <x:v>V1.0</x:v>
      </x:c>
      <x:c r="F16" s="68" t="str">
        <x:v>多个破格因素不得机械按数量叠加</x:v>
      </x:c>
      <x:c r="G16" s="82" t="str">
        <x:v>综合层</x:v>
      </x:c>
      <x:c r="H16" s="68" t="str">
        <x:v>所有M14候选</x:v>
      </x:c>
      <x:c r="I16" s="68" t="str">
        <x:v>格局同时存在两个以上破格因素</x:v>
      </x:c>
      <x:c r="J16" s="68" t="str">
        <x:v>逐项判断是否共享节点、是否相互放大、是否被同一救应修复</x:v>
      </x:c>
      <x:c r="K16" s="68" t="str">
        <x:v>多重破格因素</x:v>
      </x:c>
      <x:c r="L16" s="82" t="str">
        <x:v>待定</x:v>
      </x:c>
      <x:c r="M16" s="68" t="str">
        <x:v>可能共享救应</x:v>
      </x:c>
      <x:c r="N16" s="82" t="str">
        <x:v>待定</x:v>
      </x:c>
      <x:c r="O16" s="84" t="str">
        <x:v>待定</x:v>
      </x:c>
      <x:c r="P16" s="82" t="str">
        <x:v>待定</x:v>
      </x:c>
      <x:c r="Q16" s="68" t="str">
        <x:v>以净破坏强度和对核心结构的影响判断，不使用固定扣分</x:v>
      </x:c>
      <x:c r="R16" s="68" t="str">
        <x:v>M14已生成候选；M08、M09、M10、M11相关结论可追溯</x:v>
      </x:c>
      <x:c r="S16" s="68" t="str">
        <x:v>格神与关键配合十神均以有效力量和实际功能为准</x:v>
      </x:c>
      <x:c r="T16" s="68" t="str">
        <x:v>格神得令、有根、透达、清纯，组合路径稳定且日主承载匹配</x:v>
      </x:c>
      <x:c r="U16" s="68" t="str">
        <x:v>格神受制、混杂、路径受阻、日主承载不足或救应只能局部作用</x:v>
      </x:c>
      <x:c r="V16" s="90" t="str">
        <x:v>格神失效、核心作用路径完全中断，或特殊格局硬门槛被有效反证否决</x:v>
      </x:c>
      <x:c r="W16" s="68" t="str">
        <x:v>特殊格局严格条件、流派争议及岁运补成另按专门规则处理</x:v>
      </x:c>
      <x:c r="X16" s="84" t="str">
        <x:v>多重破格净效应</x:v>
      </x:c>
      <x:c r="Y16" s="84" t="str">
        <x:v>所有M14候选判为“待定”：破格等级为“待定”，救应为“待定”，清纯度为“待定”；层次需结合全局继续评估。</x:v>
      </x:c>
      <x:c r="Z16" s="68" t="str">
        <x:v>若“格神失效、核心作用路径完全中断，或特殊格局硬门槛被有效反证否决”成立，应降低为成立但有破或不成立，不得维持当前结论。</x:v>
      </x:c>
      <x:c r="AA16" s="82" t="str">
        <x:v>较高</x:v>
      </x:c>
      <x:c r="AB16" s="82" t="str">
        <x:v>子平格局</x:v>
      </x:c>
      <x:c r="AC16" s="68" t="str">
        <x:v>格局成败须区分：格神是否有效、结构是否能运行、是否存在破坏、救应是否直接修复破格机制，以及格局成立与层次高低。</x:v>
      </x:c>
      <x:c r="AD16" s="68" t="str">
        <x:v>当“格局同时存在两个以上破格因素”成立，且成格证据相互支持、无决定性否决时，可按本规则判断。</x:v>
      </x:c>
      <x:c r="AE16" s="90" t="str">
        <x:v>只有格局名称或局部组合，但“格神失效、核心作用路径完全中断，或特殊格局硬门槛被有效反证否决”成立时，不能按本规则维持格局。</x:v>
      </x:c>
      <x:c r="AF16" s="68" t="str">
        <x:v>https://zh.wikisource.org/zh-hans/%E6%B7%B5%E6%B5%B7%E5%AD%90%E5%B9%B3 ; https://zh.wikisource.org/wiki/%E6%BB%B4%E5%A4%A9%E9%AB%93%E9%97%A1%E5%BE%AE</x:v>
      </x:c>
      <x:c r="AG16" s="82" t="str">
        <x:v>采用</x:v>
      </x:c>
      <x:c r="AH16" s="82" t="str">
        <x:v>初审</x:v>
      </x:c>
      <x:c r="AI16" s="87" t="n">
        <x:v>46260</x:v>
      </x:c>
    </x:row>
    <x:row r="17">
      <x:c r="A17" s="72" t="str">
        <x:f>IF(OR(C17="",D17=""),"",B17&amp;"-"&amp;UPPER(C17)&amp;"-"&amp;TEXT(D17,"0000")&amp;"-"&amp;E17)</x:f>
        <x:v>M15-GUAN-0011-V1.0</x:v>
      </x:c>
      <x:c r="B17" s="74" t="str">
        <x:v>M15</x:v>
      </x:c>
      <x:c r="C17" s="74" t="str">
        <x:v>GUAN</x:v>
      </x:c>
      <x:c r="D17" s="215" t="n">
        <x:v>11</x:v>
      </x:c>
      <x:c r="E17" s="74" t="str">
        <x:v>V1.0</x:v>
      </x:c>
      <x:c r="F17" s="68" t="str">
        <x:v>正官格的基本成格条件</x:v>
      </x:c>
      <x:c r="G17" s="82" t="str">
        <x:v>综合层</x:v>
      </x:c>
      <x:c r="H17" s="68" t="str">
        <x:v>正官格候选</x:v>
      </x:c>
      <x:c r="I17" s="68" t="str">
        <x:v>正官具月令依据、有效有根，日主能承官，官星未被强伤官或混杀夺权</x:v>
      </x:c>
      <x:c r="J17" s="68" t="str">
        <x:v>官星得令透达，官印或财官路径至少一项稳定</x:v>
      </x:c>
      <x:c r="K17" s="68" t="str">
        <x:v>无决定性破格因素</x:v>
      </x:c>
      <x:c r="L17" s="82" t="str">
        <x:v>无破</x:v>
      </x:c>
      <x:c r="M17" s="68" t="str">
        <x:v>无须救应</x:v>
      </x:c>
      <x:c r="N17" s="82" t="str">
        <x:v>无救应</x:v>
      </x:c>
      <x:c r="O17" s="84" t="str">
        <x:v>基本成立</x:v>
      </x:c>
      <x:c r="P17" s="82" t="str">
        <x:v>较清</x:v>
      </x:c>
      <x:c r="Q17" s="68" t="str">
        <x:v>官星能够稳定发挥制衡功能，仍需审查财印配合与混杂</x:v>
      </x:c>
      <x:c r="R17" s="68" t="str">
        <x:v>M14已生成候选；M08、M09、M10、M11相关结论可追溯</x:v>
      </x:c>
      <x:c r="S17" s="68" t="str">
        <x:v>格神与关键配合十神均以有效力量和实际功能为准</x:v>
      </x:c>
      <x:c r="T17" s="68" t="str">
        <x:v>格神得令、有根、透达、清纯，组合路径稳定且日主承载匹配</x:v>
      </x:c>
      <x:c r="U17" s="68" t="str">
        <x:v>格神受制、混杂、路径受阻、日主承载不足或救应只能局部作用</x:v>
      </x:c>
      <x:c r="V17" s="90" t="str">
        <x:v>格神失效、核心作用路径完全中断，或特殊格局硬门槛被有效反证否决</x:v>
      </x:c>
      <x:c r="W17" s="68" t="str">
        <x:v>特殊格局严格条件、流派争议及岁运补成另按专门规则处理</x:v>
      </x:c>
      <x:c r="X17" s="84" t="str">
        <x:v>正官格候选_成败救应</x:v>
      </x:c>
      <x:c r="Y17" s="84" t="str">
        <x:v>正官格候选判为“基本成立”：破格等级为“无破”，救应为“无救应”，清纯度为“较清”；层次需结合全局继续评估。</x:v>
      </x:c>
      <x:c r="Z17" s="68" t="str">
        <x:v>若“格神失效、核心作用路径完全中断，或特殊格局硬门槛被有效反证否决”成立，应降低为成立但有破或不成立，不得维持当前结论。</x:v>
      </x:c>
      <x:c r="AA17" s="82" t="str">
        <x:v>较高</x:v>
      </x:c>
      <x:c r="AB17" s="82" t="str">
        <x:v>子平格局</x:v>
      </x:c>
      <x:c r="AC17" s="68" t="str">
        <x:v>格局成败须区分：格神是否有效、结构是否能运行、是否存在破坏、救应是否直接修复破格机制，以及格局成立与层次高低。</x:v>
      </x:c>
      <x:c r="AD17" s="68" t="str">
        <x:v>当“正官具月令依据、有效有根，日主能承官，官星未被强伤官或混杀夺权”成立，且成格证据相互支持、无决定性否决时，可按本规则判断。</x:v>
      </x:c>
      <x:c r="AE17" s="90" t="str">
        <x:v>只有格局名称或局部组合，但“格神失效、核心作用路径完全中断，或特殊格局硬门槛被有效反证否决”成立时，不能按本规则维持格局。</x:v>
      </x:c>
      <x:c r="AF17" s="68" t="str">
        <x:v>https://zh.wikisource.org/zh-hans/%E6%B7%B5%E6%B5%B7%E5%AD%90%E5%B9%B3 ; https://zh.wikisource.org/wiki/%E6%BB%B4%E5%A4%A9%E9%AB%93%E9%97%A1%E5%BE%AE</x:v>
      </x:c>
      <x:c r="AG17" s="82" t="str">
        <x:v>采用</x:v>
      </x:c>
      <x:c r="AH17" s="82" t="str">
        <x:v>初审</x:v>
      </x:c>
      <x:c r="AI17" s="87" t="n">
        <x:v>46260</x:v>
      </x:c>
    </x:row>
    <x:row r="18">
      <x:c r="A18" s="72" t="str">
        <x:f>IF(OR(C18="",D18=""),"",B18&amp;"-"&amp;UPPER(C18)&amp;"-"&amp;TEXT(D18,"0000")&amp;"-"&amp;E18)</x:f>
        <x:v>M15-GUAN-0012-V1.0</x:v>
      </x:c>
      <x:c r="B18" s="74" t="str">
        <x:v>M15</x:v>
      </x:c>
      <x:c r="C18" s="74" t="str">
        <x:v>GUAN</x:v>
      </x:c>
      <x:c r="D18" s="215" t="n">
        <x:v>12</x:v>
      </x:c>
      <x:c r="E18" s="74" t="str">
        <x:v>V1.0</x:v>
      </x:c>
      <x:c r="F18" s="68" t="str">
        <x:v>官印相生完整可判正官格清纯增强</x:v>
      </x:c>
      <x:c r="G18" s="82" t="str">
        <x:v>综合层</x:v>
      </x:c>
      <x:c r="H18" s="68" t="str">
        <x:v>正官格候选</x:v>
      </x:c>
      <x:c r="I18" s="68" t="str">
        <x:v>正官有效，印星能承官并生日主，官印链连续</x:v>
      </x:c>
      <x:c r="J18" s="68" t="str">
        <x:v>M11官印相生明显成立，官印均有根有源</x:v>
      </x:c>
      <x:c r="K18" s="68" t="str">
        <x:v>无决定性破格因素</x:v>
      </x:c>
      <x:c r="L18" s="82" t="str">
        <x:v>无破</x:v>
      </x:c>
      <x:c r="M18" s="68" t="str">
        <x:v>无须救应</x:v>
      </x:c>
      <x:c r="N18" s="82" t="str">
        <x:v>无救应</x:v>
      </x:c>
      <x:c r="O18" s="84" t="str">
        <x:v>清纯成立</x:v>
      </x:c>
      <x:c r="P18" s="82" t="str">
        <x:v>清纯</x:v>
      </x:c>
      <x:c r="Q18" s="68" t="str">
        <x:v>官有来源、印能化承，结构稳定且日主承载良好</x:v>
      </x:c>
      <x:c r="R18" s="68" t="str">
        <x:v>M14已生成候选；M08、M09、M10、M11相关结论可追溯</x:v>
      </x:c>
      <x:c r="S18" s="68" t="str">
        <x:v>格神与关键配合十神均以有效力量和实际功能为准</x:v>
      </x:c>
      <x:c r="T18" s="68" t="str">
        <x:v>格神得令、有根、透达、清纯，组合路径稳定且日主承载匹配</x:v>
      </x:c>
      <x:c r="U18" s="68" t="str">
        <x:v>格神受制、混杂、路径受阻、日主承载不足或救应只能局部作用</x:v>
      </x:c>
      <x:c r="V18" s="90" t="str">
        <x:v>格神失效、核心作用路径完全中断，或特殊格局硬门槛被有效反证否决</x:v>
      </x:c>
      <x:c r="W18" s="68" t="str">
        <x:v>特殊格局严格条件、流派争议及岁运补成另按专门规则处理</x:v>
      </x:c>
      <x:c r="X18" s="84" t="str">
        <x:v>正官格_官印清纯</x:v>
      </x:c>
      <x:c r="Y18" s="84" t="str">
        <x:v>正官格候选判为“清纯成立”：破格等级为“无破”，救应为“无救应”，清纯度为“清纯”；层次需结合全局继续评估。</x:v>
      </x:c>
      <x:c r="Z18" s="68" t="str">
        <x:v>若“格神失效、核心作用路径完全中断，或特殊格局硬门槛被有效反证否决”成立，应降低为成立但有破或不成立，不得维持当前结论。</x:v>
      </x:c>
      <x:c r="AA18" s="82" t="str">
        <x:v>较高</x:v>
      </x:c>
      <x:c r="AB18" s="82" t="str">
        <x:v>子平格局</x:v>
      </x:c>
      <x:c r="AC18" s="68" t="str">
        <x:v>格局成败须区分：格神是否有效、结构是否能运行、是否存在破坏、救应是否直接修复破格机制，以及格局成立与层次高低。</x:v>
      </x:c>
      <x:c r="AD18" s="68" t="str">
        <x:v>当“正官有效，印星能承官并生日主，官印链连续”成立，且成格证据相互支持、无决定性否决时，可按本规则判断。</x:v>
      </x:c>
      <x:c r="AE18" s="90" t="str">
        <x:v>只有格局名称或局部组合，但“格神失效、核心作用路径完全中断，或特殊格局硬门槛被有效反证否决”成立时，不能按本规则维持格局。</x:v>
      </x:c>
      <x:c r="AF18" s="68" t="str">
        <x:v>https://zh.wikisource.org/zh-hans/%E6%B7%B5%E6%B5%B7%E5%AD%90%E5%B9%B3 ; https://zh.wikisource.org/wiki/%E6%BB%B4%E5%A4%A9%E9%AB%93%E9%97%A1%E5%BE%AE</x:v>
      </x:c>
      <x:c r="AG18" s="82" t="str">
        <x:v>采用</x:v>
      </x:c>
      <x:c r="AH18" s="82" t="str">
        <x:v>初审</x:v>
      </x:c>
      <x:c r="AI18" s="87" t="n">
        <x:v>46260</x:v>
      </x:c>
    </x:row>
    <x:row r="19">
      <x:c r="A19" s="72" t="str">
        <x:f>IF(OR(C19="",D19=""),"",B19&amp;"-"&amp;UPPER(C19)&amp;"-"&amp;TEXT(D19,"0000")&amp;"-"&amp;E19)</x:f>
        <x:v>M15-GUAN-0013-V1.0</x:v>
      </x:c>
      <x:c r="B19" s="74" t="str">
        <x:v>M15</x:v>
      </x:c>
      <x:c r="C19" s="74" t="str">
        <x:v>GUAN</x:v>
      </x:c>
      <x:c r="D19" s="215" t="n">
        <x:v>13</x:v>
      </x:c>
      <x:c r="E19" s="74" t="str">
        <x:v>V1.0</x:v>
      </x:c>
      <x:c r="F19" s="68" t="str">
        <x:v>财官相生可提高正官格运行层次</x:v>
      </x:c>
      <x:c r="G19" s="82" t="str">
        <x:v>综合层</x:v>
      </x:c>
      <x:c r="H19" s="68" t="str">
        <x:v>正官格候选</x:v>
      </x:c>
      <x:c r="I19" s="68" t="str">
        <x:v>财星有效生官，官星可承接，财不过度坏印或耗身</x:v>
      </x:c>
      <x:c r="J19" s="68" t="str">
        <x:v>财→官路径连续，日主有能力承受财耗与官制</x:v>
      </x:c>
      <x:c r="K19" s="68" t="str">
        <x:v>无决定性破格因素</x:v>
      </x:c>
      <x:c r="L19" s="82" t="str">
        <x:v>无破</x:v>
      </x:c>
      <x:c r="M19" s="68" t="str">
        <x:v>无须救应</x:v>
      </x:c>
      <x:c r="N19" s="82" t="str">
        <x:v>无救应</x:v>
      </x:c>
      <x:c r="O19" s="84" t="str">
        <x:v>清纯成立</x:v>
      </x:c>
      <x:c r="P19" s="82" t="str">
        <x:v>较清</x:v>
      </x:c>
      <x:c r="Q19" s="68" t="str">
        <x:v>财官相辅，正官格资源链较完整</x:v>
      </x:c>
      <x:c r="R19" s="68" t="str">
        <x:v>M14已生成候选；M08、M09、M10、M11相关结论可追溯</x:v>
      </x:c>
      <x:c r="S19" s="68" t="str">
        <x:v>格神与关键配合十神均以有效力量和实际功能为准</x:v>
      </x:c>
      <x:c r="T19" s="68" t="str">
        <x:v>格神得令、有根、透达、清纯，组合路径稳定且日主承载匹配</x:v>
      </x:c>
      <x:c r="U19" s="68" t="str">
        <x:v>格神受制、混杂、路径受阻、日主承载不足或救应只能局部作用</x:v>
      </x:c>
      <x:c r="V19" s="90" t="str">
        <x:v>格神失效、核心作用路径完全中断，或特殊格局硬门槛被有效反证否决</x:v>
      </x:c>
      <x:c r="W19" s="68" t="str">
        <x:v>特殊格局严格条件、流派争议及岁运补成另按专门规则处理</x:v>
      </x:c>
      <x:c r="X19" s="84" t="str">
        <x:v>正官格_财官相生</x:v>
      </x:c>
      <x:c r="Y19" s="84" t="str">
        <x:v>正官格候选判为“清纯成立”：破格等级为“无破”，救应为“无救应”，清纯度为“较清”；层次需结合全局继续评估。</x:v>
      </x:c>
      <x:c r="Z19" s="68" t="str">
        <x:v>若“格神失效、核心作用路径完全中断，或特殊格局硬门槛被有效反证否决”成立，应降低为成立但有破或不成立，不得维持当前结论。</x:v>
      </x:c>
      <x:c r="AA19" s="82" t="str">
        <x:v>较高</x:v>
      </x:c>
      <x:c r="AB19" s="82" t="str">
        <x:v>子平格局</x:v>
      </x:c>
      <x:c r="AC19" s="68" t="str">
        <x:v>格局成败须区分：格神是否有效、结构是否能运行、是否存在破坏、救应是否直接修复破格机制，以及格局成立与层次高低。</x:v>
      </x:c>
      <x:c r="AD19" s="68" t="str">
        <x:v>当“财星有效生官，官星可承接，财不过度坏印或耗身”成立，且成格证据相互支持、无决定性否决时，可按本规则判断。</x:v>
      </x:c>
      <x:c r="AE19" s="90" t="str">
        <x:v>只有格局名称或局部组合，但“格神失效、核心作用路径完全中断，或特殊格局硬门槛被有效反证否决”成立时，不能按本规则维持格局。</x:v>
      </x:c>
      <x:c r="AF19" s="68" t="str">
        <x:v>https://zh.wikisource.org/zh-hans/%E6%B7%B5%E6%B5%B7%E5%AD%90%E5%B9%B3 ; https://zh.wikisource.org/wiki/%E6%BB%B4%E5%A4%A9%E9%AB%93%E9%97%A1%E5%BE%AE</x:v>
      </x:c>
      <x:c r="AG19" s="82" t="str">
        <x:v>采用</x:v>
      </x:c>
      <x:c r="AH19" s="82" t="str">
        <x:v>初审</x:v>
      </x:c>
      <x:c r="AI19" s="87" t="n">
        <x:v>46260</x:v>
      </x:c>
    </x:row>
    <x:row r="20">
      <x:c r="A20" s="72" t="str">
        <x:f>IF(OR(C20="",D20=""),"",B20&amp;"-"&amp;UPPER(C20)&amp;"-"&amp;TEXT(D20,"0000")&amp;"-"&amp;E20)</x:f>
        <x:v>M15-GUAN-0014-V1.0</x:v>
      </x:c>
      <x:c r="B20" s="74" t="str">
        <x:v>M15</x:v>
      </x:c>
      <x:c r="C20" s="74" t="str">
        <x:v>GUAN</x:v>
      </x:c>
      <x:c r="D20" s="215" t="n">
        <x:v>14</x:v>
      </x:c>
      <x:c r="E20" s="74" t="str">
        <x:v>V1.0</x:v>
      </x:c>
      <x:c r="F20" s="68" t="str">
        <x:v>伤官见官无救应构成严重破格</x:v>
      </x:c>
      <x:c r="G20" s="82" t="str">
        <x:v>综合层</x:v>
      </x:c>
      <x:c r="H20" s="68" t="str">
        <x:v>正官格候选</x:v>
      </x:c>
      <x:c r="I20" s="68" t="str">
        <x:v>正官原具成格基础</x:v>
      </x:c>
      <x:c r="J20" s="68" t="str">
        <x:v>月令依据、格神根气与有效力量、日主配合及M11组合证据相互支持</x:v>
      </x:c>
      <x:c r="K20" s="68" t="str">
        <x:v>伤官有力并直接持续克制正官</x:v>
      </x:c>
      <x:c r="L20" s="82" t="str">
        <x:v>严重</x:v>
      </x:c>
      <x:c r="M20" s="68" t="str">
        <x:v>无印制伤、无财通关</x:v>
      </x:c>
      <x:c r="N20" s="82" t="str">
        <x:v>无救应</x:v>
      </x:c>
      <x:c r="O20" s="84" t="str">
        <x:v>成立但有破</x:v>
      </x:c>
      <x:c r="P20" s="82" t="str">
        <x:v>混杂</x:v>
      </x:c>
      <x:c r="Q20" s="68" t="str">
        <x:v>官星主导性显著受损；若官被制至失效则转根本破格</x:v>
      </x:c>
      <x:c r="R20" s="68" t="str">
        <x:v>M14已生成候选；M08、M09、M10、M11相关结论可追溯</x:v>
      </x:c>
      <x:c r="S20" s="68" t="str">
        <x:v>格神与关键配合十神均以有效力量和实际功能为准</x:v>
      </x:c>
      <x:c r="T20" s="68" t="str">
        <x:v>格神得令、有根、透达、清纯，组合路径稳定且日主承载匹配</x:v>
      </x:c>
      <x:c r="U20" s="68" t="str">
        <x:v>格神受制、混杂、路径受阻、日主承载不足或救应只能局部作用</x:v>
      </x:c>
      <x:c r="V20" s="90" t="str">
        <x:v>正官被伤官制至失效且不存在恢复路径</x:v>
      </x:c>
      <x:c r="W20" s="68" t="str">
        <x:v>特殊格局严格条件、流派争议及岁运补成另按专门规则处理</x:v>
      </x:c>
      <x:c r="X20" s="84" t="str">
        <x:v>正官格_伤官破格</x:v>
      </x:c>
      <x:c r="Y20" s="84" t="str">
        <x:v>正官格候选判为“成立但有破”：破格等级为“严重”，救应为“无救应”，清纯度为“混杂”；层次需结合全局继续评估。</x:v>
      </x:c>
      <x:c r="Z20" s="68" t="str">
        <x:v>若“正官被伤官制至失效且不存在恢复路径”成立，应降低为成立但有破或不成立，不得维持当前结论。</x:v>
      </x:c>
      <x:c r="AA20" s="82" t="str">
        <x:v>较高</x:v>
      </x:c>
      <x:c r="AB20" s="82" t="str">
        <x:v>子平格局</x:v>
      </x:c>
      <x:c r="AC20" s="68" t="str">
        <x:v>格局成败须区分：格神是否有效、结构是否能运行、是否存在破坏、救应是否直接修复破格机制，以及格局成立与层次高低。</x:v>
      </x:c>
      <x:c r="AD20" s="68" t="str">
        <x:v>当“正官原具成格基础”成立，且成格证据相互支持、无决定性否决时，可按本规则判断。</x:v>
      </x:c>
      <x:c r="AE20" s="90" t="str">
        <x:v>只有格局名称或局部组合，但“正官被伤官制至失效且不存在恢复路径”成立时，不能按本规则维持格局。</x:v>
      </x:c>
      <x:c r="AF20" s="68" t="str">
        <x:v>https://zh.wikisource.org/zh-hans/%E6%B7%B5%E6%B5%B7%E5%AD%90%E5%B9%B3 ; https://zh.wikisource.org/wiki/%E6%BB%B4%E5%A4%A9%E9%AB%93%E9%97%A1%E5%BE%AE</x:v>
      </x:c>
      <x:c r="AG20" s="82" t="str">
        <x:v>采用</x:v>
      </x:c>
      <x:c r="AH20" s="82" t="str">
        <x:v>初审</x:v>
      </x:c>
      <x:c r="AI20" s="87" t="n">
        <x:v>46260</x:v>
      </x:c>
    </x:row>
    <x:row r="21">
      <x:c r="A21" s="72" t="str">
        <x:f>IF(OR(C21="",D21=""),"",B21&amp;"-"&amp;UPPER(C21)&amp;"-"&amp;TEXT(D21,"0000")&amp;"-"&amp;E21)</x:f>
        <x:v>M15-GUAN-0015-V1.0</x:v>
      </x:c>
      <x:c r="B21" s="74" t="str">
        <x:v>M15</x:v>
      </x:c>
      <x:c r="C21" s="74" t="str">
        <x:v>GUAN</x:v>
      </x:c>
      <x:c r="D21" s="215" t="n">
        <x:v>15</x:v>
      </x:c>
      <x:c r="E21" s="74" t="str">
        <x:v>V1.0</x:v>
      </x:c>
      <x:c r="F21" s="68" t="str">
        <x:v>印制伤官可救正官格</x:v>
      </x:c>
      <x:c r="G21" s="82" t="str">
        <x:v>综合层</x:v>
      </x:c>
      <x:c r="H21" s="68" t="str">
        <x:v>正官格候选</x:v>
      </x:c>
      <x:c r="I21" s="68" t="str">
        <x:v>正官格遭伤官破坏，印星有效制伤</x:v>
      </x:c>
      <x:c r="J21" s="68" t="str">
        <x:v>印→伤官克制路径真实，官星功能得到恢复</x:v>
      </x:c>
      <x:c r="K21" s="68" t="str">
        <x:v>伤官克官</x:v>
      </x:c>
      <x:c r="L21" s="82" t="str">
        <x:v>一般</x:v>
      </x:c>
      <x:c r="M21" s="68" t="str">
        <x:v>印星制伤并护官</x:v>
      </x:c>
      <x:c r="N21" s="82" t="str">
        <x:v>明显有效</x:v>
      </x:c>
      <x:c r="O21" s="84" t="str">
        <x:v>有破有救</x:v>
      </x:c>
      <x:c r="P21" s="82" t="str">
        <x:v>有杂</x:v>
      </x:c>
      <x:c r="Q21" s="68" t="str">
        <x:v>格局恢复主要运行，但层次低于原局无伤官者</x:v>
      </x:c>
      <x:c r="R21" s="68" t="str">
        <x:v>M14已生成候选；M08、M09、M10、M11相关结论可追溯</x:v>
      </x:c>
      <x:c r="S21" s="68" t="str">
        <x:v>格神与关键配合十神均以有效力量和实际功能为准</x:v>
      </x:c>
      <x:c r="T21" s="68" t="str">
        <x:v>格神得令、有根、透达、清纯，组合路径稳定且日主承载匹配</x:v>
      </x:c>
      <x:c r="U21" s="68" t="str">
        <x:v>格神受制、混杂、路径受阻、日主承载不足或救应只能局部作用</x:v>
      </x:c>
      <x:c r="V21" s="90" t="str">
        <x:v>格神失效、核心作用路径完全中断，或特殊格局硬门槛被有效反证否决</x:v>
      </x:c>
      <x:c r="W21" s="68" t="str">
        <x:v>特殊格局严格条件、流派争议及岁运补成另按专门规则处理</x:v>
      </x:c>
      <x:c r="X21" s="84" t="str">
        <x:v>正官格_印制伤救应</x:v>
      </x:c>
      <x:c r="Y21" s="84" t="str">
        <x:v>正官格候选判为“有破有救”：破格等级为“一般”，救应为“明显有效”，清纯度为“有杂”；层次需结合全局继续评估。</x:v>
      </x:c>
      <x:c r="Z21" s="68" t="str">
        <x:v>若“格神失效、核心作用路径完全中断，或特殊格局硬门槛被有效反证否决”成立，应降低为成立但有破或不成立，不得维持当前结论。</x:v>
      </x:c>
      <x:c r="AA21" s="82" t="str">
        <x:v>较高</x:v>
      </x:c>
      <x:c r="AB21" s="82" t="str">
        <x:v>子平格局</x:v>
      </x:c>
      <x:c r="AC21" s="68" t="str">
        <x:v>格局成败须区分：格神是否有效、结构是否能运行、是否存在破坏、救应是否直接修复破格机制，以及格局成立与层次高低。</x:v>
      </x:c>
      <x:c r="AD21" s="68" t="str">
        <x:v>当“正官格遭伤官破坏，印星有效制伤”成立，且成格证据相互支持、无决定性否决时，可按本规则判断。</x:v>
      </x:c>
      <x:c r="AE21" s="90" t="str">
        <x:v>只有格局名称或局部组合，但“格神失效、核心作用路径完全中断，或特殊格局硬门槛被有效反证否决”成立时，不能按本规则维持格局。</x:v>
      </x:c>
      <x:c r="AF21" s="68" t="str">
        <x:v>https://zh.wikisource.org/zh-hans/%E6%B7%B5%E6%B5%B7%E5%AD%90%E5%B9%B3 ; https://zh.wikisource.org/wiki/%E6%BB%B4%E5%A4%A9%E9%AB%93%E9%97%A1%E5%BE%AE</x:v>
      </x:c>
      <x:c r="AG21" s="82" t="str">
        <x:v>采用</x:v>
      </x:c>
      <x:c r="AH21" s="82" t="str">
        <x:v>初审</x:v>
      </x:c>
      <x:c r="AI21" s="87" t="n">
        <x:v>46260</x:v>
      </x:c>
    </x:row>
    <x:row r="22">
      <x:c r="A22" s="72" t="str">
        <x:f>IF(OR(C22="",D22=""),"",B22&amp;"-"&amp;UPPER(C22)&amp;"-"&amp;TEXT(D22,"0000")&amp;"-"&amp;E22)</x:f>
        <x:v>M15-GUAN-0016-V1.0</x:v>
      </x:c>
      <x:c r="B22" s="74" t="str">
        <x:v>M15</x:v>
      </x:c>
      <x:c r="C22" s="74" t="str">
        <x:v>GUAN</x:v>
      </x:c>
      <x:c r="D22" s="215" t="n">
        <x:v>16</x:v>
      </x:c>
      <x:c r="E22" s="74" t="str">
        <x:v>V1.0</x:v>
      </x:c>
      <x:c r="F22" s="68" t="str">
        <x:v>财通伤官生官可形成条件性救应</x:v>
      </x:c>
      <x:c r="G22" s="82" t="str">
        <x:v>综合层</x:v>
      </x:c>
      <x:c r="H22" s="68" t="str">
        <x:v>正官格候选</x:v>
      </x:c>
      <x:c r="I22" s="68" t="str">
        <x:v>伤官克官冲突存在，财星能承接伤官并继续生官</x:v>
      </x:c>
      <x:c r="J22" s="68" t="str">
        <x:v>伤→财→官链路连续且财不过度坏印</x:v>
      </x:c>
      <x:c r="K22" s="68" t="str">
        <x:v>伤官见官</x:v>
      </x:c>
      <x:c r="L22" s="82" t="str">
        <x:v>一般</x:v>
      </x:c>
      <x:c r="M22" s="68" t="str">
        <x:v>财星通关</x:v>
      </x:c>
      <x:c r="N22" s="82" t="str">
        <x:v>部分有效</x:v>
      </x:c>
      <x:c r="O22" s="84" t="str">
        <x:v>有破有救</x:v>
      </x:c>
      <x:c r="P22" s="82" t="str">
        <x:v>有杂</x:v>
      </x:c>
      <x:c r="Q22" s="68" t="str">
        <x:v>直接冲突得到缓和，但财的副作用需同步评估</x:v>
      </x:c>
      <x:c r="R22" s="68" t="str">
        <x:v>M14已生成候选；M08、M09、M10、M11相关结论可追溯</x:v>
      </x:c>
      <x:c r="S22" s="68" t="str">
        <x:v>格神与关键配合十神均以有效力量和实际功能为准</x:v>
      </x:c>
      <x:c r="T22" s="68" t="str">
        <x:v>格神得令、有根、透达、清纯，组合路径稳定且日主承载匹配</x:v>
      </x:c>
      <x:c r="U22" s="68" t="str">
        <x:v>格神受制、混杂、路径受阻、日主承载不足或救应只能局部作用</x:v>
      </x:c>
      <x:c r="V22" s="90" t="str">
        <x:v>格神失效、核心作用路径完全中断，或特殊格局硬门槛被有效反证否决</x:v>
      </x:c>
      <x:c r="W22" s="68" t="str">
        <x:v>特殊格局严格条件、流派争议及岁运补成另按专门规则处理</x:v>
      </x:c>
      <x:c r="X22" s="84" t="str">
        <x:v>正官格_财通关救应</x:v>
      </x:c>
      <x:c r="Y22" s="84" t="str">
        <x:v>正官格候选判为“有破有救”：破格等级为“一般”，救应为“部分有效”，清纯度为“有杂”；层次需结合全局继续评估。</x:v>
      </x:c>
      <x:c r="Z22" s="68" t="str">
        <x:v>若“格神失效、核心作用路径完全中断，或特殊格局硬门槛被有效反证否决”成立，应降低为成立但有破或不成立，不得维持当前结论。</x:v>
      </x:c>
      <x:c r="AA22" s="82" t="str">
        <x:v>较高</x:v>
      </x:c>
      <x:c r="AB22" s="82" t="str">
        <x:v>子平格局</x:v>
      </x:c>
      <x:c r="AC22" s="68" t="str">
        <x:v>格局成败须区分：格神是否有效、结构是否能运行、是否存在破坏、救应是否直接修复破格机制，以及格局成立与层次高低。</x:v>
      </x:c>
      <x:c r="AD22" s="68" t="str">
        <x:v>当“伤官克官冲突存在，财星能承接伤官并继续生官”成立，且成格证据相互支持、无决定性否决时，可按本规则判断。</x:v>
      </x:c>
      <x:c r="AE22" s="90" t="str">
        <x:v>只有格局名称或局部组合，但“格神失效、核心作用路径完全中断，或特殊格局硬门槛被有效反证否决”成立时，不能按本规则维持格局。</x:v>
      </x:c>
      <x:c r="AF22" s="68" t="str">
        <x:v>https://zh.wikisource.org/zh-hans/%E6%B7%B5%E6%B5%B7%E5%AD%90%E5%B9%B3 ; https://zh.wikisource.org/wiki/%E6%BB%B4%E5%A4%A9%E9%AB%93%E9%97%A1%E5%BE%AE</x:v>
      </x:c>
      <x:c r="AG22" s="82" t="str">
        <x:v>采用</x:v>
      </x:c>
      <x:c r="AH22" s="82" t="str">
        <x:v>初审</x:v>
      </x:c>
      <x:c r="AI22" s="87" t="n">
        <x:v>46260</x:v>
      </x:c>
    </x:row>
    <x:row r="23">
      <x:c r="A23" s="72" t="str">
        <x:f>IF(OR(C23="",D23=""),"",B23&amp;"-"&amp;UPPER(C23)&amp;"-"&amp;TEXT(D23,"0000")&amp;"-"&amp;E23)</x:f>
        <x:v>M15-GUAN-0017-V1.0</x:v>
      </x:c>
      <x:c r="B23" s="74" t="str">
        <x:v>M15</x:v>
      </x:c>
      <x:c r="C23" s="74" t="str">
        <x:v>GUAN</x:v>
      </x:c>
      <x:c r="D23" s="215" t="n">
        <x:v>17</x:v>
      </x:c>
      <x:c r="E23" s="74" t="str">
        <x:v>V1.0</x:v>
      </x:c>
      <x:c r="F23" s="68" t="str">
        <x:v>官杀混杂无清化降低正官格层次</x:v>
      </x:c>
      <x:c r="G23" s="82" t="str">
        <x:v>综合层</x:v>
      </x:c>
      <x:c r="H23" s="68" t="str">
        <x:v>正官格候选</x:v>
      </x:c>
      <x:c r="I23" s="68" t="str">
        <x:v>正官仍具月令和有效性基础</x:v>
      </x:c>
      <x:c r="J23" s="68" t="str">
        <x:v>月令依据、格神根气与有效力量、日主配合及M11组合证据相互支持</x:v>
      </x:c>
      <x:c r="K23" s="68" t="str">
        <x:v>七杀同时有效，官杀均参与制身且主从不清</x:v>
      </x:c>
      <x:c r="L23" s="82" t="str">
        <x:v>一般</x:v>
      </x:c>
      <x:c r="M23" s="68" t="str">
        <x:v>合杀、制杀或形成明确去留</x:v>
      </x:c>
      <x:c r="N23" s="82" t="str">
        <x:v>待定</x:v>
      </x:c>
      <x:c r="O23" s="84" t="str">
        <x:v>成立但有破</x:v>
      </x:c>
      <x:c r="P23" s="82" t="str">
        <x:v>混杂</x:v>
      </x:c>
      <x:c r="Q23" s="68" t="str">
        <x:v>正官主导性下降，需审是否可去杀留官</x:v>
      </x:c>
      <x:c r="R23" s="68" t="str">
        <x:v>M14已生成候选；M08、M09、M10、M11相关结论可追溯</x:v>
      </x:c>
      <x:c r="S23" s="68" t="str">
        <x:v>格神与关键配合十神均以有效力量和实际功能为准</x:v>
      </x:c>
      <x:c r="T23" s="68" t="str">
        <x:v>格神得令、有根、透达、清纯，组合路径稳定且日主承载匹配</x:v>
      </x:c>
      <x:c r="U23" s="68" t="str">
        <x:v>格神受制、混杂、路径受阻、日主承载不足或救应只能局部作用</x:v>
      </x:c>
      <x:c r="V23" s="90" t="str">
        <x:v>格神失效、核心作用路径完全中断，或特殊格局硬门槛被有效反证否决</x:v>
      </x:c>
      <x:c r="W23" s="68" t="str">
        <x:v>特殊格局严格条件、流派争议及岁运补成另按专门规则处理</x:v>
      </x:c>
      <x:c r="X23" s="84" t="str">
        <x:v>正官格_官杀混杂</x:v>
      </x:c>
      <x:c r="Y23" s="84" t="str">
        <x:v>正官格候选判为“成立但有破”：破格等级为“一般”，救应为“待定”，清纯度为“混杂”；层次需结合全局继续评估。</x:v>
      </x:c>
      <x:c r="Z23" s="68" t="str">
        <x:v>若“格神失效、核心作用路径完全中断，或特殊格局硬门槛被有效反证否决”成立，应降低为成立但有破或不成立，不得维持当前结论。</x:v>
      </x:c>
      <x:c r="AA23" s="82" t="str">
        <x:v>较高</x:v>
      </x:c>
      <x:c r="AB23" s="82" t="str">
        <x:v>子平格局</x:v>
      </x:c>
      <x:c r="AC23" s="68" t="str">
        <x:v>格局成败须区分：格神是否有效、结构是否能运行、是否存在破坏、救应是否直接修复破格机制，以及格局成立与层次高低。</x:v>
      </x:c>
      <x:c r="AD23" s="68" t="str">
        <x:v>当“正官仍具月令和有效性基础”成立，且成格证据相互支持、无决定性否决时，可按本规则判断。</x:v>
      </x:c>
      <x:c r="AE23" s="90" t="str">
        <x:v>只有格局名称或局部组合，但“格神失效、核心作用路径完全中断，或特殊格局硬门槛被有效反证否决”成立时，不能按本规则维持格局。</x:v>
      </x:c>
      <x:c r="AF23" s="68" t="str">
        <x:v>https://zh.wikisource.org/zh-hans/%E6%B7%B5%E6%B5%B7%E5%AD%90%E5%B9%B3 ; https://zh.wikisource.org/wiki/%E6%BB%B4%E5%A4%A9%E9%AB%93%E9%97%A1%E5%BE%AE</x:v>
      </x:c>
      <x:c r="AG23" s="82" t="str">
        <x:v>采用</x:v>
      </x:c>
      <x:c r="AH23" s="82" t="str">
        <x:v>初审</x:v>
      </x:c>
      <x:c r="AI23" s="87" t="n">
        <x:v>46260</x:v>
      </x:c>
    </x:row>
    <x:row r="24">
      <x:c r="A24" s="72" t="str">
        <x:f>IF(OR(C24="",D24=""),"",B24&amp;"-"&amp;UPPER(C24)&amp;"-"&amp;TEXT(D24,"0000")&amp;"-"&amp;E24)</x:f>
        <x:v>M15-GUAN-0018-V1.0</x:v>
      </x:c>
      <x:c r="B24" s="74" t="str">
        <x:v>M15</x:v>
      </x:c>
      <x:c r="C24" s="74" t="str">
        <x:v>GUAN</x:v>
      </x:c>
      <x:c r="D24" s="215" t="n">
        <x:v>18</x:v>
      </x:c>
      <x:c r="E24" s="74" t="str">
        <x:v>V1.0</x:v>
      </x:c>
      <x:c r="F24" s="68" t="str">
        <x:v>去杀留官可恢复正官格清纯度</x:v>
      </x:c>
      <x:c r="G24" s="82" t="str">
        <x:v>综合层</x:v>
      </x:c>
      <x:c r="H24" s="68" t="str">
        <x:v>正官格候选</x:v>
      </x:c>
      <x:c r="I24" s="68" t="str">
        <x:v>官杀并见但七杀被有效合住、制去或转化，正官保持有效</x:v>
      </x:c>
      <x:c r="J24" s="68" t="str">
        <x:v>七杀功能显著下降，正官重新成为唯一主导制身者</x:v>
      </x:c>
      <x:c r="K24" s="68" t="str">
        <x:v>原官杀混杂</x:v>
      </x:c>
      <x:c r="L24" s="82" t="str">
        <x:v>轻微</x:v>
      </x:c>
      <x:c r="M24" s="68" t="str">
        <x:v>去杀留官</x:v>
      </x:c>
      <x:c r="N24" s="82" t="str">
        <x:v>完全救应</x:v>
      </x:c>
      <x:c r="O24" s="84" t="str">
        <x:v>有破有救</x:v>
      </x:c>
      <x:c r="P24" s="82" t="str">
        <x:v>较清</x:v>
      </x:c>
      <x:c r="Q24" s="68" t="str">
        <x:v>混杂被清化，正官格可恢复较高稳定度</x:v>
      </x:c>
      <x:c r="R24" s="68" t="str">
        <x:v>M14已生成候选；M08、M09、M10、M11相关结论可追溯</x:v>
      </x:c>
      <x:c r="S24" s="68" t="str">
        <x:v>格神与关键配合十神均以有效力量和实际功能为准</x:v>
      </x:c>
      <x:c r="T24" s="68" t="str">
        <x:v>格神得令、有根、透达、清纯，组合路径稳定且日主承载匹配</x:v>
      </x:c>
      <x:c r="U24" s="68" t="str">
        <x:v>格神受制、混杂、路径受阻、日主承载不足或救应只能局部作用</x:v>
      </x:c>
      <x:c r="V24" s="90" t="str">
        <x:v>格神失效、核心作用路径完全中断，或特殊格局硬门槛被有效反证否决</x:v>
      </x:c>
      <x:c r="W24" s="68" t="str">
        <x:v>特殊格局严格条件、流派争议及岁运补成另按专门规则处理</x:v>
      </x:c>
      <x:c r="X24" s="84" t="str">
        <x:v>正官格_去杀留官</x:v>
      </x:c>
      <x:c r="Y24" s="84" t="str">
        <x:v>正官格候选判为“有破有救”：破格等级为“轻微”，救应为“完全救应”，清纯度为“较清”；层次需结合全局继续评估。</x:v>
      </x:c>
      <x:c r="Z24" s="68" t="str">
        <x:v>若“格神失效、核心作用路径完全中断，或特殊格局硬门槛被有效反证否决”成立，应降低为成立但有破或不成立，不得维持当前结论。</x:v>
      </x:c>
      <x:c r="AA24" s="82" t="str">
        <x:v>较高</x:v>
      </x:c>
      <x:c r="AB24" s="82" t="str">
        <x:v>子平格局</x:v>
      </x:c>
      <x:c r="AC24" s="68" t="str">
        <x:v>格局成败须区分：格神是否有效、结构是否能运行、是否存在破坏、救应是否直接修复破格机制，以及格局成立与层次高低。</x:v>
      </x:c>
      <x:c r="AD24" s="68" t="str">
        <x:v>当“官杀并见但七杀被有效合住、制去或转化，正官保持有效”成立，且成格证据相互支持、无决定性否决时，可按本规则判断。</x:v>
      </x:c>
      <x:c r="AE24" s="90" t="str">
        <x:v>只有格局名称或局部组合，但“格神失效、核心作用路径完全中断，或特殊格局硬门槛被有效反证否决”成立时，不能按本规则维持格局。</x:v>
      </x:c>
      <x:c r="AF24" s="68" t="str">
        <x:v>https://zh.wikisource.org/zh-hans/%E6%B7%B5%E6%B5%B7%E5%AD%90%E5%B9%B3 ; https://zh.wikisource.org/wiki/%E6%BB%B4%E5%A4%A9%E9%AB%93%E9%97%A1%E5%BE%AE</x:v>
      </x:c>
      <x:c r="AG24" s="82" t="str">
        <x:v>采用</x:v>
      </x:c>
      <x:c r="AH24" s="82" t="str">
        <x:v>初审</x:v>
      </x:c>
      <x:c r="AI24" s="87" t="n">
        <x:v>46260</x:v>
      </x:c>
    </x:row>
    <x:row r="25">
      <x:c r="A25" s="72" t="str">
        <x:f>IF(OR(C25="",D25=""),"",B25&amp;"-"&amp;UPPER(C25)&amp;"-"&amp;TEXT(D25,"0000")&amp;"-"&amp;E25)</x:f>
        <x:v>M15-SHA-0019-V1.0</x:v>
      </x:c>
      <x:c r="B25" s="74" t="str">
        <x:v>M15</x:v>
      </x:c>
      <x:c r="C25" s="74" t="str">
        <x:v>SHA</x:v>
      </x:c>
      <x:c r="D25" s="215" t="n">
        <x:v>19</x:v>
      </x:c>
      <x:c r="E25" s="74" t="str">
        <x:v>V1.0</x:v>
      </x:c>
      <x:c r="F25" s="68" t="str">
        <x:v>七杀格必须具备承载或制化才能稳定成格</x:v>
      </x:c>
      <x:c r="G25" s="82" t="str">
        <x:v>综合层</x:v>
      </x:c>
      <x:c r="H25" s="68" t="str">
        <x:v>七杀格候选</x:v>
      </x:c>
      <x:c r="I25" s="68" t="str">
        <x:v>七杀得令有根并形成真实压力，日主有承载或存在食制、印化</x:v>
      </x:c>
      <x:c r="J25" s="68" t="str">
        <x:v>杀星有效，制化路径至少一条稳定</x:v>
      </x:c>
      <x:c r="K25" s="68" t="str">
        <x:v>无决定性破格因素</x:v>
      </x:c>
      <x:c r="L25" s="82" t="str">
        <x:v>无破</x:v>
      </x:c>
      <x:c r="M25" s="68" t="str">
        <x:v>无须救应</x:v>
      </x:c>
      <x:c r="N25" s="82" t="str">
        <x:v>无救应</x:v>
      </x:c>
      <x:c r="O25" s="84" t="str">
        <x:v>基本成立</x:v>
      </x:c>
      <x:c r="P25" s="82" t="str">
        <x:v>较清</x:v>
      </x:c>
      <x:c r="Q25" s="68" t="str">
        <x:v>七杀有权且不至无序攻身，格局具备运行基础</x:v>
      </x:c>
      <x:c r="R25" s="68" t="str">
        <x:v>M14已生成候选；M08、M09、M10、M11相关结论可追溯</x:v>
      </x:c>
      <x:c r="S25" s="68" t="str">
        <x:v>格神与关键配合十神均以有效力量和实际功能为准</x:v>
      </x:c>
      <x:c r="T25" s="68" t="str">
        <x:v>格神得令、有根、透达、清纯，组合路径稳定且日主承载匹配</x:v>
      </x:c>
      <x:c r="U25" s="68" t="str">
        <x:v>格神受制、混杂、路径受阻、日主承载不足或救应只能局部作用</x:v>
      </x:c>
      <x:c r="V25" s="90" t="str">
        <x:v>格神失效、核心作用路径完全中断，或特殊格局硬门槛被有效反证否决</x:v>
      </x:c>
      <x:c r="W25" s="68" t="str">
        <x:v>特殊格局严格条件、流派争议及岁运补成另按专门规则处理</x:v>
      </x:c>
      <x:c r="X25" s="84" t="str">
        <x:v>七杀格候选_成败救应</x:v>
      </x:c>
      <x:c r="Y25" s="84" t="str">
        <x:v>七杀格候选判为“基本成立”：破格等级为“无破”，救应为“无救应”，清纯度为“较清”；层次需结合全局继续评估。</x:v>
      </x:c>
      <x:c r="Z25" s="68" t="str">
        <x:v>若“格神失效、核心作用路径完全中断，或特殊格局硬门槛被有效反证否决”成立，应降低为成立但有破或不成立，不得维持当前结论。</x:v>
      </x:c>
      <x:c r="AA25" s="82" t="str">
        <x:v>较高</x:v>
      </x:c>
      <x:c r="AB25" s="82" t="str">
        <x:v>子平格局</x:v>
      </x:c>
      <x:c r="AC25" s="68" t="str">
        <x:v>格局成败须区分：格神是否有效、结构是否能运行、是否存在破坏、救应是否直接修复破格机制，以及格局成立与层次高低。</x:v>
      </x:c>
      <x:c r="AD25" s="68" t="str">
        <x:v>当“七杀得令有根并形成真实压力，日主有承载或存在食制、印化”成立，且成格证据相互支持、无决定性否决时，可按本规则判断。</x:v>
      </x:c>
      <x:c r="AE25" s="90" t="str">
        <x:v>只有格局名称或局部组合，但“格神失效、核心作用路径完全中断，或特殊格局硬门槛被有效反证否决”成立时，不能按本规则维持格局。</x:v>
      </x:c>
      <x:c r="AF25" s="68" t="str">
        <x:v>https://zh.wikisource.org/zh-hans/%E6%B7%B5%E6%B5%B7%E5%AD%90%E5%B9%B3 ; https://zh.wikisource.org/wiki/%E6%BB%B4%E5%A4%A9%E9%AB%93%E9%97%A1%E5%BE%AE</x:v>
      </x:c>
      <x:c r="AG25" s="82" t="str">
        <x:v>采用</x:v>
      </x:c>
      <x:c r="AH25" s="82" t="str">
        <x:v>初审</x:v>
      </x:c>
      <x:c r="AI25" s="87" t="n">
        <x:v>46260</x:v>
      </x:c>
    </x:row>
    <x:row r="26">
      <x:c r="A26" s="72" t="str">
        <x:f>IF(OR(C26="",D26=""),"",B26&amp;"-"&amp;UPPER(C26)&amp;"-"&amp;TEXT(D26,"0000")&amp;"-"&amp;E26)</x:f>
        <x:v>M15-SHA-0020-V1.0</x:v>
      </x:c>
      <x:c r="B26" s="74" t="str">
        <x:v>M15</x:v>
      </x:c>
      <x:c r="C26" s="74" t="str">
        <x:v>SHA</x:v>
      </x:c>
      <x:c r="D26" s="215" t="n">
        <x:v>20</x:v>
      </x:c>
      <x:c r="E26" s="74" t="str">
        <x:v>V1.0</x:v>
      </x:c>
      <x:c r="F26" s="68" t="str">
        <x:v>食神制杀比例适中可判七杀格清纯成立</x:v>
      </x:c>
      <x:c r="G26" s="82" t="str">
        <x:v>综合层</x:v>
      </x:c>
      <x:c r="H26" s="68" t="str">
        <x:v>七杀格候选</x:v>
      </x:c>
      <x:c r="I26" s="68" t="str">
        <x:v>杀有力、食神有力、制杀路径清晰，制而不过</x:v>
      </x:c>
      <x:c r="J26" s="68" t="str">
        <x:v>M11食神制杀明显成立，无强枭夺食</x:v>
      </x:c>
      <x:c r="K26" s="68" t="str">
        <x:v>无决定性破格因素</x:v>
      </x:c>
      <x:c r="L26" s="82" t="str">
        <x:v>无破</x:v>
      </x:c>
      <x:c r="M26" s="68" t="str">
        <x:v>无须救应</x:v>
      </x:c>
      <x:c r="N26" s="82" t="str">
        <x:v>无救应</x:v>
      </x:c>
      <x:c r="O26" s="84" t="str">
        <x:v>清纯成立</x:v>
      </x:c>
      <x:c r="P26" s="82" t="str">
        <x:v>清纯</x:v>
      </x:c>
      <x:c r="Q26" s="68" t="str">
        <x:v>制化目标明确，七杀压力转化为可控结构</x:v>
      </x:c>
      <x:c r="R26" s="68" t="str">
        <x:v>M14已生成候选；M08、M09、M10、M11相关结论可追溯</x:v>
      </x:c>
      <x:c r="S26" s="68" t="str">
        <x:v>格神与关键配合十神均以有效力量和实际功能为准</x:v>
      </x:c>
      <x:c r="T26" s="68" t="str">
        <x:v>格神得令、有根、透达、清纯，组合路径稳定且日主承载匹配</x:v>
      </x:c>
      <x:c r="U26" s="68" t="str">
        <x:v>格神受制、混杂、路径受阻、日主承载不足或救应只能局部作用</x:v>
      </x:c>
      <x:c r="V26" s="90" t="str">
        <x:v>格神失效、核心作用路径完全中断，或特殊格局硬门槛被有效反证否决</x:v>
      </x:c>
      <x:c r="W26" s="68" t="str">
        <x:v>特殊格局严格条件、流派争议及岁运补成另按专门规则处理</x:v>
      </x:c>
      <x:c r="X26" s="84" t="str">
        <x:v>七杀格_食神制杀清纯</x:v>
      </x:c>
      <x:c r="Y26" s="84" t="str">
        <x:v>七杀格候选判为“清纯成立”：破格等级为“无破”，救应为“无救应”，清纯度为“清纯”；层次需结合全局继续评估。</x:v>
      </x:c>
      <x:c r="Z26" s="68" t="str">
        <x:v>若“格神失效、核心作用路径完全中断，或特殊格局硬门槛被有效反证否决”成立，应降低为成立但有破或不成立，不得维持当前结论。</x:v>
      </x:c>
      <x:c r="AA26" s="82" t="str">
        <x:v>较高</x:v>
      </x:c>
      <x:c r="AB26" s="82" t="str">
        <x:v>子平格局</x:v>
      </x:c>
      <x:c r="AC26" s="68" t="str">
        <x:v>格局成败须区分：格神是否有效、结构是否能运行、是否存在破坏、救应是否直接修复破格机制，以及格局成立与层次高低。</x:v>
      </x:c>
      <x:c r="AD26" s="68" t="str">
        <x:v>当“杀有力、食神有力、制杀路径清晰，制而不过”成立，且成格证据相互支持、无决定性否决时，可按本规则判断。</x:v>
      </x:c>
      <x:c r="AE26" s="90" t="str">
        <x:v>只有格局名称或局部组合，但“格神失效、核心作用路径完全中断，或特殊格局硬门槛被有效反证否决”成立时，不能按本规则维持格局。</x:v>
      </x:c>
      <x:c r="AF26" s="68" t="str">
        <x:v>https://zh.wikisource.org/zh-hans/%E6%B7%B5%E6%B5%B7%E5%AD%90%E5%B9%B3 ; https://zh.wikisource.org/wiki/%E6%BB%B4%E5%A4%A9%E9%AB%93%E9%97%A1%E5%BE%AE</x:v>
      </x:c>
      <x:c r="AG26" s="82" t="str">
        <x:v>采用</x:v>
      </x:c>
      <x:c r="AH26" s="82" t="str">
        <x:v>初审</x:v>
      </x:c>
      <x:c r="AI26" s="87" t="n">
        <x:v>46260</x:v>
      </x:c>
    </x:row>
    <x:row r="27">
      <x:c r="A27" s="72" t="str">
        <x:f>IF(OR(C27="",D27=""),"",B27&amp;"-"&amp;UPPER(C27)&amp;"-"&amp;TEXT(D27,"0000")&amp;"-"&amp;E27)</x:f>
        <x:v>M15-SHA-0021-V1.0</x:v>
      </x:c>
      <x:c r="B27" s="74" t="str">
        <x:v>M15</x:v>
      </x:c>
      <x:c r="C27" s="74" t="str">
        <x:v>SHA</x:v>
      </x:c>
      <x:c r="D27" s="215" t="n">
        <x:v>21</x:v>
      </x:c>
      <x:c r="E27" s="74" t="str">
        <x:v>V1.0</x:v>
      </x:c>
      <x:c r="F27" s="68" t="str">
        <x:v>杀印相生完整可判七杀格清纯成立</x:v>
      </x:c>
      <x:c r="G27" s="82" t="str">
        <x:v>综合层</x:v>
      </x:c>
      <x:c r="H27" s="68" t="str">
        <x:v>七杀格候选</x:v>
      </x:c>
      <x:c r="I27" s="68" t="str">
        <x:v>七杀生印、印生身两段连续，印能承杀</x:v>
      </x:c>
      <x:c r="J27" s="68" t="str">
        <x:v>M11杀印相生明显成立，无财坏印</x:v>
      </x:c>
      <x:c r="K27" s="68" t="str">
        <x:v>无决定性破格因素</x:v>
      </x:c>
      <x:c r="L27" s="82" t="str">
        <x:v>无破</x:v>
      </x:c>
      <x:c r="M27" s="68" t="str">
        <x:v>无须救应</x:v>
      </x:c>
      <x:c r="N27" s="82" t="str">
        <x:v>无救应</x:v>
      </x:c>
      <x:c r="O27" s="84" t="str">
        <x:v>清纯成立</x:v>
      </x:c>
      <x:c r="P27" s="82" t="str">
        <x:v>较清</x:v>
      </x:c>
      <x:c r="Q27" s="68" t="str">
        <x:v>杀气经印转化，日主承载和结构稳定性较高</x:v>
      </x:c>
      <x:c r="R27" s="68" t="str">
        <x:v>M14已生成候选；M08、M09、M10、M11相关结论可追溯</x:v>
      </x:c>
      <x:c r="S27" s="68" t="str">
        <x:v>格神与关键配合十神均以有效力量和实际功能为准</x:v>
      </x:c>
      <x:c r="T27" s="68" t="str">
        <x:v>格神得令、有根、透达、清纯，组合路径稳定且日主承载匹配</x:v>
      </x:c>
      <x:c r="U27" s="68" t="str">
        <x:v>格神受制、混杂、路径受阻、日主承载不足或救应只能局部作用</x:v>
      </x:c>
      <x:c r="V27" s="90" t="str">
        <x:v>格神失效、核心作用路径完全中断，或特殊格局硬门槛被有效反证否决</x:v>
      </x:c>
      <x:c r="W27" s="68" t="str">
        <x:v>特殊格局严格条件、流派争议及岁运补成另按专门规则处理</x:v>
      </x:c>
      <x:c r="X27" s="84" t="str">
        <x:v>七杀格_杀印相生清纯</x:v>
      </x:c>
      <x:c r="Y27" s="84" t="str">
        <x:v>七杀格候选判为“清纯成立”：破格等级为“无破”，救应为“无救应”，清纯度为“较清”；层次需结合全局继续评估。</x:v>
      </x:c>
      <x:c r="Z27" s="68" t="str">
        <x:v>若“格神失效、核心作用路径完全中断，或特殊格局硬门槛被有效反证否决”成立，应降低为成立但有破或不成立，不得维持当前结论。</x:v>
      </x:c>
      <x:c r="AA27" s="82" t="str">
        <x:v>较高</x:v>
      </x:c>
      <x:c r="AB27" s="82" t="str">
        <x:v>子平格局</x:v>
      </x:c>
      <x:c r="AC27" s="68" t="str">
        <x:v>格局成败须区分：格神是否有效、结构是否能运行、是否存在破坏、救应是否直接修复破格机制，以及格局成立与层次高低。</x:v>
      </x:c>
      <x:c r="AD27" s="68" t="str">
        <x:v>当“七杀生印、印生身两段连续，印能承杀”成立，且成格证据相互支持、无决定性否决时，可按本规则判断。</x:v>
      </x:c>
      <x:c r="AE27" s="90" t="str">
        <x:v>只有格局名称或局部组合，但“格神失效、核心作用路径完全中断，或特殊格局硬门槛被有效反证否决”成立时，不能按本规则维持格局。</x:v>
      </x:c>
      <x:c r="AF27" s="68" t="str">
        <x:v>https://zh.wikisource.org/zh-hans/%E6%B7%B5%E6%B5%B7%E5%AD%90%E5%B9%B3 ; https://zh.wikisource.org/wiki/%E6%BB%B4%E5%A4%A9%E9%AB%93%E9%97%A1%E5%BE%AE</x:v>
      </x:c>
      <x:c r="AG27" s="82" t="str">
        <x:v>采用</x:v>
      </x:c>
      <x:c r="AH27" s="82" t="str">
        <x:v>初审</x:v>
      </x:c>
      <x:c r="AI27" s="87" t="n">
        <x:v>46260</x:v>
      </x:c>
    </x:row>
    <x:row r="28">
      <x:c r="A28" s="72" t="str">
        <x:f>IF(OR(C28="",D28=""),"",B28&amp;"-"&amp;UPPER(C28)&amp;"-"&amp;TEXT(D28,"0000")&amp;"-"&amp;E28)</x:f>
        <x:v>M15-SHA-0022-V1.0</x:v>
      </x:c>
      <x:c r="B28" s="74" t="str">
        <x:v>M15</x:v>
      </x:c>
      <x:c r="C28" s="74" t="str">
        <x:v>SHA</x:v>
      </x:c>
      <x:c r="D28" s="215" t="n">
        <x:v>22</x:v>
      </x:c>
      <x:c r="E28" s="74" t="str">
        <x:v>V1.0</x:v>
      </x:c>
      <x:c r="F28" s="68" t="str">
        <x:v>七杀无制无化且日主弱构成严重破格</x:v>
      </x:c>
      <x:c r="G28" s="82" t="str">
        <x:v>综合层</x:v>
      </x:c>
      <x:c r="H28" s="68" t="str">
        <x:v>七杀格候选</x:v>
      </x:c>
      <x:c r="I28" s="68" t="str">
        <x:v>七杀候选有月令依据但缺乏有效制化</x:v>
      </x:c>
      <x:c r="J28" s="68" t="str">
        <x:v>月令依据、格神根气与有效力量、日主配合及M11组合证据相互支持</x:v>
      </x:c>
      <x:c r="K28" s="68" t="str">
        <x:v>杀旺直接攻身，食神印星均不能承担制化</x:v>
      </x:c>
      <x:c r="L28" s="82" t="str">
        <x:v>严重</x:v>
      </x:c>
      <x:c r="M28" s="68" t="str">
        <x:v>无有效救应</x:v>
      </x:c>
      <x:c r="N28" s="82" t="str">
        <x:v>无救应</x:v>
      </x:c>
      <x:c r="O28" s="84" t="str">
        <x:v>成立但有破</x:v>
      </x:c>
      <x:c r="P28" s="82" t="str">
        <x:v>较清</x:v>
      </x:c>
      <x:c r="Q28" s="68" t="str">
        <x:v>格神虽有权，但结构失衡；若日主完全无承载可能不成立</x:v>
      </x:c>
      <x:c r="R28" s="68" t="str">
        <x:v>M14已生成候选；M08、M09、M10、M11相关结论可追溯</x:v>
      </x:c>
      <x:c r="S28" s="68" t="str">
        <x:v>格神与关键配合十神均以有效力量和实际功能为准</x:v>
      </x:c>
      <x:c r="T28" s="68" t="str">
        <x:v>格神得令、有根、透达、清纯，组合路径稳定且日主承载匹配</x:v>
      </x:c>
      <x:c r="U28" s="68" t="str">
        <x:v>格神受制、混杂、路径受阻、日主承载不足或救应只能局部作用</x:v>
      </x:c>
      <x:c r="V28" s="90" t="str">
        <x:v>格神失效、核心作用路径完全中断，或特殊格局硬门槛被有效反证否决</x:v>
      </x:c>
      <x:c r="W28" s="68" t="str">
        <x:v>特殊格局严格条件、流派争议及岁运补成另按专门规则处理</x:v>
      </x:c>
      <x:c r="X28" s="84" t="str">
        <x:v>七杀格_无制无化</x:v>
      </x:c>
      <x:c r="Y28" s="84" t="str">
        <x:v>七杀格候选判为“成立但有破”：破格等级为“严重”，救应为“无救应”，清纯度为“较清”；层次需结合全局继续评估。</x:v>
      </x:c>
      <x:c r="Z28" s="68" t="str">
        <x:v>若“格神失效、核心作用路径完全中断，或特殊格局硬门槛被有效反证否决”成立，应降低为成立但有破或不成立，不得维持当前结论。</x:v>
      </x:c>
      <x:c r="AA28" s="82" t="str">
        <x:v>较高</x:v>
      </x:c>
      <x:c r="AB28" s="82" t="str">
        <x:v>子平格局</x:v>
      </x:c>
      <x:c r="AC28" s="68" t="str">
        <x:v>格局成败须区分：格神是否有效、结构是否能运行、是否存在破坏、救应是否直接修复破格机制，以及格局成立与层次高低。</x:v>
      </x:c>
      <x:c r="AD28" s="68" t="str">
        <x:v>当“七杀候选有月令依据但缺乏有效制化”成立，且成格证据相互支持、无决定性否决时，可按本规则判断。</x:v>
      </x:c>
      <x:c r="AE28" s="90" t="str">
        <x:v>只有格局名称或局部组合，但“格神失效、核心作用路径完全中断，或特殊格局硬门槛被有效反证否决”成立时，不能按本规则维持格局。</x:v>
      </x:c>
      <x:c r="AF28" s="68" t="str">
        <x:v>https://zh.wikisource.org/zh-hans/%E6%B7%B5%E6%B5%B7%E5%AD%90%E5%B9%B3 ; https://zh.wikisource.org/wiki/%E6%BB%B4%E5%A4%A9%E9%AB%93%E9%97%A1%E5%BE%AE</x:v>
      </x:c>
      <x:c r="AG28" s="82" t="str">
        <x:v>采用</x:v>
      </x:c>
      <x:c r="AH28" s="82" t="str">
        <x:v>初审</x:v>
      </x:c>
      <x:c r="AI28" s="87" t="n">
        <x:v>46260</x:v>
      </x:c>
    </x:row>
    <x:row r="29">
      <x:c r="A29" s="72" t="str">
        <x:f>IF(OR(C29="",D29=""),"",B29&amp;"-"&amp;UPPER(C29)&amp;"-"&amp;TEXT(D29,"0000")&amp;"-"&amp;E29)</x:f>
        <x:v>M15-SHA-0023-V1.0</x:v>
      </x:c>
      <x:c r="B29" s="74" t="str">
        <x:v>M15</x:v>
      </x:c>
      <x:c r="C29" s="74" t="str">
        <x:v>SHA</x:v>
      </x:c>
      <x:c r="D29" s="215" t="n">
        <x:v>23</x:v>
      </x:c>
      <x:c r="E29" s="74" t="str">
        <x:v>V1.0</x:v>
      </x:c>
      <x:c r="F29" s="68" t="str">
        <x:v>制杀太过会破坏七杀格平衡</x:v>
      </x:c>
      <x:c r="G29" s="82" t="str">
        <x:v>综合层</x:v>
      </x:c>
      <x:c r="H29" s="68" t="str">
        <x:v>七杀格候选</x:v>
      </x:c>
      <x:c r="I29" s="68" t="str">
        <x:v>食神制杀结构原成立</x:v>
      </x:c>
      <x:c r="J29" s="68" t="str">
        <x:v>月令依据、格神根气与有效力量、日主配合及M11组合证据相互支持</x:v>
      </x:c>
      <x:c r="K29" s="68" t="str">
        <x:v>食伤过旺，将七杀制至残弱或失效</x:v>
      </x:c>
      <x:c r="L29" s="82" t="str">
        <x:v>一般</x:v>
      </x:c>
      <x:c r="M29" s="68" t="str">
        <x:v>财星生杀或印星制食伤须谨慎比较</x:v>
      </x:c>
      <x:c r="N29" s="82" t="str">
        <x:v>待定</x:v>
      </x:c>
      <x:c r="O29" s="84" t="str">
        <x:v>成立但有破</x:v>
      </x:c>
      <x:c r="P29" s="82" t="str">
        <x:v>有杂</x:v>
      </x:c>
      <x:c r="Q29" s="68" t="str">
        <x:v>七杀失去必要制衡功能，制化由平衡转为过度</x:v>
      </x:c>
      <x:c r="R29" s="68" t="str">
        <x:v>M14已生成候选；M08、M09、M10、M11相关结论可追溯</x:v>
      </x:c>
      <x:c r="S29" s="68" t="str">
        <x:v>格神与关键配合十神均以有效力量和实际功能为准</x:v>
      </x:c>
      <x:c r="T29" s="68" t="str">
        <x:v>格神得令、有根、透达、清纯，组合路径稳定且日主承载匹配</x:v>
      </x:c>
      <x:c r="U29" s="68" t="str">
        <x:v>格神受制、混杂、路径受阻、日主承载不足或救应只能局部作用</x:v>
      </x:c>
      <x:c r="V29" s="90" t="str">
        <x:v>格神失效、核心作用路径完全中断，或特殊格局硬门槛被有效反证否决</x:v>
      </x:c>
      <x:c r="W29" s="68" t="str">
        <x:v>特殊格局严格条件、流派争议及岁运补成另按专门规则处理</x:v>
      </x:c>
      <x:c r="X29" s="84" t="str">
        <x:v>七杀格_制杀太过</x:v>
      </x:c>
      <x:c r="Y29" s="84" t="str">
        <x:v>七杀格候选判为“成立但有破”：破格等级为“一般”，救应为“待定”，清纯度为“有杂”；层次需结合全局继续评估。</x:v>
      </x:c>
      <x:c r="Z29" s="68" t="str">
        <x:v>若“格神失效、核心作用路径完全中断，或特殊格局硬门槛被有效反证否决”成立，应降低为成立但有破或不成立，不得维持当前结论。</x:v>
      </x:c>
      <x:c r="AA29" s="82" t="str">
        <x:v>较高</x:v>
      </x:c>
      <x:c r="AB29" s="82" t="str">
        <x:v>子平格局</x:v>
      </x:c>
      <x:c r="AC29" s="68" t="str">
        <x:v>格局成败须区分：格神是否有效、结构是否能运行、是否存在破坏、救应是否直接修复破格机制，以及格局成立与层次高低。</x:v>
      </x:c>
      <x:c r="AD29" s="68" t="str">
        <x:v>当“食神制杀结构原成立”成立，且成格证据相互支持、无决定性否决时，可按本规则判断。</x:v>
      </x:c>
      <x:c r="AE29" s="90" t="str">
        <x:v>只有格局名称或局部组合，但“格神失效、核心作用路径完全中断，或特殊格局硬门槛被有效反证否决”成立时，不能按本规则维持格局。</x:v>
      </x:c>
      <x:c r="AF29" s="68" t="str">
        <x:v>https://zh.wikisource.org/zh-hans/%E6%B7%B5%E6%B5%B7%E5%AD%90%E5%B9%B3 ; https://zh.wikisource.org/wiki/%E6%BB%B4%E5%A4%A9%E9%AB%93%E9%97%A1%E5%BE%AE</x:v>
      </x:c>
      <x:c r="AG29" s="82" t="str">
        <x:v>采用</x:v>
      </x:c>
      <x:c r="AH29" s="82" t="str">
        <x:v>初审</x:v>
      </x:c>
      <x:c r="AI29" s="87" t="n">
        <x:v>46260</x:v>
      </x:c>
    </x:row>
    <x:row r="30">
      <x:c r="A30" s="72" t="str">
        <x:f>IF(OR(C30="",D30=""),"",B30&amp;"-"&amp;UPPER(C30)&amp;"-"&amp;TEXT(D30,"0000")&amp;"-"&amp;E30)</x:f>
        <x:v>M15-SHA-0024-V1.0</x:v>
      </x:c>
      <x:c r="B30" s="74" t="str">
        <x:v>M15</x:v>
      </x:c>
      <x:c r="C30" s="74" t="str">
        <x:v>SHA</x:v>
      </x:c>
      <x:c r="D30" s="215" t="n">
        <x:v>24</x:v>
      </x:c>
      <x:c r="E30" s="74" t="str">
        <x:v>V1.0</x:v>
      </x:c>
      <x:c r="F30" s="68" t="str">
        <x:v>枭夺食会破坏食神制杀型七杀格</x:v>
      </x:c>
      <x:c r="G30" s="82" t="str">
        <x:v>综合层</x:v>
      </x:c>
      <x:c r="H30" s="68" t="str">
        <x:v>七杀格候选</x:v>
      </x:c>
      <x:c r="I30" s="68" t="str">
        <x:v>七杀格主要依赖食神制杀</x:v>
      </x:c>
      <x:c r="J30" s="68" t="str">
        <x:v>月令依据、格神根气与有效力量、日主配合及M11组合证据相互支持</x:v>
      </x:c>
      <x:c r="K30" s="68" t="str">
        <x:v>偏印强克关键食神，使制杀功能受限或失效</x:v>
      </x:c>
      <x:c r="L30" s="82" t="str">
        <x:v>严重</x:v>
      </x:c>
      <x:c r="M30" s="68" t="str">
        <x:v>财星制枭护食</x:v>
      </x:c>
      <x:c r="N30" s="82" t="str">
        <x:v>待定</x:v>
      </x:c>
      <x:c r="O30" s="84" t="str">
        <x:v>成立但有破</x:v>
      </x:c>
      <x:c r="P30" s="82" t="str">
        <x:v>混杂</x:v>
      </x:c>
      <x:c r="Q30" s="68" t="str">
        <x:v>制杀环节受损，格局稳定性明显下降</x:v>
      </x:c>
      <x:c r="R30" s="68" t="str">
        <x:v>M14已生成候选；M08、M09、M10、M11相关结论可追溯</x:v>
      </x:c>
      <x:c r="S30" s="68" t="str">
        <x:v>格神与关键配合十神均以有效力量和实际功能为准</x:v>
      </x:c>
      <x:c r="T30" s="68" t="str">
        <x:v>格神得令、有根、透达、清纯，组合路径稳定且日主承载匹配</x:v>
      </x:c>
      <x:c r="U30" s="68" t="str">
        <x:v>格神受制、混杂、路径受阻、日主承载不足或救应只能局部作用</x:v>
      </x:c>
      <x:c r="V30" s="90" t="str">
        <x:v>格神失效、核心作用路径完全中断，或特殊格局硬门槛被有效反证否决</x:v>
      </x:c>
      <x:c r="W30" s="68" t="str">
        <x:v>特殊格局严格条件、流派争议及岁运补成另按专门规则处理</x:v>
      </x:c>
      <x:c r="X30" s="84" t="str">
        <x:v>七杀格_枭夺食破格</x:v>
      </x:c>
      <x:c r="Y30" s="84" t="str">
        <x:v>七杀格候选判为“成立但有破”：破格等级为“严重”，救应为“待定”，清纯度为“混杂”；层次需结合全局继续评估。</x:v>
      </x:c>
      <x:c r="Z30" s="68" t="str">
        <x:v>若“格神失效、核心作用路径完全中断，或特殊格局硬门槛被有效反证否决”成立，应降低为成立但有破或不成立，不得维持当前结论。</x:v>
      </x:c>
      <x:c r="AA30" s="82" t="str">
        <x:v>较高</x:v>
      </x:c>
      <x:c r="AB30" s="82" t="str">
        <x:v>子平格局</x:v>
      </x:c>
      <x:c r="AC30" s="68" t="str">
        <x:v>格局成败须区分：格神是否有效、结构是否能运行、是否存在破坏、救应是否直接修复破格机制，以及格局成立与层次高低。</x:v>
      </x:c>
      <x:c r="AD30" s="68" t="str">
        <x:v>当“七杀格主要依赖食神制杀”成立，且成格证据相互支持、无决定性否决时，可按本规则判断。</x:v>
      </x:c>
      <x:c r="AE30" s="90" t="str">
        <x:v>只有格局名称或局部组合，但“格神失效、核心作用路径完全中断，或特殊格局硬门槛被有效反证否决”成立时，不能按本规则维持格局。</x:v>
      </x:c>
      <x:c r="AF30" s="68" t="str">
        <x:v>https://zh.wikisource.org/zh-hans/%E6%B7%B5%E6%B5%B7%E5%AD%90%E5%B9%B3 ; https://zh.wikisource.org/wiki/%E6%BB%B4%E5%A4%A9%E9%AB%93%E9%97%A1%E5%BE%AE</x:v>
      </x:c>
      <x:c r="AG30" s="82" t="str">
        <x:v>采用</x:v>
      </x:c>
      <x:c r="AH30" s="82" t="str">
        <x:v>初审</x:v>
      </x:c>
      <x:c r="AI30" s="87" t="n">
        <x:v>46260</x:v>
      </x:c>
    </x:row>
    <x:row r="31">
      <x:c r="A31" s="72" t="str">
        <x:f>IF(OR(C31="",D31=""),"",B31&amp;"-"&amp;UPPER(C31)&amp;"-"&amp;TEXT(D31,"0000")&amp;"-"&amp;E31)</x:f>
        <x:v>M15-SHA-0025-V1.0</x:v>
      </x:c>
      <x:c r="B31" s="74" t="str">
        <x:v>M15</x:v>
      </x:c>
      <x:c r="C31" s="74" t="str">
        <x:v>SHA</x:v>
      </x:c>
      <x:c r="D31" s="215" t="n">
        <x:v>25</x:v>
      </x:c>
      <x:c r="E31" s="74" t="str">
        <x:v>V1.0</x:v>
      </x:c>
      <x:c r="F31" s="68" t="str">
        <x:v>财制枭护食可救食神制杀型七杀格</x:v>
      </x:c>
      <x:c r="G31" s="82" t="str">
        <x:v>综合层</x:v>
      </x:c>
      <x:c r="H31" s="68" t="str">
        <x:v>七杀格候选</x:v>
      </x:c>
      <x:c r="I31" s="68" t="str">
        <x:v>枭夺食已经破坏制杀，但财星能有效制枭且不过度生杀</x:v>
      </x:c>
      <x:c r="J31" s="68" t="str">
        <x:v>财制枭路径直接，食神功能恢复，杀不过度增强</x:v>
      </x:c>
      <x:c r="K31" s="68" t="str">
        <x:v>枭夺食</x:v>
      </x:c>
      <x:c r="L31" s="82" t="str">
        <x:v>一般</x:v>
      </x:c>
      <x:c r="M31" s="68" t="str">
        <x:v>财制枭护食</x:v>
      </x:c>
      <x:c r="N31" s="82" t="str">
        <x:v>明显有效</x:v>
      </x:c>
      <x:c r="O31" s="84" t="str">
        <x:v>有破有救</x:v>
      </x:c>
      <x:c r="P31" s="82" t="str">
        <x:v>有杂</x:v>
      </x:c>
      <x:c r="Q31" s="68" t="str">
        <x:v>食神制杀得以恢复，但财生杀副作用需保留</x:v>
      </x:c>
      <x:c r="R31" s="68" t="str">
        <x:v>M14已生成候选；M08、M09、M10、M11相关结论可追溯</x:v>
      </x:c>
      <x:c r="S31" s="68" t="str">
        <x:v>格神与关键配合十神均以有效力量和实际功能为准</x:v>
      </x:c>
      <x:c r="T31" s="68" t="str">
        <x:v>格神得令、有根、透达、清纯，组合路径稳定且日主承载匹配</x:v>
      </x:c>
      <x:c r="U31" s="68" t="str">
        <x:v>格神受制、混杂、路径受阻、日主承载不足或救应只能局部作用</x:v>
      </x:c>
      <x:c r="V31" s="90" t="str">
        <x:v>格神失效、核心作用路径完全中断，或特殊格局硬门槛被有效反证否决</x:v>
      </x:c>
      <x:c r="W31" s="68" t="str">
        <x:v>特殊格局严格条件、流派争议及岁运补成另按专门规则处理</x:v>
      </x:c>
      <x:c r="X31" s="84" t="str">
        <x:v>七杀格_财制枭救应</x:v>
      </x:c>
      <x:c r="Y31" s="84" t="str">
        <x:v>七杀格候选判为“有破有救”：破格等级为“一般”，救应为“明显有效”，清纯度为“有杂”；层次需结合全局继续评估。</x:v>
      </x:c>
      <x:c r="Z31" s="68" t="str">
        <x:v>若“格神失效、核心作用路径完全中断，或特殊格局硬门槛被有效反证否决”成立，应降低为成立但有破或不成立，不得维持当前结论。</x:v>
      </x:c>
      <x:c r="AA31" s="82" t="str">
        <x:v>较高</x:v>
      </x:c>
      <x:c r="AB31" s="82" t="str">
        <x:v>子平格局</x:v>
      </x:c>
      <x:c r="AC31" s="68" t="str">
        <x:v>格局成败须区分：格神是否有效、结构是否能运行、是否存在破坏、救应是否直接修复破格机制，以及格局成立与层次高低。</x:v>
      </x:c>
      <x:c r="AD31" s="68" t="str">
        <x:v>当“枭夺食已经破坏制杀，但财星能有效制枭且不过度生杀”成立，且成格证据相互支持、无决定性否决时，可按本规则判断。</x:v>
      </x:c>
      <x:c r="AE31" s="90" t="str">
        <x:v>只有格局名称或局部组合，但“格神失效、核心作用路径完全中断，或特殊格局硬门槛被有效反证否决”成立时，不能按本规则维持格局。</x:v>
      </x:c>
      <x:c r="AF31" s="68" t="str">
        <x:v>https://zh.wikisource.org/zh-hans/%E6%B7%B5%E6%B5%B7%E5%AD%90%E5%B9%B3 ; https://zh.wikisource.org/wiki/%E6%BB%B4%E5%A4%A9%E9%AB%93%E9%97%A1%E5%BE%AE</x:v>
      </x:c>
      <x:c r="AG31" s="82" t="str">
        <x:v>采用</x:v>
      </x:c>
      <x:c r="AH31" s="82" t="str">
        <x:v>初审</x:v>
      </x:c>
      <x:c r="AI31" s="87" t="n">
        <x:v>46260</x:v>
      </x:c>
    </x:row>
    <x:row r="32">
      <x:c r="A32" s="72" t="str">
        <x:f>IF(OR(C32="",D32=""),"",B32&amp;"-"&amp;UPPER(C32)&amp;"-"&amp;TEXT(D32,"0000")&amp;"-"&amp;E32)</x:f>
        <x:v>M15-SHA-0026-V1.0</x:v>
      </x:c>
      <x:c r="B32" s="74" t="str">
        <x:v>M15</x:v>
      </x:c>
      <x:c r="C32" s="74" t="str">
        <x:v>SHA</x:v>
      </x:c>
      <x:c r="D32" s="215" t="n">
        <x:v>26</x:v>
      </x:c>
      <x:c r="E32" s="74" t="str">
        <x:v>V1.0</x:v>
      </x:c>
      <x:c r="F32" s="68" t="str">
        <x:v>印化杀可救无食制的七杀格</x:v>
      </x:c>
      <x:c r="G32" s="82" t="str">
        <x:v>综合层</x:v>
      </x:c>
      <x:c r="H32" s="68" t="str">
        <x:v>七杀格候选</x:v>
      </x:c>
      <x:c r="I32" s="68" t="str">
        <x:v>食神不足，但印星有效承接七杀并生日主</x:v>
      </x:c>
      <x:c r="J32" s="68" t="str">
        <x:v>杀→印→身链路连续</x:v>
      </x:c>
      <x:c r="K32" s="68" t="str">
        <x:v>原杀压直接落身</x:v>
      </x:c>
      <x:c r="L32" s="82" t="str">
        <x:v>一般</x:v>
      </x:c>
      <x:c r="M32" s="68" t="str">
        <x:v>印星化杀生身</x:v>
      </x:c>
      <x:c r="N32" s="82" t="str">
        <x:v>明显有效</x:v>
      </x:c>
      <x:c r="O32" s="84" t="str">
        <x:v>有破有救</x:v>
      </x:c>
      <x:c r="P32" s="82" t="str">
        <x:v>较清</x:v>
      </x:c>
      <x:c r="Q32" s="68" t="str">
        <x:v>制化路线由食制转为印化，格局可重新稳定</x:v>
      </x:c>
      <x:c r="R32" s="68" t="str">
        <x:v>M14已生成候选；M08、M09、M10、M11相关结论可追溯</x:v>
      </x:c>
      <x:c r="S32" s="68" t="str">
        <x:v>格神与关键配合十神均以有效力量和实际功能为准</x:v>
      </x:c>
      <x:c r="T32" s="68" t="str">
        <x:v>格神得令、有根、透达、清纯，组合路径稳定且日主承载匹配</x:v>
      </x:c>
      <x:c r="U32" s="68" t="str">
        <x:v>格神受制、混杂、路径受阻、日主承载不足或救应只能局部作用</x:v>
      </x:c>
      <x:c r="V32" s="90" t="str">
        <x:v>格神失效、核心作用路径完全中断，或特殊格局硬门槛被有效反证否决</x:v>
      </x:c>
      <x:c r="W32" s="68" t="str">
        <x:v>特殊格局严格条件、流派争议及岁运补成另按专门规则处理</x:v>
      </x:c>
      <x:c r="X32" s="84" t="str">
        <x:v>七杀格_印化杀救应</x:v>
      </x:c>
      <x:c r="Y32" s="84" t="str">
        <x:v>七杀格候选判为“有破有救”：破格等级为“一般”，救应为“明显有效”，清纯度为“较清”；层次需结合全局继续评估。</x:v>
      </x:c>
      <x:c r="Z32" s="68" t="str">
        <x:v>若“格神失效、核心作用路径完全中断，或特殊格局硬门槛被有效反证否决”成立，应降低为成立但有破或不成立，不得维持当前结论。</x:v>
      </x:c>
      <x:c r="AA32" s="82" t="str">
        <x:v>较高</x:v>
      </x:c>
      <x:c r="AB32" s="82" t="str">
        <x:v>子平格局</x:v>
      </x:c>
      <x:c r="AC32" s="68" t="str">
        <x:v>格局成败须区分：格神是否有效、结构是否能运行、是否存在破坏、救应是否直接修复破格机制，以及格局成立与层次高低。</x:v>
      </x:c>
      <x:c r="AD32" s="68" t="str">
        <x:v>当“食神不足，但印星有效承接七杀并生日主”成立，且成格证据相互支持、无决定性否决时，可按本规则判断。</x:v>
      </x:c>
      <x:c r="AE32" s="90" t="str">
        <x:v>只有格局名称或局部组合，但“格神失效、核心作用路径完全中断，或特殊格局硬门槛被有效反证否决”成立时，不能按本规则维持格局。</x:v>
      </x:c>
      <x:c r="AF32" s="68" t="str">
        <x:v>https://zh.wikisource.org/zh-hans/%E6%B7%B5%E6%B5%B7%E5%AD%90%E5%B9%B3 ; https://zh.wikisource.org/wiki/%E6%BB%B4%E5%A4%A9%E9%AB%93%E9%97%A1%E5%BE%AE</x:v>
      </x:c>
      <x:c r="AG32" s="82" t="str">
        <x:v>采用</x:v>
      </x:c>
      <x:c r="AH32" s="82" t="str">
        <x:v>初审</x:v>
      </x:c>
      <x:c r="AI32" s="87" t="n">
        <x:v>46260</x:v>
      </x:c>
    </x:row>
    <x:row r="33">
      <x:c r="A33" s="72" t="str">
        <x:f>IF(OR(C33="",D33=""),"",B33&amp;"-"&amp;UPPER(C33)&amp;"-"&amp;TEXT(D33,"0000")&amp;"-"&amp;E33)</x:f>
        <x:v>M15-YIN-0027-V1.0</x:v>
      </x:c>
      <x:c r="B33" s="74" t="str">
        <x:v>M15</x:v>
      </x:c>
      <x:c r="C33" s="74" t="str">
        <x:v>YIN</x:v>
      </x:c>
      <x:c r="D33" s="215" t="n">
        <x:v>27</x:v>
      </x:c>
      <x:c r="E33" s="74" t="str">
        <x:v>V1.0</x:v>
      </x:c>
      <x:c r="F33" s="68" t="str">
        <x:v>印格基本成格要求印星真实生身并不过度</x:v>
      </x:c>
      <x:c r="G33" s="82" t="str">
        <x:v>综合层</x:v>
      </x:c>
      <x:c r="H33" s="68" t="str">
        <x:v>正印格/偏印格候选</x:v>
      </x:c>
      <x:c r="I33" s="68" t="str">
        <x:v>印星有月令依据、有根有源，日主需要或能承受印生</x:v>
      </x:c>
      <x:c r="J33" s="68" t="str">
        <x:v>印星有效生身，未被财星重制，未形成严重壅塞</x:v>
      </x:c>
      <x:c r="K33" s="68" t="str">
        <x:v>无决定性破格因素</x:v>
      </x:c>
      <x:c r="L33" s="82" t="str">
        <x:v>无破</x:v>
      </x:c>
      <x:c r="M33" s="68" t="str">
        <x:v>无须救应</x:v>
      </x:c>
      <x:c r="N33" s="82" t="str">
        <x:v>无救应</x:v>
      </x:c>
      <x:c r="O33" s="84" t="str">
        <x:v>基本成立</x:v>
      </x:c>
      <x:c r="P33" s="82" t="str">
        <x:v>较清</x:v>
      </x:c>
      <x:c r="Q33" s="68" t="str">
        <x:v>印星能够完成生扶或承接官杀功能</x:v>
      </x:c>
      <x:c r="R33" s="68" t="str">
        <x:v>M14已生成候选；M08、M09、M10、M11相关结论可追溯</x:v>
      </x:c>
      <x:c r="S33" s="68" t="str">
        <x:v>格神与关键配合十神均以有效力量和实际功能为准</x:v>
      </x:c>
      <x:c r="T33" s="68" t="str">
        <x:v>格神得令、有根、透达、清纯，组合路径稳定且日主承载匹配</x:v>
      </x:c>
      <x:c r="U33" s="68" t="str">
        <x:v>格神受制、混杂、路径受阻、日主承载不足或救应只能局部作用</x:v>
      </x:c>
      <x:c r="V33" s="90" t="str">
        <x:v>格神失效、核心作用路径完全中断，或特殊格局硬门槛被有效反证否决</x:v>
      </x:c>
      <x:c r="W33" s="68" t="str">
        <x:v>特殊格局严格条件、流派争议及岁运补成另按专门规则处理</x:v>
      </x:c>
      <x:c r="X33" s="84" t="str">
        <x:v>正印格/偏印格候选_成败救应</x:v>
      </x:c>
      <x:c r="Y33" s="84" t="str">
        <x:v>正印格/偏印格候选判为“基本成立”：破格等级为“无破”，救应为“无救应”，清纯度为“较清”；层次需结合全局继续评估。</x:v>
      </x:c>
      <x:c r="Z33" s="68" t="str">
        <x:v>若“格神失效、核心作用路径完全中断，或特殊格局硬门槛被有效反证否决”成立，应降低为成立但有破或不成立，不得维持当前结论。</x:v>
      </x:c>
      <x:c r="AA33" s="82" t="str">
        <x:v>较高</x:v>
      </x:c>
      <x:c r="AB33" s="82" t="str">
        <x:v>子平格局</x:v>
      </x:c>
      <x:c r="AC33" s="68" t="str">
        <x:v>格局成败须区分：格神是否有效、结构是否能运行、是否存在破坏、救应是否直接修复破格机制，以及格局成立与层次高低。</x:v>
      </x:c>
      <x:c r="AD33" s="68" t="str">
        <x:v>当“印星有月令依据、有根有源，日主需要或能承受印生”成立，且成格证据相互支持、无决定性否决时，可按本规则判断。</x:v>
      </x:c>
      <x:c r="AE33" s="90" t="str">
        <x:v>只有格局名称或局部组合，但“格神失效、核心作用路径完全中断，或特殊格局硬门槛被有效反证否决”成立时，不能按本规则维持格局。</x:v>
      </x:c>
      <x:c r="AF33" s="68" t="str">
        <x:v>https://zh.wikisource.org/zh-hans/%E6%B7%B5%E6%B5%B7%E5%AD%90%E5%B9%B3 ; https://zh.wikisource.org/wiki/%E6%BB%B4%E5%A4%A9%E9%AB%93%E9%97%A1%E5%BE%AE</x:v>
      </x:c>
      <x:c r="AG33" s="82" t="str">
        <x:v>采用</x:v>
      </x:c>
      <x:c r="AH33" s="82" t="str">
        <x:v>初审</x:v>
      </x:c>
      <x:c r="AI33" s="87" t="n">
        <x:v>46260</x:v>
      </x:c>
    </x:row>
    <x:row r="34">
      <x:c r="A34" s="72" t="str">
        <x:f>IF(OR(C34="",D34=""),"",B34&amp;"-"&amp;UPPER(C34)&amp;"-"&amp;TEXT(D34,"0000")&amp;"-"&amp;E34)</x:f>
        <x:v>M15-YIN-0028-V1.0</x:v>
      </x:c>
      <x:c r="B34" s="74" t="str">
        <x:v>M15</x:v>
      </x:c>
      <x:c r="C34" s="74" t="str">
        <x:v>YIN</x:v>
      </x:c>
      <x:c r="D34" s="215" t="n">
        <x:v>28</x:v>
      </x:c>
      <x:c r="E34" s="74" t="str">
        <x:v>V1.0</x:v>
      </x:c>
      <x:c r="F34" s="68" t="str">
        <x:v>官印相生清晰可提高正印格层次</x:v>
      </x:c>
      <x:c r="G34" s="82" t="str">
        <x:v>综合层</x:v>
      </x:c>
      <x:c r="H34" s="68" t="str">
        <x:v>正印格候选</x:v>
      </x:c>
      <x:c r="I34" s="68" t="str">
        <x:v>官星生印，印星生日主，链路连续</x:v>
      </x:c>
      <x:c r="J34" s="68" t="str">
        <x:v>官印均清纯有效，日主承载匹配</x:v>
      </x:c>
      <x:c r="K34" s="68" t="str">
        <x:v>无决定性破格因素</x:v>
      </x:c>
      <x:c r="L34" s="82" t="str">
        <x:v>无破</x:v>
      </x:c>
      <x:c r="M34" s="68" t="str">
        <x:v>无须救应</x:v>
      </x:c>
      <x:c r="N34" s="82" t="str">
        <x:v>无救应</x:v>
      </x:c>
      <x:c r="O34" s="84" t="str">
        <x:v>清纯成立</x:v>
      </x:c>
      <x:c r="P34" s="82" t="str">
        <x:v>清纯</x:v>
      </x:c>
      <x:c r="Q34" s="68" t="str">
        <x:v>印有源、官有序，结构完整稳定</x:v>
      </x:c>
      <x:c r="R34" s="68" t="str">
        <x:v>M14已生成候选；M08、M09、M10、M11相关结论可追溯</x:v>
      </x:c>
      <x:c r="S34" s="68" t="str">
        <x:v>格神与关键配合十神均以有效力量和实际功能为准</x:v>
      </x:c>
      <x:c r="T34" s="68" t="str">
        <x:v>格神得令、有根、透达、清纯，组合路径稳定且日主承载匹配</x:v>
      </x:c>
      <x:c r="U34" s="68" t="str">
        <x:v>格神受制、混杂、路径受阻、日主承载不足或救应只能局部作用</x:v>
      </x:c>
      <x:c r="V34" s="90" t="str">
        <x:v>格神失效、核心作用路径完全中断，或特殊格局硬门槛被有效反证否决</x:v>
      </x:c>
      <x:c r="W34" s="68" t="str">
        <x:v>特殊格局严格条件、流派争议及岁运补成另按专门规则处理</x:v>
      </x:c>
      <x:c r="X34" s="84" t="str">
        <x:v>正印格_官印相生</x:v>
      </x:c>
      <x:c r="Y34" s="84" t="str">
        <x:v>正印格候选判为“清纯成立”：破格等级为“无破”，救应为“无救应”，清纯度为“清纯”；层次需结合全局继续评估。</x:v>
      </x:c>
      <x:c r="Z34" s="68" t="str">
        <x:v>若“格神失效、核心作用路径完全中断，或特殊格局硬门槛被有效反证否决”成立，应降低为成立但有破或不成立，不得维持当前结论。</x:v>
      </x:c>
      <x:c r="AA34" s="82" t="str">
        <x:v>较高</x:v>
      </x:c>
      <x:c r="AB34" s="82" t="str">
        <x:v>子平格局</x:v>
      </x:c>
      <x:c r="AC34" s="68" t="str">
        <x:v>格局成败须区分：格神是否有效、结构是否能运行、是否存在破坏、救应是否直接修复破格机制，以及格局成立与层次高低。</x:v>
      </x:c>
      <x:c r="AD34" s="68" t="str">
        <x:v>当“官星生印，印星生日主，链路连续”成立，且成格证据相互支持、无决定性否决时，可按本规则判断。</x:v>
      </x:c>
      <x:c r="AE34" s="90" t="str">
        <x:v>只有格局名称或局部组合，但“格神失效、核心作用路径完全中断，或特殊格局硬门槛被有效反证否决”成立时，不能按本规则维持格局。</x:v>
      </x:c>
      <x:c r="AF34" s="68" t="str">
        <x:v>https://zh.wikisource.org/zh-hans/%E6%B7%B5%E6%B5%B7%E5%AD%90%E5%B9%B3 ; https://zh.wikisource.org/wiki/%E6%BB%B4%E5%A4%A9%E9%AB%93%E9%97%A1%E5%BE%AE</x:v>
      </x:c>
      <x:c r="AG34" s="82" t="str">
        <x:v>采用</x:v>
      </x:c>
      <x:c r="AH34" s="82" t="str">
        <x:v>初审</x:v>
      </x:c>
      <x:c r="AI34" s="87" t="n">
        <x:v>46260</x:v>
      </x:c>
    </x:row>
    <x:row r="35">
      <x:c r="A35" s="72" t="str">
        <x:f>IF(OR(C35="",D35=""),"",B35&amp;"-"&amp;UPPER(C35)&amp;"-"&amp;TEXT(D35,"0000")&amp;"-"&amp;E35)</x:f>
        <x:v>M15-YIN-0029-V1.0</x:v>
      </x:c>
      <x:c r="B35" s="74" t="str">
        <x:v>M15</x:v>
      </x:c>
      <x:c r="C35" s="74" t="str">
        <x:v>YIN</x:v>
      </x:c>
      <x:c r="D35" s="215" t="n">
        <x:v>29</x:v>
      </x:c>
      <x:c r="E35" s="74" t="str">
        <x:v>V1.0</x:v>
      </x:c>
      <x:c r="F35" s="68" t="str">
        <x:v>杀印相生清晰可提高偏印格层次</x:v>
      </x:c>
      <x:c r="G35" s="82" t="str">
        <x:v>综合层</x:v>
      </x:c>
      <x:c r="H35" s="68" t="str">
        <x:v>偏印格候选</x:v>
      </x:c>
      <x:c r="I35" s="68" t="str">
        <x:v>七杀有效生偏印，偏印继续生日主</x:v>
      </x:c>
      <x:c r="J35" s="68" t="str">
        <x:v>杀印链稳定，财不坏印，日主能承</x:v>
      </x:c>
      <x:c r="K35" s="68" t="str">
        <x:v>无决定性破格因素</x:v>
      </x:c>
      <x:c r="L35" s="82" t="str">
        <x:v>无破</x:v>
      </x:c>
      <x:c r="M35" s="68" t="str">
        <x:v>无须救应</x:v>
      </x:c>
      <x:c r="N35" s="82" t="str">
        <x:v>无救应</x:v>
      </x:c>
      <x:c r="O35" s="84" t="str">
        <x:v>清纯成立</x:v>
      </x:c>
      <x:c r="P35" s="82" t="str">
        <x:v>较清</x:v>
      </x:c>
      <x:c r="Q35" s="68" t="str">
        <x:v>偏印承担化杀生身核心功能</x:v>
      </x:c>
      <x:c r="R35" s="68" t="str">
        <x:v>M14已生成候选；M08、M09、M10、M11相关结论可追溯</x:v>
      </x:c>
      <x:c r="S35" s="68" t="str">
        <x:v>格神与关键配合十神均以有效力量和实际功能为准</x:v>
      </x:c>
      <x:c r="T35" s="68" t="str">
        <x:v>格神得令、有根、透达、清纯，组合路径稳定且日主承载匹配</x:v>
      </x:c>
      <x:c r="U35" s="68" t="str">
        <x:v>格神受制、混杂、路径受阻、日主承载不足或救应只能局部作用</x:v>
      </x:c>
      <x:c r="V35" s="90" t="str">
        <x:v>格神失效、核心作用路径完全中断，或特殊格局硬门槛被有效反证否决</x:v>
      </x:c>
      <x:c r="W35" s="68" t="str">
        <x:v>特殊格局严格条件、流派争议及岁运补成另按专门规则处理</x:v>
      </x:c>
      <x:c r="X35" s="84" t="str">
        <x:v>偏印格_杀印相生</x:v>
      </x:c>
      <x:c r="Y35" s="84" t="str">
        <x:v>偏印格候选判为“清纯成立”：破格等级为“无破”，救应为“无救应”，清纯度为“较清”；层次需结合全局继续评估。</x:v>
      </x:c>
      <x:c r="Z35" s="68" t="str">
        <x:v>若“格神失效、核心作用路径完全中断，或特殊格局硬门槛被有效反证否决”成立，应降低为成立但有破或不成立，不得维持当前结论。</x:v>
      </x:c>
      <x:c r="AA35" s="82" t="str">
        <x:v>较高</x:v>
      </x:c>
      <x:c r="AB35" s="82" t="str">
        <x:v>子平格局</x:v>
      </x:c>
      <x:c r="AC35" s="68" t="str">
        <x:v>格局成败须区分：格神是否有效、结构是否能运行、是否存在破坏、救应是否直接修复破格机制，以及格局成立与层次高低。</x:v>
      </x:c>
      <x:c r="AD35" s="68" t="str">
        <x:v>当“七杀有效生偏印，偏印继续生日主”成立，且成格证据相互支持、无决定性否决时，可按本规则判断。</x:v>
      </x:c>
      <x:c r="AE35" s="90" t="str">
        <x:v>只有格局名称或局部组合，但“格神失效、核心作用路径完全中断，或特殊格局硬门槛被有效反证否决”成立时，不能按本规则维持格局。</x:v>
      </x:c>
      <x:c r="AF35" s="68" t="str">
        <x:v>https://zh.wikisource.org/zh-hans/%E6%B7%B5%E6%B5%B7%E5%AD%90%E5%B9%B3 ; https://zh.wikisource.org/wiki/%E6%BB%B4%E5%A4%A9%E9%AB%93%E9%97%A1%E5%BE%AE</x:v>
      </x:c>
      <x:c r="AG35" s="82" t="str">
        <x:v>采用</x:v>
      </x:c>
      <x:c r="AH35" s="82" t="str">
        <x:v>初审</x:v>
      </x:c>
      <x:c r="AI35" s="87" t="n">
        <x:v>46260</x:v>
      </x:c>
    </x:row>
    <x:row r="36">
      <x:c r="A36" s="72" t="str">
        <x:f>IF(OR(C36="",D36=""),"",B36&amp;"-"&amp;UPPER(C36)&amp;"-"&amp;TEXT(D36,"0000")&amp;"-"&amp;E36)</x:f>
        <x:v>M15-YIN-0030-V1.0</x:v>
      </x:c>
      <x:c r="B36" s="74" t="str">
        <x:v>M15</x:v>
      </x:c>
      <x:c r="C36" s="74" t="str">
        <x:v>YIN</x:v>
      </x:c>
      <x:c r="D36" s="215" t="n">
        <x:v>30</x:v>
      </x:c>
      <x:c r="E36" s="74" t="str">
        <x:v>V1.0</x:v>
      </x:c>
      <x:c r="F36" s="68" t="str">
        <x:v>财坏关键印星构成严重破格</x:v>
      </x:c>
      <x:c r="G36" s="82" t="str">
        <x:v>综合层</x:v>
      </x:c>
      <x:c r="H36" s="68" t="str">
        <x:v>印格候选</x:v>
      </x:c>
      <x:c r="I36" s="68" t="str">
        <x:v>印格原成立且印为生身、化杀或制伤关键节点</x:v>
      </x:c>
      <x:c r="J36" s="68" t="str">
        <x:v>月令依据、格神根气与有效力量、日主配合及M11组合证据相互支持</x:v>
      </x:c>
      <x:c r="K36" s="68" t="str">
        <x:v>财星有力并直接克制关键印星</x:v>
      </x:c>
      <x:c r="L36" s="82" t="str">
        <x:v>严重</x:v>
      </x:c>
      <x:c r="M36" s="68" t="str">
        <x:v>比劫制财或财星被合制</x:v>
      </x:c>
      <x:c r="N36" s="82" t="str">
        <x:v>待定</x:v>
      </x:c>
      <x:c r="O36" s="84" t="str">
        <x:v>成立但有破</x:v>
      </x:c>
      <x:c r="P36" s="82" t="str">
        <x:v>有杂</x:v>
      </x:c>
      <x:c r="Q36" s="68" t="str">
        <x:v>印星主功能受损；若印完全失效则格局不成立</x:v>
      </x:c>
      <x:c r="R36" s="68" t="str">
        <x:v>M14已生成候选；M08、M09、M10、M11相关结论可追溯</x:v>
      </x:c>
      <x:c r="S36" s="68" t="str">
        <x:v>格神与关键配合十神均以有效力量和实际功能为准</x:v>
      </x:c>
      <x:c r="T36" s="68" t="str">
        <x:v>格神得令、有根、透达、清纯，组合路径稳定且日主承载匹配</x:v>
      </x:c>
      <x:c r="U36" s="68" t="str">
        <x:v>格神受制、混杂、路径受阻、日主承载不足或救应只能局部作用</x:v>
      </x:c>
      <x:c r="V36" s="90" t="str">
        <x:v>格神失效、核心作用路径完全中断，或特殊格局硬门槛被有效反证否决</x:v>
      </x:c>
      <x:c r="W36" s="68" t="str">
        <x:v>特殊格局严格条件、流派争议及岁运补成另按专门规则处理</x:v>
      </x:c>
      <x:c r="X36" s="84" t="str">
        <x:v>印格_财坏印</x:v>
      </x:c>
      <x:c r="Y36" s="84" t="str">
        <x:v>印格候选判为“成立但有破”：破格等级为“严重”，救应为“待定”，清纯度为“有杂”；层次需结合全局继续评估。</x:v>
      </x:c>
      <x:c r="Z36" s="68" t="str">
        <x:v>若“格神失效、核心作用路径完全中断，或特殊格局硬门槛被有效反证否决”成立，应降低为成立但有破或不成立，不得维持当前结论。</x:v>
      </x:c>
      <x:c r="AA36" s="82" t="str">
        <x:v>较高</x:v>
      </x:c>
      <x:c r="AB36" s="82" t="str">
        <x:v>子平格局</x:v>
      </x:c>
      <x:c r="AC36" s="68" t="str">
        <x:v>格局成败须区分：格神是否有效、结构是否能运行、是否存在破坏、救应是否直接修复破格机制，以及格局成立与层次高低。</x:v>
      </x:c>
      <x:c r="AD36" s="68" t="str">
        <x:v>当“印格原成立且印为生身、化杀或制伤关键节点”成立，且成格证据相互支持、无决定性否决时，可按本规则判断。</x:v>
      </x:c>
      <x:c r="AE36" s="90" t="str">
        <x:v>只有格局名称或局部组合，但“格神失效、核心作用路径完全中断，或特殊格局硬门槛被有效反证否决”成立时，不能按本规则维持格局。</x:v>
      </x:c>
      <x:c r="AF36" s="68" t="str">
        <x:v>https://zh.wikisource.org/zh-hans/%E6%B7%B5%E6%B5%B7%E5%AD%90%E5%B9%B3 ; https://zh.wikisource.org/wiki/%E6%BB%B4%E5%A4%A9%E9%AB%93%E9%97%A1%E5%BE%AE</x:v>
      </x:c>
      <x:c r="AG36" s="82" t="str">
        <x:v>采用</x:v>
      </x:c>
      <x:c r="AH36" s="82" t="str">
        <x:v>初审</x:v>
      </x:c>
      <x:c r="AI36" s="87" t="n">
        <x:v>46260</x:v>
      </x:c>
    </x:row>
    <x:row r="37">
      <x:c r="A37" s="72" t="str">
        <x:f>IF(OR(C37="",D37=""),"",B37&amp;"-"&amp;UPPER(C37)&amp;"-"&amp;TEXT(D37,"0000")&amp;"-"&amp;E37)</x:f>
        <x:v>M15-YIN-0031-V1.0</x:v>
      </x:c>
      <x:c r="B37" s="74" t="str">
        <x:v>M15</x:v>
      </x:c>
      <x:c r="C37" s="74" t="str">
        <x:v>YIN</x:v>
      </x:c>
      <x:c r="D37" s="215" t="n">
        <x:v>31</x:v>
      </x:c>
      <x:c r="E37" s="74" t="str">
        <x:v>V1.0</x:v>
      </x:c>
      <x:c r="F37" s="68" t="str">
        <x:v>比劫制财可救财坏印</x:v>
      </x:c>
      <x:c r="G37" s="82" t="str">
        <x:v>综合层</x:v>
      </x:c>
      <x:c r="H37" s="68" t="str">
        <x:v>印格候选</x:v>
      </x:c>
      <x:c r="I37" s="68" t="str">
        <x:v>财星正在破坏关键印星，比劫有力并能制财</x:v>
      </x:c>
      <x:c r="J37" s="68" t="str">
        <x:v>比劫→财克制真实，印星功能恢复</x:v>
      </x:c>
      <x:c r="K37" s="68" t="str">
        <x:v>财坏印</x:v>
      </x:c>
      <x:c r="L37" s="82" t="str">
        <x:v>一般</x:v>
      </x:c>
      <x:c r="M37" s="68" t="str">
        <x:v>比劫制财护印</x:v>
      </x:c>
      <x:c r="N37" s="82" t="str">
        <x:v>明显有效</x:v>
      </x:c>
      <x:c r="O37" s="84" t="str">
        <x:v>有破有救</x:v>
      </x:c>
      <x:c r="P37" s="82" t="str">
        <x:v>有杂</x:v>
      </x:c>
      <x:c r="Q37" s="68" t="str">
        <x:v>格局主要功能恢复，但比劫过强副作用需另审</x:v>
      </x:c>
      <x:c r="R37" s="68" t="str">
        <x:v>M14已生成候选；M08、M09、M10、M11相关结论可追溯</x:v>
      </x:c>
      <x:c r="S37" s="68" t="str">
        <x:v>格神与关键配合十神均以有效力量和实际功能为准</x:v>
      </x:c>
      <x:c r="T37" s="68" t="str">
        <x:v>格神得令、有根、透达、清纯，组合路径稳定且日主承载匹配</x:v>
      </x:c>
      <x:c r="U37" s="68" t="str">
        <x:v>格神受制、混杂、路径受阻、日主承载不足或救应只能局部作用</x:v>
      </x:c>
      <x:c r="V37" s="90" t="str">
        <x:v>格神失效、核心作用路径完全中断，或特殊格局硬门槛被有效反证否决</x:v>
      </x:c>
      <x:c r="W37" s="68" t="str">
        <x:v>特殊格局严格条件、流派争议及岁运补成另按专门规则处理</x:v>
      </x:c>
      <x:c r="X37" s="84" t="str">
        <x:v>印格_比劫制财救应</x:v>
      </x:c>
      <x:c r="Y37" s="84" t="str">
        <x:v>印格候选判为“有破有救”：破格等级为“一般”，救应为“明显有效”，清纯度为“有杂”；层次需结合全局继续评估。</x:v>
      </x:c>
      <x:c r="Z37" s="68" t="str">
        <x:v>若“格神失效、核心作用路径完全中断，或特殊格局硬门槛被有效反证否决”成立，应降低为成立但有破或不成立，不得维持当前结论。</x:v>
      </x:c>
      <x:c r="AA37" s="82" t="str">
        <x:v>较高</x:v>
      </x:c>
      <x:c r="AB37" s="82" t="str">
        <x:v>子平格局</x:v>
      </x:c>
      <x:c r="AC37" s="68" t="str">
        <x:v>格局成败须区分：格神是否有效、结构是否能运行、是否存在破坏、救应是否直接修复破格机制，以及格局成立与层次高低。</x:v>
      </x:c>
      <x:c r="AD37" s="68" t="str">
        <x:v>当“财星正在破坏关键印星，比劫有力并能制财”成立，且成格证据相互支持、无决定性否决时，可按本规则判断。</x:v>
      </x:c>
      <x:c r="AE37" s="90" t="str">
        <x:v>只有格局名称或局部组合，但“格神失效、核心作用路径完全中断，或特殊格局硬门槛被有效反证否决”成立时，不能按本规则维持格局。</x:v>
      </x:c>
      <x:c r="AF37" s="68" t="str">
        <x:v>https://zh.wikisource.org/zh-hans/%E6%B7%B5%E6%B5%B7%E5%AD%90%E5%B9%B3 ; https://zh.wikisource.org/wiki/%E6%BB%B4%E5%A4%A9%E9%AB%93%E9%97%A1%E5%BE%AE</x:v>
      </x:c>
      <x:c r="AG37" s="82" t="str">
        <x:v>采用</x:v>
      </x:c>
      <x:c r="AH37" s="82" t="str">
        <x:v>初审</x:v>
      </x:c>
      <x:c r="AI37" s="87" t="n">
        <x:v>46260</x:v>
      </x:c>
    </x:row>
    <x:row r="38">
      <x:c r="A38" s="72" t="str">
        <x:f>IF(OR(C38="",D38=""),"",B38&amp;"-"&amp;UPPER(C38)&amp;"-"&amp;TEXT(D38,"0000")&amp;"-"&amp;E38)</x:f>
        <x:v>M15-YIN-0032-V1.0</x:v>
      </x:c>
      <x:c r="B38" s="74" t="str">
        <x:v>M15</x:v>
      </x:c>
      <x:c r="C38" s="74" t="str">
        <x:v>YIN</x:v>
      </x:c>
      <x:c r="D38" s="215" t="n">
        <x:v>32</x:v>
      </x:c>
      <x:c r="E38" s="74" t="str">
        <x:v>V1.0</x:v>
      </x:c>
      <x:c r="F38" s="68" t="str">
        <x:v>印多身滞会降低印格层次</x:v>
      </x:c>
      <x:c r="G38" s="82" t="str">
        <x:v>综合层</x:v>
      </x:c>
      <x:c r="H38" s="68" t="str">
        <x:v>印格候选</x:v>
      </x:c>
      <x:c r="I38" s="68" t="str">
        <x:v>印星得令成势，但日主已旺，食伤输出受压</x:v>
      </x:c>
      <x:c r="J38" s="68" t="str">
        <x:v>月令依据、格神根气与有效力量、日主配合及M11组合证据相互支持</x:v>
      </x:c>
      <x:c r="K38" s="68" t="str">
        <x:v>印生过度并阻断必要泄出</x:v>
      </x:c>
      <x:c r="L38" s="82" t="str">
        <x:v>一般</x:v>
      </x:c>
      <x:c r="M38" s="68" t="str">
        <x:v>食伤有效泄秀或财星适度制印</x:v>
      </x:c>
      <x:c r="N38" s="82" t="str">
        <x:v>待定</x:v>
      </x:c>
      <x:c r="O38" s="84" t="str">
        <x:v>成立但有破</x:v>
      </x:c>
      <x:c r="P38" s="82" t="str">
        <x:v>较清</x:v>
      </x:c>
      <x:c r="Q38" s="68" t="str">
        <x:v>格局成立但流通不佳，层次受壅滞限制</x:v>
      </x:c>
      <x:c r="R38" s="68" t="str">
        <x:v>M14已生成候选；M08、M09、M10、M11相关结论可追溯</x:v>
      </x:c>
      <x:c r="S38" s="68" t="str">
        <x:v>格神与关键配合十神均以有效力量和实际功能为准</x:v>
      </x:c>
      <x:c r="T38" s="68" t="str">
        <x:v>格神得令、有根、透达、清纯，组合路径稳定且日主承载匹配</x:v>
      </x:c>
      <x:c r="U38" s="68" t="str">
        <x:v>格神受制、混杂、路径受阻、日主承载不足或救应只能局部作用</x:v>
      </x:c>
      <x:c r="V38" s="90" t="str">
        <x:v>格神失效、核心作用路径完全中断，或特殊格局硬门槛被有效反证否决</x:v>
      </x:c>
      <x:c r="W38" s="68" t="str">
        <x:v>特殊格局严格条件、流派争议及岁运补成另按专门规则处理</x:v>
      </x:c>
      <x:c r="X38" s="84" t="str">
        <x:v>印格_印多身滞</x:v>
      </x:c>
      <x:c r="Y38" s="84" t="str">
        <x:v>印格候选判为“成立但有破”：破格等级为“一般”，救应为“待定”，清纯度为“较清”；层次需结合全局继续评估。</x:v>
      </x:c>
      <x:c r="Z38" s="68" t="str">
        <x:v>若“格神失效、核心作用路径完全中断，或特殊格局硬门槛被有效反证否决”成立，应降低为成立但有破或不成立，不得维持当前结论。</x:v>
      </x:c>
      <x:c r="AA38" s="82" t="str">
        <x:v>较高</x:v>
      </x:c>
      <x:c r="AB38" s="82" t="str">
        <x:v>子平格局</x:v>
      </x:c>
      <x:c r="AC38" s="68" t="str">
        <x:v>格局成败须区分：格神是否有效、结构是否能运行、是否存在破坏、救应是否直接修复破格机制，以及格局成立与层次高低。</x:v>
      </x:c>
      <x:c r="AD38" s="68" t="str">
        <x:v>当“印星得令成势，但日主已旺，食伤输出受压”成立，且成格证据相互支持、无决定性否决时，可按本规则判断。</x:v>
      </x:c>
      <x:c r="AE38" s="90" t="str">
        <x:v>只有格局名称或局部组合，但“格神失效、核心作用路径完全中断，或特殊格局硬门槛被有效反证否决”成立时，不能按本规则维持格局。</x:v>
      </x:c>
      <x:c r="AF38" s="68" t="str">
        <x:v>https://zh.wikisource.org/zh-hans/%E6%B7%B5%E6%B5%B7%E5%AD%90%E5%B9%B3 ; https://zh.wikisource.org/wiki/%E6%BB%B4%E5%A4%A9%E9%AB%93%E9%97%A1%E5%BE%AE</x:v>
      </x:c>
      <x:c r="AG38" s="82" t="str">
        <x:v>采用</x:v>
      </x:c>
      <x:c r="AH38" s="82" t="str">
        <x:v>初审</x:v>
      </x:c>
      <x:c r="AI38" s="87" t="n">
        <x:v>46260</x:v>
      </x:c>
    </x:row>
    <x:row r="39">
      <x:c r="A39" s="72" t="str">
        <x:f>IF(OR(C39="",D39=""),"",B39&amp;"-"&amp;UPPER(C39)&amp;"-"&amp;TEXT(D39,"0000")&amp;"-"&amp;E39)</x:f>
        <x:v>M15-YIN-0033-V1.0</x:v>
      </x:c>
      <x:c r="B39" s="74" t="str">
        <x:v>M15</x:v>
      </x:c>
      <x:c r="C39" s="74" t="str">
        <x:v>YIN</x:v>
      </x:c>
      <x:c r="D39" s="215" t="n">
        <x:v>33</x:v>
      </x:c>
      <x:c r="E39" s="74" t="str">
        <x:v>V1.0</x:v>
      </x:c>
      <x:c r="F39" s="68" t="str">
        <x:v>枭神夺食会使偏印格带明显副作用</x:v>
      </x:c>
      <x:c r="G39" s="82" t="str">
        <x:v>综合层</x:v>
      </x:c>
      <x:c r="H39" s="68" t="str">
        <x:v>偏印格候选</x:v>
      </x:c>
      <x:c r="I39" s="68" t="str">
        <x:v>偏印格成立且食神承担关键生财或制杀功能</x:v>
      </x:c>
      <x:c r="J39" s="68" t="str">
        <x:v>月令依据、格神根气与有效力量、日主配合及M11组合证据相互支持</x:v>
      </x:c>
      <x:c r="K39" s="68" t="str">
        <x:v>偏印强制食神，破坏关键输出</x:v>
      </x:c>
      <x:c r="L39" s="82" t="str">
        <x:v>一般</x:v>
      </x:c>
      <x:c r="M39" s="68" t="str">
        <x:v>财星制枭</x:v>
      </x:c>
      <x:c r="N39" s="82" t="str">
        <x:v>待定</x:v>
      </x:c>
      <x:c r="O39" s="84" t="str">
        <x:v>成立但有破</x:v>
      </x:c>
      <x:c r="P39" s="82" t="str">
        <x:v>有杂</x:v>
      </x:c>
      <x:c r="Q39" s="68" t="str">
        <x:v>偏印格仍可运行，但重要食神功能受损</x:v>
      </x:c>
      <x:c r="R39" s="68" t="str">
        <x:v>M14已生成候选；M08、M09、M10、M11相关结论可追溯</x:v>
      </x:c>
      <x:c r="S39" s="68" t="str">
        <x:v>格神与关键配合十神均以有效力量和实际功能为准</x:v>
      </x:c>
      <x:c r="T39" s="68" t="str">
        <x:v>格神得令、有根、透达、清纯，组合路径稳定且日主承载匹配</x:v>
      </x:c>
      <x:c r="U39" s="68" t="str">
        <x:v>格神受制、混杂、路径受阻、日主承载不足或救应只能局部作用</x:v>
      </x:c>
      <x:c r="V39" s="90" t="str">
        <x:v>格神失效、核心作用路径完全中断，或特殊格局硬门槛被有效反证否决</x:v>
      </x:c>
      <x:c r="W39" s="68" t="str">
        <x:v>特殊格局严格条件、流派争议及岁运补成另按专门规则处理</x:v>
      </x:c>
      <x:c r="X39" s="84" t="str">
        <x:v>偏印格_枭夺食</x:v>
      </x:c>
      <x:c r="Y39" s="84" t="str">
        <x:v>偏印格候选判为“成立但有破”：破格等级为“一般”，救应为“待定”，清纯度为“有杂”；层次需结合全局继续评估。</x:v>
      </x:c>
      <x:c r="Z39" s="68" t="str">
        <x:v>若“格神失效、核心作用路径完全中断，或特殊格局硬门槛被有效反证否决”成立，应降低为成立但有破或不成立，不得维持当前结论。</x:v>
      </x:c>
      <x:c r="AA39" s="82" t="str">
        <x:v>较高</x:v>
      </x:c>
      <x:c r="AB39" s="82" t="str">
        <x:v>子平格局</x:v>
      </x:c>
      <x:c r="AC39" s="68" t="str">
        <x:v>格局成败须区分：格神是否有效、结构是否能运行、是否存在破坏、救应是否直接修复破格机制，以及格局成立与层次高低。</x:v>
      </x:c>
      <x:c r="AD39" s="68" t="str">
        <x:v>当“偏印格成立且食神承担关键生财或制杀功能”成立，且成格证据相互支持、无决定性否决时，可按本规则判断。</x:v>
      </x:c>
      <x:c r="AE39" s="90" t="str">
        <x:v>只有格局名称或局部组合，但“格神失效、核心作用路径完全中断，或特殊格局硬门槛被有效反证否决”成立时，不能按本规则维持格局。</x:v>
      </x:c>
      <x:c r="AF39" s="68" t="str">
        <x:v>https://zh.wikisource.org/zh-hans/%E6%B7%B5%E6%B5%B7%E5%AD%90%E5%B9%B3 ; https://zh.wikisource.org/wiki/%E6%BB%B4%E5%A4%A9%E9%AB%93%E9%97%A1%E5%BE%AE</x:v>
      </x:c>
      <x:c r="AG39" s="82" t="str">
        <x:v>采用</x:v>
      </x:c>
      <x:c r="AH39" s="82" t="str">
        <x:v>初审</x:v>
      </x:c>
      <x:c r="AI39" s="87" t="n">
        <x:v>46260</x:v>
      </x:c>
    </x:row>
    <x:row r="40">
      <x:c r="A40" s="72" t="str">
        <x:f>IF(OR(C40="",D40=""),"",B40&amp;"-"&amp;UPPER(C40)&amp;"-"&amp;TEXT(D40,"0000")&amp;"-"&amp;E40)</x:f>
        <x:v>M15-YIN-0034-V1.0</x:v>
      </x:c>
      <x:c r="B40" s="74" t="str">
        <x:v>M15</x:v>
      </x:c>
      <x:c r="C40" s="74" t="str">
        <x:v>YIN</x:v>
      </x:c>
      <x:c r="D40" s="215" t="n">
        <x:v>34</x:v>
      </x:c>
      <x:c r="E40" s="74" t="str">
        <x:v>V1.0</x:v>
      </x:c>
      <x:c r="F40" s="68" t="str">
        <x:v>印枭混杂主从不清时格局降级</x:v>
      </x:c>
      <x:c r="G40" s="82" t="str">
        <x:v>综合层</x:v>
      </x:c>
      <x:c r="H40" s="68" t="str">
        <x:v>印格候选</x:v>
      </x:c>
      <x:c r="I40" s="68" t="str">
        <x:v>正印与偏印均有效且共同主导生身或制食伤</x:v>
      </x:c>
      <x:c r="J40" s="68" t="str">
        <x:v>月令依据、格神根气与有效力量、日主配合及M11组合证据相互支持</x:v>
      </x:c>
      <x:c r="K40" s="68" t="str">
        <x:v>印枭双强、功能主从不清</x:v>
      </x:c>
      <x:c r="L40" s="82" t="str">
        <x:v>轻微</x:v>
      </x:c>
      <x:c r="M40" s="68" t="str">
        <x:v>形成明确主从或一方被有效制化</x:v>
      </x:c>
      <x:c r="N40" s="82" t="str">
        <x:v>待定</x:v>
      </x:c>
      <x:c r="O40" s="84" t="str">
        <x:v>成立但有破</x:v>
      </x:c>
      <x:c r="P40" s="82" t="str">
        <x:v>混杂</x:v>
      </x:c>
      <x:c r="Q40" s="68" t="str">
        <x:v>格局仍成立，但清纯度和取用稳定性下降</x:v>
      </x:c>
      <x:c r="R40" s="68" t="str">
        <x:v>M14已生成候选；M08、M09、M10、M11相关结论可追溯</x:v>
      </x:c>
      <x:c r="S40" s="68" t="str">
        <x:v>格神与关键配合十神均以有效力量和实际功能为准</x:v>
      </x:c>
      <x:c r="T40" s="68" t="str">
        <x:v>格神得令、有根、透达、清纯，组合路径稳定且日主承载匹配</x:v>
      </x:c>
      <x:c r="U40" s="68" t="str">
        <x:v>格神受制、混杂、路径受阻、日主承载不足或救应只能局部作用</x:v>
      </x:c>
      <x:c r="V40" s="90" t="str">
        <x:v>格神失效、核心作用路径完全中断，或特殊格局硬门槛被有效反证否决</x:v>
      </x:c>
      <x:c r="W40" s="68" t="str">
        <x:v>特殊格局严格条件、流派争议及岁运补成另按专门规则处理</x:v>
      </x:c>
      <x:c r="X40" s="84" t="str">
        <x:v>印格_印枭混杂</x:v>
      </x:c>
      <x:c r="Y40" s="84" t="str">
        <x:v>印格候选判为“成立但有破”：破格等级为“轻微”，救应为“待定”，清纯度为“混杂”；层次需结合全局继续评估。</x:v>
      </x:c>
      <x:c r="Z40" s="68" t="str">
        <x:v>若“格神失效、核心作用路径完全中断，或特殊格局硬门槛被有效反证否决”成立，应降低为成立但有破或不成立，不得维持当前结论。</x:v>
      </x:c>
      <x:c r="AA40" s="82" t="str">
        <x:v>较高</x:v>
      </x:c>
      <x:c r="AB40" s="82" t="str">
        <x:v>子平格局</x:v>
      </x:c>
      <x:c r="AC40" s="68" t="str">
        <x:v>格局成败须区分：格神是否有效、结构是否能运行、是否存在破坏、救应是否直接修复破格机制，以及格局成立与层次高低。</x:v>
      </x:c>
      <x:c r="AD40" s="68" t="str">
        <x:v>当“正印与偏印均有效且共同主导生身或制食伤”成立，且成格证据相互支持、无决定性否决时，可按本规则判断。</x:v>
      </x:c>
      <x:c r="AE40" s="90" t="str">
        <x:v>只有格局名称或局部组合，但“格神失效、核心作用路径完全中断，或特殊格局硬门槛被有效反证否决”成立时，不能按本规则维持格局。</x:v>
      </x:c>
      <x:c r="AF40" s="68" t="str">
        <x:v>https://zh.wikisource.org/zh-hans/%E6%B7%B5%E6%B5%B7%E5%AD%90%E5%B9%B3 ; https://zh.wikisource.org/wiki/%E6%BB%B4%E5%A4%A9%E9%AB%93%E9%97%A1%E5%BE%AE</x:v>
      </x:c>
      <x:c r="AG40" s="82" t="str">
        <x:v>采用</x:v>
      </x:c>
      <x:c r="AH40" s="82" t="str">
        <x:v>初审</x:v>
      </x:c>
      <x:c r="AI40" s="87" t="n">
        <x:v>46260</x:v>
      </x:c>
    </x:row>
    <x:row r="41">
      <x:c r="A41" s="72" t="str">
        <x:f>IF(OR(C41="",D41=""),"",B41&amp;"-"&amp;UPPER(C41)&amp;"-"&amp;TEXT(D41,"0000")&amp;"-"&amp;E41)</x:f>
        <x:v>M15-CAI-0035-V1.0</x:v>
      </x:c>
      <x:c r="B41" s="74" t="str">
        <x:v>M15</x:v>
      </x:c>
      <x:c r="C41" s="74" t="str">
        <x:v>CAI</x:v>
      </x:c>
      <x:c r="D41" s="215" t="n">
        <x:v>35</x:v>
      </x:c>
      <x:c r="E41" s="74" t="str">
        <x:v>V1.0</x:v>
      </x:c>
      <x:c r="F41" s="68" t="str">
        <x:v>财格基本成格要求财星有力且日主能任</x:v>
      </x:c>
      <x:c r="G41" s="82" t="str">
        <x:v>综合层</x:v>
      </x:c>
      <x:c r="H41" s="68" t="str">
        <x:v>正财格/偏财格候选</x:v>
      </x:c>
      <x:c r="I41" s="68" t="str">
        <x:v>财星有月令依据、有根有源，日主具备承载，财未被比劫完全制去</x:v>
      </x:c>
      <x:c r="J41" s="68" t="str">
        <x:v>财星有效，食伤生财或财官链可运行</x:v>
      </x:c>
      <x:c r="K41" s="68" t="str">
        <x:v>无决定性破格因素</x:v>
      </x:c>
      <x:c r="L41" s="82" t="str">
        <x:v>无破</x:v>
      </x:c>
      <x:c r="M41" s="68" t="str">
        <x:v>无须救应</x:v>
      </x:c>
      <x:c r="N41" s="82" t="str">
        <x:v>无救应</x:v>
      </x:c>
      <x:c r="O41" s="84" t="str">
        <x:v>基本成立</x:v>
      </x:c>
      <x:c r="P41" s="82" t="str">
        <x:v>较清</x:v>
      </x:c>
      <x:c r="Q41" s="68" t="str">
        <x:v>财星能够形成稳定耗用与资源流向</x:v>
      </x:c>
      <x:c r="R41" s="68" t="str">
        <x:v>M14已生成候选；M08、M09、M10、M11相关结论可追溯</x:v>
      </x:c>
      <x:c r="S41" s="68" t="str">
        <x:v>格神与关键配合十神均以有效力量和实际功能为准</x:v>
      </x:c>
      <x:c r="T41" s="68" t="str">
        <x:v>格神得令、有根、透达、清纯，组合路径稳定且日主承载匹配</x:v>
      </x:c>
      <x:c r="U41" s="68" t="str">
        <x:v>格神受制、混杂、路径受阻、日主承载不足或救应只能局部作用</x:v>
      </x:c>
      <x:c r="V41" s="90" t="str">
        <x:v>格神失效、核心作用路径完全中断，或特殊格局硬门槛被有效反证否决</x:v>
      </x:c>
      <x:c r="W41" s="68" t="str">
        <x:v>特殊格局严格条件、流派争议及岁运补成另按专门规则处理</x:v>
      </x:c>
      <x:c r="X41" s="84" t="str">
        <x:v>正财格/偏财格候选_成败救应</x:v>
      </x:c>
      <x:c r="Y41" s="84" t="str">
        <x:v>正财格/偏财格候选判为“基本成立”：破格等级为“无破”，救应为“无救应”，清纯度为“较清”；层次需结合全局继续评估。</x:v>
      </x:c>
      <x:c r="Z41" s="68" t="str">
        <x:v>若“格神失效、核心作用路径完全中断，或特殊格局硬门槛被有效反证否决”成立，应降低为成立但有破或不成立，不得维持当前结论。</x:v>
      </x:c>
      <x:c r="AA41" s="82" t="str">
        <x:v>较高</x:v>
      </x:c>
      <x:c r="AB41" s="82" t="str">
        <x:v>子平格局</x:v>
      </x:c>
      <x:c r="AC41" s="68" t="str">
        <x:v>格局成败须区分：格神是否有效、结构是否能运行、是否存在破坏、救应是否直接修复破格机制，以及格局成立与层次高低。</x:v>
      </x:c>
      <x:c r="AD41" s="68" t="str">
        <x:v>当“财星有月令依据、有根有源，日主具备承载，财未被比劫完全制去”成立，且成格证据相互支持、无决定性否决时，可按本规则判断。</x:v>
      </x:c>
      <x:c r="AE41" s="90" t="str">
        <x:v>只有格局名称或局部组合，但“格神失效、核心作用路径完全中断，或特殊格局硬门槛被有效反证否决”成立时，不能按本规则维持格局。</x:v>
      </x:c>
      <x:c r="AF41" s="68" t="str">
        <x:v>https://zh.wikisource.org/zh-hans/%E6%B7%B5%E6%B5%B7%E5%AD%90%E5%B9%B3 ; https://zh.wikisource.org/wiki/%E6%BB%B4%E5%A4%A9%E9%AB%93%E9%97%A1%E5%BE%AE</x:v>
      </x:c>
      <x:c r="AG41" s="82" t="str">
        <x:v>采用</x:v>
      </x:c>
      <x:c r="AH41" s="82" t="str">
        <x:v>初审</x:v>
      </x:c>
      <x:c r="AI41" s="87" t="n">
        <x:v>46260</x:v>
      </x:c>
    </x:row>
    <x:row r="42">
      <x:c r="A42" s="72" t="str">
        <x:f>IF(OR(C42="",D42=""),"",B42&amp;"-"&amp;UPPER(C42)&amp;"-"&amp;TEXT(D42,"0000")&amp;"-"&amp;E42)</x:f>
        <x:v>M15-CAI-0036-V1.0</x:v>
      </x:c>
      <x:c r="B42" s="74" t="str">
        <x:v>M15</x:v>
      </x:c>
      <x:c r="C42" s="74" t="str">
        <x:v>CAI</x:v>
      </x:c>
      <x:c r="D42" s="215" t="n">
        <x:v>36</x:v>
      </x:c>
      <x:c r="E42" s="74" t="str">
        <x:v>V1.0</x:v>
      </x:c>
      <x:c r="F42" s="68" t="str">
        <x:v>食伤生财完整可提高财格层次</x:v>
      </x:c>
      <x:c r="G42" s="82" t="str">
        <x:v>综合层</x:v>
      </x:c>
      <x:c r="H42" s="68" t="str">
        <x:v>财格候选</x:v>
      </x:c>
      <x:c r="I42" s="68" t="str">
        <x:v>食伤有效生财，财星能承接，日主有足够源头</x:v>
      </x:c>
      <x:c r="J42" s="68" t="str">
        <x:v>身→食伤→财链路连续</x:v>
      </x:c>
      <x:c r="K42" s="68" t="str">
        <x:v>无决定性破格因素</x:v>
      </x:c>
      <x:c r="L42" s="82" t="str">
        <x:v>无破</x:v>
      </x:c>
      <x:c r="M42" s="68" t="str">
        <x:v>无须救应</x:v>
      </x:c>
      <x:c r="N42" s="82" t="str">
        <x:v>无救应</x:v>
      </x:c>
      <x:c r="O42" s="84" t="str">
        <x:v>清纯成立</x:v>
      </x:c>
      <x:c r="P42" s="82" t="str">
        <x:v>较清</x:v>
      </x:c>
      <x:c r="Q42" s="68" t="str">
        <x:v>财有源、输出有路，结构连续性较高</x:v>
      </x:c>
      <x:c r="R42" s="68" t="str">
        <x:v>M14已生成候选；M08、M09、M10、M11相关结论可追溯</x:v>
      </x:c>
      <x:c r="S42" s="68" t="str">
        <x:v>格神与关键配合十神均以有效力量和实际功能为准</x:v>
      </x:c>
      <x:c r="T42" s="68" t="str">
        <x:v>格神得令、有根、透达、清纯，组合路径稳定且日主承载匹配</x:v>
      </x:c>
      <x:c r="U42" s="68" t="str">
        <x:v>格神受制、混杂、路径受阻、日主承载不足或救应只能局部作用</x:v>
      </x:c>
      <x:c r="V42" s="90" t="str">
        <x:v>格神失效、核心作用路径完全中断，或特殊格局硬门槛被有效反证否决</x:v>
      </x:c>
      <x:c r="W42" s="68" t="str">
        <x:v>特殊格局严格条件、流派争议及岁运补成另按专门规则处理</x:v>
      </x:c>
      <x:c r="X42" s="84" t="str">
        <x:v>财格_食伤生财</x:v>
      </x:c>
      <x:c r="Y42" s="84" t="str">
        <x:v>财格候选判为“清纯成立”：破格等级为“无破”，救应为“无救应”，清纯度为“较清”；层次需结合全局继续评估。</x:v>
      </x:c>
      <x:c r="Z42" s="68" t="str">
        <x:v>若“格神失效、核心作用路径完全中断，或特殊格局硬门槛被有效反证否决”成立，应降低为成立但有破或不成立，不得维持当前结论。</x:v>
      </x:c>
      <x:c r="AA42" s="82" t="str">
        <x:v>较高</x:v>
      </x:c>
      <x:c r="AB42" s="82" t="str">
        <x:v>子平格局</x:v>
      </x:c>
      <x:c r="AC42" s="68" t="str">
        <x:v>格局成败须区分：格神是否有效、结构是否能运行、是否存在破坏、救应是否直接修复破格机制，以及格局成立与层次高低。</x:v>
      </x:c>
      <x:c r="AD42" s="68" t="str">
        <x:v>当“食伤有效生财，财星能承接，日主有足够源头”成立，且成格证据相互支持、无决定性否决时，可按本规则判断。</x:v>
      </x:c>
      <x:c r="AE42" s="90" t="str">
        <x:v>只有格局名称或局部组合，但“格神失效、核心作用路径完全中断，或特殊格局硬门槛被有效反证否决”成立时，不能按本规则维持格局。</x:v>
      </x:c>
      <x:c r="AF42" s="68" t="str">
        <x:v>https://zh.wikisource.org/zh-hans/%E6%B7%B5%E6%B5%B7%E5%AD%90%E5%B9%B3 ; https://zh.wikisource.org/wiki/%E6%BB%B4%E5%A4%A9%E9%AB%93%E9%97%A1%E5%BE%AE</x:v>
      </x:c>
      <x:c r="AG42" s="82" t="str">
        <x:v>采用</x:v>
      </x:c>
      <x:c r="AH42" s="82" t="str">
        <x:v>初审</x:v>
      </x:c>
      <x:c r="AI42" s="87" t="n">
        <x:v>46260</x:v>
      </x:c>
    </x:row>
    <x:row r="43">
      <x:c r="A43" s="72" t="str">
        <x:f>IF(OR(C43="",D43=""),"",B43&amp;"-"&amp;UPPER(C43)&amp;"-"&amp;TEXT(D43,"0000")&amp;"-"&amp;E43)</x:f>
        <x:v>M15-CAI-0037-V1.0</x:v>
      </x:c>
      <x:c r="B43" s="74" t="str">
        <x:v>M15</x:v>
      </x:c>
      <x:c r="C43" s="74" t="str">
        <x:v>CAI</x:v>
      </x:c>
      <x:c r="D43" s="215" t="n">
        <x:v>37</x:v>
      </x:c>
      <x:c r="E43" s="74" t="str">
        <x:v>V1.0</x:v>
      </x:c>
      <x:c r="F43" s="68" t="str">
        <x:v>财官相生完整可提高财格层次</x:v>
      </x:c>
      <x:c r="G43" s="82" t="str">
        <x:v>综合层</x:v>
      </x:c>
      <x:c r="H43" s="68" t="str">
        <x:v>财格候选</x:v>
      </x:c>
      <x:c r="I43" s="68" t="str">
        <x:v>财星生官，官星有效承接，日主能承受财耗官制</x:v>
      </x:c>
      <x:c r="J43" s="68" t="str">
        <x:v>财→官链清晰，官不过度，印不被财重破</x:v>
      </x:c>
      <x:c r="K43" s="68" t="str">
        <x:v>无决定性破格因素</x:v>
      </x:c>
      <x:c r="L43" s="82" t="str">
        <x:v>无破</x:v>
      </x:c>
      <x:c r="M43" s="68" t="str">
        <x:v>无须救应</x:v>
      </x:c>
      <x:c r="N43" s="82" t="str">
        <x:v>无救应</x:v>
      </x:c>
      <x:c r="O43" s="84" t="str">
        <x:v>清纯成立</x:v>
      </x:c>
      <x:c r="P43" s="82" t="str">
        <x:v>较清</x:v>
      </x:c>
      <x:c r="Q43" s="68" t="str">
        <x:v>财官资源链完整，格局运行较稳定</x:v>
      </x:c>
      <x:c r="R43" s="68" t="str">
        <x:v>M14已生成候选；M08、M09、M10、M11相关结论可追溯</x:v>
      </x:c>
      <x:c r="S43" s="68" t="str">
        <x:v>格神与关键配合十神均以有效力量和实际功能为准</x:v>
      </x:c>
      <x:c r="T43" s="68" t="str">
        <x:v>格神得令、有根、透达、清纯，组合路径稳定且日主承载匹配</x:v>
      </x:c>
      <x:c r="U43" s="68" t="str">
        <x:v>格神受制、混杂、路径受阻、日主承载不足或救应只能局部作用</x:v>
      </x:c>
      <x:c r="V43" s="90" t="str">
        <x:v>格神失效、核心作用路径完全中断，或特殊格局硬门槛被有效反证否决</x:v>
      </x:c>
      <x:c r="W43" s="68" t="str">
        <x:v>特殊格局严格条件、流派争议及岁运补成另按专门规则处理</x:v>
      </x:c>
      <x:c r="X43" s="84" t="str">
        <x:v>财格_财官相生</x:v>
      </x:c>
      <x:c r="Y43" s="84" t="str">
        <x:v>财格候选判为“清纯成立”：破格等级为“无破”，救应为“无救应”，清纯度为“较清”；层次需结合全局继续评估。</x:v>
      </x:c>
      <x:c r="Z43" s="68" t="str">
        <x:v>若“格神失效、核心作用路径完全中断，或特殊格局硬门槛被有效反证否决”成立，应降低为成立但有破或不成立，不得维持当前结论。</x:v>
      </x:c>
      <x:c r="AA43" s="82" t="str">
        <x:v>较高</x:v>
      </x:c>
      <x:c r="AB43" s="82" t="str">
        <x:v>子平格局</x:v>
      </x:c>
      <x:c r="AC43" s="68" t="str">
        <x:v>格局成败须区分：格神是否有效、结构是否能运行、是否存在破坏、救应是否直接修复破格机制，以及格局成立与层次高低。</x:v>
      </x:c>
      <x:c r="AD43" s="68" t="str">
        <x:v>当“财星生官，官星有效承接，日主能承受财耗官制”成立，且成格证据相互支持、无决定性否决时，可按本规则判断。</x:v>
      </x:c>
      <x:c r="AE43" s="90" t="str">
        <x:v>只有格局名称或局部组合，但“格神失效、核心作用路径完全中断，或特殊格局硬门槛被有效反证否决”成立时，不能按本规则维持格局。</x:v>
      </x:c>
      <x:c r="AF43" s="68" t="str">
        <x:v>https://zh.wikisource.org/zh-hans/%E6%B7%B5%E6%B5%B7%E5%AD%90%E5%B9%B3 ; https://zh.wikisource.org/wiki/%E6%BB%B4%E5%A4%A9%E9%AB%93%E9%97%A1%E5%BE%AE</x:v>
      </x:c>
      <x:c r="AG43" s="82" t="str">
        <x:v>采用</x:v>
      </x:c>
      <x:c r="AH43" s="82" t="str">
        <x:v>初审</x:v>
      </x:c>
      <x:c r="AI43" s="87" t="n">
        <x:v>46260</x:v>
      </x:c>
    </x:row>
    <x:row r="44">
      <x:c r="A44" s="72" t="str">
        <x:f>IF(OR(C44="",D44=""),"",B44&amp;"-"&amp;UPPER(C44)&amp;"-"&amp;TEXT(D44,"0000")&amp;"-"&amp;E44)</x:f>
        <x:v>M15-CAI-0038-V1.0</x:v>
      </x:c>
      <x:c r="B44" s="74" t="str">
        <x:v>M15</x:v>
      </x:c>
      <x:c r="C44" s="74" t="str">
        <x:v>CAI</x:v>
      </x:c>
      <x:c r="D44" s="215" t="n">
        <x:v>38</x:v>
      </x:c>
      <x:c r="E44" s="74" t="str">
        <x:v>V1.0</x:v>
      </x:c>
      <x:c r="F44" s="68" t="str">
        <x:v>财旺身弱不能任财构成严重破格</x:v>
      </x:c>
      <x:c r="G44" s="82" t="str">
        <x:v>综合层</x:v>
      </x:c>
      <x:c r="H44" s="68" t="str">
        <x:v>财格候选</x:v>
      </x:c>
      <x:c r="I44" s="68" t="str">
        <x:v>财格表面条件成立，但日主弱或极弱，印比不足</x:v>
      </x:c>
      <x:c r="J44" s="68" t="str">
        <x:v>月令依据、格神根气与有效力量、日主配合及M11组合证据相互支持</x:v>
      </x:c>
      <x:c r="K44" s="68" t="str">
        <x:v>财耗超过日主承载</x:v>
      </x:c>
      <x:c r="L44" s="82" t="str">
        <x:v>严重</x:v>
      </x:c>
      <x:c r="M44" s="68" t="str">
        <x:v>印比生扶或比劫分担制财</x:v>
      </x:c>
      <x:c r="N44" s="82" t="str">
        <x:v>待定</x:v>
      </x:c>
      <x:c r="O44" s="84" t="str">
        <x:v>成立但有破</x:v>
      </x:c>
      <x:c r="P44" s="82" t="str">
        <x:v>较清</x:v>
      </x:c>
      <x:c r="Q44" s="68" t="str">
        <x:v>财星有权但日主无法承担，格局运行成本过高</x:v>
      </x:c>
      <x:c r="R44" s="68" t="str">
        <x:v>M14已生成候选；M08、M09、M10、M11相关结论可追溯</x:v>
      </x:c>
      <x:c r="S44" s="68" t="str">
        <x:v>格神与关键配合十神均以有效力量和实际功能为准</x:v>
      </x:c>
      <x:c r="T44" s="68" t="str">
        <x:v>格神得令、有根、透达、清纯，组合路径稳定且日主承载匹配</x:v>
      </x:c>
      <x:c r="U44" s="68" t="str">
        <x:v>格神受制、混杂、路径受阻、日主承载不足或救应只能局部作用</x:v>
      </x:c>
      <x:c r="V44" s="90" t="str">
        <x:v>格神失效、核心作用路径完全中断，或特殊格局硬门槛被有效反证否决</x:v>
      </x:c>
      <x:c r="W44" s="68" t="str">
        <x:v>特殊格局严格条件、流派争议及岁运补成另按专门规则处理</x:v>
      </x:c>
      <x:c r="X44" s="84" t="str">
        <x:v>财格_身弱不任</x:v>
      </x:c>
      <x:c r="Y44" s="84" t="str">
        <x:v>财格候选判为“成立但有破”：破格等级为“严重”，救应为“待定”，清纯度为“较清”；层次需结合全局继续评估。</x:v>
      </x:c>
      <x:c r="Z44" s="68" t="str">
        <x:v>若“格神失效、核心作用路径完全中断，或特殊格局硬门槛被有效反证否决”成立，应降低为成立但有破或不成立，不得维持当前结论。</x:v>
      </x:c>
      <x:c r="AA44" s="82" t="str">
        <x:v>较高</x:v>
      </x:c>
      <x:c r="AB44" s="82" t="str">
        <x:v>子平格局</x:v>
      </x:c>
      <x:c r="AC44" s="68" t="str">
        <x:v>格局成败须区分：格神是否有效、结构是否能运行、是否存在破坏、救应是否直接修复破格机制，以及格局成立与层次高低。</x:v>
      </x:c>
      <x:c r="AD44" s="68" t="str">
        <x:v>当“财格表面条件成立，但日主弱或极弱，印比不足”成立，且成格证据相互支持、无决定性否决时，可按本规则判断。</x:v>
      </x:c>
      <x:c r="AE44" s="90" t="str">
        <x:v>只有格局名称或局部组合，但“格神失效、核心作用路径完全中断，或特殊格局硬门槛被有效反证否决”成立时，不能按本规则维持格局。</x:v>
      </x:c>
      <x:c r="AF44" s="68" t="str">
        <x:v>https://zh.wikisource.org/zh-hans/%E6%B7%B5%E6%B5%B7%E5%AD%90%E5%B9%B3 ; https://zh.wikisource.org/wiki/%E6%BB%B4%E5%A4%A9%E9%AB%93%E9%97%A1%E5%BE%AE</x:v>
      </x:c>
      <x:c r="AG44" s="82" t="str">
        <x:v>采用</x:v>
      </x:c>
      <x:c r="AH44" s="82" t="str">
        <x:v>初审</x:v>
      </x:c>
      <x:c r="AI44" s="87" t="n">
        <x:v>46260</x:v>
      </x:c>
    </x:row>
    <x:row r="45">
      <x:c r="A45" s="72" t="str">
        <x:f>IF(OR(C45="",D45=""),"",B45&amp;"-"&amp;UPPER(C45)&amp;"-"&amp;TEXT(D45,"0000")&amp;"-"&amp;E45)</x:f>
        <x:v>M15-CAI-0039-V1.0</x:v>
      </x:c>
      <x:c r="B45" s="74" t="str">
        <x:v>M15</x:v>
      </x:c>
      <x:c r="C45" s="74" t="str">
        <x:v>CAI</x:v>
      </x:c>
      <x:c r="D45" s="215" t="n">
        <x:v>39</x:v>
      </x:c>
      <x:c r="E45" s="74" t="str">
        <x:v>V1.0</x:v>
      </x:c>
      <x:c r="F45" s="68" t="str">
        <x:v>比劫夺财会破坏财格核心</x:v>
      </x:c>
      <x:c r="G45" s="82" t="str">
        <x:v>综合层</x:v>
      </x:c>
      <x:c r="H45" s="68" t="str">
        <x:v>财格候选</x:v>
      </x:c>
      <x:c r="I45" s="68" t="str">
        <x:v>财格成立且财星为主要格神</x:v>
      </x:c>
      <x:c r="J45" s="68" t="str">
        <x:v>月令依据、格神根气与有效力量、日主配合及M11组合证据相互支持</x:v>
      </x:c>
      <x:c r="K45" s="68" t="str">
        <x:v>比劫有力并直接制财，使财星受限</x:v>
      </x:c>
      <x:c r="L45" s="82" t="str">
        <x:v>严重</x:v>
      </x:c>
      <x:c r="M45" s="68" t="str">
        <x:v>官杀制比或食伤通关生财</x:v>
      </x:c>
      <x:c r="N45" s="82" t="str">
        <x:v>待定</x:v>
      </x:c>
      <x:c r="O45" s="84" t="str">
        <x:v>成立但有破</x:v>
      </x:c>
      <x:c r="P45" s="82" t="str">
        <x:v>有杂</x:v>
      </x:c>
      <x:c r="Q45" s="68" t="str">
        <x:v>财星主导性下降；财被制至失效时转不成立</x:v>
      </x:c>
      <x:c r="R45" s="68" t="str">
        <x:v>M14已生成候选；M08、M09、M10、M11相关结论可追溯</x:v>
      </x:c>
      <x:c r="S45" s="68" t="str">
        <x:v>格神与关键配合十神均以有效力量和实际功能为准</x:v>
      </x:c>
      <x:c r="T45" s="68" t="str">
        <x:v>格神得令、有根、透达、清纯，组合路径稳定且日主承载匹配</x:v>
      </x:c>
      <x:c r="U45" s="68" t="str">
        <x:v>格神受制、混杂、路径受阻、日主承载不足或救应只能局部作用</x:v>
      </x:c>
      <x:c r="V45" s="90" t="str">
        <x:v>格神失效、核心作用路径完全中断，或特殊格局硬门槛被有效反证否决</x:v>
      </x:c>
      <x:c r="W45" s="68" t="str">
        <x:v>特殊格局严格条件、流派争议及岁运补成另按专门规则处理</x:v>
      </x:c>
      <x:c r="X45" s="84" t="str">
        <x:v>财格_比劫夺财</x:v>
      </x:c>
      <x:c r="Y45" s="84" t="str">
        <x:v>财格候选判为“成立但有破”：破格等级为“严重”，救应为“待定”，清纯度为“有杂”；层次需结合全局继续评估。</x:v>
      </x:c>
      <x:c r="Z45" s="68" t="str">
        <x:v>若“格神失效、核心作用路径完全中断，或特殊格局硬门槛被有效反证否决”成立，应降低为成立但有破或不成立，不得维持当前结论。</x:v>
      </x:c>
      <x:c r="AA45" s="82" t="str">
        <x:v>较高</x:v>
      </x:c>
      <x:c r="AB45" s="82" t="str">
        <x:v>子平格局</x:v>
      </x:c>
      <x:c r="AC45" s="68" t="str">
        <x:v>格局成败须区分：格神是否有效、结构是否能运行、是否存在破坏、救应是否直接修复破格机制，以及格局成立与层次高低。</x:v>
      </x:c>
      <x:c r="AD45" s="68" t="str">
        <x:v>当“财格成立且财星为主要格神”成立，且成格证据相互支持、无决定性否决时，可按本规则判断。</x:v>
      </x:c>
      <x:c r="AE45" s="90" t="str">
        <x:v>只有格局名称或局部组合，但“格神失效、核心作用路径完全中断，或特殊格局硬门槛被有效反证否决”成立时，不能按本规则维持格局。</x:v>
      </x:c>
      <x:c r="AF45" s="68" t="str">
        <x:v>https://zh.wikisource.org/zh-hans/%E6%B7%B5%E6%B5%B7%E5%AD%90%E5%B9%B3 ; https://zh.wikisource.org/wiki/%E6%BB%B4%E5%A4%A9%E9%AB%93%E9%97%A1%E5%BE%AE</x:v>
      </x:c>
      <x:c r="AG45" s="82" t="str">
        <x:v>采用</x:v>
      </x:c>
      <x:c r="AH45" s="82" t="str">
        <x:v>初审</x:v>
      </x:c>
      <x:c r="AI45" s="87" t="n">
        <x:v>46260</x:v>
      </x:c>
    </x:row>
    <x:row r="46">
      <x:c r="A46" s="72" t="str">
        <x:f>IF(OR(C46="",D46=""),"",B46&amp;"-"&amp;UPPER(C46)&amp;"-"&amp;TEXT(D46,"0000")&amp;"-"&amp;E46)</x:f>
        <x:v>M15-CAI-0040-V1.0</x:v>
      </x:c>
      <x:c r="B46" s="74" t="str">
        <x:v>M15</x:v>
      </x:c>
      <x:c r="C46" s="74" t="str">
        <x:v>CAI</x:v>
      </x:c>
      <x:c r="D46" s="215" t="n">
        <x:v>40</x:v>
      </x:c>
      <x:c r="E46" s="74" t="str">
        <x:v>V1.0</x:v>
      </x:c>
      <x:c r="F46" s="68" t="str">
        <x:v>官杀制比可救比劫夺财</x:v>
      </x:c>
      <x:c r="G46" s="82" t="str">
        <x:v>综合层</x:v>
      </x:c>
      <x:c r="H46" s="68" t="str">
        <x:v>财格候选</x:v>
      </x:c>
      <x:c r="I46" s="68" t="str">
        <x:v>比劫正在破财，官杀有效制约比劫且不过度攻身</x:v>
      </x:c>
      <x:c r="J46" s="68" t="str">
        <x:v>官杀→比劫制约路径真实，财星恢复</x:v>
      </x:c>
      <x:c r="K46" s="68" t="str">
        <x:v>比劫夺财</x:v>
      </x:c>
      <x:c r="L46" s="82" t="str">
        <x:v>一般</x:v>
      </x:c>
      <x:c r="M46" s="68" t="str">
        <x:v>官杀制比护财</x:v>
      </x:c>
      <x:c r="N46" s="82" t="str">
        <x:v>明显有效</x:v>
      </x:c>
      <x:c r="O46" s="84" t="str">
        <x:v>有破有救</x:v>
      </x:c>
      <x:c r="P46" s="82" t="str">
        <x:v>有杂</x:v>
      </x:c>
      <x:c r="Q46" s="68" t="str">
        <x:v>财格恢复，但需核查日主是否能承官杀</x:v>
      </x:c>
      <x:c r="R46" s="68" t="str">
        <x:v>M14已生成候选；M08、M09、M10、M11相关结论可追溯</x:v>
      </x:c>
      <x:c r="S46" s="68" t="str">
        <x:v>格神与关键配合十神均以有效力量和实际功能为准</x:v>
      </x:c>
      <x:c r="T46" s="68" t="str">
        <x:v>格神得令、有根、透达、清纯，组合路径稳定且日主承载匹配</x:v>
      </x:c>
      <x:c r="U46" s="68" t="str">
        <x:v>格神受制、混杂、路径受阻、日主承载不足或救应只能局部作用</x:v>
      </x:c>
      <x:c r="V46" s="90" t="str">
        <x:v>格神失效、核心作用路径完全中断，或特殊格局硬门槛被有效反证否决</x:v>
      </x:c>
      <x:c r="W46" s="68" t="str">
        <x:v>特殊格局严格条件、流派争议及岁运补成另按专门规则处理</x:v>
      </x:c>
      <x:c r="X46" s="84" t="str">
        <x:v>财格_官杀制比救应</x:v>
      </x:c>
      <x:c r="Y46" s="84" t="str">
        <x:v>财格候选判为“有破有救”：破格等级为“一般”，救应为“明显有效”，清纯度为“有杂”；层次需结合全局继续评估。</x:v>
      </x:c>
      <x:c r="Z46" s="68" t="str">
        <x:v>若“格神失效、核心作用路径完全中断，或特殊格局硬门槛被有效反证否决”成立，应降低为成立但有破或不成立，不得维持当前结论。</x:v>
      </x:c>
      <x:c r="AA46" s="82" t="str">
        <x:v>较高</x:v>
      </x:c>
      <x:c r="AB46" s="82" t="str">
        <x:v>子平格局</x:v>
      </x:c>
      <x:c r="AC46" s="68" t="str">
        <x:v>格局成败须区分：格神是否有效、结构是否能运行、是否存在破坏、救应是否直接修复破格机制，以及格局成立与层次高低。</x:v>
      </x:c>
      <x:c r="AD46" s="68" t="str">
        <x:v>当“比劫正在破财，官杀有效制约比劫且不过度攻身”成立，且成格证据相互支持、无决定性否决时，可按本规则判断。</x:v>
      </x:c>
      <x:c r="AE46" s="90" t="str">
        <x:v>只有格局名称或局部组合，但“格神失效、核心作用路径完全中断，或特殊格局硬门槛被有效反证否决”成立时，不能按本规则维持格局。</x:v>
      </x:c>
      <x:c r="AF46" s="68" t="str">
        <x:v>https://zh.wikisource.org/zh-hans/%E6%B7%B5%E6%B5%B7%E5%AD%90%E5%B9%B3 ; https://zh.wikisource.org/wiki/%E6%BB%B4%E5%A4%A9%E9%AB%93%E9%97%A1%E5%BE%AE</x:v>
      </x:c>
      <x:c r="AG46" s="82" t="str">
        <x:v>采用</x:v>
      </x:c>
      <x:c r="AH46" s="82" t="str">
        <x:v>初审</x:v>
      </x:c>
      <x:c r="AI46" s="87" t="n">
        <x:v>46260</x:v>
      </x:c>
    </x:row>
    <x:row r="47">
      <x:c r="A47" s="72" t="str">
        <x:f>IF(OR(C47="",D47=""),"",B47&amp;"-"&amp;UPPER(C47)&amp;"-"&amp;TEXT(D47,"0000")&amp;"-"&amp;E47)</x:f>
        <x:v>M15-CAI-0041-V1.0</x:v>
      </x:c>
      <x:c r="B47" s="74" t="str">
        <x:v>M15</x:v>
      </x:c>
      <x:c r="C47" s="74" t="str">
        <x:v>CAI</x:v>
      </x:c>
      <x:c r="D47" s="215" t="n">
        <x:v>41</x:v>
      </x:c>
      <x:c r="E47" s="74" t="str">
        <x:v>V1.0</x:v>
      </x:c>
      <x:c r="F47" s="68" t="str">
        <x:v>食伤持续生财可部分修复财星受损</x:v>
      </x:c>
      <x:c r="G47" s="82" t="str">
        <x:v>综合层</x:v>
      </x:c>
      <x:c r="H47" s="68" t="str">
        <x:v>财格候选</x:v>
      </x:c>
      <x:c r="I47" s="68" t="str">
        <x:v>财星受比劫制约但食伤有力持续生财</x:v>
      </x:c>
      <x:c r="J47" s="68" t="str">
        <x:v>食伤生财输入能够抵消部分财损</x:v>
      </x:c>
      <x:c r="K47" s="68" t="str">
        <x:v>比劫制财</x:v>
      </x:c>
      <x:c r="L47" s="82" t="str">
        <x:v>一般</x:v>
      </x:c>
      <x:c r="M47" s="68" t="str">
        <x:v>食伤生财补源</x:v>
      </x:c>
      <x:c r="N47" s="82" t="str">
        <x:v>部分有效</x:v>
      </x:c>
      <x:c r="O47" s="84" t="str">
        <x:v>有破有救</x:v>
      </x:c>
      <x:c r="P47" s="82" t="str">
        <x:v>有杂</x:v>
      </x:c>
      <x:c r="Q47" s="68" t="str">
        <x:v>财星有补充来源，但不能视为完全解除比劫克财</x:v>
      </x:c>
      <x:c r="R47" s="68" t="str">
        <x:v>M14已生成候选；M08、M09、M10、M11相关结论可追溯</x:v>
      </x:c>
      <x:c r="S47" s="68" t="str">
        <x:v>格神与关键配合十神均以有效力量和实际功能为准</x:v>
      </x:c>
      <x:c r="T47" s="68" t="str">
        <x:v>格神得令、有根、透达、清纯，组合路径稳定且日主承载匹配</x:v>
      </x:c>
      <x:c r="U47" s="68" t="str">
        <x:v>格神受制、混杂、路径受阻、日主承载不足或救应只能局部作用</x:v>
      </x:c>
      <x:c r="V47" s="90" t="str">
        <x:v>格神失效、核心作用路径完全中断，或特殊格局硬门槛被有效反证否决</x:v>
      </x:c>
      <x:c r="W47" s="68" t="str">
        <x:v>特殊格局严格条件、流派争议及岁运补成另按专门规则处理</x:v>
      </x:c>
      <x:c r="X47" s="84" t="str">
        <x:v>财格_食伤补财救应</x:v>
      </x:c>
      <x:c r="Y47" s="84" t="str">
        <x:v>财格候选判为“有破有救”：破格等级为“一般”，救应为“部分有效”，清纯度为“有杂”；层次需结合全局继续评估。</x:v>
      </x:c>
      <x:c r="Z47" s="68" t="str">
        <x:v>若“格神失效、核心作用路径完全中断，或特殊格局硬门槛被有效反证否决”成立，应降低为成立但有破或不成立，不得维持当前结论。</x:v>
      </x:c>
      <x:c r="AA47" s="82" t="str">
        <x:v>较高</x:v>
      </x:c>
      <x:c r="AB47" s="82" t="str">
        <x:v>子平格局</x:v>
      </x:c>
      <x:c r="AC47" s="68" t="str">
        <x:v>格局成败须区分：格神是否有效、结构是否能运行、是否存在破坏、救应是否直接修复破格机制，以及格局成立与层次高低。</x:v>
      </x:c>
      <x:c r="AD47" s="68" t="str">
        <x:v>当“财星受比劫制约但食伤有力持续生财”成立，且成格证据相互支持、无决定性否决时，可按本规则判断。</x:v>
      </x:c>
      <x:c r="AE47" s="90" t="str">
        <x:v>只有格局名称或局部组合，但“格神失效、核心作用路径完全中断，或特殊格局硬门槛被有效反证否决”成立时，不能按本规则维持格局。</x:v>
      </x:c>
      <x:c r="AF47" s="68" t="str">
        <x:v>https://zh.wikisource.org/zh-hans/%E6%B7%B5%E6%B5%B7%E5%AD%90%E5%B9%B3 ; https://zh.wikisource.org/wiki/%E6%BB%B4%E5%A4%A9%E9%AB%93%E9%97%A1%E5%BE%AE</x:v>
      </x:c>
      <x:c r="AG47" s="82" t="str">
        <x:v>采用</x:v>
      </x:c>
      <x:c r="AH47" s="82" t="str">
        <x:v>初审</x:v>
      </x:c>
      <x:c r="AI47" s="87" t="n">
        <x:v>46260</x:v>
      </x:c>
    </x:row>
    <x:row r="48">
      <x:c r="A48" s="72" t="str">
        <x:f>IF(OR(C48="",D48=""),"",B48&amp;"-"&amp;UPPER(C48)&amp;"-"&amp;TEXT(D48,"0000")&amp;"-"&amp;E48)</x:f>
        <x:v>M15-CAI-0042-V1.0</x:v>
      </x:c>
      <x:c r="B48" s="74" t="str">
        <x:v>M15</x:v>
      </x:c>
      <x:c r="C48" s="74" t="str">
        <x:v>CAI</x:v>
      </x:c>
      <x:c r="D48" s="215" t="n">
        <x:v>42</x:v>
      </x:c>
      <x:c r="E48" s="74" t="str">
        <x:v>V1.0</x:v>
      </x:c>
      <x:c r="F48" s="68" t="str">
        <x:v>财星坏印并破坏关键配合时财格层次下降</x:v>
      </x:c>
      <x:c r="G48" s="82" t="str">
        <x:v>综合层</x:v>
      </x:c>
      <x:c r="H48" s="68" t="str">
        <x:v>财格候选</x:v>
      </x:c>
      <x:c r="I48" s="68" t="str">
        <x:v>财格成立，但印星同时承担日主承载或官杀化解功能</x:v>
      </x:c>
      <x:c r="J48" s="68" t="str">
        <x:v>月令依据、格神根气与有效力量、日主配合及M11组合证据相互支持</x:v>
      </x:c>
      <x:c r="K48" s="68" t="str">
        <x:v>财星过强制印，破坏日主承载或格局配合</x:v>
      </x:c>
      <x:c r="L48" s="82" t="str">
        <x:v>一般</x:v>
      </x:c>
      <x:c r="M48" s="68" t="str">
        <x:v>比劫制财或官印链补充</x:v>
      </x:c>
      <x:c r="N48" s="82" t="str">
        <x:v>待定</x:v>
      </x:c>
      <x:c r="O48" s="84" t="str">
        <x:v>成立但有破</x:v>
      </x:c>
      <x:c r="P48" s="82" t="str">
        <x:v>有杂</x:v>
      </x:c>
      <x:c r="Q48" s="68" t="str">
        <x:v>财格自身有力，但副作用削弱整体结构层次</x:v>
      </x:c>
      <x:c r="R48" s="68" t="str">
        <x:v>M14已生成候选；M08、M09、M10、M11相关结论可追溯</x:v>
      </x:c>
      <x:c r="S48" s="68" t="str">
        <x:v>格神与关键配合十神均以有效力量和实际功能为准</x:v>
      </x:c>
      <x:c r="T48" s="68" t="str">
        <x:v>格神得令、有根、透达、清纯，组合路径稳定且日主承载匹配</x:v>
      </x:c>
      <x:c r="U48" s="68" t="str">
        <x:v>格神受制、混杂、路径受阻、日主承载不足或救应只能局部作用</x:v>
      </x:c>
      <x:c r="V48" s="90" t="str">
        <x:v>格神失效、核心作用路径完全中断，或特殊格局硬门槛被有效反证否决</x:v>
      </x:c>
      <x:c r="W48" s="68" t="str">
        <x:v>特殊格局严格条件、流派争议及岁运补成另按专门规则处理</x:v>
      </x:c>
      <x:c r="X48" s="84" t="str">
        <x:v>财格_财坏印副作用</x:v>
      </x:c>
      <x:c r="Y48" s="84" t="str">
        <x:v>财格候选判为“成立但有破”：破格等级为“一般”，救应为“待定”，清纯度为“有杂”；层次需结合全局继续评估。</x:v>
      </x:c>
      <x:c r="Z48" s="68" t="str">
        <x:v>若“格神失效、核心作用路径完全中断，或特殊格局硬门槛被有效反证否决”成立，应降低为成立但有破或不成立，不得维持当前结论。</x:v>
      </x:c>
      <x:c r="AA48" s="82" t="str">
        <x:v>较高</x:v>
      </x:c>
      <x:c r="AB48" s="82" t="str">
        <x:v>子平格局</x:v>
      </x:c>
      <x:c r="AC48" s="68" t="str">
        <x:v>格局成败须区分：格神是否有效、结构是否能运行、是否存在破坏、救应是否直接修复破格机制，以及格局成立与层次高低。</x:v>
      </x:c>
      <x:c r="AD48" s="68" t="str">
        <x:v>当“财格成立，但印星同时承担日主承载或官杀化解功能”成立，且成格证据相互支持、无决定性否决时，可按本规则判断。</x:v>
      </x:c>
      <x:c r="AE48" s="90" t="str">
        <x:v>只有格局名称或局部组合，但“格神失效、核心作用路径完全中断，或特殊格局硬门槛被有效反证否决”成立时，不能按本规则维持格局。</x:v>
      </x:c>
      <x:c r="AF48" s="68" t="str">
        <x:v>https://zh.wikisource.org/zh-hans/%E6%B7%B5%E6%B5%B7%E5%AD%90%E5%B9%B3 ; https://zh.wikisource.org/wiki/%E6%BB%B4%E5%A4%A9%E9%AB%93%E9%97%A1%E5%BE%AE</x:v>
      </x:c>
      <x:c r="AG48" s="82" t="str">
        <x:v>采用</x:v>
      </x:c>
      <x:c r="AH48" s="82" t="str">
        <x:v>初审</x:v>
      </x:c>
      <x:c r="AI48" s="87" t="n">
        <x:v>46260</x:v>
      </x:c>
    </x:row>
    <x:row r="49">
      <x:c r="A49" s="72" t="str">
        <x:f>IF(OR(C49="",D49=""),"",B49&amp;"-"&amp;UPPER(C49)&amp;"-"&amp;TEXT(D49,"0000")&amp;"-"&amp;E49)</x:f>
        <x:v>M15-SHISHANG-0043-V1.0</x:v>
      </x:c>
      <x:c r="B49" s="74" t="str">
        <x:v>M15</x:v>
      </x:c>
      <x:c r="C49" s="74" t="str">
        <x:v>SHISHANG</x:v>
      </x:c>
      <x:c r="D49" s="215" t="n">
        <x:v>43</x:v>
      </x:c>
      <x:c r="E49" s="74" t="str">
        <x:v>V1.0</x:v>
      </x:c>
      <x:c r="F49" s="68" t="str">
        <x:v>食神格基本成格要求食神有力且日主可泄</x:v>
      </x:c>
      <x:c r="G49" s="82" t="str">
        <x:v>综合层</x:v>
      </x:c>
      <x:c r="H49" s="68" t="str">
        <x:v>食神格候选</x:v>
      </x:c>
      <x:c r="I49" s="68" t="str">
        <x:v>食神具月令依据、有根有源，日主有力量可泄，食神未被枭重制</x:v>
      </x:c>
      <x:c r="J49" s="68" t="str">
        <x:v>食神泄秀、生财或制杀至少一项功能稳定</x:v>
      </x:c>
      <x:c r="K49" s="68" t="str">
        <x:v>无决定性破格因素</x:v>
      </x:c>
      <x:c r="L49" s="82" t="str">
        <x:v>无破</x:v>
      </x:c>
      <x:c r="M49" s="68" t="str">
        <x:v>无须救应</x:v>
      </x:c>
      <x:c r="N49" s="82" t="str">
        <x:v>无救应</x:v>
      </x:c>
      <x:c r="O49" s="84" t="str">
        <x:v>基本成立</x:v>
      </x:c>
      <x:c r="P49" s="82" t="str">
        <x:v>较清</x:v>
      </x:c>
      <x:c r="Q49" s="68" t="str">
        <x:v>食神能够形成稳定输出</x:v>
      </x:c>
      <x:c r="R49" s="68" t="str">
        <x:v>M14已生成候选；M08、M09、M10、M11相关结论可追溯</x:v>
      </x:c>
      <x:c r="S49" s="68" t="str">
        <x:v>格神与关键配合十神均以有效力量和实际功能为准</x:v>
      </x:c>
      <x:c r="T49" s="68" t="str">
        <x:v>格神得令、有根、透达、清纯，组合路径稳定且日主承载匹配</x:v>
      </x:c>
      <x:c r="U49" s="68" t="str">
        <x:v>格神受制、混杂、路径受阻、日主承载不足或救应只能局部作用</x:v>
      </x:c>
      <x:c r="V49" s="90" t="str">
        <x:v>格神失效、核心作用路径完全中断，或特殊格局硬门槛被有效反证否决</x:v>
      </x:c>
      <x:c r="W49" s="68" t="str">
        <x:v>特殊格局严格条件、流派争议及岁运补成另按专门规则处理</x:v>
      </x:c>
      <x:c r="X49" s="84" t="str">
        <x:v>食神格候选_成败救应</x:v>
      </x:c>
      <x:c r="Y49" s="84" t="str">
        <x:v>食神格候选判为“基本成立”：破格等级为“无破”，救应为“无救应”，清纯度为“较清”；层次需结合全局继续评估。</x:v>
      </x:c>
      <x:c r="Z49" s="68" t="str">
        <x:v>若“格神失效、核心作用路径完全中断，或特殊格局硬门槛被有效反证否决”成立，应降低为成立但有破或不成立，不得维持当前结论。</x:v>
      </x:c>
      <x:c r="AA49" s="82" t="str">
        <x:v>较高</x:v>
      </x:c>
      <x:c r="AB49" s="82" t="str">
        <x:v>子平格局</x:v>
      </x:c>
      <x:c r="AC49" s="68" t="str">
        <x:v>格局成败须区分：格神是否有效、结构是否能运行、是否存在破坏、救应是否直接修复破格机制，以及格局成立与层次高低。</x:v>
      </x:c>
      <x:c r="AD49" s="68" t="str">
        <x:v>当“食神具月令依据、有根有源，日主有力量可泄，食神未被枭重制”成立，且成格证据相互支持、无决定性否决时，可按本规则判断。</x:v>
      </x:c>
      <x:c r="AE49" s="90" t="str">
        <x:v>只有格局名称或局部组合，但“格神失效、核心作用路径完全中断，或特殊格局硬门槛被有效反证否决”成立时，不能按本规则维持格局。</x:v>
      </x:c>
      <x:c r="AF49" s="68" t="str">
        <x:v>https://zh.wikisource.org/zh-hans/%E6%B7%B5%E6%B5%B7%E5%AD%90%E5%B9%B3 ; https://zh.wikisource.org/wiki/%E6%BB%B4%E5%A4%A9%E9%AB%93%E9%97%A1%E5%BE%AE</x:v>
      </x:c>
      <x:c r="AG49" s="82" t="str">
        <x:v>采用</x:v>
      </x:c>
      <x:c r="AH49" s="82" t="str">
        <x:v>初审</x:v>
      </x:c>
      <x:c r="AI49" s="87" t="n">
        <x:v>46260</x:v>
      </x:c>
    </x:row>
    <x:row r="50">
      <x:c r="A50" s="72" t="str">
        <x:f>IF(OR(C50="",D50=""),"",B50&amp;"-"&amp;UPPER(C50)&amp;"-"&amp;TEXT(D50,"0000")&amp;"-"&amp;E50)</x:f>
        <x:v>M15-SHISHANG-0044-V1.0</x:v>
      </x:c>
      <x:c r="B50" s="74" t="str">
        <x:v>M15</x:v>
      </x:c>
      <x:c r="C50" s="74" t="str">
        <x:v>SHISHANG</x:v>
      </x:c>
      <x:c r="D50" s="215" t="n">
        <x:v>44</x:v>
      </x:c>
      <x:c r="E50" s="74" t="str">
        <x:v>V1.0</x:v>
      </x:c>
      <x:c r="F50" s="68" t="str">
        <x:v>食神生财完整可判食神格清纯增强</x:v>
      </x:c>
      <x:c r="G50" s="82" t="str">
        <x:v>综合层</x:v>
      </x:c>
      <x:c r="H50" s="68" t="str">
        <x:v>食神格候选</x:v>
      </x:c>
      <x:c r="I50" s="68" t="str">
        <x:v>食神有力生财，财星能承接，日主供给充足</x:v>
      </x:c>
      <x:c r="J50" s="68" t="str">
        <x:v>身→食神→财连续</x:v>
      </x:c>
      <x:c r="K50" s="68" t="str">
        <x:v>无决定性破格因素</x:v>
      </x:c>
      <x:c r="L50" s="82" t="str">
        <x:v>无破</x:v>
      </x:c>
      <x:c r="M50" s="68" t="str">
        <x:v>无须救应</x:v>
      </x:c>
      <x:c r="N50" s="82" t="str">
        <x:v>无救应</x:v>
      </x:c>
      <x:c r="O50" s="84" t="str">
        <x:v>清纯成立</x:v>
      </x:c>
      <x:c r="P50" s="82" t="str">
        <x:v>清纯</x:v>
      </x:c>
      <x:c r="Q50" s="68" t="str">
        <x:v>泄秀与财星承接完整，结构流通较佳</x:v>
      </x:c>
      <x:c r="R50" s="68" t="str">
        <x:v>M14已生成候选；M08、M09、M10、M11相关结论可追溯</x:v>
      </x:c>
      <x:c r="S50" s="68" t="str">
        <x:v>格神与关键配合十神均以有效力量和实际功能为准</x:v>
      </x:c>
      <x:c r="T50" s="68" t="str">
        <x:v>格神得令、有根、透达、清纯，组合路径稳定且日主承载匹配</x:v>
      </x:c>
      <x:c r="U50" s="68" t="str">
        <x:v>格神受制、混杂、路径受阻、日主承载不足或救应只能局部作用</x:v>
      </x:c>
      <x:c r="V50" s="90" t="str">
        <x:v>格神失效、核心作用路径完全中断，或特殊格局硬门槛被有效反证否决</x:v>
      </x:c>
      <x:c r="W50" s="68" t="str">
        <x:v>特殊格局严格条件、流派争议及岁运补成另按专门规则处理</x:v>
      </x:c>
      <x:c r="X50" s="84" t="str">
        <x:v>食神格_生财清纯</x:v>
      </x:c>
      <x:c r="Y50" s="84" t="str">
        <x:v>食神格候选判为“清纯成立”：破格等级为“无破”，救应为“无救应”，清纯度为“清纯”；层次需结合全局继续评估。</x:v>
      </x:c>
      <x:c r="Z50" s="68" t="str">
        <x:v>若“格神失效、核心作用路径完全中断，或特殊格局硬门槛被有效反证否决”成立，应降低为成立但有破或不成立，不得维持当前结论。</x:v>
      </x:c>
      <x:c r="AA50" s="82" t="str">
        <x:v>较高</x:v>
      </x:c>
      <x:c r="AB50" s="82" t="str">
        <x:v>子平格局</x:v>
      </x:c>
      <x:c r="AC50" s="68" t="str">
        <x:v>格局成败须区分：格神是否有效、结构是否能运行、是否存在破坏、救应是否直接修复破格机制，以及格局成立与层次高低。</x:v>
      </x:c>
      <x:c r="AD50" s="68" t="str">
        <x:v>当“食神有力生财，财星能承接，日主供给充足”成立，且成格证据相互支持、无决定性否决时，可按本规则判断。</x:v>
      </x:c>
      <x:c r="AE50" s="90" t="str">
        <x:v>只有格局名称或局部组合，但“格神失效、核心作用路径完全中断，或特殊格局硬门槛被有效反证否决”成立时，不能按本规则维持格局。</x:v>
      </x:c>
      <x:c r="AF50" s="68" t="str">
        <x:v>https://zh.wikisource.org/zh-hans/%E6%B7%B5%E6%B5%B7%E5%AD%90%E5%B9%B3 ; https://zh.wikisource.org/wiki/%E6%BB%B4%E5%A4%A9%E9%AB%93%E9%97%A1%E5%BE%AE</x:v>
      </x:c>
      <x:c r="AG50" s="82" t="str">
        <x:v>采用</x:v>
      </x:c>
      <x:c r="AH50" s="82" t="str">
        <x:v>初审</x:v>
      </x:c>
      <x:c r="AI50" s="87" t="n">
        <x:v>46260</x:v>
      </x:c>
    </x:row>
    <x:row r="51">
      <x:c r="A51" s="72" t="str">
        <x:f>IF(OR(C51="",D51=""),"",B51&amp;"-"&amp;UPPER(C51)&amp;"-"&amp;TEXT(D51,"0000")&amp;"-"&amp;E51)</x:f>
        <x:v>M15-SHISHANG-0045-V1.0</x:v>
      </x:c>
      <x:c r="B51" s="74" t="str">
        <x:v>M15</x:v>
      </x:c>
      <x:c r="C51" s="74" t="str">
        <x:v>SHISHANG</x:v>
      </x:c>
      <x:c r="D51" s="215" t="n">
        <x:v>45</x:v>
      </x:c>
      <x:c r="E51" s="74" t="str">
        <x:v>V1.0</x:v>
      </x:c>
      <x:c r="F51" s="68" t="str">
        <x:v>食神制杀比例适中可提高食神格层次</x:v>
      </x:c>
      <x:c r="G51" s="82" t="str">
        <x:v>综合层</x:v>
      </x:c>
      <x:c r="H51" s="68" t="str">
        <x:v>食神格候选</x:v>
      </x:c>
      <x:c r="I51" s="68" t="str">
        <x:v>食神有效制杀，杀有必要被制，制而不过</x:v>
      </x:c>
      <x:c r="J51" s="68" t="str">
        <x:v>M11食神制杀明显成立</x:v>
      </x:c>
      <x:c r="K51" s="68" t="str">
        <x:v>无决定性破格因素</x:v>
      </x:c>
      <x:c r="L51" s="82" t="str">
        <x:v>无破</x:v>
      </x:c>
      <x:c r="M51" s="68" t="str">
        <x:v>无须救应</x:v>
      </x:c>
      <x:c r="N51" s="82" t="str">
        <x:v>无救应</x:v>
      </x:c>
      <x:c r="O51" s="84" t="str">
        <x:v>清纯成立</x:v>
      </x:c>
      <x:c r="P51" s="82" t="str">
        <x:v>较清</x:v>
      </x:c>
      <x:c r="Q51" s="68" t="str">
        <x:v>食神承担关键制化功能，结构目标明确</x:v>
      </x:c>
      <x:c r="R51" s="68" t="str">
        <x:v>M14已生成候选；M08、M09、M10、M11相关结论可追溯</x:v>
      </x:c>
      <x:c r="S51" s="68" t="str">
        <x:v>格神与关键配合十神均以有效力量和实际功能为准</x:v>
      </x:c>
      <x:c r="T51" s="68" t="str">
        <x:v>格神得令、有根、透达、清纯，组合路径稳定且日主承载匹配</x:v>
      </x:c>
      <x:c r="U51" s="68" t="str">
        <x:v>格神受制、混杂、路径受阻、日主承载不足或救应只能局部作用</x:v>
      </x:c>
      <x:c r="V51" s="90" t="str">
        <x:v>格神失效、核心作用路径完全中断，或特殊格局硬门槛被有效反证否决</x:v>
      </x:c>
      <x:c r="W51" s="68" t="str">
        <x:v>特殊格局严格条件、流派争议及岁运补成另按专门规则处理</x:v>
      </x:c>
      <x:c r="X51" s="84" t="str">
        <x:v>食神格_制杀清纯</x:v>
      </x:c>
      <x:c r="Y51" s="84" t="str">
        <x:v>食神格候选判为“清纯成立”：破格等级为“无破”，救应为“无救应”，清纯度为“较清”；层次需结合全局继续评估。</x:v>
      </x:c>
      <x:c r="Z51" s="68" t="str">
        <x:v>若“格神失效、核心作用路径完全中断，或特殊格局硬门槛被有效反证否决”成立，应降低为成立但有破或不成立，不得维持当前结论。</x:v>
      </x:c>
      <x:c r="AA51" s="82" t="str">
        <x:v>较高</x:v>
      </x:c>
      <x:c r="AB51" s="82" t="str">
        <x:v>子平格局</x:v>
      </x:c>
      <x:c r="AC51" s="68" t="str">
        <x:v>格局成败须区分：格神是否有效、结构是否能运行、是否存在破坏、救应是否直接修复破格机制，以及格局成立与层次高低。</x:v>
      </x:c>
      <x:c r="AD51" s="68" t="str">
        <x:v>当“食神有效制杀，杀有必要被制，制而不过”成立，且成格证据相互支持、无决定性否决时，可按本规则判断。</x:v>
      </x:c>
      <x:c r="AE51" s="90" t="str">
        <x:v>只有格局名称或局部组合，但“格神失效、核心作用路径完全中断，或特殊格局硬门槛被有效反证否决”成立时，不能按本规则维持格局。</x:v>
      </x:c>
      <x:c r="AF51" s="68" t="str">
        <x:v>https://zh.wikisource.org/zh-hans/%E6%B7%B5%E6%B5%B7%E5%AD%90%E5%B9%B3 ; https://zh.wikisource.org/wiki/%E6%BB%B4%E5%A4%A9%E9%AB%93%E9%97%A1%E5%BE%AE</x:v>
      </x:c>
      <x:c r="AG51" s="82" t="str">
        <x:v>采用</x:v>
      </x:c>
      <x:c r="AH51" s="82" t="str">
        <x:v>初审</x:v>
      </x:c>
      <x:c r="AI51" s="87" t="n">
        <x:v>46260</x:v>
      </x:c>
    </x:row>
    <x:row r="52">
      <x:c r="A52" s="72" t="str">
        <x:f>IF(OR(C52="",D52=""),"",B52&amp;"-"&amp;UPPER(C52)&amp;"-"&amp;TEXT(D52,"0000")&amp;"-"&amp;E52)</x:f>
        <x:v>M15-SHISHANG-0046-V1.0</x:v>
      </x:c>
      <x:c r="B52" s="74" t="str">
        <x:v>M15</x:v>
      </x:c>
      <x:c r="C52" s="74" t="str">
        <x:v>SHISHANG</x:v>
      </x:c>
      <x:c r="D52" s="215" t="n">
        <x:v>46</x:v>
      </x:c>
      <x:c r="E52" s="74" t="str">
        <x:v>V1.0</x:v>
      </x:c>
      <x:c r="F52" s="68" t="str">
        <x:v>枭神夺食构成食神格严重破格</x:v>
      </x:c>
      <x:c r="G52" s="82" t="str">
        <x:v>综合层</x:v>
      </x:c>
      <x:c r="H52" s="68" t="str">
        <x:v>食神格候选</x:v>
      </x:c>
      <x:c r="I52" s="68" t="str">
        <x:v>食神为格神或关键组合核心</x:v>
      </x:c>
      <x:c r="J52" s="68" t="str">
        <x:v>月令依据、格神根气与有效力量、日主配合及M11组合证据相互支持</x:v>
      </x:c>
      <x:c r="K52" s="68" t="str">
        <x:v>偏印强克食神，使泄秀、生财或制杀功能受损</x:v>
      </x:c>
      <x:c r="L52" s="82" t="str">
        <x:v>严重</x:v>
      </x:c>
      <x:c r="M52" s="68" t="str">
        <x:v>财制枭护食</x:v>
      </x:c>
      <x:c r="N52" s="82" t="str">
        <x:v>待定</x:v>
      </x:c>
      <x:c r="O52" s="84" t="str">
        <x:v>成立但有破</x:v>
      </x:c>
      <x:c r="P52" s="82" t="str">
        <x:v>有杂</x:v>
      </x:c>
      <x:c r="Q52" s="68" t="str">
        <x:v>食神主功能明显下降；食神失效时格局不成立</x:v>
      </x:c>
      <x:c r="R52" s="68" t="str">
        <x:v>M14已生成候选；M08、M09、M10、M11相关结论可追溯</x:v>
      </x:c>
      <x:c r="S52" s="68" t="str">
        <x:v>格神与关键配合十神均以有效力量和实际功能为准</x:v>
      </x:c>
      <x:c r="T52" s="68" t="str">
        <x:v>格神得令、有根、透达、清纯，组合路径稳定且日主承载匹配</x:v>
      </x:c>
      <x:c r="U52" s="68" t="str">
        <x:v>格神受制、混杂、路径受阻、日主承载不足或救应只能局部作用</x:v>
      </x:c>
      <x:c r="V52" s="90" t="str">
        <x:v>格神失效、核心作用路径完全中断，或特殊格局硬门槛被有效反证否决</x:v>
      </x:c>
      <x:c r="W52" s="68" t="str">
        <x:v>特殊格局严格条件、流派争议及岁运补成另按专门规则处理</x:v>
      </x:c>
      <x:c r="X52" s="84" t="str">
        <x:v>食神格_枭夺食</x:v>
      </x:c>
      <x:c r="Y52" s="84" t="str">
        <x:v>食神格候选判为“成立但有破”：破格等级为“严重”，救应为“待定”，清纯度为“有杂”；层次需结合全局继续评估。</x:v>
      </x:c>
      <x:c r="Z52" s="68" t="str">
        <x:v>若“格神失效、核心作用路径完全中断，或特殊格局硬门槛被有效反证否决”成立，应降低为成立但有破或不成立，不得维持当前结论。</x:v>
      </x:c>
      <x:c r="AA52" s="82" t="str">
        <x:v>较高</x:v>
      </x:c>
      <x:c r="AB52" s="82" t="str">
        <x:v>子平格局</x:v>
      </x:c>
      <x:c r="AC52" s="68" t="str">
        <x:v>格局成败须区分：格神是否有效、结构是否能运行、是否存在破坏、救应是否直接修复破格机制，以及格局成立与层次高低。</x:v>
      </x:c>
      <x:c r="AD52" s="68" t="str">
        <x:v>当“食神为格神或关键组合核心”成立，且成格证据相互支持、无决定性否决时，可按本规则判断。</x:v>
      </x:c>
      <x:c r="AE52" s="90" t="str">
        <x:v>只有格局名称或局部组合，但“格神失效、核心作用路径完全中断，或特殊格局硬门槛被有效反证否决”成立时，不能按本规则维持格局。</x:v>
      </x:c>
      <x:c r="AF52" s="68" t="str">
        <x:v>https://zh.wikisource.org/zh-hans/%E6%B7%B5%E6%B5%B7%E5%AD%90%E5%B9%B3 ; https://zh.wikisource.org/wiki/%E6%BB%B4%E5%A4%A9%E9%AB%93%E9%97%A1%E5%BE%AE</x:v>
      </x:c>
      <x:c r="AG52" s="82" t="str">
        <x:v>采用</x:v>
      </x:c>
      <x:c r="AH52" s="82" t="str">
        <x:v>初审</x:v>
      </x:c>
      <x:c r="AI52" s="87" t="n">
        <x:v>46260</x:v>
      </x:c>
    </x:row>
    <x:row r="53">
      <x:c r="A53" s="72" t="str">
        <x:f>IF(OR(C53="",D53=""),"",B53&amp;"-"&amp;UPPER(C53)&amp;"-"&amp;TEXT(D53,"0000")&amp;"-"&amp;E53)</x:f>
        <x:v>M15-SHISHANG-0047-V1.0</x:v>
      </x:c>
      <x:c r="B53" s="74" t="str">
        <x:v>M15</x:v>
      </x:c>
      <x:c r="C53" s="74" t="str">
        <x:v>SHISHANG</x:v>
      </x:c>
      <x:c r="D53" s="215" t="n">
        <x:v>47</x:v>
      </x:c>
      <x:c r="E53" s="74" t="str">
        <x:v>V1.0</x:v>
      </x:c>
      <x:c r="F53" s="68" t="str">
        <x:v>财制枭可救食神格</x:v>
      </x:c>
      <x:c r="G53" s="82" t="str">
        <x:v>综合层</x:v>
      </x:c>
      <x:c r="H53" s="68" t="str">
        <x:v>食神格候选</x:v>
      </x:c>
      <x:c r="I53" s="68" t="str">
        <x:v>枭夺食成立，财星能够有效制偏印且不过度耗身或生杀</x:v>
      </x:c>
      <x:c r="J53" s="68" t="str">
        <x:v>财→偏印克制真实，食神功能恢复</x:v>
      </x:c>
      <x:c r="K53" s="68" t="str">
        <x:v>枭夺食</x:v>
      </x:c>
      <x:c r="L53" s="82" t="str">
        <x:v>一般</x:v>
      </x:c>
      <x:c r="M53" s="68" t="str">
        <x:v>财制枭护食</x:v>
      </x:c>
      <x:c r="N53" s="82" t="str">
        <x:v>明显有效</x:v>
      </x:c>
      <x:c r="O53" s="84" t="str">
        <x:v>有破有救</x:v>
      </x:c>
      <x:c r="P53" s="82" t="str">
        <x:v>有杂</x:v>
      </x:c>
      <x:c r="Q53" s="68" t="str">
        <x:v>食神格恢复主要功能，但财的次级副作用需保留</x:v>
      </x:c>
      <x:c r="R53" s="68" t="str">
        <x:v>M14已生成候选；M08、M09、M10、M11相关结论可追溯</x:v>
      </x:c>
      <x:c r="S53" s="68" t="str">
        <x:v>格神与关键配合十神均以有效力量和实际功能为准</x:v>
      </x:c>
      <x:c r="T53" s="68" t="str">
        <x:v>格神得令、有根、透达、清纯，组合路径稳定且日主承载匹配</x:v>
      </x:c>
      <x:c r="U53" s="68" t="str">
        <x:v>格神受制、混杂、路径受阻、日主承载不足或救应只能局部作用</x:v>
      </x:c>
      <x:c r="V53" s="90" t="str">
        <x:v>格神失效、核心作用路径完全中断，或特殊格局硬门槛被有效反证否决</x:v>
      </x:c>
      <x:c r="W53" s="68" t="str">
        <x:v>特殊格局严格条件、流派争议及岁运补成另按专门规则处理</x:v>
      </x:c>
      <x:c r="X53" s="84" t="str">
        <x:v>食神格_财制枭救应</x:v>
      </x:c>
      <x:c r="Y53" s="84" t="str">
        <x:v>食神格候选判为“有破有救”：破格等级为“一般”，救应为“明显有效”，清纯度为“有杂”；层次需结合全局继续评估。</x:v>
      </x:c>
      <x:c r="Z53" s="68" t="str">
        <x:v>若“格神失效、核心作用路径完全中断，或特殊格局硬门槛被有效反证否决”成立，应降低为成立但有破或不成立，不得维持当前结论。</x:v>
      </x:c>
      <x:c r="AA53" s="82" t="str">
        <x:v>较高</x:v>
      </x:c>
      <x:c r="AB53" s="82" t="str">
        <x:v>子平格局</x:v>
      </x:c>
      <x:c r="AC53" s="68" t="str">
        <x:v>格局成败须区分：格神是否有效、结构是否能运行、是否存在破坏、救应是否直接修复破格机制，以及格局成立与层次高低。</x:v>
      </x:c>
      <x:c r="AD53" s="68" t="str">
        <x:v>当“枭夺食成立，财星能够有效制偏印且不过度耗身或生杀”成立，且成格证据相互支持、无决定性否决时，可按本规则判断。</x:v>
      </x:c>
      <x:c r="AE53" s="90" t="str">
        <x:v>只有格局名称或局部组合，但“格神失效、核心作用路径完全中断，或特殊格局硬门槛被有效反证否决”成立时，不能按本规则维持格局。</x:v>
      </x:c>
      <x:c r="AF53" s="68" t="str">
        <x:v>https://zh.wikisource.org/zh-hans/%E6%B7%B5%E6%B5%B7%E5%AD%90%E5%B9%B3 ; https://zh.wikisource.org/wiki/%E6%BB%B4%E5%A4%A9%E9%AB%93%E9%97%A1%E5%BE%AE</x:v>
      </x:c>
      <x:c r="AG53" s="82" t="str">
        <x:v>采用</x:v>
      </x:c>
      <x:c r="AH53" s="82" t="str">
        <x:v>初审</x:v>
      </x:c>
      <x:c r="AI53" s="87" t="n">
        <x:v>46260</x:v>
      </x:c>
    </x:row>
    <x:row r="54">
      <x:c r="A54" s="72" t="str">
        <x:f>IF(OR(C54="",D54=""),"",B54&amp;"-"&amp;UPPER(C54)&amp;"-"&amp;TEXT(D54,"0000")&amp;"-"&amp;E54)</x:f>
        <x:v>M15-SHISHANG-0048-V1.0</x:v>
      </x:c>
      <x:c r="B54" s="74" t="str">
        <x:v>M15</x:v>
      </x:c>
      <x:c r="C54" s="74" t="str">
        <x:v>SHISHANG</x:v>
      </x:c>
      <x:c r="D54" s="215" t="n">
        <x:v>48</x:v>
      </x:c>
      <x:c r="E54" s="74" t="str">
        <x:v>V1.0</x:v>
      </x:c>
      <x:c r="F54" s="68" t="str">
        <x:v>伤官格基本成格要求伤官有合理出口</x:v>
      </x:c>
      <x:c r="G54" s="82" t="str">
        <x:v>综合层</x:v>
      </x:c>
      <x:c r="H54" s="68" t="str">
        <x:v>伤官格候选</x:v>
      </x:c>
      <x:c r="I54" s="68" t="str">
        <x:v>伤官具月令依据、有根有力，日主可泄，且伤官能生财或配印</x:v>
      </x:c>
      <x:c r="J54" s="68" t="str">
        <x:v>伤官生财或伤官配印至少一条路径稳定</x:v>
      </x:c>
      <x:c r="K54" s="68" t="str">
        <x:v>无决定性破格因素</x:v>
      </x:c>
      <x:c r="L54" s="82" t="str">
        <x:v>无破</x:v>
      </x:c>
      <x:c r="M54" s="68" t="str">
        <x:v>无须救应</x:v>
      </x:c>
      <x:c r="N54" s="82" t="str">
        <x:v>无救应</x:v>
      </x:c>
      <x:c r="O54" s="84" t="str">
        <x:v>基本成立</x:v>
      </x:c>
      <x:c r="P54" s="82" t="str">
        <x:v>较清</x:v>
      </x:c>
      <x:c r="Q54" s="68" t="str">
        <x:v>伤官输出有承接或约束，不形成无序冲突</x:v>
      </x:c>
      <x:c r="R54" s="68" t="str">
        <x:v>M14已生成候选；M08、M09、M10、M11相关结论可追溯</x:v>
      </x:c>
      <x:c r="S54" s="68" t="str">
        <x:v>格神与关键配合十神均以有效力量和实际功能为准</x:v>
      </x:c>
      <x:c r="T54" s="68" t="str">
        <x:v>格神得令、有根、透达、清纯，组合路径稳定且日主承载匹配</x:v>
      </x:c>
      <x:c r="U54" s="68" t="str">
        <x:v>格神受制、混杂、路径受阻、日主承载不足或救应只能局部作用</x:v>
      </x:c>
      <x:c r="V54" s="90" t="str">
        <x:v>格神失效、核心作用路径完全中断，或特殊格局硬门槛被有效反证否决</x:v>
      </x:c>
      <x:c r="W54" s="68" t="str">
        <x:v>特殊格局严格条件、流派争议及岁运补成另按专门规则处理</x:v>
      </x:c>
      <x:c r="X54" s="84" t="str">
        <x:v>伤官格候选_成败救应</x:v>
      </x:c>
      <x:c r="Y54" s="84" t="str">
        <x:v>伤官格候选判为“基本成立”：破格等级为“无破”，救应为“无救应”，清纯度为“较清”；层次需结合全局继续评估。</x:v>
      </x:c>
      <x:c r="Z54" s="68" t="str">
        <x:v>若“格神失效、核心作用路径完全中断，或特殊格局硬门槛被有效反证否决”成立，应降低为成立但有破或不成立，不得维持当前结论。</x:v>
      </x:c>
      <x:c r="AA54" s="82" t="str">
        <x:v>较高</x:v>
      </x:c>
      <x:c r="AB54" s="82" t="str">
        <x:v>子平格局</x:v>
      </x:c>
      <x:c r="AC54" s="68" t="str">
        <x:v>格局成败须区分：格神是否有效、结构是否能运行、是否存在破坏、救应是否直接修复破格机制，以及格局成立与层次高低。</x:v>
      </x:c>
      <x:c r="AD54" s="68" t="str">
        <x:v>当“伤官具月令依据、有根有力，日主可泄，且伤官能生财或配印”成立，且成格证据相互支持、无决定性否决时，可按本规则判断。</x:v>
      </x:c>
      <x:c r="AE54" s="90" t="str">
        <x:v>只有格局名称或局部组合，但“格神失效、核心作用路径完全中断，或特殊格局硬门槛被有效反证否决”成立时，不能按本规则维持格局。</x:v>
      </x:c>
      <x:c r="AF54" s="68" t="str">
        <x:v>https://zh.wikisource.org/zh-hans/%E6%B7%B5%E6%B5%B7%E5%AD%90%E5%B9%B3 ; https://zh.wikisource.org/wiki/%E6%BB%B4%E5%A4%A9%E9%AB%93%E9%97%A1%E5%BE%AE</x:v>
      </x:c>
      <x:c r="AG54" s="82" t="str">
        <x:v>采用</x:v>
      </x:c>
      <x:c r="AH54" s="82" t="str">
        <x:v>初审</x:v>
      </x:c>
      <x:c r="AI54" s="87" t="n">
        <x:v>46260</x:v>
      </x:c>
    </x:row>
    <x:row r="55">
      <x:c r="A55" s="72" t="str">
        <x:f>IF(OR(C55="",D55=""),"",B55&amp;"-"&amp;UPPER(C55)&amp;"-"&amp;TEXT(D55,"0000")&amp;"-"&amp;E55)</x:f>
        <x:v>M15-SHISHANG-0049-V1.0</x:v>
      </x:c>
      <x:c r="B55" s="74" t="str">
        <x:v>M15</x:v>
      </x:c>
      <x:c r="C55" s="74" t="str">
        <x:v>SHISHANG</x:v>
      </x:c>
      <x:c r="D55" s="215" t="n">
        <x:v>49</x:v>
      </x:c>
      <x:c r="E55" s="74" t="str">
        <x:v>V1.0</x:v>
      </x:c>
      <x:c r="F55" s="68" t="str">
        <x:v>伤官生财完整可判伤官格清纯增强</x:v>
      </x:c>
      <x:c r="G55" s="82" t="str">
        <x:v>综合层</x:v>
      </x:c>
      <x:c r="H55" s="68" t="str">
        <x:v>伤官格候选</x:v>
      </x:c>
      <x:c r="I55" s="68" t="str">
        <x:v>伤官有力生财，财星能承接，日主供给匹配</x:v>
      </x:c>
      <x:c r="J55" s="68" t="str">
        <x:v>身→伤官→财链连续</x:v>
      </x:c>
      <x:c r="K55" s="68" t="str">
        <x:v>无决定性破格因素</x:v>
      </x:c>
      <x:c r="L55" s="82" t="str">
        <x:v>无破</x:v>
      </x:c>
      <x:c r="M55" s="68" t="str">
        <x:v>无须救应</x:v>
      </x:c>
      <x:c r="N55" s="82" t="str">
        <x:v>无救应</x:v>
      </x:c>
      <x:c r="O55" s="84" t="str">
        <x:v>清纯成立</x:v>
      </x:c>
      <x:c r="P55" s="82" t="str">
        <x:v>较清</x:v>
      </x:c>
      <x:c r="Q55" s="68" t="str">
        <x:v>伤官输出转化为财星，冲突性降低</x:v>
      </x:c>
      <x:c r="R55" s="68" t="str">
        <x:v>M14已生成候选；M08、M09、M10、M11相关结论可追溯</x:v>
      </x:c>
      <x:c r="S55" s="68" t="str">
        <x:v>格神与关键配合十神均以有效力量和实际功能为准</x:v>
      </x:c>
      <x:c r="T55" s="68" t="str">
        <x:v>格神得令、有根、透达、清纯，组合路径稳定且日主承载匹配</x:v>
      </x:c>
      <x:c r="U55" s="68" t="str">
        <x:v>格神受制、混杂、路径受阻、日主承载不足或救应只能局部作用</x:v>
      </x:c>
      <x:c r="V55" s="90" t="str">
        <x:v>格神失效、核心作用路径完全中断，或特殊格局硬门槛被有效反证否决</x:v>
      </x:c>
      <x:c r="W55" s="68" t="str">
        <x:v>特殊格局严格条件、流派争议及岁运补成另按专门规则处理</x:v>
      </x:c>
      <x:c r="X55" s="84" t="str">
        <x:v>伤官格_生财清纯</x:v>
      </x:c>
      <x:c r="Y55" s="84" t="str">
        <x:v>伤官格候选判为“清纯成立”：破格等级为“无破”，救应为“无救应”，清纯度为“较清”；层次需结合全局继续评估。</x:v>
      </x:c>
      <x:c r="Z55" s="68" t="str">
        <x:v>若“格神失效、核心作用路径完全中断，或特殊格局硬门槛被有效反证否决”成立，应降低为成立但有破或不成立，不得维持当前结论。</x:v>
      </x:c>
      <x:c r="AA55" s="82" t="str">
        <x:v>较高</x:v>
      </x:c>
      <x:c r="AB55" s="82" t="str">
        <x:v>子平格局</x:v>
      </x:c>
      <x:c r="AC55" s="68" t="str">
        <x:v>格局成败须区分：格神是否有效、结构是否能运行、是否存在破坏、救应是否直接修复破格机制，以及格局成立与层次高低。</x:v>
      </x:c>
      <x:c r="AD55" s="68" t="str">
        <x:v>当“伤官有力生财，财星能承接，日主供给匹配”成立，且成格证据相互支持、无决定性否决时，可按本规则判断。</x:v>
      </x:c>
      <x:c r="AE55" s="90" t="str">
        <x:v>只有格局名称或局部组合，但“格神失效、核心作用路径完全中断，或特殊格局硬门槛被有效反证否决”成立时，不能按本规则维持格局。</x:v>
      </x:c>
      <x:c r="AF55" s="68" t="str">
        <x:v>https://zh.wikisource.org/zh-hans/%E6%B7%B5%E6%B5%B7%E5%AD%90%E5%B9%B3 ; https://zh.wikisource.org/wiki/%E6%BB%B4%E5%A4%A9%E9%AB%93%E9%97%A1%E5%BE%AE</x:v>
      </x:c>
      <x:c r="AG55" s="82" t="str">
        <x:v>采用</x:v>
      </x:c>
      <x:c r="AH55" s="82" t="str">
        <x:v>初审</x:v>
      </x:c>
      <x:c r="AI55" s="87" t="n">
        <x:v>46260</x:v>
      </x:c>
    </x:row>
    <x:row r="56">
      <x:c r="A56" s="72" t="str">
        <x:f>IF(OR(C56="",D56=""),"",B56&amp;"-"&amp;UPPER(C56)&amp;"-"&amp;TEXT(D56,"0000")&amp;"-"&amp;E56)</x:f>
        <x:v>M15-SHISHANG-0050-V1.0</x:v>
      </x:c>
      <x:c r="B56" s="74" t="str">
        <x:v>M15</x:v>
      </x:c>
      <x:c r="C56" s="74" t="str">
        <x:v>SHISHANG</x:v>
      </x:c>
      <x:c r="D56" s="215" t="n">
        <x:v>50</x:v>
      </x:c>
      <x:c r="E56" s="74" t="str">
        <x:v>V1.0</x:v>
      </x:c>
      <x:c r="F56" s="68" t="str">
        <x:v>伤官配印比例适中可判伤官格清纯增强</x:v>
      </x:c>
      <x:c r="G56" s="82" t="str">
        <x:v>综合层</x:v>
      </x:c>
      <x:c r="H56" s="68" t="str">
        <x:v>伤官格候选</x:v>
      </x:c>
      <x:c r="I56" s="68" t="str">
        <x:v>伤官有力，印星能制伤而不过度，日主需要印扶</x:v>
      </x:c>
      <x:c r="J56" s="68" t="str">
        <x:v>M11伤官配印明显成立，无财重破印</x:v>
      </x:c>
      <x:c r="K56" s="68" t="str">
        <x:v>无决定性破格因素</x:v>
      </x:c>
      <x:c r="L56" s="82" t="str">
        <x:v>无破</x:v>
      </x:c>
      <x:c r="M56" s="68" t="str">
        <x:v>无须救应</x:v>
      </x:c>
      <x:c r="N56" s="82" t="str">
        <x:v>无救应</x:v>
      </x:c>
      <x:c r="O56" s="84" t="str">
        <x:v>清纯成立</x:v>
      </x:c>
      <x:c r="P56" s="82" t="str">
        <x:v>较清</x:v>
      </x:c>
      <x:c r="Q56" s="68" t="str">
        <x:v>伤官得到约束，印又能扶身，结构稳定</x:v>
      </x:c>
      <x:c r="R56" s="68" t="str">
        <x:v>M14已生成候选；M08、M09、M10、M11相关结论可追溯</x:v>
      </x:c>
      <x:c r="S56" s="68" t="str">
        <x:v>格神与关键配合十神均以有效力量和实际功能为准</x:v>
      </x:c>
      <x:c r="T56" s="68" t="str">
        <x:v>格神得令、有根、透达、清纯，组合路径稳定且日主承载匹配</x:v>
      </x:c>
      <x:c r="U56" s="68" t="str">
        <x:v>格神受制、混杂、路径受阻、日主承载不足或救应只能局部作用</x:v>
      </x:c>
      <x:c r="V56" s="90" t="str">
        <x:v>格神失效、核心作用路径完全中断，或特殊格局硬门槛被有效反证否决</x:v>
      </x:c>
      <x:c r="W56" s="68" t="str">
        <x:v>特殊格局严格条件、流派争议及岁运补成另按专门规则处理</x:v>
      </x:c>
      <x:c r="X56" s="84" t="str">
        <x:v>伤官格_配印清纯</x:v>
      </x:c>
      <x:c r="Y56" s="84" t="str">
        <x:v>伤官格候选判为“清纯成立”：破格等级为“无破”，救应为“无救应”，清纯度为“较清”；层次需结合全局继续评估。</x:v>
      </x:c>
      <x:c r="Z56" s="68" t="str">
        <x:v>若“格神失效、核心作用路径完全中断，或特殊格局硬门槛被有效反证否决”成立，应降低为成立但有破或不成立，不得维持当前结论。</x:v>
      </x:c>
      <x:c r="AA56" s="82" t="str">
        <x:v>较高</x:v>
      </x:c>
      <x:c r="AB56" s="82" t="str">
        <x:v>子平格局</x:v>
      </x:c>
      <x:c r="AC56" s="68" t="str">
        <x:v>格局成败须区分：格神是否有效、结构是否能运行、是否存在破坏、救应是否直接修复破格机制，以及格局成立与层次高低。</x:v>
      </x:c>
      <x:c r="AD56" s="68" t="str">
        <x:v>当“伤官有力，印星能制伤而不过度，日主需要印扶”成立，且成格证据相互支持、无决定性否决时，可按本规则判断。</x:v>
      </x:c>
      <x:c r="AE56" s="90" t="str">
        <x:v>只有格局名称或局部组合，但“格神失效、核心作用路径完全中断，或特殊格局硬门槛被有效反证否决”成立时，不能按本规则维持格局。</x:v>
      </x:c>
      <x:c r="AF56" s="68" t="str">
        <x:v>https://zh.wikisource.org/zh-hans/%E6%B7%B5%E6%B5%B7%E5%AD%90%E5%B9%B3 ; https://zh.wikisource.org/wiki/%E6%BB%B4%E5%A4%A9%E9%AB%93%E9%97%A1%E5%BE%AE</x:v>
      </x:c>
      <x:c r="AG56" s="82" t="str">
        <x:v>采用</x:v>
      </x:c>
      <x:c r="AH56" s="82" t="str">
        <x:v>初审</x:v>
      </x:c>
      <x:c r="AI56" s="87" t="n">
        <x:v>46260</x:v>
      </x:c>
    </x:row>
    <x:row r="57">
      <x:c r="A57" s="72" t="str">
        <x:f>IF(OR(C57="",D57=""),"",B57&amp;"-"&amp;UPPER(C57)&amp;"-"&amp;TEXT(D57,"0000")&amp;"-"&amp;E57)</x:f>
        <x:v>M15-SHISHANG-0051-V1.0</x:v>
      </x:c>
      <x:c r="B57" s="74" t="str">
        <x:v>M15</x:v>
      </x:c>
      <x:c r="C57" s="74" t="str">
        <x:v>SHISHANG</x:v>
      </x:c>
      <x:c r="D57" s="215" t="n">
        <x:v>51</x:v>
      </x:c>
      <x:c r="E57" s="74" t="str">
        <x:v>V1.0</x:v>
      </x:c>
      <x:c r="F57" s="68" t="str">
        <x:v>伤官见官无救应构成严重破格</x:v>
      </x:c>
      <x:c r="G57" s="82" t="str">
        <x:v>综合层</x:v>
      </x:c>
      <x:c r="H57" s="68" t="str">
        <x:v>伤官格候选</x:v>
      </x:c>
      <x:c r="I57" s="68" t="str">
        <x:v>伤官格成立且正官仍承担关键功能</x:v>
      </x:c>
      <x:c r="J57" s="68" t="str">
        <x:v>月令依据、格神根气与有效力量、日主配合及M11组合证据相互支持</x:v>
      </x:c>
      <x:c r="K57" s="68" t="str">
        <x:v>伤官直接强克正官，双方均有力</x:v>
      </x:c>
      <x:c r="L57" s="82" t="str">
        <x:v>严重</x:v>
      </x:c>
      <x:c r="M57" s="68" t="str">
        <x:v>印制伤或财通关</x:v>
      </x:c>
      <x:c r="N57" s="82" t="str">
        <x:v>待定</x:v>
      </x:c>
      <x:c r="O57" s="84" t="str">
        <x:v>成立但有破</x:v>
      </x:c>
      <x:c r="P57" s="82" t="str">
        <x:v>混杂</x:v>
      </x:c>
      <x:c r="Q57" s="68" t="str">
        <x:v>冲突直接作用于官星，格局稳定性显著下降</x:v>
      </x:c>
      <x:c r="R57" s="68" t="str">
        <x:v>M14已生成候选；M08、M09、M10、M11相关结论可追溯</x:v>
      </x:c>
      <x:c r="S57" s="68" t="str">
        <x:v>格神与关键配合十神均以有效力量和实际功能为准</x:v>
      </x:c>
      <x:c r="T57" s="68" t="str">
        <x:v>格神得令、有根、透达、清纯，组合路径稳定且日主承载匹配</x:v>
      </x:c>
      <x:c r="U57" s="68" t="str">
        <x:v>格神受制、混杂、路径受阻、日主承载不足或救应只能局部作用</x:v>
      </x:c>
      <x:c r="V57" s="90" t="str">
        <x:v>格神失效、核心作用路径完全中断，或特殊格局硬门槛被有效反证否决</x:v>
      </x:c>
      <x:c r="W57" s="68" t="str">
        <x:v>特殊格局严格条件、流派争议及岁运补成另按专门规则处理</x:v>
      </x:c>
      <x:c r="X57" s="84" t="str">
        <x:v>伤官格_见官破格</x:v>
      </x:c>
      <x:c r="Y57" s="84" t="str">
        <x:v>伤官格候选判为“成立但有破”：破格等级为“严重”，救应为“待定”，清纯度为“混杂”；层次需结合全局继续评估。</x:v>
      </x:c>
      <x:c r="Z57" s="68" t="str">
        <x:v>若“格神失效、核心作用路径完全中断，或特殊格局硬门槛被有效反证否决”成立，应降低为成立但有破或不成立，不得维持当前结论。</x:v>
      </x:c>
      <x:c r="AA57" s="82" t="str">
        <x:v>较高</x:v>
      </x:c>
      <x:c r="AB57" s="82" t="str">
        <x:v>子平格局</x:v>
      </x:c>
      <x:c r="AC57" s="68" t="str">
        <x:v>格局成败须区分：格神是否有效、结构是否能运行、是否存在破坏、救应是否直接修复破格机制，以及格局成立与层次高低。</x:v>
      </x:c>
      <x:c r="AD57" s="68" t="str">
        <x:v>当“伤官格成立且正官仍承担关键功能”成立，且成格证据相互支持、无决定性否决时，可按本规则判断。</x:v>
      </x:c>
      <x:c r="AE57" s="90" t="str">
        <x:v>只有格局名称或局部组合，但“格神失效、核心作用路径完全中断，或特殊格局硬门槛被有效反证否决”成立时，不能按本规则维持格局。</x:v>
      </x:c>
      <x:c r="AF57" s="68" t="str">
        <x:v>https://zh.wikisource.org/zh-hans/%E6%B7%B5%E6%B5%B7%E5%AD%90%E5%B9%B3 ; https://zh.wikisource.org/wiki/%E6%BB%B4%E5%A4%A9%E9%AB%93%E9%97%A1%E5%BE%AE</x:v>
      </x:c>
      <x:c r="AG57" s="82" t="str">
        <x:v>采用</x:v>
      </x:c>
      <x:c r="AH57" s="82" t="str">
        <x:v>初审</x:v>
      </x:c>
      <x:c r="AI57" s="87" t="n">
        <x:v>46260</x:v>
      </x:c>
    </x:row>
    <x:row r="58">
      <x:c r="A58" s="72" t="str">
        <x:f>IF(OR(C58="",D58=""),"",B58&amp;"-"&amp;UPPER(C58)&amp;"-"&amp;TEXT(D58,"0000")&amp;"-"&amp;E58)</x:f>
        <x:v>M15-SHISHANG-0052-V1.0</x:v>
      </x:c>
      <x:c r="B58" s="74" t="str">
        <x:v>M15</x:v>
      </x:c>
      <x:c r="C58" s="74" t="str">
        <x:v>SHISHANG</x:v>
      </x:c>
      <x:c r="D58" s="215" t="n">
        <x:v>52</x:v>
      </x:c>
      <x:c r="E58" s="74" t="str">
        <x:v>V1.0</x:v>
      </x:c>
      <x:c r="F58" s="68" t="str">
        <x:v>印制伤或财通关可救伤官见官</x:v>
      </x:c>
      <x:c r="G58" s="82" t="str">
        <x:v>综合层</x:v>
      </x:c>
      <x:c r="H58" s="68" t="str">
        <x:v>伤官格候选</x:v>
      </x:c>
      <x:c r="I58" s="68" t="str">
        <x:v>伤官见官冲突成立，印或财能够真实改变冲突路径</x:v>
      </x:c>
      <x:c r="J58" s="68" t="str">
        <x:v>印制伤，或伤→财→官链至少一条有效</x:v>
      </x:c>
      <x:c r="K58" s="68" t="str">
        <x:v>伤官见官</x:v>
      </x:c>
      <x:c r="L58" s="82" t="str">
        <x:v>一般</x:v>
      </x:c>
      <x:c r="M58" s="68" t="str">
        <x:v>印制伤/财通关</x:v>
      </x:c>
      <x:c r="N58" s="82" t="str">
        <x:v>明显有效</x:v>
      </x:c>
      <x:c r="O58" s="84" t="str">
        <x:v>有破有救</x:v>
      </x:c>
      <x:c r="P58" s="82" t="str">
        <x:v>有杂</x:v>
      </x:c>
      <x:c r="Q58" s="68" t="str">
        <x:v>冲突被修复，但有救结构低于原局无官伤冲突</x:v>
      </x:c>
      <x:c r="R58" s="68" t="str">
        <x:v>M14已生成候选；M08、M09、M10、M11相关结论可追溯</x:v>
      </x:c>
      <x:c r="S58" s="68" t="str">
        <x:v>格神与关键配合十神均以有效力量和实际功能为准</x:v>
      </x:c>
      <x:c r="T58" s="68" t="str">
        <x:v>格神得令、有根、透达、清纯，组合路径稳定且日主承载匹配</x:v>
      </x:c>
      <x:c r="U58" s="68" t="str">
        <x:v>格神受制、混杂、路径受阻、日主承载不足或救应只能局部作用</x:v>
      </x:c>
      <x:c r="V58" s="90" t="str">
        <x:v>格神失效、核心作用路径完全中断，或特殊格局硬门槛被有效反证否决</x:v>
      </x:c>
      <x:c r="W58" s="68" t="str">
        <x:v>特殊格局严格条件、流派争议及岁运补成另按专门规则处理</x:v>
      </x:c>
      <x:c r="X58" s="84" t="str">
        <x:v>伤官格_见官救应</x:v>
      </x:c>
      <x:c r="Y58" s="84" t="str">
        <x:v>伤官格候选判为“有破有救”：破格等级为“一般”，救应为“明显有效”，清纯度为“有杂”；层次需结合全局继续评估。</x:v>
      </x:c>
      <x:c r="Z58" s="68" t="str">
        <x:v>若“格神失效、核心作用路径完全中断，或特殊格局硬门槛被有效反证否决”成立，应降低为成立但有破或不成立，不得维持当前结论。</x:v>
      </x:c>
      <x:c r="AA58" s="82" t="str">
        <x:v>较高</x:v>
      </x:c>
      <x:c r="AB58" s="82" t="str">
        <x:v>子平格局</x:v>
      </x:c>
      <x:c r="AC58" s="68" t="str">
        <x:v>格局成败须区分：格神是否有效、结构是否能运行、是否存在破坏、救应是否直接修复破格机制，以及格局成立与层次高低。</x:v>
      </x:c>
      <x:c r="AD58" s="68" t="str">
        <x:v>当“伤官见官冲突成立，印或财能够真实改变冲突路径”成立，且成格证据相互支持、无决定性否决时，可按本规则判断。</x:v>
      </x:c>
      <x:c r="AE58" s="90" t="str">
        <x:v>只有格局名称或局部组合，但“格神失效、核心作用路径完全中断，或特殊格局硬门槛被有效反证否决”成立时，不能按本规则维持格局。</x:v>
      </x:c>
      <x:c r="AF58" s="68" t="str">
        <x:v>https://zh.wikisource.org/zh-hans/%E6%B7%B5%E6%B5%B7%E5%AD%90%E5%B9%B3 ; https://zh.wikisource.org/wiki/%E6%BB%B4%E5%A4%A9%E9%AB%93%E9%97%A1%E5%BE%AE</x:v>
      </x:c>
      <x:c r="AG58" s="82" t="str">
        <x:v>采用</x:v>
      </x:c>
      <x:c r="AH58" s="82" t="str">
        <x:v>初审</x:v>
      </x:c>
      <x:c r="AI58" s="87" t="n">
        <x:v>46260</x:v>
      </x:c>
    </x:row>
    <x:row r="59">
      <x:c r="A59" s="72" t="str">
        <x:f>IF(OR(C59="",D59=""),"",B59&amp;"-"&amp;UPPER(C59)&amp;"-"&amp;TEXT(D59,"0000")&amp;"-"&amp;E59)</x:f>
        <x:v>M15-JIANREN-0053-V1.0</x:v>
      </x:c>
      <x:c r="B59" s="74" t="str">
        <x:v>M15</x:v>
      </x:c>
      <x:c r="C59" s="74" t="str">
        <x:v>JIANREN</x:v>
      </x:c>
      <x:c r="D59" s="215" t="n">
        <x:v>53</x:v>
      </x:c>
      <x:c r="E59" s="74" t="str">
        <x:v>V1.0</x:v>
      </x:c>
      <x:c r="F59" s="68" t="str">
        <x:v>建禄格需有财官食伤出口才能形成较完整结构</x:v>
      </x:c>
      <x:c r="G59" s="82" t="str">
        <x:v>综合层</x:v>
      </x:c>
      <x:c r="H59" s="68" t="str">
        <x:v>建禄格候选</x:v>
      </x:c>
      <x:c r="I59" s="68" t="str">
        <x:v>日主临月令禄地且身势有力，财、官杀或食伤至少一方有效</x:v>
      </x:c>
      <x:c r="J59" s="68" t="str">
        <x:v>强身有明确制、泄、耗路径</x:v>
      </x:c>
      <x:c r="K59" s="68" t="str">
        <x:v>无决定性破格因素</x:v>
      </x:c>
      <x:c r="L59" s="82" t="str">
        <x:v>无破</x:v>
      </x:c>
      <x:c r="M59" s="68" t="str">
        <x:v>无须救应</x:v>
      </x:c>
      <x:c r="N59" s="82" t="str">
        <x:v>无救应</x:v>
      </x:c>
      <x:c r="O59" s="84" t="str">
        <x:v>基本成立</x:v>
      </x:c>
      <x:c r="P59" s="82" t="str">
        <x:v>待定</x:v>
      </x:c>
      <x:c r="Q59" s="68" t="str">
        <x:v>建禄本身只是强身基础，层次取决于能否合理输出或制衡</x:v>
      </x:c>
      <x:c r="R59" s="68" t="str">
        <x:v>M14已生成候选；M08、M09、M10、M11相关结论可追溯</x:v>
      </x:c>
      <x:c r="S59" s="68" t="str">
        <x:v>格神与关键配合十神均以有效力量和实际功能为准</x:v>
      </x:c>
      <x:c r="T59" s="68" t="str">
        <x:v>格神得令、有根、透达、清纯，组合路径稳定且日主承载匹配</x:v>
      </x:c>
      <x:c r="U59" s="68" t="str">
        <x:v>格神受制、混杂、路径受阻、日主承载不足或救应只能局部作用</x:v>
      </x:c>
      <x:c r="V59" s="90" t="str">
        <x:v>格神失效、核心作用路径完全中断，或特殊格局硬门槛被有效反证否决</x:v>
      </x:c>
      <x:c r="W59" s="68" t="str">
        <x:v>特殊格局严格条件、流派争议及岁运补成另按专门规则处理</x:v>
      </x:c>
      <x:c r="X59" s="84" t="str">
        <x:v>建禄格_基本成格</x:v>
      </x:c>
      <x:c r="Y59" s="84" t="str">
        <x:v>建禄格候选判为“基本成立”：破格等级为“无破”，救应为“无救应”，清纯度为“待定”；层次需结合全局继续评估。</x:v>
      </x:c>
      <x:c r="Z59" s="68" t="str">
        <x:v>若“格神失效、核心作用路径完全中断，或特殊格局硬门槛被有效反证否决”成立，应降低为成立但有破或不成立，不得维持当前结论。</x:v>
      </x:c>
      <x:c r="AA59" s="82" t="str">
        <x:v>较高</x:v>
      </x:c>
      <x:c r="AB59" s="82" t="str">
        <x:v>子平格局</x:v>
      </x:c>
      <x:c r="AC59" s="68" t="str">
        <x:v>格局成败须区分：格神是否有效、结构是否能运行、是否存在破坏、救应是否直接修复破格机制，以及格局成立与层次高低。</x:v>
      </x:c>
      <x:c r="AD59" s="68" t="str">
        <x:v>当“日主临月令禄地且身势有力，财、官杀或食伤至少一方有效”成立，且成格证据相互支持、无决定性否决时，可按本规则判断。</x:v>
      </x:c>
      <x:c r="AE59" s="90" t="str">
        <x:v>只有格局名称或局部组合，但“格神失效、核心作用路径完全中断，或特殊格局硬门槛被有效反证否决”成立时，不能按本规则维持格局。</x:v>
      </x:c>
      <x:c r="AF59" s="68" t="str">
        <x:v>https://zh.wikisource.org/zh-hans/%E6%B7%B5%E6%B5%B7%E5%AD%90%E5%B9%B3 ; https://zh.wikisource.org/wiki/%E6%BB%B4%E5%A4%A9%E9%AB%93%E9%97%A1%E5%BE%AE</x:v>
      </x:c>
      <x:c r="AG59" s="82" t="str">
        <x:v>采用</x:v>
      </x:c>
      <x:c r="AH59" s="82" t="str">
        <x:v>初审</x:v>
      </x:c>
      <x:c r="AI59" s="87" t="n">
        <x:v>46260</x:v>
      </x:c>
    </x:row>
    <x:row r="60">
      <x:c r="A60" s="72" t="str">
        <x:f>IF(OR(C60="",D60=""),"",B60&amp;"-"&amp;UPPER(C60)&amp;"-"&amp;TEXT(D60,"0000")&amp;"-"&amp;E60)</x:f>
        <x:v>M15-JIANREN-0054-V1.0</x:v>
      </x:c>
      <x:c r="B60" s="74" t="str">
        <x:v>M15</x:v>
      </x:c>
      <x:c r="C60" s="74" t="str">
        <x:v>JIANREN</x:v>
      </x:c>
      <x:c r="D60" s="215" t="n">
        <x:v>54</x:v>
      </x:c>
      <x:c r="E60" s="74" t="str">
        <x:v>V1.0</x:v>
      </x:c>
      <x:c r="F60" s="68" t="str">
        <x:v>食伤泄秀可提高建禄格层次</x:v>
      </x:c>
      <x:c r="G60" s="82" t="str">
        <x:v>综合层</x:v>
      </x:c>
      <x:c r="H60" s="68" t="str">
        <x:v>建禄格候选</x:v>
      </x:c>
      <x:c r="I60" s="68" t="str">
        <x:v>建禄身旺，食伤有力且不被印重制，财星可承接更佳</x:v>
      </x:c>
      <x:c r="J60" s="68" t="str">
        <x:v>身→食伤路径连续</x:v>
      </x:c>
      <x:c r="K60" s="68" t="str">
        <x:v>无决定性破格因素</x:v>
      </x:c>
      <x:c r="L60" s="82" t="str">
        <x:v>无破</x:v>
      </x:c>
      <x:c r="M60" s="68" t="str">
        <x:v>无须救应</x:v>
      </x:c>
      <x:c r="N60" s="82" t="str">
        <x:v>无救应</x:v>
      </x:c>
      <x:c r="O60" s="84" t="str">
        <x:v>清纯成立</x:v>
      </x:c>
      <x:c r="P60" s="82" t="str">
        <x:v>较清</x:v>
      </x:c>
      <x:c r="Q60" s="68" t="str">
        <x:v>强身有稳定出口，流通和格局运行较顺</x:v>
      </x:c>
      <x:c r="R60" s="68" t="str">
        <x:v>M14已生成候选；M08、M09、M10、M11相关结论可追溯</x:v>
      </x:c>
      <x:c r="S60" s="68" t="str">
        <x:v>格神与关键配合十神均以有效力量和实际功能为准</x:v>
      </x:c>
      <x:c r="T60" s="68" t="str">
        <x:v>格神得令、有根、透达、清纯，组合路径稳定且日主承载匹配</x:v>
      </x:c>
      <x:c r="U60" s="68" t="str">
        <x:v>格神受制、混杂、路径受阻、日主承载不足或救应只能局部作用</x:v>
      </x:c>
      <x:c r="V60" s="90" t="str">
        <x:v>格神失效、核心作用路径完全中断，或特殊格局硬门槛被有效反证否决</x:v>
      </x:c>
      <x:c r="W60" s="68" t="str">
        <x:v>特殊格局严格条件、流派争议及岁运补成另按专门规则处理</x:v>
      </x:c>
      <x:c r="X60" s="84" t="str">
        <x:v>建禄格_食伤泄秀</x:v>
      </x:c>
      <x:c r="Y60" s="84" t="str">
        <x:v>建禄格候选判为“清纯成立”：破格等级为“无破”，救应为“无救应”，清纯度为“较清”；层次需结合全局继续评估。</x:v>
      </x:c>
      <x:c r="Z60" s="68" t="str">
        <x:v>若“格神失效、核心作用路径完全中断，或特殊格局硬门槛被有效反证否决”成立，应降低为成立但有破或不成立，不得维持当前结论。</x:v>
      </x:c>
      <x:c r="AA60" s="82" t="str">
        <x:v>较高</x:v>
      </x:c>
      <x:c r="AB60" s="82" t="str">
        <x:v>子平格局</x:v>
      </x:c>
      <x:c r="AC60" s="68" t="str">
        <x:v>格局成败须区分：格神是否有效、结构是否能运行、是否存在破坏、救应是否直接修复破格机制，以及格局成立与层次高低。</x:v>
      </x:c>
      <x:c r="AD60" s="68" t="str">
        <x:v>当“建禄身旺，食伤有力且不被印重制，财星可承接更佳”成立，且成格证据相互支持、无决定性否决时，可按本规则判断。</x:v>
      </x:c>
      <x:c r="AE60" s="90" t="str">
        <x:v>只有格局名称或局部组合，但“格神失效、核心作用路径完全中断，或特殊格局硬门槛被有效反证否决”成立时，不能按本规则维持格局。</x:v>
      </x:c>
      <x:c r="AF60" s="68" t="str">
        <x:v>https://zh.wikisource.org/zh-hans/%E6%B7%B5%E6%B5%B7%E5%AD%90%E5%B9%B3 ; https://zh.wikisource.org/wiki/%E6%BB%B4%E5%A4%A9%E9%AB%93%E9%97%A1%E5%BE%AE</x:v>
      </x:c>
      <x:c r="AG60" s="82" t="str">
        <x:v>采用</x:v>
      </x:c>
      <x:c r="AH60" s="82" t="str">
        <x:v>初审</x:v>
      </x:c>
      <x:c r="AI60" s="87" t="n">
        <x:v>46260</x:v>
      </x:c>
    </x:row>
    <x:row r="61">
      <x:c r="A61" s="72" t="str">
        <x:f>IF(OR(C61="",D61=""),"",B61&amp;"-"&amp;UPPER(C61)&amp;"-"&amp;TEXT(D61,"0000")&amp;"-"&amp;E61)</x:f>
        <x:v>M15-JIANREN-0055-V1.0</x:v>
      </x:c>
      <x:c r="B61" s="74" t="str">
        <x:v>M15</x:v>
      </x:c>
      <x:c r="C61" s="74" t="str">
        <x:v>JIANREN</x:v>
      </x:c>
      <x:c r="D61" s="215" t="n">
        <x:v>55</x:v>
      </x:c>
      <x:c r="E61" s="74" t="str">
        <x:v>V1.0</x:v>
      </x:c>
      <x:c r="F61" s="68" t="str">
        <x:v>官杀有力制衡可提高建禄格层次</x:v>
      </x:c>
      <x:c r="G61" s="82" t="str">
        <x:v>综合层</x:v>
      </x:c>
      <x:c r="H61" s="68" t="str">
        <x:v>建禄格候选</x:v>
      </x:c>
      <x:c r="I61" s="68" t="str">
        <x:v>建禄身旺，官杀有根有力且制身不过度</x:v>
      </x:c>
      <x:c r="J61" s="68" t="str">
        <x:v>官杀能够约束比劫集团，日主仍可承载</x:v>
      </x:c>
      <x:c r="K61" s="68" t="str">
        <x:v>无决定性破格因素</x:v>
      </x:c>
      <x:c r="L61" s="82" t="str">
        <x:v>无破</x:v>
      </x:c>
      <x:c r="M61" s="68" t="str">
        <x:v>无须救应</x:v>
      </x:c>
      <x:c r="N61" s="82" t="str">
        <x:v>无救应</x:v>
      </x:c>
      <x:c r="O61" s="84" t="str">
        <x:v>清纯成立</x:v>
      </x:c>
      <x:c r="P61" s="82" t="str">
        <x:v>较清</x:v>
      </x:c>
      <x:c r="Q61" s="68" t="str">
        <x:v>强身得到有效制衡，结构稳定</x:v>
      </x:c>
      <x:c r="R61" s="68" t="str">
        <x:v>M14已生成候选；M08、M09、M10、M11相关结论可追溯</x:v>
      </x:c>
      <x:c r="S61" s="68" t="str">
        <x:v>格神与关键配合十神均以有效力量和实际功能为准</x:v>
      </x:c>
      <x:c r="T61" s="68" t="str">
        <x:v>格神得令、有根、透达、清纯，组合路径稳定且日主承载匹配</x:v>
      </x:c>
      <x:c r="U61" s="68" t="str">
        <x:v>格神受制、混杂、路径受阻、日主承载不足或救应只能局部作用</x:v>
      </x:c>
      <x:c r="V61" s="90" t="str">
        <x:v>格神失效、核心作用路径完全中断，或特殊格局硬门槛被有效反证否决</x:v>
      </x:c>
      <x:c r="W61" s="68" t="str">
        <x:v>特殊格局严格条件、流派争议及岁运补成另按专门规则处理</x:v>
      </x:c>
      <x:c r="X61" s="84" t="str">
        <x:v>建禄格_官杀制衡</x:v>
      </x:c>
      <x:c r="Y61" s="84" t="str">
        <x:v>建禄格候选判为“清纯成立”：破格等级为“无破”，救应为“无救应”，清纯度为“较清”；层次需结合全局继续评估。</x:v>
      </x:c>
      <x:c r="Z61" s="68" t="str">
        <x:v>若“格神失效、核心作用路径完全中断，或特殊格局硬门槛被有效反证否决”成立，应降低为成立但有破或不成立，不得维持当前结论。</x:v>
      </x:c>
      <x:c r="AA61" s="82" t="str">
        <x:v>较高</x:v>
      </x:c>
      <x:c r="AB61" s="82" t="str">
        <x:v>子平格局</x:v>
      </x:c>
      <x:c r="AC61" s="68" t="str">
        <x:v>格局成败须区分：格神是否有效、结构是否能运行、是否存在破坏、救应是否直接修复破格机制，以及格局成立与层次高低。</x:v>
      </x:c>
      <x:c r="AD61" s="68" t="str">
        <x:v>当“建禄身旺，官杀有根有力且制身不过度”成立，且成格证据相互支持、无决定性否决时，可按本规则判断。</x:v>
      </x:c>
      <x:c r="AE61" s="90" t="str">
        <x:v>只有格局名称或局部组合，但“格神失效、核心作用路径完全中断，或特殊格局硬门槛被有效反证否决”成立时，不能按本规则维持格局。</x:v>
      </x:c>
      <x:c r="AF61" s="68" t="str">
        <x:v>https://zh.wikisource.org/zh-hans/%E6%B7%B5%E6%B5%B7%E5%AD%90%E5%B9%B3 ; https://zh.wikisource.org/wiki/%E6%BB%B4%E5%A4%A9%E9%AB%93%E9%97%A1%E5%BE%AE</x:v>
      </x:c>
      <x:c r="AG61" s="82" t="str">
        <x:v>采用</x:v>
      </x:c>
      <x:c r="AH61" s="82" t="str">
        <x:v>初审</x:v>
      </x:c>
      <x:c r="AI61" s="87" t="n">
        <x:v>46260</x:v>
      </x:c>
    </x:row>
    <x:row r="62">
      <x:c r="A62" s="72" t="str">
        <x:f>IF(OR(C62="",D62=""),"",B62&amp;"-"&amp;UPPER(C62)&amp;"-"&amp;TEXT(D62,"0000")&amp;"-"&amp;E62)</x:f>
        <x:v>M15-JIANREN-0056-V1.0</x:v>
      </x:c>
      <x:c r="B62" s="74" t="str">
        <x:v>M15</x:v>
      </x:c>
      <x:c r="C62" s="74" t="str">
        <x:v>JIANREN</x:v>
      </x:c>
      <x:c r="D62" s="215" t="n">
        <x:v>56</x:v>
      </x:c>
      <x:c r="E62" s="74" t="str">
        <x:v>V1.0</x:v>
      </x:c>
      <x:c r="F62" s="68" t="str">
        <x:v>比劫壅塞无泄构成建禄格一般破格</x:v>
      </x:c>
      <x:c r="G62" s="82" t="str">
        <x:v>综合层</x:v>
      </x:c>
      <x:c r="H62" s="68" t="str">
        <x:v>建禄格候选</x:v>
      </x:c>
      <x:c r="I62" s="68" t="str">
        <x:v>建禄成立但比劫过旺，财官食伤均弱或受阻</x:v>
      </x:c>
      <x:c r="J62" s="68" t="str">
        <x:v>月令依据、格神根气与有效力量、日主配合及M11组合证据相互支持</x:v>
      </x:c>
      <x:c r="K62" s="68" t="str">
        <x:v>源头过旺无泄、回流壅塞</x:v>
      </x:c>
      <x:c r="L62" s="82" t="str">
        <x:v>一般</x:v>
      </x:c>
      <x:c r="M62" s="68" t="str">
        <x:v>食伤泄秀或官杀制比</x:v>
      </x:c>
      <x:c r="N62" s="82" t="str">
        <x:v>待定</x:v>
      </x:c>
      <x:c r="O62" s="84" t="str">
        <x:v>成立但有破</x:v>
      </x:c>
      <x:c r="P62" s="82" t="str">
        <x:v>较清</x:v>
      </x:c>
      <x:c r="Q62" s="68" t="str">
        <x:v>身势强但功能出口不足，层次受流通限制</x:v>
      </x:c>
      <x:c r="R62" s="68" t="str">
        <x:v>M14已生成候选；M08、M09、M10、M11相关结论可追溯</x:v>
      </x:c>
      <x:c r="S62" s="68" t="str">
        <x:v>格神与关键配合十神均以有效力量和实际功能为准</x:v>
      </x:c>
      <x:c r="T62" s="68" t="str">
        <x:v>格神得令、有根、透达、清纯，组合路径稳定且日主承载匹配</x:v>
      </x:c>
      <x:c r="U62" s="68" t="str">
        <x:v>格神受制、混杂、路径受阻、日主承载不足或救应只能局部作用</x:v>
      </x:c>
      <x:c r="V62" s="90" t="str">
        <x:v>格神失效、核心作用路径完全中断，或特殊格局硬门槛被有效反证否决</x:v>
      </x:c>
      <x:c r="W62" s="68" t="str">
        <x:v>特殊格局严格条件、流派争议及岁运补成另按专门规则处理</x:v>
      </x:c>
      <x:c r="X62" s="84" t="str">
        <x:v>建禄格_比劫壅塞</x:v>
      </x:c>
      <x:c r="Y62" s="84" t="str">
        <x:v>建禄格候选判为“成立但有破”：破格等级为“一般”，救应为“待定”，清纯度为“较清”；层次需结合全局继续评估。</x:v>
      </x:c>
      <x:c r="Z62" s="68" t="str">
        <x:v>若“格神失效、核心作用路径完全中断，或特殊格局硬门槛被有效反证否决”成立，应降低为成立但有破或不成立，不得维持当前结论。</x:v>
      </x:c>
      <x:c r="AA62" s="82" t="str">
        <x:v>较高</x:v>
      </x:c>
      <x:c r="AB62" s="82" t="str">
        <x:v>子平格局</x:v>
      </x:c>
      <x:c r="AC62" s="68" t="str">
        <x:v>格局成败须区分：格神是否有效、结构是否能运行、是否存在破坏、救应是否直接修复破格机制，以及格局成立与层次高低。</x:v>
      </x:c>
      <x:c r="AD62" s="68" t="str">
        <x:v>当“建禄成立但比劫过旺，财官食伤均弱或受阻”成立，且成格证据相互支持、无决定性否决时，可按本规则判断。</x:v>
      </x:c>
      <x:c r="AE62" s="90" t="str">
        <x:v>只有格局名称或局部组合，但“格神失效、核心作用路径完全中断，或特殊格局硬门槛被有效反证否决”成立时，不能按本规则维持格局。</x:v>
      </x:c>
      <x:c r="AF62" s="68" t="str">
        <x:v>https://zh.wikisource.org/zh-hans/%E6%B7%B5%E6%B5%B7%E5%AD%90%E5%B9%B3 ; https://zh.wikisource.org/wiki/%E6%BB%B4%E5%A4%A9%E9%AB%93%E9%97%A1%E5%BE%AE</x:v>
      </x:c>
      <x:c r="AG62" s="82" t="str">
        <x:v>采用</x:v>
      </x:c>
      <x:c r="AH62" s="82" t="str">
        <x:v>初审</x:v>
      </x:c>
      <x:c r="AI62" s="87" t="n">
        <x:v>46260</x:v>
      </x:c>
    </x:row>
    <x:row r="63">
      <x:c r="A63" s="72" t="str">
        <x:f>IF(OR(C63="",D63=""),"",B63&amp;"-"&amp;UPPER(C63)&amp;"-"&amp;TEXT(D63,"0000")&amp;"-"&amp;E63)</x:f>
        <x:v>M15-JIANREN-0057-V1.0</x:v>
      </x:c>
      <x:c r="B63" s="74" t="str">
        <x:v>M15</x:v>
      </x:c>
      <x:c r="C63" s="74" t="str">
        <x:v>JIANREN</x:v>
      </x:c>
      <x:c r="D63" s="215" t="n">
        <x:v>57</x:v>
      </x:c>
      <x:c r="E63" s="74" t="str">
        <x:v>V1.0</x:v>
      </x:c>
      <x:c r="F63" s="68" t="str">
        <x:v>羊刃格必须有有效制化才能稳定运行</x:v>
      </x:c>
      <x:c r="G63" s="82" t="str">
        <x:v>综合层</x:v>
      </x:c>
      <x:c r="H63" s="68" t="str">
        <x:v>羊刃格候选</x:v>
      </x:c>
      <x:c r="I63" s="68" t="str">
        <x:v>羊刃临月令并成势，官杀或食伤财星能够制泄强刃</x:v>
      </x:c>
      <x:c r="J63" s="68" t="str">
        <x:v>强身有明确制衡，不形成无序比劫壅塞</x:v>
      </x:c>
      <x:c r="K63" s="68" t="str">
        <x:v>无决定性破格因素</x:v>
      </x:c>
      <x:c r="L63" s="82" t="str">
        <x:v>无破</x:v>
      </x:c>
      <x:c r="M63" s="68" t="str">
        <x:v>无须救应</x:v>
      </x:c>
      <x:c r="N63" s="82" t="str">
        <x:v>无救应</x:v>
      </x:c>
      <x:c r="O63" s="84" t="str">
        <x:v>基本成立</x:v>
      </x:c>
      <x:c r="P63" s="82" t="str">
        <x:v>待定</x:v>
      </x:c>
      <x:c r="Q63" s="68" t="str">
        <x:v>刃势有权但受合理约束</x:v>
      </x:c>
      <x:c r="R63" s="68" t="str">
        <x:v>M14已生成候选；M08、M09、M10、M11相关结论可追溯</x:v>
      </x:c>
      <x:c r="S63" s="68" t="str">
        <x:v>格神与关键配合十神均以有效力量和实际功能为准</x:v>
      </x:c>
      <x:c r="T63" s="68" t="str">
        <x:v>格神得令、有根、透达、清纯，组合路径稳定且日主承载匹配</x:v>
      </x:c>
      <x:c r="U63" s="68" t="str">
        <x:v>格神受制、混杂、路径受阻、日主承载不足或救应只能局部作用</x:v>
      </x:c>
      <x:c r="V63" s="90" t="str">
        <x:v>格神失效、核心作用路径完全中断，或特殊格局硬门槛被有效反证否决</x:v>
      </x:c>
      <x:c r="W63" s="68" t="str">
        <x:v>特殊格局严格条件、流派争议及岁运补成另按专门规则处理</x:v>
      </x:c>
      <x:c r="X63" s="84" t="str">
        <x:v>羊刃格候选_成败救应</x:v>
      </x:c>
      <x:c r="Y63" s="84" t="str">
        <x:v>羊刃格候选判为“基本成立”：破格等级为“无破”，救应为“无救应”，清纯度为“待定”；层次需结合全局继续评估。</x:v>
      </x:c>
      <x:c r="Z63" s="68" t="str">
        <x:v>若“格神失效、核心作用路径完全中断，或特殊格局硬门槛被有效反证否决”成立，应降低为成立但有破或不成立，不得维持当前结论。</x:v>
      </x:c>
      <x:c r="AA63" s="82" t="str">
        <x:v>较高</x:v>
      </x:c>
      <x:c r="AB63" s="82" t="str">
        <x:v>子平格局</x:v>
      </x:c>
      <x:c r="AC63" s="68" t="str">
        <x:v>格局成败须区分：格神是否有效、结构是否能运行、是否存在破坏、救应是否直接修复破格机制，以及格局成立与层次高低。</x:v>
      </x:c>
      <x:c r="AD63" s="68" t="str">
        <x:v>当“羊刃临月令并成势，官杀或食伤财星能够制泄强刃”成立，且成格证据相互支持、无决定性否决时，可按本规则判断。</x:v>
      </x:c>
      <x:c r="AE63" s="90" t="str">
        <x:v>只有格局名称或局部组合，但“格神失效、核心作用路径完全中断，或特殊格局硬门槛被有效反证否决”成立时，不能按本规则维持格局。</x:v>
      </x:c>
      <x:c r="AF63" s="68" t="str">
        <x:v>https://zh.wikisource.org/zh-hans/%E6%B7%B5%E6%B5%B7%E5%AD%90%E5%B9%B3 ; https://zh.wikisource.org/wiki/%E6%BB%B4%E5%A4%A9%E9%AB%93%E9%97%A1%E5%BE%AE</x:v>
      </x:c>
      <x:c r="AG63" s="82" t="str">
        <x:v>采用</x:v>
      </x:c>
      <x:c r="AH63" s="82" t="str">
        <x:v>初审</x:v>
      </x:c>
      <x:c r="AI63" s="87" t="n">
        <x:v>46260</x:v>
      </x:c>
    </x:row>
    <x:row r="64">
      <x:c r="A64" s="72" t="str">
        <x:f>IF(OR(C64="",D64=""),"",B64&amp;"-"&amp;UPPER(C64)&amp;"-"&amp;TEXT(D64,"0000")&amp;"-"&amp;E64)</x:f>
        <x:v>M15-JIANREN-0058-V1.0</x:v>
      </x:c>
      <x:c r="B64" s="74" t="str">
        <x:v>M15</x:v>
      </x:c>
      <x:c r="C64" s="74" t="str">
        <x:v>JIANREN</x:v>
      </x:c>
      <x:c r="D64" s="215" t="n">
        <x:v>58</x:v>
      </x:c>
      <x:c r="E64" s="74" t="str">
        <x:v>V1.0</x:v>
      </x:c>
      <x:c r="F64" s="68" t="str">
        <x:v>羊刃驾杀比例适中可判清纯增强</x:v>
      </x:c>
      <x:c r="G64" s="82" t="str">
        <x:v>综合层</x:v>
      </x:c>
      <x:c r="H64" s="68" t="str">
        <x:v>羊刃格候选</x:v>
      </x:c>
      <x:c r="I64" s="68" t="str">
        <x:v>刃强、杀有权，七杀能制刃且日主承受不过度</x:v>
      </x:c>
      <x:c r="J64" s="68" t="str">
        <x:v>M11羊刃驾杀明显成立</x:v>
      </x:c>
      <x:c r="K64" s="68" t="str">
        <x:v>无决定性破格因素</x:v>
      </x:c>
      <x:c r="L64" s="82" t="str">
        <x:v>无破</x:v>
      </x:c>
      <x:c r="M64" s="68" t="str">
        <x:v>无须救应</x:v>
      </x:c>
      <x:c r="N64" s="82" t="str">
        <x:v>无救应</x:v>
      </x:c>
      <x:c r="O64" s="84" t="str">
        <x:v>清纯成立</x:v>
      </x:c>
      <x:c r="P64" s="82" t="str">
        <x:v>较清</x:v>
      </x:c>
      <x:c r="Q64" s="68" t="str">
        <x:v>强刃与七杀相互制衡，结构目标清晰</x:v>
      </x:c>
      <x:c r="R64" s="68" t="str">
        <x:v>M14已生成候选；M08、M09、M10、M11相关结论可追溯</x:v>
      </x:c>
      <x:c r="S64" s="68" t="str">
        <x:v>格神与关键配合十神均以有效力量和实际功能为准</x:v>
      </x:c>
      <x:c r="T64" s="68" t="str">
        <x:v>格神得令、有根、透达、清纯，组合路径稳定且日主承载匹配</x:v>
      </x:c>
      <x:c r="U64" s="68" t="str">
        <x:v>格神受制、混杂、路径受阻、日主承载不足或救应只能局部作用</x:v>
      </x:c>
      <x:c r="V64" s="90" t="str">
        <x:v>格神失效、核心作用路径完全中断，或特殊格局硬门槛被有效反证否决</x:v>
      </x:c>
      <x:c r="W64" s="68" t="str">
        <x:v>特殊格局严格条件、流派争议及岁运补成另按专门规则处理</x:v>
      </x:c>
      <x:c r="X64" s="84" t="str">
        <x:v>羊刃格_驾杀清纯</x:v>
      </x:c>
      <x:c r="Y64" s="84" t="str">
        <x:v>羊刃格候选判为“清纯成立”：破格等级为“无破”，救应为“无救应”，清纯度为“较清”；层次需结合全局继续评估。</x:v>
      </x:c>
      <x:c r="Z64" s="68" t="str">
        <x:v>若“格神失效、核心作用路径完全中断，或特殊格局硬门槛被有效反证否决”成立，应降低为成立但有破或不成立，不得维持当前结论。</x:v>
      </x:c>
      <x:c r="AA64" s="82" t="str">
        <x:v>较高</x:v>
      </x:c>
      <x:c r="AB64" s="82" t="str">
        <x:v>子平格局</x:v>
      </x:c>
      <x:c r="AC64" s="68" t="str">
        <x:v>格局成败须区分：格神是否有效、结构是否能运行、是否存在破坏、救应是否直接修复破格机制，以及格局成立与层次高低。</x:v>
      </x:c>
      <x:c r="AD64" s="68" t="str">
        <x:v>当“刃强、杀有权，七杀能制刃且日主承受不过度”成立，且成格证据相互支持、无决定性否决时，可按本规则判断。</x:v>
      </x:c>
      <x:c r="AE64" s="90" t="str">
        <x:v>只有格局名称或局部组合，但“格神失效、核心作用路径完全中断，或特殊格局硬门槛被有效反证否决”成立时，不能按本规则维持格局。</x:v>
      </x:c>
      <x:c r="AF64" s="68" t="str">
        <x:v>https://zh.wikisource.org/zh-hans/%E6%B7%B5%E6%B5%B7%E5%AD%90%E5%B9%B3 ; https://zh.wikisource.org/wiki/%E6%BB%B4%E5%A4%A9%E9%AB%93%E9%97%A1%E5%BE%AE</x:v>
      </x:c>
      <x:c r="AG64" s="82" t="str">
        <x:v>采用</x:v>
      </x:c>
      <x:c r="AH64" s="82" t="str">
        <x:v>初审</x:v>
      </x:c>
      <x:c r="AI64" s="87" t="n">
        <x:v>46260</x:v>
      </x:c>
    </x:row>
    <x:row r="65">
      <x:c r="A65" s="72" t="str">
        <x:f>IF(OR(C65="",D65=""),"",B65&amp;"-"&amp;UPPER(C65)&amp;"-"&amp;TEXT(D65,"0000")&amp;"-"&amp;E65)</x:f>
        <x:v>M15-JIANREN-0059-V1.0</x:v>
      </x:c>
      <x:c r="B65" s="74" t="str">
        <x:v>M15</x:v>
      </x:c>
      <x:c r="C65" s="74" t="str">
        <x:v>JIANREN</x:v>
      </x:c>
      <x:c r="D65" s="215" t="n">
        <x:v>59</x:v>
      </x:c>
      <x:c r="E65" s="74" t="str">
        <x:v>V1.0</x:v>
      </x:c>
      <x:c r="F65" s="68" t="str">
        <x:v>杀弱不能驾刃会降低羊刃格层次</x:v>
      </x:c>
      <x:c r="G65" s="82" t="str">
        <x:v>综合层</x:v>
      </x:c>
      <x:c r="H65" s="68" t="str">
        <x:v>羊刃格候选</x:v>
      </x:c>
      <x:c r="I65" s="68" t="str">
        <x:v>羊刃成势但七杀弱、无根或失效</x:v>
      </x:c>
      <x:c r="J65" s="68" t="str">
        <x:v>月令依据、格神根气与有效力量、日主配合及M11组合证据相互支持</x:v>
      </x:c>
      <x:c r="K65" s="68" t="str">
        <x:v>制刃力量不足</x:v>
      </x:c>
      <x:c r="L65" s="82" t="str">
        <x:v>一般</x:v>
      </x:c>
      <x:c r="M65" s="68" t="str">
        <x:v>增强官杀有效性或以食伤泄刃</x:v>
      </x:c>
      <x:c r="N65" s="82" t="str">
        <x:v>待定</x:v>
      </x:c>
      <x:c r="O65" s="84" t="str">
        <x:v>成立但有破</x:v>
      </x:c>
      <x:c r="P65" s="82" t="str">
        <x:v>较清</x:v>
      </x:c>
      <x:c r="Q65" s="68" t="str">
        <x:v>刃势缺乏约束，结构偏于壅滞</x:v>
      </x:c>
      <x:c r="R65" s="68" t="str">
        <x:v>M14已生成候选；M08、M09、M10、M11相关结论可追溯</x:v>
      </x:c>
      <x:c r="S65" s="68" t="str">
        <x:v>格神与关键配合十神均以有效力量和实际功能为准</x:v>
      </x:c>
      <x:c r="T65" s="68" t="str">
        <x:v>格神得令、有根、透达、清纯，组合路径稳定且日主承载匹配</x:v>
      </x:c>
      <x:c r="U65" s="68" t="str">
        <x:v>格神受制、混杂、路径受阻、日主承载不足或救应只能局部作用</x:v>
      </x:c>
      <x:c r="V65" s="90" t="str">
        <x:v>格神失效、核心作用路径完全中断，或特殊格局硬门槛被有效反证否决</x:v>
      </x:c>
      <x:c r="W65" s="68" t="str">
        <x:v>特殊格局严格条件、流派争议及岁运补成另按专门规则处理</x:v>
      </x:c>
      <x:c r="X65" s="84" t="str">
        <x:v>羊刃格_杀弱</x:v>
      </x:c>
      <x:c r="Y65" s="84" t="str">
        <x:v>羊刃格候选判为“成立但有破”：破格等级为“一般”，救应为“待定”，清纯度为“较清”；层次需结合全局继续评估。</x:v>
      </x:c>
      <x:c r="Z65" s="68" t="str">
        <x:v>若“格神失效、核心作用路径完全中断，或特殊格局硬门槛被有效反证否决”成立，应降低为成立但有破或不成立，不得维持当前结论。</x:v>
      </x:c>
      <x:c r="AA65" s="82" t="str">
        <x:v>较高</x:v>
      </x:c>
      <x:c r="AB65" s="82" t="str">
        <x:v>子平格局</x:v>
      </x:c>
      <x:c r="AC65" s="68" t="str">
        <x:v>格局成败须区分：格神是否有效、结构是否能运行、是否存在破坏、救应是否直接修复破格机制，以及格局成立与层次高低。</x:v>
      </x:c>
      <x:c r="AD65" s="68" t="str">
        <x:v>当“羊刃成势但七杀弱、无根或失效”成立，且成格证据相互支持、无决定性否决时，可按本规则判断。</x:v>
      </x:c>
      <x:c r="AE65" s="90" t="str">
        <x:v>只有格局名称或局部组合，但“格神失效、核心作用路径完全中断，或特殊格局硬门槛被有效反证否决”成立时，不能按本规则维持格局。</x:v>
      </x:c>
      <x:c r="AF65" s="68" t="str">
        <x:v>https://zh.wikisource.org/zh-hans/%E6%B7%B5%E6%B5%B7%E5%AD%90%E5%B9%B3 ; https://zh.wikisource.org/wiki/%E6%BB%B4%E5%A4%A9%E9%AB%93%E9%97%A1%E5%BE%AE</x:v>
      </x:c>
      <x:c r="AG65" s="82" t="str">
        <x:v>采用</x:v>
      </x:c>
      <x:c r="AH65" s="82" t="str">
        <x:v>初审</x:v>
      </x:c>
      <x:c r="AI65" s="87" t="n">
        <x:v>46260</x:v>
      </x:c>
    </x:row>
    <x:row r="66">
      <x:c r="A66" s="72" t="str">
        <x:f>IF(OR(C66="",D66=""),"",B66&amp;"-"&amp;UPPER(C66)&amp;"-"&amp;TEXT(D66,"0000")&amp;"-"&amp;E66)</x:f>
        <x:v>M15-JIANREN-0060-V1.0</x:v>
      </x:c>
      <x:c r="B66" s="74" t="str">
        <x:v>M15</x:v>
      </x:c>
      <x:c r="C66" s="74" t="str">
        <x:v>JIANREN</x:v>
      </x:c>
      <x:c r="D66" s="215" t="n">
        <x:v>60</x:v>
      </x:c>
      <x:c r="E66" s="74" t="str">
        <x:v>V1.0</x:v>
      </x:c>
      <x:c r="F66" s="68" t="str">
        <x:v>制刃太过会使平衡结构失效</x:v>
      </x:c>
      <x:c r="G66" s="82" t="str">
        <x:v>综合层</x:v>
      </x:c>
      <x:c r="H66" s="68" t="str">
        <x:v>羊刃格候选</x:v>
      </x:c>
      <x:c r="I66" s="68" t="str">
        <x:v>羊刃格以官杀制刃运行</x:v>
      </x:c>
      <x:c r="J66" s="68" t="str">
        <x:v>月令依据、格神根气与有效力量、日主配合及M11组合证据相互支持</x:v>
      </x:c>
      <x:c r="K66" s="68" t="str">
        <x:v>官杀过强，日主和比劫承载被压至不足</x:v>
      </x:c>
      <x:c r="L66" s="82" t="str">
        <x:v>一般</x:v>
      </x:c>
      <x:c r="M66" s="68" t="str">
        <x:v>印星化杀或比劫补充承载</x:v>
      </x:c>
      <x:c r="N66" s="82" t="str">
        <x:v>待定</x:v>
      </x:c>
      <x:c r="O66" s="84" t="str">
        <x:v>成立但有破</x:v>
      </x:c>
      <x:c r="P66" s="82" t="str">
        <x:v>有杂</x:v>
      </x:c>
      <x:c r="Q66" s="68" t="str">
        <x:v>由驾杀平衡转为官杀压身，格局层次下降</x:v>
      </x:c>
      <x:c r="R66" s="68" t="str">
        <x:v>M14已生成候选；M08、M09、M10、M11相关结论可追溯</x:v>
      </x:c>
      <x:c r="S66" s="68" t="str">
        <x:v>格神与关键配合十神均以有效力量和实际功能为准</x:v>
      </x:c>
      <x:c r="T66" s="68" t="str">
        <x:v>格神得令、有根、透达、清纯，组合路径稳定且日主承载匹配</x:v>
      </x:c>
      <x:c r="U66" s="68" t="str">
        <x:v>格神受制、混杂、路径受阻、日主承载不足或救应只能局部作用</x:v>
      </x:c>
      <x:c r="V66" s="90" t="str">
        <x:v>格神失效、核心作用路径完全中断，或特殊格局硬门槛被有效反证否决</x:v>
      </x:c>
      <x:c r="W66" s="68" t="str">
        <x:v>特殊格局严格条件、流派争议及岁运补成另按专门规则处理</x:v>
      </x:c>
      <x:c r="X66" s="84" t="str">
        <x:v>羊刃格_制刃太过</x:v>
      </x:c>
      <x:c r="Y66" s="84" t="str">
        <x:v>羊刃格候选判为“成立但有破”：破格等级为“一般”，救应为“待定”，清纯度为“有杂”；层次需结合全局继续评估。</x:v>
      </x:c>
      <x:c r="Z66" s="68" t="str">
        <x:v>若“格神失效、核心作用路径完全中断，或特殊格局硬门槛被有效反证否决”成立，应降低为成立但有破或不成立，不得维持当前结论。</x:v>
      </x:c>
      <x:c r="AA66" s="82" t="str">
        <x:v>较高</x:v>
      </x:c>
      <x:c r="AB66" s="82" t="str">
        <x:v>子平格局</x:v>
      </x:c>
      <x:c r="AC66" s="68" t="str">
        <x:v>格局成败须区分：格神是否有效、结构是否能运行、是否存在破坏、救应是否直接修复破格机制，以及格局成立与层次高低。</x:v>
      </x:c>
      <x:c r="AD66" s="68" t="str">
        <x:v>当“羊刃格以官杀制刃运行”成立，且成格证据相互支持、无决定性否决时，可按本规则判断。</x:v>
      </x:c>
      <x:c r="AE66" s="90" t="str">
        <x:v>只有格局名称或局部组合，但“格神失效、核心作用路径完全中断，或特殊格局硬门槛被有效反证否决”成立时，不能按本规则维持格局。</x:v>
      </x:c>
      <x:c r="AF66" s="68" t="str">
        <x:v>https://zh.wikisource.org/zh-hans/%E6%B7%B5%E6%B5%B7%E5%AD%90%E5%B9%B3 ; https://zh.wikisource.org/wiki/%E6%BB%B4%E5%A4%A9%E9%AB%93%E9%97%A1%E5%BE%AE</x:v>
      </x:c>
      <x:c r="AG66" s="82" t="str">
        <x:v>采用</x:v>
      </x:c>
      <x:c r="AH66" s="82" t="str">
        <x:v>初审</x:v>
      </x:c>
      <x:c r="AI66" s="87" t="n">
        <x:v>46260</x:v>
      </x:c>
    </x:row>
    <x:row r="67">
      <x:c r="A67" s="72" t="str">
        <x:f>IF(OR(C67="",D67=""),"",B67&amp;"-"&amp;UPPER(C67)&amp;"-"&amp;TEXT(D67,"0000")&amp;"-"&amp;E67)</x:f>
        <x:v>M15-CONG-0061-V1.0</x:v>
      </x:c>
      <x:c r="B67" s="74" t="str">
        <x:v>M15</x:v>
      </x:c>
      <x:c r="C67" s="74" t="str">
        <x:v>CONG</x:v>
      </x:c>
      <x:c r="D67" s="215" t="n">
        <x:v>61</x:v>
      </x:c>
      <x:c r="E67" s="74" t="str">
        <x:v>V1.0</x:v>
      </x:c>
      <x:c r="F67" s="68" t="str">
        <x:v>真从必须全部通过无依与主势集中硬门槛</x:v>
      </x:c>
      <x:c r="G67" s="82" t="str">
        <x:v>综合层</x:v>
      </x:c>
      <x:c r="H67" s="68" t="str">
        <x:v>从格候选</x:v>
      </x:c>
      <x:c r="I67" s="68" t="str">
        <x:v>日主极弱无有效根，无有效印比，主导集团旺极且方向一致</x:v>
      </x:c>
      <x:c r="J67" s="68" t="str">
        <x:v>M14从格候选的所有严格条件同时成立</x:v>
      </x:c>
      <x:c r="K67" s="68" t="str">
        <x:v>无逆势有效力量</x:v>
      </x:c>
      <x:c r="L67" s="82" t="str">
        <x:v>无破</x:v>
      </x:c>
      <x:c r="M67" s="68" t="str">
        <x:v>无须救应</x:v>
      </x:c>
      <x:c r="N67" s="82" t="str">
        <x:v>无救应</x:v>
      </x:c>
      <x:c r="O67" s="84" t="str">
        <x:v>特殊格局严格成立</x:v>
      </x:c>
      <x:c r="P67" s="82" t="str">
        <x:v>清纯</x:v>
      </x:c>
      <x:c r="Q67" s="68" t="str">
        <x:v>真从成立，普通扶抑逻辑需让位于顺势原则</x:v>
      </x:c>
      <x:c r="R67" s="68" t="str">
        <x:v>M14已生成候选；M08、M09、M10、M11相关结论可追溯</x:v>
      </x:c>
      <x:c r="S67" s="68" t="str">
        <x:v>格神与关键配合十神均以有效力量和实际功能为准</x:v>
      </x:c>
      <x:c r="T67" s="68" t="str">
        <x:v>格神得令、有根、透达、清纯，组合路径稳定且日主承载匹配</x:v>
      </x:c>
      <x:c r="U67" s="68" t="str">
        <x:v>格神受制、混杂、路径受阻、日主承载不足或救应只能局部作用</x:v>
      </x:c>
      <x:c r="V67" s="90" t="str">
        <x:v>格神失效、核心作用路径完全中断，或特殊格局硬门槛被有效反证否决</x:v>
      </x:c>
      <x:c r="W67" s="68" t="str">
        <x:v>任何有效强根或有力印比都需重新否决真从</x:v>
      </x:c>
      <x:c r="X67" s="84" t="str">
        <x:v>真从严格成立</x:v>
      </x:c>
      <x:c r="Y67" s="84" t="str">
        <x:v>从格候选判为“特殊格局严格成立”：破格等级为“无破”，救应为“无救应”，清纯度为“清纯”；层次需结合全局继续评估。</x:v>
      </x:c>
      <x:c r="Z67" s="68" t="str">
        <x:v>若“格神失效、核心作用路径完全中断，或特殊格局硬门槛被有效反证否决”成立，应降低为成立但有破或不成立，不得维持当前结论。</x:v>
      </x:c>
      <x:c r="AA67" s="82" t="str">
        <x:v>较高</x:v>
      </x:c>
      <x:c r="AB67" s="82" t="str">
        <x:v>子平格局</x:v>
      </x:c>
      <x:c r="AC67" s="68" t="str">
        <x:v>格局成败须区分：格神是否有效、结构是否能运行、是否存在破坏、救应是否直接修复破格机制，以及格局成立与层次高低。</x:v>
      </x:c>
      <x:c r="AD67" s="68" t="str">
        <x:v>当“日主极弱无有效根，无有效印比，主导集团旺极且方向一致”成立，且成格证据相互支持、无决定性否决时，可按本规则判断。</x:v>
      </x:c>
      <x:c r="AE67" s="90" t="str">
        <x:v>只有格局名称或局部组合，但“格神失效、核心作用路径完全中断，或特殊格局硬门槛被有效反证否决”成立时，不能按本规则维持格局。</x:v>
      </x:c>
      <x:c r="AF67" s="68" t="str">
        <x:v>https://zh.wikisource.org/wiki/%E6%BB%B4%E5%A4%A9%E9%AB%93%E9%97%A1%E5%BE%AE ; https://zh.wikisource.org/zh-hans/%E6%BB%B4%E5%A4%A9%E9%AB%93</x:v>
      </x:c>
      <x:c r="AG67" s="82" t="str">
        <x:v>采用</x:v>
      </x:c>
      <x:c r="AH67" s="82" t="str">
        <x:v>初审</x:v>
      </x:c>
      <x:c r="AI67" s="87" t="n">
        <x:v>46260</x:v>
      </x:c>
    </x:row>
    <x:row r="68">
      <x:c r="A68" s="72" t="str">
        <x:f>IF(OR(C68="",D68=""),"",B68&amp;"-"&amp;UPPER(C68)&amp;"-"&amp;TEXT(D68,"0000")&amp;"-"&amp;E68)</x:f>
        <x:v>M15-CONG-0062-V1.0</x:v>
      </x:c>
      <x:c r="B68" s="74" t="str">
        <x:v>M15</x:v>
      </x:c>
      <x:c r="C68" s="74" t="str">
        <x:v>CONG</x:v>
      </x:c>
      <x:c r="D68" s="215" t="n">
        <x:v>62</x:v>
      </x:c>
      <x:c r="E68" s="74" t="str">
        <x:v>V1.0</x:v>
      </x:c>
      <x:c r="F68" s="68" t="str">
        <x:v>从财格严格成立要求财势绝对主导</x:v>
      </x:c>
      <x:c r="G68" s="82" t="str">
        <x:v>综合层</x:v>
      </x:c>
      <x:c r="H68" s="68" t="str">
        <x:v>从财格候选</x:v>
      </x:c>
      <x:c r="I68" s="68" t="str">
        <x:v>财星得令成势，日主无根无印比，其他异党顺财势或不成逆势</x:v>
      </x:c>
      <x:c r="J68" s="68" t="str">
        <x:v>财集团覆盖月令、透干、根气和主要流通终点</x:v>
      </x:c>
      <x:c r="K68" s="68" t="str">
        <x:v>无决定性破格因素</x:v>
      </x:c>
      <x:c r="L68" s="82" t="str">
        <x:v>无破</x:v>
      </x:c>
      <x:c r="M68" s="68" t="str">
        <x:v>无须救应</x:v>
      </x:c>
      <x:c r="N68" s="82" t="str">
        <x:v>无救应</x:v>
      </x:c>
      <x:c r="O68" s="84" t="str">
        <x:v>特殊格局严格成立</x:v>
      </x:c>
      <x:c r="P68" s="82" t="str">
        <x:v>较清</x:v>
      </x:c>
      <x:c r="Q68" s="68" t="str">
        <x:v>全局顺财势运行，任何扶身强根都会破从</x:v>
      </x:c>
      <x:c r="R68" s="68" t="str">
        <x:v>M14已生成候选；M08、M09、M10、M11相关结论可追溯</x:v>
      </x:c>
      <x:c r="S68" s="68" t="str">
        <x:v>格神与关键配合十神均以有效力量和实际功能为准</x:v>
      </x:c>
      <x:c r="T68" s="68" t="str">
        <x:v>格神得令、有根、透达、清纯，组合路径稳定且日主承载匹配</x:v>
      </x:c>
      <x:c r="U68" s="68" t="str">
        <x:v>格神受制、混杂、路径受阻、日主承载不足或救应只能局部作用</x:v>
      </x:c>
      <x:c r="V68" s="90" t="str">
        <x:v>格神失效、核心作用路径完全中断，或特殊格局硬门槛被有效反证否决</x:v>
      </x:c>
      <x:c r="W68" s="68" t="str">
        <x:v>特殊格局严格条件、流派争议及岁运补成另按专门规则处理</x:v>
      </x:c>
      <x:c r="X68" s="84" t="str">
        <x:v>从财格_严格成立</x:v>
      </x:c>
      <x:c r="Y68" s="84" t="str">
        <x:v>从财格候选判为“特殊格局严格成立”：破格等级为“无破”，救应为“无救应”，清纯度为“较清”；层次需结合全局继续评估。</x:v>
      </x:c>
      <x:c r="Z68" s="68" t="str">
        <x:v>若“格神失效、核心作用路径完全中断，或特殊格局硬门槛被有效反证否决”成立，应降低为成立但有破或不成立，不得维持当前结论。</x:v>
      </x:c>
      <x:c r="AA68" s="82" t="str">
        <x:v>较高</x:v>
      </x:c>
      <x:c r="AB68" s="82" t="str">
        <x:v>子平格局</x:v>
      </x:c>
      <x:c r="AC68" s="68" t="str">
        <x:v>格局成败须区分：格神是否有效、结构是否能运行、是否存在破坏、救应是否直接修复破格机制，以及格局成立与层次高低。</x:v>
      </x:c>
      <x:c r="AD68" s="68" t="str">
        <x:v>当“财星得令成势，日主无根无印比，其他异党顺财势或不成逆势”成立，且成格证据相互支持、无决定性否决时，可按本规则判断。</x:v>
      </x:c>
      <x:c r="AE68" s="90" t="str">
        <x:v>只有格局名称或局部组合，但“格神失效、核心作用路径完全中断，或特殊格局硬门槛被有效反证否决”成立时，不能按本规则维持格局。</x:v>
      </x:c>
      <x:c r="AF68" s="68" t="str">
        <x:v>https://zh.wikisource.org/wiki/%E6%BB%B4%E5%A4%A9%E9%AB%93%E9%97%A1%E5%BE%AE ; https://zh.wikisource.org/zh-hans/%E6%BB%B4%E5%A4%A9%E9%AB%93</x:v>
      </x:c>
      <x:c r="AG68" s="82" t="str">
        <x:v>采用</x:v>
      </x:c>
      <x:c r="AH68" s="82" t="str">
        <x:v>初审</x:v>
      </x:c>
      <x:c r="AI68" s="87" t="n">
        <x:v>46260</x:v>
      </x:c>
    </x:row>
    <x:row r="69">
      <x:c r="A69" s="72" t="str">
        <x:f>IF(OR(C69="",D69=""),"",B69&amp;"-"&amp;UPPER(C69)&amp;"-"&amp;TEXT(D69,"0000")&amp;"-"&amp;E69)</x:f>
        <x:v>M15-CONG-0063-V1.0</x:v>
      </x:c>
      <x:c r="B69" s="74" t="str">
        <x:v>M15</x:v>
      </x:c>
      <x:c r="C69" s="74" t="str">
        <x:v>CONG</x:v>
      </x:c>
      <x:c r="D69" s="215" t="n">
        <x:v>63</x:v>
      </x:c>
      <x:c r="E69" s="74" t="str">
        <x:v>V1.0</x:v>
      </x:c>
      <x:c r="F69" s="68" t="str">
        <x:v>从官杀格严格成立要求官杀绝对主导</x:v>
      </x:c>
      <x:c r="G69" s="82" t="str">
        <x:v>综合层</x:v>
      </x:c>
      <x:c r="H69" s="68" t="str">
        <x:v>从官杀格候选</x:v>
      </x:c>
      <x:c r="I69" s="68" t="str">
        <x:v>官杀得令成势，日主无依，食伤不能有效反制，印比不能自立</x:v>
      </x:c>
      <x:c r="J69" s="68" t="str">
        <x:v>官杀集团成为全局唯一或绝对主势</x:v>
      </x:c>
      <x:c r="K69" s="68" t="str">
        <x:v>无决定性破格因素</x:v>
      </x:c>
      <x:c r="L69" s="82" t="str">
        <x:v>无破</x:v>
      </x:c>
      <x:c r="M69" s="68" t="str">
        <x:v>无须救应</x:v>
      </x:c>
      <x:c r="N69" s="82" t="str">
        <x:v>无救应</x:v>
      </x:c>
      <x:c r="O69" s="84" t="str">
        <x:v>特殊格局严格成立</x:v>
      </x:c>
      <x:c r="P69" s="82" t="str">
        <x:v>较清</x:v>
      </x:c>
      <x:c r="Q69" s="68" t="str">
        <x:v>全局顺官杀势运行，逆势印比食伤为破格因素</x:v>
      </x:c>
      <x:c r="R69" s="68" t="str">
        <x:v>M14已生成候选；M08、M09、M10、M11相关结论可追溯</x:v>
      </x:c>
      <x:c r="S69" s="68" t="str">
        <x:v>格神与关键配合十神均以有效力量和实际功能为准</x:v>
      </x:c>
      <x:c r="T69" s="68" t="str">
        <x:v>格神得令、有根、透达、清纯，组合路径稳定且日主承载匹配</x:v>
      </x:c>
      <x:c r="U69" s="68" t="str">
        <x:v>格神受制、混杂、路径受阻、日主承载不足或救应只能局部作用</x:v>
      </x:c>
      <x:c r="V69" s="90" t="str">
        <x:v>格神失效、核心作用路径完全中断，或特殊格局硬门槛被有效反证否决</x:v>
      </x:c>
      <x:c r="W69" s="68" t="str">
        <x:v>特殊格局严格条件、流派争议及岁运补成另按专门规则处理</x:v>
      </x:c>
      <x:c r="X69" s="84" t="str">
        <x:v>从官杀格_严格成立</x:v>
      </x:c>
      <x:c r="Y69" s="84" t="str">
        <x:v>从官杀格候选判为“特殊格局严格成立”：破格等级为“无破”，救应为“无救应”，清纯度为“较清”；层次需结合全局继续评估。</x:v>
      </x:c>
      <x:c r="Z69" s="68" t="str">
        <x:v>若“格神失效、核心作用路径完全中断，或特殊格局硬门槛被有效反证否决”成立，应降低为成立但有破或不成立，不得维持当前结论。</x:v>
      </x:c>
      <x:c r="AA69" s="82" t="str">
        <x:v>较高</x:v>
      </x:c>
      <x:c r="AB69" s="82" t="str">
        <x:v>子平格局</x:v>
      </x:c>
      <x:c r="AC69" s="68" t="str">
        <x:v>格局成败须区分：格神是否有效、结构是否能运行、是否存在破坏、救应是否直接修复破格机制，以及格局成立与层次高低。</x:v>
      </x:c>
      <x:c r="AD69" s="68" t="str">
        <x:v>当“官杀得令成势，日主无依，食伤不能有效反制，印比不能自立”成立，且成格证据相互支持、无决定性否决时，可按本规则判断。</x:v>
      </x:c>
      <x:c r="AE69" s="90" t="str">
        <x:v>只有格局名称或局部组合，但“格神失效、核心作用路径完全中断，或特殊格局硬门槛被有效反证否决”成立时，不能按本规则维持格局。</x:v>
      </x:c>
      <x:c r="AF69" s="68" t="str">
        <x:v>https://zh.wikisource.org/wiki/%E6%BB%B4%E5%A4%A9%E9%AB%93%E9%97%A1%E5%BE%AE ; https://zh.wikisource.org/zh-hans/%E6%BB%B4%E5%A4%A9%E9%AB%93</x:v>
      </x:c>
      <x:c r="AG69" s="82" t="str">
        <x:v>采用</x:v>
      </x:c>
      <x:c r="AH69" s="82" t="str">
        <x:v>初审</x:v>
      </x:c>
      <x:c r="AI69" s="87" t="n">
        <x:v>46260</x:v>
      </x:c>
    </x:row>
    <x:row r="70">
      <x:c r="A70" s="72" t="str">
        <x:f>IF(OR(C70="",D70=""),"",B70&amp;"-"&amp;UPPER(C70)&amp;"-"&amp;TEXT(D70,"0000")&amp;"-"&amp;E70)</x:f>
        <x:v>M15-CONG-0064-V1.0</x:v>
      </x:c>
      <x:c r="B70" s="74" t="str">
        <x:v>M15</x:v>
      </x:c>
      <x:c r="C70" s="74" t="str">
        <x:v>CONG</x:v>
      </x:c>
      <x:c r="D70" s="215" t="n">
        <x:v>64</x:v>
      </x:c>
      <x:c r="E70" s="74" t="str">
        <x:v>V1.0</x:v>
      </x:c>
      <x:c r="F70" s="68" t="str">
        <x:v>从儿格严格成立要求食伤主导且印不夺食</x:v>
      </x:c>
      <x:c r="G70" s="82" t="str">
        <x:v>综合层</x:v>
      </x:c>
      <x:c r="H70" s="68" t="str">
        <x:v>从儿格候选</x:v>
      </x:c>
      <x:c r="I70" s="68" t="str">
        <x:v>食伤得令成势，日主顺泄，财可承接，印星不能有效制食伤</x:v>
      </x:c>
      <x:c r="J70" s="68" t="str">
        <x:v>身→食伤→财路径成为全局主线</x:v>
      </x:c>
      <x:c r="K70" s="68" t="str">
        <x:v>无决定性破格因素</x:v>
      </x:c>
      <x:c r="L70" s="82" t="str">
        <x:v>无破</x:v>
      </x:c>
      <x:c r="M70" s="68" t="str">
        <x:v>无须救应</x:v>
      </x:c>
      <x:c r="N70" s="82" t="str">
        <x:v>无救应</x:v>
      </x:c>
      <x:c r="O70" s="84" t="str">
        <x:v>特殊格局严格成立</x:v>
      </x:c>
      <x:c r="P70" s="82" t="str">
        <x:v>较清</x:v>
      </x:c>
      <x:c r="Q70" s="68" t="str">
        <x:v>全局顺食伤之势，强印或官杀逆流会破格</x:v>
      </x:c>
      <x:c r="R70" s="68" t="str">
        <x:v>M14已生成候选；M08、M09、M10、M11相关结论可追溯</x:v>
      </x:c>
      <x:c r="S70" s="68" t="str">
        <x:v>格神与关键配合十神均以有效力量和实际功能为准</x:v>
      </x:c>
      <x:c r="T70" s="68" t="str">
        <x:v>格神得令、有根、透达、清纯，组合路径稳定且日主承载匹配</x:v>
      </x:c>
      <x:c r="U70" s="68" t="str">
        <x:v>格神受制、混杂、路径受阻、日主承载不足或救应只能局部作用</x:v>
      </x:c>
      <x:c r="V70" s="90" t="str">
        <x:v>格神失效、核心作用路径完全中断，或特殊格局硬门槛被有效反证否决</x:v>
      </x:c>
      <x:c r="W70" s="68" t="str">
        <x:v>特殊格局严格条件、流派争议及岁运补成另按专门规则处理</x:v>
      </x:c>
      <x:c r="X70" s="84" t="str">
        <x:v>从儿格_严格成立</x:v>
      </x:c>
      <x:c r="Y70" s="84" t="str">
        <x:v>从儿格候选判为“特殊格局严格成立”：破格等级为“无破”，救应为“无救应”，清纯度为“较清”；层次需结合全局继续评估。</x:v>
      </x:c>
      <x:c r="Z70" s="68" t="str">
        <x:v>若“格神失效、核心作用路径完全中断，或特殊格局硬门槛被有效反证否决”成立，应降低为成立但有破或不成立，不得维持当前结论。</x:v>
      </x:c>
      <x:c r="AA70" s="82" t="str">
        <x:v>较高</x:v>
      </x:c>
      <x:c r="AB70" s="82" t="str">
        <x:v>子平格局</x:v>
      </x:c>
      <x:c r="AC70" s="68" t="str">
        <x:v>格局成败须区分：格神是否有效、结构是否能运行、是否存在破坏、救应是否直接修复破格机制，以及格局成立与层次高低。</x:v>
      </x:c>
      <x:c r="AD70" s="68" t="str">
        <x:v>当“食伤得令成势，日主顺泄，财可承接，印星不能有效制食伤”成立，且成格证据相互支持、无决定性否决时，可按本规则判断。</x:v>
      </x:c>
      <x:c r="AE70" s="90" t="str">
        <x:v>只有格局名称或局部组合，但“格神失效、核心作用路径完全中断，或特殊格局硬门槛被有效反证否决”成立时，不能按本规则维持格局。</x:v>
      </x:c>
      <x:c r="AF70" s="68" t="str">
        <x:v>https://zh.wikisource.org/wiki/%E6%BB%B4%E5%A4%A9%E9%AB%93%E9%97%A1%E5%BE%AE ; https://zh.wikisource.org/zh-hans/%E6%BB%B4%E5%A4%A9%E9%AB%93</x:v>
      </x:c>
      <x:c r="AG70" s="82" t="str">
        <x:v>采用</x:v>
      </x:c>
      <x:c r="AH70" s="82" t="str">
        <x:v>初审</x:v>
      </x:c>
      <x:c r="AI70" s="87" t="n">
        <x:v>46260</x:v>
      </x:c>
    </x:row>
    <x:row r="71">
      <x:c r="A71" s="72" t="str">
        <x:f>IF(OR(C71="",D71=""),"",B71&amp;"-"&amp;UPPER(C71)&amp;"-"&amp;TEXT(D71,"0000")&amp;"-"&amp;E71)</x:f>
        <x:v>M15-CONG-0065-V1.0</x:v>
      </x:c>
      <x:c r="B71" s="74" t="str">
        <x:v>M15</x:v>
      </x:c>
      <x:c r="C71" s="74" t="str">
        <x:v>CONG</x:v>
      </x:c>
      <x:c r="D71" s="215" t="n">
        <x:v>65</x:v>
      </x:c>
      <x:c r="E71" s="74" t="str">
        <x:v>V1.0</x:v>
      </x:c>
      <x:c r="F71" s="68" t="str">
        <x:v>从旺格严格成立要求比劫一气且无有效制约</x:v>
      </x:c>
      <x:c r="G71" s="82" t="str">
        <x:v>综合层</x:v>
      </x:c>
      <x:c r="H71" s="68" t="str">
        <x:v>从旺格候选</x:v>
      </x:c>
      <x:c r="I71" s="68" t="str">
        <x:v>日主与比劫极旺，官杀无力，财星不能形成独立对抗，印星顺势生旺</x:v>
      </x:c>
      <x:c r="J71" s="68" t="str">
        <x:v>同类集团覆盖月令、透干与多重强根</x:v>
      </x:c>
      <x:c r="K71" s="68" t="str">
        <x:v>无决定性破格因素</x:v>
      </x:c>
      <x:c r="L71" s="82" t="str">
        <x:v>无破</x:v>
      </x:c>
      <x:c r="M71" s="68" t="str">
        <x:v>无须救应</x:v>
      </x:c>
      <x:c r="N71" s="82" t="str">
        <x:v>无救应</x:v>
      </x:c>
      <x:c r="O71" s="84" t="str">
        <x:v>特殊格局严格成立</x:v>
      </x:c>
      <x:c r="P71" s="82" t="str">
        <x:v>较清</x:v>
      </x:c>
      <x:c r="Q71" s="68" t="str">
        <x:v>顺其旺势，普通克制性用神需谨慎</x:v>
      </x:c>
      <x:c r="R71" s="68" t="str">
        <x:v>M14已生成候选；M08、M09、M10、M11相关结论可追溯</x:v>
      </x:c>
      <x:c r="S71" s="68" t="str">
        <x:v>格神与关键配合十神均以有效力量和实际功能为准</x:v>
      </x:c>
      <x:c r="T71" s="68" t="str">
        <x:v>格神得令、有根、透达、清纯，组合路径稳定且日主承载匹配</x:v>
      </x:c>
      <x:c r="U71" s="68" t="str">
        <x:v>格神受制、混杂、路径受阻、日主承载不足或救应只能局部作用</x:v>
      </x:c>
      <x:c r="V71" s="90" t="str">
        <x:v>格神失效、核心作用路径完全中断，或特殊格局硬门槛被有效反证否决</x:v>
      </x:c>
      <x:c r="W71" s="68" t="str">
        <x:v>特殊格局严格条件、流派争议及岁运补成另按专门规则处理</x:v>
      </x:c>
      <x:c r="X71" s="84" t="str">
        <x:v>从旺格_严格成立</x:v>
      </x:c>
      <x:c r="Y71" s="84" t="str">
        <x:v>从旺格候选判为“特殊格局严格成立”：破格等级为“无破”，救应为“无救应”，清纯度为“较清”；层次需结合全局继续评估。</x:v>
      </x:c>
      <x:c r="Z71" s="68" t="str">
        <x:v>若“格神失效、核心作用路径完全中断，或特殊格局硬门槛被有效反证否决”成立，应降低为成立但有破或不成立，不得维持当前结论。</x:v>
      </x:c>
      <x:c r="AA71" s="82" t="str">
        <x:v>较高</x:v>
      </x:c>
      <x:c r="AB71" s="82" t="str">
        <x:v>子平格局</x:v>
      </x:c>
      <x:c r="AC71" s="68" t="str">
        <x:v>格局成败须区分：格神是否有效、结构是否能运行、是否存在破坏、救应是否直接修复破格机制，以及格局成立与层次高低。</x:v>
      </x:c>
      <x:c r="AD71" s="68" t="str">
        <x:v>当“日主与比劫极旺，官杀无力，财星不能形成独立对抗，印星顺势生旺”成立，且成格证据相互支持、无决定性否决时，可按本规则判断。</x:v>
      </x:c>
      <x:c r="AE71" s="90" t="str">
        <x:v>只有格局名称或局部组合，但“格神失效、核心作用路径完全中断，或特殊格局硬门槛被有效反证否决”成立时，不能按本规则维持格局。</x:v>
      </x:c>
      <x:c r="AF71" s="68" t="str">
        <x:v>https://zh.wikisource.org/wiki/%E6%BB%B4%E5%A4%A9%E9%AB%93%E9%97%A1%E5%BE%AE ; https://zh.wikisource.org/zh-hans/%E6%BB%B4%E5%A4%A9%E9%AB%93</x:v>
      </x:c>
      <x:c r="AG71" s="82" t="str">
        <x:v>采用</x:v>
      </x:c>
      <x:c r="AH71" s="82" t="str">
        <x:v>初审</x:v>
      </x:c>
      <x:c r="AI71" s="87" t="n">
        <x:v>46260</x:v>
      </x:c>
    </x:row>
    <x:row r="72">
      <x:c r="A72" s="72" t="str">
        <x:f>IF(OR(C72="",D72=""),"",B72&amp;"-"&amp;UPPER(C72)&amp;"-"&amp;TEXT(D72,"0000")&amp;"-"&amp;E72)</x:f>
        <x:v>M15-CONG-0066-V1.0</x:v>
      </x:c>
      <x:c r="B72" s="74" t="str">
        <x:v>M15</x:v>
      </x:c>
      <x:c r="C72" s="74" t="str">
        <x:v>CONG</x:v>
      </x:c>
      <x:c r="D72" s="215" t="n">
        <x:v>66</x:v>
      </x:c>
      <x:c r="E72" s="74" t="str">
        <x:v>V1.0</x:v>
      </x:c>
      <x:c r="F72" s="68" t="str">
        <x:v>从强格严格成立要求印比成为绝对主势</x:v>
      </x:c>
      <x:c r="G72" s="82" t="str">
        <x:v>综合层</x:v>
      </x:c>
      <x:c r="H72" s="68" t="str">
        <x:v>从强格候选</x:v>
      </x:c>
      <x:c r="I72" s="68" t="str">
        <x:v>印比极旺，财官食伤不能构成有效逆势集团</x:v>
      </x:c>
      <x:c r="J72" s="68" t="str">
        <x:v>印→身与比劫集团共同主导</x:v>
      </x:c>
      <x:c r="K72" s="68" t="str">
        <x:v>无决定性破格因素</x:v>
      </x:c>
      <x:c r="L72" s="82" t="str">
        <x:v>无破</x:v>
      </x:c>
      <x:c r="M72" s="68" t="str">
        <x:v>无须救应</x:v>
      </x:c>
      <x:c r="N72" s="82" t="str">
        <x:v>无救应</x:v>
      </x:c>
      <x:c r="O72" s="84" t="str">
        <x:v>特殊格局严格成立</x:v>
      </x:c>
      <x:c r="P72" s="82" t="str">
        <x:v>较清</x:v>
      </x:c>
      <x:c r="Q72" s="68" t="str">
        <x:v>顺印比强势，逆势财官需视为破格因素</x:v>
      </x:c>
      <x:c r="R72" s="68" t="str">
        <x:v>M14已生成候选；M08、M09、M10、M11相关结论可追溯</x:v>
      </x:c>
      <x:c r="S72" s="68" t="str">
        <x:v>格神与关键配合十神均以有效力量和实际功能为准</x:v>
      </x:c>
      <x:c r="T72" s="68" t="str">
        <x:v>格神得令、有根、透达、清纯，组合路径稳定且日主承载匹配</x:v>
      </x:c>
      <x:c r="U72" s="68" t="str">
        <x:v>格神受制、混杂、路径受阻、日主承载不足或救应只能局部作用</x:v>
      </x:c>
      <x:c r="V72" s="90" t="str">
        <x:v>格神失效、核心作用路径完全中断，或特殊格局硬门槛被有效反证否决</x:v>
      </x:c>
      <x:c r="W72" s="68" t="str">
        <x:v>特殊格局严格条件、流派争议及岁运补成另按专门规则处理</x:v>
      </x:c>
      <x:c r="X72" s="84" t="str">
        <x:v>从强格_严格成立</x:v>
      </x:c>
      <x:c r="Y72" s="84" t="str">
        <x:v>从强格候选判为“特殊格局严格成立”：破格等级为“无破”，救应为“无救应”，清纯度为“较清”；层次需结合全局继续评估。</x:v>
      </x:c>
      <x:c r="Z72" s="68" t="str">
        <x:v>若“格神失效、核心作用路径完全中断，或特殊格局硬门槛被有效反证否决”成立，应降低为成立但有破或不成立，不得维持当前结论。</x:v>
      </x:c>
      <x:c r="AA72" s="82" t="str">
        <x:v>较高</x:v>
      </x:c>
      <x:c r="AB72" s="82" t="str">
        <x:v>子平格局</x:v>
      </x:c>
      <x:c r="AC72" s="68" t="str">
        <x:v>格局成败须区分：格神是否有效、结构是否能运行、是否存在破坏、救应是否直接修复破格机制，以及格局成立与层次高低。</x:v>
      </x:c>
      <x:c r="AD72" s="68" t="str">
        <x:v>当“印比极旺，财官食伤不能构成有效逆势集团”成立，且成格证据相互支持、无决定性否决时，可按本规则判断。</x:v>
      </x:c>
      <x:c r="AE72" s="90" t="str">
        <x:v>只有格局名称或局部组合，但“格神失效、核心作用路径完全中断，或特殊格局硬门槛被有效反证否决”成立时，不能按本规则维持格局。</x:v>
      </x:c>
      <x:c r="AF72" s="68" t="str">
        <x:v>https://zh.wikisource.org/wiki/%E6%BB%B4%E5%A4%A9%E9%AB%93%E9%97%A1%E5%BE%AE ; https://zh.wikisource.org/zh-hans/%E6%BB%B4%E5%A4%A9%E9%AB%93</x:v>
      </x:c>
      <x:c r="AG72" s="82" t="str">
        <x:v>采用</x:v>
      </x:c>
      <x:c r="AH72" s="82" t="str">
        <x:v>初审</x:v>
      </x:c>
      <x:c r="AI72" s="87" t="n">
        <x:v>46260</x:v>
      </x:c>
    </x:row>
    <x:row r="73">
      <x:c r="A73" s="72" t="str">
        <x:f>IF(OR(C73="",D73=""),"",B73&amp;"-"&amp;UPPER(C73)&amp;"-"&amp;TEXT(D73,"0000")&amp;"-"&amp;E73)</x:f>
        <x:v>M15-CONG-0067-V1.0</x:v>
      </x:c>
      <x:c r="B73" s="74" t="str">
        <x:v>M15</x:v>
      </x:c>
      <x:c r="C73" s="74" t="str">
        <x:v>CONG</x:v>
      </x:c>
      <x:c r="D73" s="215" t="n">
        <x:v>67</x:v>
      </x:c>
      <x:c r="E73" s="74" t="str">
        <x:v>V1.0</x:v>
      </x:c>
      <x:c r="F73" s="68" t="str">
        <x:v>从势格严格成立要求异党整体同向而日主无依</x:v>
      </x:c>
      <x:c r="G73" s="82" t="str">
        <x:v>综合层</x:v>
      </x:c>
      <x:c r="H73" s="68" t="str">
        <x:v>从势格候选</x:v>
      </x:c>
      <x:c r="I73" s="68" t="str">
        <x:v>财官食伤虽非单一集团，但生化方向一致，日主无根无印比</x:v>
      </x:c>
      <x:c r="J73" s="68" t="str">
        <x:v>异党形成连续主势，无法归入单一从财、从官或从儿</x:v>
      </x:c>
      <x:c r="K73" s="68" t="str">
        <x:v>无决定性破格因素</x:v>
      </x:c>
      <x:c r="L73" s="82" t="str">
        <x:v>无破</x:v>
      </x:c>
      <x:c r="M73" s="68" t="str">
        <x:v>无须救应</x:v>
      </x:c>
      <x:c r="N73" s="82" t="str">
        <x:v>无救应</x:v>
      </x:c>
      <x:c r="O73" s="84" t="str">
        <x:v>特殊格局严格成立</x:v>
      </x:c>
      <x:c r="P73" s="82" t="str">
        <x:v>有杂</x:v>
      </x:c>
      <x:c r="Q73" s="68" t="str">
        <x:v>格局可从整体气势，但清纯度通常低于单一从格</x:v>
      </x:c>
      <x:c r="R73" s="68" t="str">
        <x:v>M14已生成候选；M08、M09、M10、M11相关结论可追溯</x:v>
      </x:c>
      <x:c r="S73" s="68" t="str">
        <x:v>格神与关键配合十神均以有效力量和实际功能为准</x:v>
      </x:c>
      <x:c r="T73" s="68" t="str">
        <x:v>格神得令、有根、透达、清纯，组合路径稳定且日主承载匹配</x:v>
      </x:c>
      <x:c r="U73" s="68" t="str">
        <x:v>格神受制、混杂、路径受阻、日主承载不足或救应只能局部作用</x:v>
      </x:c>
      <x:c r="V73" s="90" t="str">
        <x:v>格神失效、核心作用路径完全中断，或特殊格局硬门槛被有效反证否决</x:v>
      </x:c>
      <x:c r="W73" s="68" t="str">
        <x:v>特殊格局严格条件、流派争议及岁运补成另按专门规则处理</x:v>
      </x:c>
      <x:c r="X73" s="84" t="str">
        <x:v>从势格_严格成立</x:v>
      </x:c>
      <x:c r="Y73" s="84" t="str">
        <x:v>从势格候选判为“特殊格局严格成立”：破格等级为“无破”，救应为“无救应”，清纯度为“有杂”；层次需结合全局继续评估。</x:v>
      </x:c>
      <x:c r="Z73" s="68" t="str">
        <x:v>若“格神失效、核心作用路径完全中断，或特殊格局硬门槛被有效反证否决”成立，应降低为成立但有破或不成立，不得维持当前结论。</x:v>
      </x:c>
      <x:c r="AA73" s="82" t="str">
        <x:v>较高</x:v>
      </x:c>
      <x:c r="AB73" s="82" t="str">
        <x:v>子平格局</x:v>
      </x:c>
      <x:c r="AC73" s="68" t="str">
        <x:v>格局成败须区分：格神是否有效、结构是否能运行、是否存在破坏、救应是否直接修复破格机制，以及格局成立与层次高低。</x:v>
      </x:c>
      <x:c r="AD73" s="68" t="str">
        <x:v>当“财官食伤虽非单一集团，但生化方向一致，日主无根无印比”成立，且成格证据相互支持、无决定性否决时，可按本规则判断。</x:v>
      </x:c>
      <x:c r="AE73" s="90" t="str">
        <x:v>只有格局名称或局部组合，但“格神失效、核心作用路径完全中断，或特殊格局硬门槛被有效反证否决”成立时，不能按本规则维持格局。</x:v>
      </x:c>
      <x:c r="AF73" s="68" t="str">
        <x:v>https://zh.wikisource.org/wiki/%E6%BB%B4%E5%A4%A9%E9%AB%93%E9%97%A1%E5%BE%AE ; https://zh.wikisource.org/zh-hans/%E6%BB%B4%E5%A4%A9%E9%AB%93</x:v>
      </x:c>
      <x:c r="AG73" s="82" t="str">
        <x:v>采用</x:v>
      </x:c>
      <x:c r="AH73" s="82" t="str">
        <x:v>初审</x:v>
      </x:c>
      <x:c r="AI73" s="87" t="n">
        <x:v>46260</x:v>
      </x:c>
    </x:row>
    <x:row r="74">
      <x:c r="A74" s="72" t="str">
        <x:f>IF(OR(C74="",D74=""),"",B74&amp;"-"&amp;UPPER(C74)&amp;"-"&amp;TEXT(D74,"0000")&amp;"-"&amp;E74)</x:f>
        <x:v>M15-CONG-0068-V1.0</x:v>
      </x:c>
      <x:c r="B74" s="74" t="str">
        <x:v>M15</x:v>
      </x:c>
      <x:c r="C74" s="74" t="str">
        <x:v>CONG</x:v>
      </x:c>
      <x:c r="D74" s="215" t="n">
        <x:v>68</x:v>
      </x:c>
      <x:c r="E74" s="74" t="str">
        <x:v>V1.0</x:v>
      </x:c>
      <x:c r="F74" s="68" t="str">
        <x:v>有效强根或有力印比构成真从根本破格</x:v>
      </x:c>
      <x:c r="G74" s="82" t="str">
        <x:v>综合层</x:v>
      </x:c>
      <x:c r="H74" s="68" t="str">
        <x:v>从格候选</x:v>
      </x:c>
      <x:c r="I74" s="68" t="str">
        <x:v>表面从格条件成立</x:v>
      </x:c>
      <x:c r="J74" s="68" t="str">
        <x:v>月令依据、格神根气与有效力量、日主配合及M11组合证据相互支持</x:v>
      </x:c>
      <x:c r="K74" s="68" t="str">
        <x:v>日主存在可调用强根、当令印星或成势比劫</x:v>
      </x:c>
      <x:c r="L74" s="82" t="str">
        <x:v>根本破格</x:v>
      </x:c>
      <x:c r="M74" s="68" t="str">
        <x:v>无；这些力量本身就是反从证据</x:v>
      </x:c>
      <x:c r="N74" s="82" t="str">
        <x:v>无救应</x:v>
      </x:c>
      <x:c r="O74" s="84" t="str">
        <x:v>不成立</x:v>
      </x:c>
      <x:c r="P74" s="82" t="str">
        <x:v>待定</x:v>
      </x:c>
      <x:c r="Q74" s="68" t="str">
        <x:v>退回普通身弱、中和或其他格局</x:v>
      </x:c>
      <x:c r="R74" s="68" t="str">
        <x:v>M14已生成候选；M08、M09、M10、M11相关结论可追溯</x:v>
      </x:c>
      <x:c r="S74" s="68" t="str">
        <x:v>格神与关键配合十神均以有效力量和实际功能为准</x:v>
      </x:c>
      <x:c r="T74" s="68" t="str">
        <x:v>格神得令、有根、透达、清纯，组合路径稳定且日主承载匹配</x:v>
      </x:c>
      <x:c r="U74" s="68" t="str">
        <x:v>格神受制、混杂、路径受阻、日主承载不足或救应只能局部作用</x:v>
      </x:c>
      <x:c r="V74" s="90" t="str">
        <x:v>格神失效、核心作用路径完全中断，或特殊格局硬门槛被有效反证否决</x:v>
      </x:c>
      <x:c r="W74" s="68" t="str">
        <x:v>特殊格局严格条件、流派争议及岁运补成另按专门规则处理</x:v>
      </x:c>
      <x:c r="X74" s="84" t="str">
        <x:v>从格_强根破格</x:v>
      </x:c>
      <x:c r="Y74" s="84" t="str">
        <x:v>从格候选判为“不成立”：破格等级为“根本破格”，救应为“无救应”，清纯度为“待定”；层次需结合全局继续评估。</x:v>
      </x:c>
      <x:c r="Z74" s="68" t="str">
        <x:v>若“格神失效、核心作用路径完全中断，或特殊格局硬门槛被有效反证否决”成立，应降低为成立但有破或不成立，不得维持当前结论。</x:v>
      </x:c>
      <x:c r="AA74" s="82" t="str">
        <x:v>较高</x:v>
      </x:c>
      <x:c r="AB74" s="82" t="str">
        <x:v>子平格局</x:v>
      </x:c>
      <x:c r="AC74" s="68" t="str">
        <x:v>格局成败须区分：格神是否有效、结构是否能运行、是否存在破坏、救应是否直接修复破格机制，以及格局成立与层次高低。</x:v>
      </x:c>
      <x:c r="AD74" s="68" t="str">
        <x:v>当“表面从格条件成立”成立，且成格证据相互支持、无决定性否决时，可按本规则判断。</x:v>
      </x:c>
      <x:c r="AE74" s="90" t="str">
        <x:v>只有格局名称或局部组合，但“格神失效、核心作用路径完全中断，或特殊格局硬门槛被有效反证否决”成立时，不能按本规则维持格局。</x:v>
      </x:c>
      <x:c r="AF74" s="68" t="str">
        <x:v>https://zh.wikisource.org/wiki/%E6%BB%B4%E5%A4%A9%E9%AB%93%E9%97%A1%E5%BE%AE ; https://zh.wikisource.org/zh-hans/%E6%BB%B4%E5%A4%A9%E9%AB%93</x:v>
      </x:c>
      <x:c r="AG74" s="82" t="str">
        <x:v>采用</x:v>
      </x:c>
      <x:c r="AH74" s="82" t="str">
        <x:v>初审</x:v>
      </x:c>
      <x:c r="AI74" s="87" t="n">
        <x:v>46260</x:v>
      </x:c>
    </x:row>
    <x:row r="75">
      <x:c r="A75" s="72" t="str">
        <x:f>IF(OR(C75="",D75=""),"",B75&amp;"-"&amp;UPPER(C75)&amp;"-"&amp;TEXT(D75,"0000")&amp;"-"&amp;E75)</x:f>
        <x:v>M15-CONG-0069-V1.0</x:v>
      </x:c>
      <x:c r="B75" s="74" t="str">
        <x:v>M15</x:v>
      </x:c>
      <x:c r="C75" s="74" t="str">
        <x:v>CONG</x:v>
      </x:c>
      <x:c r="D75" s="215" t="n">
        <x:v>69</x:v>
      </x:c>
      <x:c r="E75" s="74" t="str">
        <x:v>V1.0</x:v>
      </x:c>
      <x:c r="F75" s="68" t="str">
        <x:v>假从只能判成立但有破或待定</x:v>
      </x:c>
      <x:c r="G75" s="82" t="str">
        <x:v>综合层</x:v>
      </x:c>
      <x:c r="H75" s="68" t="str">
        <x:v>假从候选</x:v>
      </x:c>
      <x:c r="I75" s="68" t="str">
        <x:v>主势明显接近从格，但日主保留残根或低效印比</x:v>
      </x:c>
      <x:c r="J75" s="68" t="str">
        <x:v>顺势证据强，反向证据弱但未消失</x:v>
      </x:c>
      <x:c r="K75" s="68" t="str">
        <x:v>残根、微印比或局部逆势</x:v>
      </x:c>
      <x:c r="L75" s="82" t="str">
        <x:v>一般</x:v>
      </x:c>
      <x:c r="M75" s="68" t="str">
        <x:v>若反向证据进一步失效可趋近真从；原局不预设</x:v>
      </x:c>
      <x:c r="N75" s="82" t="str">
        <x:v>无救应</x:v>
      </x:c>
      <x:c r="O75" s="84" t="str">
        <x:v>成立但有破</x:v>
      </x:c>
      <x:c r="P75" s="82" t="str">
        <x:v>有杂</x:v>
      </x:c>
      <x:c r="Q75" s="68" t="str">
        <x:v>假从稳定性低于真从，不能套用真从硬结论</x:v>
      </x:c>
      <x:c r="R75" s="68" t="str">
        <x:v>M14已生成候选；M08、M09、M10、M11相关结论可追溯</x:v>
      </x:c>
      <x:c r="S75" s="68" t="str">
        <x:v>格神与关键配合十神均以有效力量和实际功能为准</x:v>
      </x:c>
      <x:c r="T75" s="68" t="str">
        <x:v>格神得令、有根、透达、清纯，组合路径稳定且日主承载匹配</x:v>
      </x:c>
      <x:c r="U75" s="68" t="str">
        <x:v>格神受制、混杂、路径受阻、日主承载不足或救应只能局部作用</x:v>
      </x:c>
      <x:c r="V75" s="90" t="str">
        <x:v>格神失效、核心作用路径完全中断，或特殊格局硬门槛被有效反证否决</x:v>
      </x:c>
      <x:c r="W75" s="68" t="str">
        <x:v>特殊格局严格条件、流派争议及岁运补成另按专门规则处理</x:v>
      </x:c>
      <x:c r="X75" s="84" t="str">
        <x:v>假从_成立但有破</x:v>
      </x:c>
      <x:c r="Y75" s="84" t="str">
        <x:v>假从候选判为“成立但有破”：破格等级为“一般”，救应为“无救应”，清纯度为“有杂”；层次需结合全局继续评估。</x:v>
      </x:c>
      <x:c r="Z75" s="68" t="str">
        <x:v>若“格神失效、核心作用路径完全中断，或特殊格局硬门槛被有效反证否决”成立，应降低为成立但有破或不成立，不得维持当前结论。</x:v>
      </x:c>
      <x:c r="AA75" s="82" t="str">
        <x:v>中等</x:v>
      </x:c>
      <x:c r="AB75" s="82" t="str">
        <x:v>子平格局</x:v>
      </x:c>
      <x:c r="AC75" s="68" t="str">
        <x:v>格局成败须区分：格神是否有效、结构是否能运行、是否存在破坏、救应是否直接修复破格机制，以及格局成立与层次高低。</x:v>
      </x:c>
      <x:c r="AD75" s="68" t="str">
        <x:v>当“主势明显接近从格，但日主保留残根或低效印比”成立，且成格证据相互支持、无决定性否决时，可按本规则判断。</x:v>
      </x:c>
      <x:c r="AE75" s="90" t="str">
        <x:v>只有格局名称或局部组合，但“格神失效、核心作用路径完全中断，或特殊格局硬门槛被有效反证否决”成立时，不能按本规则维持格局。</x:v>
      </x:c>
      <x:c r="AF75" s="68" t="str">
        <x:v>https://zh.wikisource.org/wiki/%E6%BB%B4%E5%A4%A9%E9%AB%93%E9%97%A1%E5%BE%AE ; https://zh.wikisource.org/zh-hans/%E6%BB%B4%E5%A4%A9%E9%AB%93</x:v>
      </x:c>
      <x:c r="AG75" s="82" t="str">
        <x:v>待验证</x:v>
      </x:c>
      <x:c r="AH75" s="82" t="str">
        <x:v>初审</x:v>
      </x:c>
      <x:c r="AI75" s="87" t="n">
        <x:v>46260</x:v>
      </x:c>
    </x:row>
    <x:row r="76">
      <x:c r="A76" s="72" t="str">
        <x:f>IF(OR(C76="",D76=""),"",B76&amp;"-"&amp;UPPER(C76)&amp;"-"&amp;TEXT(D76,"0000")&amp;"-"&amp;E76)</x:f>
        <x:v>M15-CONG-0070-V1.0</x:v>
      </x:c>
      <x:c r="B76" s="74" t="str">
        <x:v>M15</x:v>
      </x:c>
      <x:c r="C76" s="74" t="str">
        <x:v>CONG</x:v>
      </x:c>
      <x:c r="D76" s="215" t="n">
        <x:v>70</x:v>
      </x:c>
      <x:c r="E76" s="74" t="str">
        <x:v>V1.0</x:v>
      </x:c>
      <x:c r="F76" s="68" t="str">
        <x:v>逆势五行虽弱但作用关键时可严重破从</x:v>
      </x:c>
      <x:c r="G76" s="82" t="str">
        <x:v>综合层</x:v>
      </x:c>
      <x:c r="H76" s="68" t="str">
        <x:v>从格候选</x:v>
      </x:c>
      <x:c r="I76" s="68" t="str">
        <x:v>特殊从格候选达到高门槛</x:v>
      </x:c>
      <x:c r="J76" s="68" t="str">
        <x:v>月令依据、格神根气与有效力量、日主配合及M11组合证据相互支持</x:v>
      </x:c>
      <x:c r="K76" s="68" t="str">
        <x:v>一枚或一组逆势五行虽数量少，却有根有源并直击主势关键节点</x:v>
      </x:c>
      <x:c r="L76" s="82" t="str">
        <x:v>严重</x:v>
      </x:c>
      <x:c r="M76" s="68" t="str">
        <x:v>主势制去逆神或使其失效</x:v>
      </x:c>
      <x:c r="N76" s="82" t="str">
        <x:v>待定</x:v>
      </x:c>
      <x:c r="O76" s="84" t="str">
        <x:v>成立但有破</x:v>
      </x:c>
      <x:c r="P76" s="82" t="str">
        <x:v>有杂</x:v>
      </x:c>
      <x:c r="Q76" s="68" t="str">
        <x:v>从格是否破坏取决于逆神有效性，不取决于数量</x:v>
      </x:c>
      <x:c r="R76" s="68" t="str">
        <x:v>M14已生成候选；M08、M09、M10、M11相关结论可追溯</x:v>
      </x:c>
      <x:c r="S76" s="68" t="str">
        <x:v>格神与关键配合十神均以有效力量和实际功能为准</x:v>
      </x:c>
      <x:c r="T76" s="68" t="str">
        <x:v>格神得令、有根、透达、清纯，组合路径稳定且日主承载匹配</x:v>
      </x:c>
      <x:c r="U76" s="68" t="str">
        <x:v>格神受制、混杂、路径受阻、日主承载不足或救应只能局部作用</x:v>
      </x:c>
      <x:c r="V76" s="90" t="str">
        <x:v>格神失效、核心作用路径完全中断，或特殊格局硬门槛被有效反证否决</x:v>
      </x:c>
      <x:c r="W76" s="68" t="str">
        <x:v>特殊格局严格条件、流派争议及岁运补成另按专门规则处理</x:v>
      </x:c>
      <x:c r="X76" s="84" t="str">
        <x:v>从格_有效逆神破格</x:v>
      </x:c>
      <x:c r="Y76" s="84" t="str">
        <x:v>从格候选判为“成立但有破”：破格等级为“严重”，救应为“待定”，清纯度为“有杂”；层次需结合全局继续评估。</x:v>
      </x:c>
      <x:c r="Z76" s="68" t="str">
        <x:v>若“格神失效、核心作用路径完全中断，或特殊格局硬门槛被有效反证否决”成立，应降低为成立但有破或不成立，不得维持当前结论。</x:v>
      </x:c>
      <x:c r="AA76" s="82" t="str">
        <x:v>较高</x:v>
      </x:c>
      <x:c r="AB76" s="82" t="str">
        <x:v>子平格局</x:v>
      </x:c>
      <x:c r="AC76" s="68" t="str">
        <x:v>格局成败须区分：格神是否有效、结构是否能运行、是否存在破坏、救应是否直接修复破格机制，以及格局成立与层次高低。</x:v>
      </x:c>
      <x:c r="AD76" s="68" t="str">
        <x:v>当“特殊从格候选达到高门槛”成立，且成格证据相互支持、无决定性否决时，可按本规则判断。</x:v>
      </x:c>
      <x:c r="AE76" s="90" t="str">
        <x:v>只有格局名称或局部组合，但“格神失效、核心作用路径完全中断，或特殊格局硬门槛被有效反证否决”成立时，不能按本规则维持格局。</x:v>
      </x:c>
      <x:c r="AF76" s="68" t="str">
        <x:v>https://zh.wikisource.org/wiki/%E6%BB%B4%E5%A4%A9%E9%AB%93%E9%97%A1%E5%BE%AE ; https://zh.wikisource.org/zh-hans/%E6%BB%B4%E5%A4%A9%E9%AB%93</x:v>
      </x:c>
      <x:c r="AG76" s="82" t="str">
        <x:v>采用</x:v>
      </x:c>
      <x:c r="AH76" s="82" t="str">
        <x:v>初审</x:v>
      </x:c>
      <x:c r="AI76" s="87" t="n">
        <x:v>46260</x:v>
      </x:c>
    </x:row>
    <x:row r="77">
      <x:c r="A77" s="72" t="str">
        <x:f>IF(OR(C77="",D77=""),"",B77&amp;"-"&amp;UPPER(C77)&amp;"-"&amp;TEXT(D77,"0000")&amp;"-"&amp;E77)</x:f>
        <x:v>M15-HUAQI-0071-V1.0</x:v>
      </x:c>
      <x:c r="B77" s="74" t="str">
        <x:v>M15</x:v>
      </x:c>
      <x:c r="C77" s="74" t="str">
        <x:v>HUAQI</x:v>
      </x:c>
      <x:c r="D77" s="215" t="n">
        <x:v>71</x:v>
      </x:c>
      <x:c r="E77" s="74" t="str">
        <x:v>V1.0</x:v>
      </x:c>
      <x:c r="F77" s="68" t="str">
        <x:v>真化必须通过化神得势与原气不自立的全部硬门槛</x:v>
      </x:c>
      <x:c r="G77" s="82" t="str">
        <x:v>综合层</x:v>
      </x:c>
      <x:c r="H77" s="68" t="str">
        <x:v>化气格候选</x:v>
      </x:c>
      <x:c r="I77" s="68" t="str">
        <x:v>日主参与五合，M06确认实质化势，化神得令成势，原气无强根，破化因素不足</x:v>
      </x:c>
      <x:c r="J77" s="68" t="str">
        <x:v>M08力量已向化神重分配，全局主要路径顺化神</x:v>
      </x:c>
      <x:c r="K77" s="68" t="str">
        <x:v>无决定性破格因素</x:v>
      </x:c>
      <x:c r="L77" s="82" t="str">
        <x:v>无破</x:v>
      </x:c>
      <x:c r="M77" s="68" t="str">
        <x:v>无须救应</x:v>
      </x:c>
      <x:c r="N77" s="82" t="str">
        <x:v>无救应</x:v>
      </x:c>
      <x:c r="O77" s="84" t="str">
        <x:v>特殊格局严格成立</x:v>
      </x:c>
      <x:c r="P77" s="82" t="str">
        <x:v>清纯</x:v>
      </x:c>
      <x:c r="Q77" s="68" t="str">
        <x:v>真化成立，按化神而非原日主五行理解结构</x:v>
      </x:c>
      <x:c r="R77" s="68" t="str">
        <x:v>M14已生成候选；M08、M09、M10、M11相关结论可追溯</x:v>
      </x:c>
      <x:c r="S77" s="68" t="str">
        <x:v>格神与关键配合十神均以有效力量和实际功能为准</x:v>
      </x:c>
      <x:c r="T77" s="68" t="str">
        <x:v>格神得令、有根、透达、清纯，组合路径稳定且日主承载匹配</x:v>
      </x:c>
      <x:c r="U77" s="68" t="str">
        <x:v>格神受制、混杂、路径受阻、日主承载不足或救应只能局部作用</x:v>
      </x:c>
      <x:c r="V77" s="90" t="str">
        <x:v>格神失效、核心作用路径完全中断，或特殊格局硬门槛被有效反证否决</x:v>
      </x:c>
      <x:c r="W77" s="68" t="str">
        <x:v>特殊格局严格条件、流派争议及岁运补成另按专门规则处理</x:v>
      </x:c>
      <x:c r="X77" s="84" t="str">
        <x:v>化气格_真化严格成立</x:v>
      </x:c>
      <x:c r="Y77" s="84" t="str">
        <x:v>化气格候选判为“特殊格局严格成立”：破格等级为“无破”，救应为“无救应”，清纯度为“清纯”；层次需结合全局继续评估。</x:v>
      </x:c>
      <x:c r="Z77" s="68" t="str">
        <x:v>若“格神失效、核心作用路径完全中断，或特殊格局硬门槛被有效反证否决”成立，应降低为成立但有破或不成立，不得维持当前结论。</x:v>
      </x:c>
      <x:c r="AA77" s="82" t="str">
        <x:v>较高</x:v>
      </x:c>
      <x:c r="AB77" s="82" t="str">
        <x:v>子平格局</x:v>
      </x:c>
      <x:c r="AC77" s="68" t="str">
        <x:v>格局成败须区分：格神是否有效、结构是否能运行、是否存在破坏、救应是否直接修复破格机制，以及格局成立与层次高低。</x:v>
      </x:c>
      <x:c r="AD77" s="68" t="str">
        <x:v>当“日主参与五合，M06确认实质化势，化神得令成势，原气无强根，破化因素不足”成立，且成格证据相互支持、无决定性否决时，可按本规则判断。</x:v>
      </x:c>
      <x:c r="AE77" s="90" t="str">
        <x:v>只有格局名称或局部组合，但“格神失效、核心作用路径完全中断，或特殊格局硬门槛被有效反证否决”成立时，不能按本规则维持格局。</x:v>
      </x:c>
      <x:c r="AF77" s="68" t="str">
        <x:v>https://zh.wikisource.org/wiki/%E6%BB%B4%E5%A4%A9%E9%AB%93%E9%97%A1%E5%BE%AE ; https://zh.wikisource.org/zh-hans/%E6%BB%B4%E5%A4%A9%E9%AB%93</x:v>
      </x:c>
      <x:c r="AG77" s="82" t="str">
        <x:v>采用</x:v>
      </x:c>
      <x:c r="AH77" s="82" t="str">
        <x:v>初审</x:v>
      </x:c>
      <x:c r="AI77" s="87" t="n">
        <x:v>46260</x:v>
      </x:c>
    </x:row>
    <x:row r="78">
      <x:c r="A78" s="72" t="str">
        <x:f>IF(OR(C78="",D78=""),"",B78&amp;"-"&amp;UPPER(C78)&amp;"-"&amp;TEXT(D78,"0000")&amp;"-"&amp;E78)</x:f>
        <x:v>M15-HUAQI-0072-V1.0</x:v>
      </x:c>
      <x:c r="B78" s="74" t="str">
        <x:v>M15</x:v>
      </x:c>
      <x:c r="C78" s="74" t="str">
        <x:v>HUAQI</x:v>
      </x:c>
      <x:c r="D78" s="215" t="n">
        <x:v>72</x:v>
      </x:c>
      <x:c r="E78" s="74" t="str">
        <x:v>V1.0</x:v>
      </x:c>
      <x:c r="F78" s="68" t="str">
        <x:v>化神得令有根有源是化气格核心成格证据</x:v>
      </x:c>
      <x:c r="G78" s="82" t="str">
        <x:v>综合层</x:v>
      </x:c>
      <x:c r="H78" s="68" t="str">
        <x:v>化气格候选</x:v>
      </x:c>
      <x:c r="I78" s="68" t="str">
        <x:v>化神得到月令、透干、根气或会局的多重有效支持</x:v>
      </x:c>
      <x:c r="J78" s="68" t="str">
        <x:v>化神至少具备三类独立强证据且主导全局</x:v>
      </x:c>
      <x:c r="K78" s="68" t="str">
        <x:v>无决定性破格因素</x:v>
      </x:c>
      <x:c r="L78" s="82" t="str">
        <x:v>无破</x:v>
      </x:c>
      <x:c r="M78" s="68" t="str">
        <x:v>无须救应</x:v>
      </x:c>
      <x:c r="N78" s="82" t="str">
        <x:v>无救应</x:v>
      </x:c>
      <x:c r="O78" s="84" t="str">
        <x:v>基本成立</x:v>
      </x:c>
      <x:c r="P78" s="82" t="str">
        <x:v>较清</x:v>
      </x:c>
      <x:c r="Q78" s="68" t="str">
        <x:v>化势有承载，可进入真化复核</x:v>
      </x:c>
      <x:c r="R78" s="68" t="str">
        <x:v>M14已生成候选；M08、M09、M10、M11相关结论可追溯</x:v>
      </x:c>
      <x:c r="S78" s="68" t="str">
        <x:v>格神与关键配合十神均以有效力量和实际功能为准</x:v>
      </x:c>
      <x:c r="T78" s="68" t="str">
        <x:v>格神得令、有根、透达、清纯，组合路径稳定且日主承载匹配</x:v>
      </x:c>
      <x:c r="U78" s="68" t="str">
        <x:v>格神受制、混杂、路径受阻、日主承载不足或救应只能局部作用</x:v>
      </x:c>
      <x:c r="V78" s="90" t="str">
        <x:v>格神失效、核心作用路径完全中断，或特殊格局硬门槛被有效反证否决</x:v>
      </x:c>
      <x:c r="W78" s="68" t="str">
        <x:v>特殊格局严格条件、流派争议及岁运补成另按专门规则处理</x:v>
      </x:c>
      <x:c r="X78" s="84" t="str">
        <x:v>化气格_化神有权</x:v>
      </x:c>
      <x:c r="Y78" s="84" t="str">
        <x:v>化气格候选判为“基本成立”：破格等级为“无破”，救应为“无救应”，清纯度为“较清”；层次需结合全局继续评估。</x:v>
      </x:c>
      <x:c r="Z78" s="68" t="str">
        <x:v>若“格神失效、核心作用路径完全中断，或特殊格局硬门槛被有效反证否决”成立，应降低为成立但有破或不成立，不得维持当前结论。</x:v>
      </x:c>
      <x:c r="AA78" s="82" t="str">
        <x:v>较高</x:v>
      </x:c>
      <x:c r="AB78" s="82" t="str">
        <x:v>子平格局</x:v>
      </x:c>
      <x:c r="AC78" s="68" t="str">
        <x:v>格局成败须区分：格神是否有效、结构是否能运行、是否存在破坏、救应是否直接修复破格机制，以及格局成立与层次高低。</x:v>
      </x:c>
      <x:c r="AD78" s="68" t="str">
        <x:v>当“化神得到月令、透干、根气或会局的多重有效支持”成立，且成格证据相互支持、无决定性否决时，可按本规则判断。</x:v>
      </x:c>
      <x:c r="AE78" s="90" t="str">
        <x:v>只有格局名称或局部组合，但“格神失效、核心作用路径完全中断，或特殊格局硬门槛被有效反证否决”成立时，不能按本规则维持格局。</x:v>
      </x:c>
      <x:c r="AF78" s="68" t="str">
        <x:v>https://zh.wikisource.org/wiki/%E6%BB%B4%E5%A4%A9%E9%AB%93%E9%97%A1%E5%BE%AE ; https://zh.wikisource.org/zh-hans/%E6%BB%B4%E5%A4%A9%E9%AB%93</x:v>
      </x:c>
      <x:c r="AG78" s="82" t="str">
        <x:v>采用</x:v>
      </x:c>
      <x:c r="AH78" s="82" t="str">
        <x:v>初审</x:v>
      </x:c>
      <x:c r="AI78" s="87" t="n">
        <x:v>46260</x:v>
      </x:c>
    </x:row>
    <x:row r="79">
      <x:c r="A79" s="72" t="str">
        <x:f>IF(OR(C79="",D79=""),"",B79&amp;"-"&amp;UPPER(C79)&amp;"-"&amp;TEXT(D79,"0000")&amp;"-"&amp;E79)</x:f>
        <x:v>M15-HUAQI-0073-V1.0</x:v>
      </x:c>
      <x:c r="B79" s="74" t="str">
        <x:v>M15</x:v>
      </x:c>
      <x:c r="C79" s="74" t="str">
        <x:v>HUAQI</x:v>
      </x:c>
      <x:c r="D79" s="215" t="n">
        <x:v>73</x:v>
      </x:c>
      <x:c r="E79" s="74" t="str">
        <x:v>V1.0</x:v>
      </x:c>
      <x:c r="F79" s="68" t="str">
        <x:v>日主原气强根会构成化气根本破格</x:v>
      </x:c>
      <x:c r="G79" s="82" t="str">
        <x:v>综合层</x:v>
      </x:c>
      <x:c r="H79" s="68" t="str">
        <x:v>化气格候选</x:v>
      </x:c>
      <x:c r="I79" s="68" t="str">
        <x:v>天干合化候选存在</x:v>
      </x:c>
      <x:c r="J79" s="68" t="str">
        <x:v>月令依据、格神根气与有效力量、日主配合及M11组合证据相互支持</x:v>
      </x:c>
      <x:c r="K79" s="68" t="str">
        <x:v>日主原五行保留可调用强根或同党成势</x:v>
      </x:c>
      <x:c r="L79" s="82" t="str">
        <x:v>根本破格</x:v>
      </x:c>
      <x:c r="M79" s="68" t="str">
        <x:v>无；除非原根被实质制化失效</x:v>
      </x:c>
      <x:c r="N79" s="82" t="str">
        <x:v>无救应</x:v>
      </x:c>
      <x:c r="O79" s="84" t="str">
        <x:v>不成立</x:v>
      </x:c>
      <x:c r="P79" s="82" t="str">
        <x:v>待定</x:v>
      </x:c>
      <x:c r="Q79" s="68" t="str">
        <x:v>只能按合绊、合动或合而不化处理</x:v>
      </x:c>
      <x:c r="R79" s="68" t="str">
        <x:v>M14已生成候选；M08、M09、M10、M11相关结论可追溯</x:v>
      </x:c>
      <x:c r="S79" s="68" t="str">
        <x:v>格神与关键配合十神均以有效力量和实际功能为准</x:v>
      </x:c>
      <x:c r="T79" s="68" t="str">
        <x:v>格神得令、有根、透达、清纯，组合路径稳定且日主承载匹配</x:v>
      </x:c>
      <x:c r="U79" s="68" t="str">
        <x:v>格神受制、混杂、路径受阻、日主承载不足或救应只能局部作用</x:v>
      </x:c>
      <x:c r="V79" s="90" t="str">
        <x:v>格神失效、核心作用路径完全中断，或特殊格局硬门槛被有效反证否决</x:v>
      </x:c>
      <x:c r="W79" s="68" t="str">
        <x:v>特殊格局严格条件、流派争议及岁运补成另按专门规则处理</x:v>
      </x:c>
      <x:c r="X79" s="84" t="str">
        <x:v>化气格_原气强根否决</x:v>
      </x:c>
      <x:c r="Y79" s="84" t="str">
        <x:v>化气格候选判为“不成立”：破格等级为“根本破格”，救应为“无救应”，清纯度为“待定”；层次需结合全局继续评估。</x:v>
      </x:c>
      <x:c r="Z79" s="68" t="str">
        <x:v>若“格神失效、核心作用路径完全中断，或特殊格局硬门槛被有效反证否决”成立，应降低为成立但有破或不成立，不得维持当前结论。</x:v>
      </x:c>
      <x:c r="AA79" s="82" t="str">
        <x:v>较高</x:v>
      </x:c>
      <x:c r="AB79" s="82" t="str">
        <x:v>子平格局</x:v>
      </x:c>
      <x:c r="AC79" s="68" t="str">
        <x:v>格局成败须区分：格神是否有效、结构是否能运行、是否存在破坏、救应是否直接修复破格机制，以及格局成立与层次高低。</x:v>
      </x:c>
      <x:c r="AD79" s="68" t="str">
        <x:v>当“天干合化候选存在”成立，且成格证据相互支持、无决定性否决时，可按本规则判断。</x:v>
      </x:c>
      <x:c r="AE79" s="90" t="str">
        <x:v>只有格局名称或局部组合，但“格神失效、核心作用路径完全中断，或特殊格局硬门槛被有效反证否决”成立时，不能按本规则维持格局。</x:v>
      </x:c>
      <x:c r="AF79" s="68" t="str">
        <x:v>https://zh.wikisource.org/wiki/%E6%BB%B4%E5%A4%A9%E9%AB%93%E9%97%A1%E5%BE%AE ; https://zh.wikisource.org/zh-hans/%E6%BB%B4%E5%A4%A9%E9%AB%93</x:v>
      </x:c>
      <x:c r="AG79" s="82" t="str">
        <x:v>采用</x:v>
      </x:c>
      <x:c r="AH79" s="82" t="str">
        <x:v>初审</x:v>
      </x:c>
      <x:c r="AI79" s="87" t="n">
        <x:v>46260</x:v>
      </x:c>
    </x:row>
    <x:row r="80">
      <x:c r="A80" s="72" t="str">
        <x:f>IF(OR(C80="",D80=""),"",B80&amp;"-"&amp;UPPER(C80)&amp;"-"&amp;TEXT(D80,"0000")&amp;"-"&amp;E80)</x:f>
        <x:v>M15-HUAQI-0074-V1.0</x:v>
      </x:c>
      <x:c r="B80" s="74" t="str">
        <x:v>M15</x:v>
      </x:c>
      <x:c r="C80" s="74" t="str">
        <x:v>HUAQI</x:v>
      </x:c>
      <x:c r="D80" s="215" t="n">
        <x:v>74</x:v>
      </x:c>
      <x:c r="E80" s="74" t="str">
        <x:v>V1.0</x:v>
      </x:c>
      <x:c r="F80" s="68" t="str">
        <x:v>争合妒合会降低或破坏化气纯度</x:v>
      </x:c>
      <x:c r="G80" s="82" t="str">
        <x:v>综合层</x:v>
      </x:c>
      <x:c r="H80" s="68" t="str">
        <x:v>化气格候选</x:v>
      </x:c>
      <x:c r="I80" s="68" t="str">
        <x:v>日主合化候选存在</x:v>
      </x:c>
      <x:c r="J80" s="68" t="str">
        <x:v>月令依据、格神根气与有效力量、日主配合及M11组合证据相互支持</x:v>
      </x:c>
      <x:c r="K80" s="68" t="str">
        <x:v>同一合神被多干争合或出现妒合，化势不专</x:v>
      </x:c>
      <x:c r="L80" s="82" t="str">
        <x:v>严重</x:v>
      </x:c>
      <x:c r="M80" s="68" t="str">
        <x:v>争合一方失效或被制去</x:v>
      </x:c>
      <x:c r="N80" s="82" t="str">
        <x:v>待定</x:v>
      </x:c>
      <x:c r="O80" s="84" t="str">
        <x:v>成立但有破</x:v>
      </x:c>
      <x:c r="P80" s="82" t="str">
        <x:v>混杂</x:v>
      </x:c>
      <x:c r="Q80" s="68" t="str">
        <x:v>化势不专，通常降为假化或合而不化</x:v>
      </x:c>
      <x:c r="R80" s="68" t="str">
        <x:v>M14已生成候选；M08、M09、M10、M11相关结论可追溯</x:v>
      </x:c>
      <x:c r="S80" s="68" t="str">
        <x:v>格神与关键配合十神均以有效力量和实际功能为准</x:v>
      </x:c>
      <x:c r="T80" s="68" t="str">
        <x:v>格神得令、有根、透达、清纯，组合路径稳定且日主承载匹配</x:v>
      </x:c>
      <x:c r="U80" s="68" t="str">
        <x:v>格神受制、混杂、路径受阻、日主承载不足或救应只能局部作用</x:v>
      </x:c>
      <x:c r="V80" s="90" t="str">
        <x:v>格神失效、核心作用路径完全中断，或特殊格局硬门槛被有效反证否决</x:v>
      </x:c>
      <x:c r="W80" s="68" t="str">
        <x:v>特殊格局严格条件、流派争议及岁运补成另按专门规则处理</x:v>
      </x:c>
      <x:c r="X80" s="84" t="str">
        <x:v>化气格_争合破化</x:v>
      </x:c>
      <x:c r="Y80" s="84" t="str">
        <x:v>化气格候选判为“成立但有破”：破格等级为“严重”，救应为“待定”，清纯度为“混杂”；层次需结合全局继续评估。</x:v>
      </x:c>
      <x:c r="Z80" s="68" t="str">
        <x:v>若“格神失效、核心作用路径完全中断，或特殊格局硬门槛被有效反证否决”成立，应降低为成立但有破或不成立，不得维持当前结论。</x:v>
      </x:c>
      <x:c r="AA80" s="82" t="str">
        <x:v>较高</x:v>
      </x:c>
      <x:c r="AB80" s="82" t="str">
        <x:v>子平格局</x:v>
      </x:c>
      <x:c r="AC80" s="68" t="str">
        <x:v>格局成败须区分：格神是否有效、结构是否能运行、是否存在破坏、救应是否直接修复破格机制，以及格局成立与层次高低。</x:v>
      </x:c>
      <x:c r="AD80" s="68" t="str">
        <x:v>当“日主合化候选存在”成立，且成格证据相互支持、无决定性否决时，可按本规则判断。</x:v>
      </x:c>
      <x:c r="AE80" s="90" t="str">
        <x:v>只有格局名称或局部组合，但“格神失效、核心作用路径完全中断，或特殊格局硬门槛被有效反证否决”成立时，不能按本规则维持格局。</x:v>
      </x:c>
      <x:c r="AF80" s="68" t="str">
        <x:v>https://zh.wikisource.org/wiki/%E6%BB%B4%E5%A4%A9%E9%AB%93%E9%97%A1%E5%BE%AE ; https://zh.wikisource.org/zh-hans/%E6%BB%B4%E5%A4%A9%E9%AB%93</x:v>
      </x:c>
      <x:c r="AG80" s="82" t="str">
        <x:v>采用</x:v>
      </x:c>
      <x:c r="AH80" s="82" t="str">
        <x:v>初审</x:v>
      </x:c>
      <x:c r="AI80" s="87" t="n">
        <x:v>46260</x:v>
      </x:c>
    </x:row>
    <x:row r="81">
      <x:c r="A81" s="72" t="str">
        <x:f>IF(OR(C81="",D81=""),"",B81&amp;"-"&amp;UPPER(C81)&amp;"-"&amp;TEXT(D81,"0000")&amp;"-"&amp;E81)</x:f>
        <x:v>M15-HUAQI-0075-V1.0</x:v>
      </x:c>
      <x:c r="B81" s="74" t="str">
        <x:v>M15</x:v>
      </x:c>
      <x:c r="C81" s="74" t="str">
        <x:v>HUAQI</x:v>
      </x:c>
      <x:c r="D81" s="215" t="n">
        <x:v>75</x:v>
      </x:c>
      <x:c r="E81" s="74" t="str">
        <x:v>V1.0</x:v>
      </x:c>
      <x:c r="F81" s="68" t="str">
        <x:v>强克冲破化神会构成严重破化</x:v>
      </x:c>
      <x:c r="G81" s="82" t="str">
        <x:v>综合层</x:v>
      </x:c>
      <x:c r="H81" s="68" t="str">
        <x:v>化气格候选</x:v>
      </x:c>
      <x:c r="I81" s="68" t="str">
        <x:v>化气候选已具化神基础</x:v>
      </x:c>
      <x:c r="J81" s="68" t="str">
        <x:v>月令依据、格神根气与有效力量、日主配合及M11组合证据相互支持</x:v>
      </x:c>
      <x:c r="K81" s="68" t="str">
        <x:v>化神被强克、关键根气被冲散或化局被破</x:v>
      </x:c>
      <x:c r="L81" s="82" t="str">
        <x:v>严重</x:v>
      </x:c>
      <x:c r="M81" s="68" t="str">
        <x:v>生扶化神或制去破化之神</x:v>
      </x:c>
      <x:c r="N81" s="82" t="str">
        <x:v>待定</x:v>
      </x:c>
      <x:c r="O81" s="84" t="str">
        <x:v>成立但有破</x:v>
      </x:c>
      <x:c r="P81" s="82" t="str">
        <x:v>有杂</x:v>
      </x:c>
      <x:c r="Q81" s="68" t="str">
        <x:v>化神主导性下降，需判断能否维持假化</x:v>
      </x:c>
      <x:c r="R81" s="68" t="str">
        <x:v>M14已生成候选；M08、M09、M10、M11相关结论可追溯</x:v>
      </x:c>
      <x:c r="S81" s="68" t="str">
        <x:v>格神与关键配合十神均以有效力量和实际功能为准</x:v>
      </x:c>
      <x:c r="T81" s="68" t="str">
        <x:v>格神得令、有根、透达、清纯，组合路径稳定且日主承载匹配</x:v>
      </x:c>
      <x:c r="U81" s="68" t="str">
        <x:v>格神受制、混杂、路径受阻、日主承载不足或救应只能局部作用</x:v>
      </x:c>
      <x:c r="V81" s="90" t="str">
        <x:v>格神失效、核心作用路径完全中断，或特殊格局硬门槛被有效反证否决</x:v>
      </x:c>
      <x:c r="W81" s="68" t="str">
        <x:v>特殊格局严格条件、流派争议及岁运补成另按专门规则处理</x:v>
      </x:c>
      <x:c r="X81" s="84" t="str">
        <x:v>化气格_化神受损</x:v>
      </x:c>
      <x:c r="Y81" s="84" t="str">
        <x:v>化气格候选判为“成立但有破”：破格等级为“严重”，救应为“待定”，清纯度为“有杂”；层次需结合全局继续评估。</x:v>
      </x:c>
      <x:c r="Z81" s="68" t="str">
        <x:v>若“格神失效、核心作用路径完全中断，或特殊格局硬门槛被有效反证否决”成立，应降低为成立但有破或不成立，不得维持当前结论。</x:v>
      </x:c>
      <x:c r="AA81" s="82" t="str">
        <x:v>较高</x:v>
      </x:c>
      <x:c r="AB81" s="82" t="str">
        <x:v>子平格局</x:v>
      </x:c>
      <x:c r="AC81" s="68" t="str">
        <x:v>格局成败须区分：格神是否有效、结构是否能运行、是否存在破坏、救应是否直接修复破格机制，以及格局成立与层次高低。</x:v>
      </x:c>
      <x:c r="AD81" s="68" t="str">
        <x:v>当“化气候选已具化神基础”成立，且成格证据相互支持、无决定性否决时，可按本规则判断。</x:v>
      </x:c>
      <x:c r="AE81" s="90" t="str">
        <x:v>只有格局名称或局部组合，但“格神失效、核心作用路径完全中断，或特殊格局硬门槛被有效反证否决”成立时，不能按本规则维持格局。</x:v>
      </x:c>
      <x:c r="AF81" s="68" t="str">
        <x:v>https://zh.wikisource.org/wiki/%E6%BB%B4%E5%A4%A9%E9%AB%93%E9%97%A1%E5%BE%AE ; https://zh.wikisource.org/zh-hans/%E6%BB%B4%E5%A4%A9%E9%AB%93</x:v>
      </x:c>
      <x:c r="AG81" s="82" t="str">
        <x:v>采用</x:v>
      </x:c>
      <x:c r="AH81" s="82" t="str">
        <x:v>初审</x:v>
      </x:c>
      <x:c r="AI81" s="87" t="n">
        <x:v>46260</x:v>
      </x:c>
    </x:row>
    <x:row r="82">
      <x:c r="A82" s="72" t="str">
        <x:f>IF(OR(C82="",D82=""),"",B82&amp;"-"&amp;UPPER(C82)&amp;"-"&amp;TEXT(D82,"0000")&amp;"-"&amp;E82)</x:f>
        <x:v>M15-HUAQI-0076-V1.0</x:v>
      </x:c>
      <x:c r="B82" s="74" t="str">
        <x:v>M15</x:v>
      </x:c>
      <x:c r="C82" s="74" t="str">
        <x:v>HUAQI</x:v>
      </x:c>
      <x:c r="D82" s="215" t="n">
        <x:v>76</x:v>
      </x:c>
      <x:c r="E82" s="74" t="str">
        <x:v>V1.0</x:v>
      </x:c>
      <x:c r="F82" s="68" t="str">
        <x:v>化神有势但原气未尽时只能判假化</x:v>
      </x:c>
      <x:c r="G82" s="82" t="str">
        <x:v>综合层</x:v>
      </x:c>
      <x:c r="H82" s="68" t="str">
        <x:v>假化候选</x:v>
      </x:c>
      <x:c r="I82" s="68" t="str">
        <x:v>化神明显成势，但日主仍有残根、同党或局部自立能力</x:v>
      </x:c>
      <x:c r="J82" s="68" t="str">
        <x:v>化势强于原气但未达到完全转化</x:v>
      </x:c>
      <x:c r="K82" s="68" t="str">
        <x:v>原气未尽</x:v>
      </x:c>
      <x:c r="L82" s="82" t="str">
        <x:v>一般</x:v>
      </x:c>
      <x:c r="M82" s="68" t="str">
        <x:v>原气进一步受制或化神增强不作为原局既成事实</x:v>
      </x:c>
      <x:c r="N82" s="82" t="str">
        <x:v>无救应</x:v>
      </x:c>
      <x:c r="O82" s="84" t="str">
        <x:v>成立但有破</x:v>
      </x:c>
      <x:c r="P82" s="82" t="str">
        <x:v>有杂</x:v>
      </x:c>
      <x:c r="Q82" s="68" t="str">
        <x:v>假化低于真化，需同时保留原气与化神双重作用</x:v>
      </x:c>
      <x:c r="R82" s="68" t="str">
        <x:v>M14已生成候选；M08、M09、M10、M11相关结论可追溯</x:v>
      </x:c>
      <x:c r="S82" s="68" t="str">
        <x:v>格神与关键配合十神均以有效力量和实际功能为准</x:v>
      </x:c>
      <x:c r="T82" s="68" t="str">
        <x:v>格神得令、有根、透达、清纯，组合路径稳定且日主承载匹配</x:v>
      </x:c>
      <x:c r="U82" s="68" t="str">
        <x:v>格神受制、混杂、路径受阻、日主承载不足或救应只能局部作用</x:v>
      </x:c>
      <x:c r="V82" s="90" t="str">
        <x:v>格神失效、核心作用路径完全中断，或特殊格局硬门槛被有效反证否决</x:v>
      </x:c>
      <x:c r="W82" s="68" t="str">
        <x:v>特殊格局严格条件、流派争议及岁运补成另按专门规则处理</x:v>
      </x:c>
      <x:c r="X82" s="84" t="str">
        <x:v>化气格_假化</x:v>
      </x:c>
      <x:c r="Y82" s="84" t="str">
        <x:v>假化候选判为“成立但有破”：破格等级为“一般”，救应为“无救应”，清纯度为“有杂”；层次需结合全局继续评估。</x:v>
      </x:c>
      <x:c r="Z82" s="68" t="str">
        <x:v>若“格神失效、核心作用路径完全中断，或特殊格局硬门槛被有效反证否决”成立，应降低为成立但有破或不成立，不得维持当前结论。</x:v>
      </x:c>
      <x:c r="AA82" s="82" t="str">
        <x:v>中等</x:v>
      </x:c>
      <x:c r="AB82" s="82" t="str">
        <x:v>子平格局</x:v>
      </x:c>
      <x:c r="AC82" s="68" t="str">
        <x:v>格局成败须区分：格神是否有效、结构是否能运行、是否存在破坏、救应是否直接修复破格机制，以及格局成立与层次高低。</x:v>
      </x:c>
      <x:c r="AD82" s="68" t="str">
        <x:v>当“化神明显成势，但日主仍有残根、同党或局部自立能力”成立，且成格证据相互支持、无决定性否决时，可按本规则判断。</x:v>
      </x:c>
      <x:c r="AE82" s="90" t="str">
        <x:v>只有格局名称或局部组合，但“格神失效、核心作用路径完全中断，或特殊格局硬门槛被有效反证否决”成立时，不能按本规则维持格局。</x:v>
      </x:c>
      <x:c r="AF82" s="68" t="str">
        <x:v>https://zh.wikisource.org/wiki/%E6%BB%B4%E5%A4%A9%E9%AB%93%E9%97%A1%E5%BE%AE ; https://zh.wikisource.org/zh-hans/%E6%BB%B4%E5%A4%A9%E9%AB%93</x:v>
      </x:c>
      <x:c r="AG82" s="82" t="str">
        <x:v>待验证</x:v>
      </x:c>
      <x:c r="AH82" s="82" t="str">
        <x:v>初审</x:v>
      </x:c>
      <x:c r="AI82" s="87" t="n">
        <x:v>46260</x:v>
      </x:c>
    </x:row>
    <x:row r="83">
      <x:c r="A83" s="72" t="str">
        <x:f>IF(OR(C83="",D83=""),"",B83&amp;"-"&amp;UPPER(C83)&amp;"-"&amp;TEXT(D83,"0000")&amp;"-"&amp;E83)</x:f>
        <x:v>M15-HUAQI-0077-V1.0</x:v>
      </x:c>
      <x:c r="B83" s="74" t="str">
        <x:v>M15</x:v>
      </x:c>
      <x:c r="C83" s="74" t="str">
        <x:v>HUAQI</x:v>
      </x:c>
      <x:c r="D83" s="215" t="n">
        <x:v>77</x:v>
      </x:c>
      <x:c r="E83" s="74" t="str">
        <x:v>V1.0</x:v>
      </x:c>
      <x:c r="F83" s="68" t="str">
        <x:v>生扶化神并制去逆神可形成有破有救</x:v>
      </x:c>
      <x:c r="G83" s="82" t="str">
        <x:v>综合层</x:v>
      </x:c>
      <x:c r="H83" s="68" t="str">
        <x:v>化气格候选</x:v>
      </x:c>
      <x:c r="I83" s="68" t="str">
        <x:v>化神原受损，但第三力量直接生扶化神或制去破化之神</x:v>
      </x:c>
      <x:c r="J83" s="68" t="str">
        <x:v>救应能恢复化神主导性和主要流通路径</x:v>
      </x:c>
      <x:c r="K83" s="68" t="str">
        <x:v>化神受克或化局受破</x:v>
      </x:c>
      <x:c r="L83" s="82" t="str">
        <x:v>一般</x:v>
      </x:c>
      <x:c r="M83" s="68" t="str">
        <x:v>扶化神、制逆神</x:v>
      </x:c>
      <x:c r="N83" s="82" t="str">
        <x:v>明显有效</x:v>
      </x:c>
      <x:c r="O83" s="84" t="str">
        <x:v>有破有救</x:v>
      </x:c>
      <x:c r="P83" s="82" t="str">
        <x:v>有杂</x:v>
      </x:c>
      <x:c r="Q83" s="68" t="str">
        <x:v>化气结构得到恢复，但低于原局真化无破</x:v>
      </x:c>
      <x:c r="R83" s="68" t="str">
        <x:v>M14已生成候选；M08、M09、M10、M11相关结论可追溯</x:v>
      </x:c>
      <x:c r="S83" s="68" t="str">
        <x:v>格神与关键配合十神均以有效力量和实际功能为准</x:v>
      </x:c>
      <x:c r="T83" s="68" t="str">
        <x:v>格神得令、有根、透达、清纯，组合路径稳定且日主承载匹配</x:v>
      </x:c>
      <x:c r="U83" s="68" t="str">
        <x:v>格神受制、混杂、路径受阻、日主承载不足或救应只能局部作用</x:v>
      </x:c>
      <x:c r="V83" s="90" t="str">
        <x:v>格神失效、核心作用路径完全中断，或特殊格局硬门槛被有效反证否决</x:v>
      </x:c>
      <x:c r="W83" s="68" t="str">
        <x:v>特殊格局严格条件、流派争议及岁运补成另按专门规则处理</x:v>
      </x:c>
      <x:c r="X83" s="84" t="str">
        <x:v>化气格_救化</x:v>
      </x:c>
      <x:c r="Y83" s="84" t="str">
        <x:v>化气格候选判为“有破有救”：破格等级为“一般”，救应为“明显有效”，清纯度为“有杂”；层次需结合全局继续评估。</x:v>
      </x:c>
      <x:c r="Z83" s="68" t="str">
        <x:v>若“格神失效、核心作用路径完全中断，或特殊格局硬门槛被有效反证否决”成立，应降低为成立但有破或不成立，不得维持当前结论。</x:v>
      </x:c>
      <x:c r="AA83" s="82" t="str">
        <x:v>较高</x:v>
      </x:c>
      <x:c r="AB83" s="82" t="str">
        <x:v>子平格局</x:v>
      </x:c>
      <x:c r="AC83" s="68" t="str">
        <x:v>格局成败须区分：格神是否有效、结构是否能运行、是否存在破坏、救应是否直接修复破格机制，以及格局成立与层次高低。</x:v>
      </x:c>
      <x:c r="AD83" s="68" t="str">
        <x:v>当“化神原受损，但第三力量直接生扶化神或制去破化之神”成立，且成格证据相互支持、无决定性否决时，可按本规则判断。</x:v>
      </x:c>
      <x:c r="AE83" s="90" t="str">
        <x:v>只有格局名称或局部组合，但“格神失效、核心作用路径完全中断，或特殊格局硬门槛被有效反证否决”成立时，不能按本规则维持格局。</x:v>
      </x:c>
      <x:c r="AF83" s="68" t="str">
        <x:v>https://zh.wikisource.org/wiki/%E6%BB%B4%E5%A4%A9%E9%AB%93%E9%97%A1%E5%BE%AE ; https://zh.wikisource.org/zh-hans/%E6%BB%B4%E5%A4%A9%E9%AB%93</x:v>
      </x:c>
      <x:c r="AG83" s="82" t="str">
        <x:v>采用</x:v>
      </x:c>
      <x:c r="AH83" s="82" t="str">
        <x:v>初审</x:v>
      </x:c>
      <x:c r="AI83" s="87" t="n">
        <x:v>46260</x:v>
      </x:c>
    </x:row>
    <x:row r="84">
      <x:c r="A84" s="72" t="str">
        <x:f>IF(OR(C84="",D84=""),"",B84&amp;"-"&amp;UPPER(C84)&amp;"-"&amp;TEXT(D84,"0000")&amp;"-"&amp;E84)</x:f>
        <x:v>M15-HUAQI-0078-V1.0</x:v>
      </x:c>
      <x:c r="B84" s="74" t="str">
        <x:v>M15</x:v>
      </x:c>
      <x:c r="C84" s="74" t="str">
        <x:v>HUAQI</x:v>
      </x:c>
      <x:c r="D84" s="215" t="n">
        <x:v>78</x:v>
      </x:c>
      <x:c r="E84" s="74" t="str">
        <x:v>V1.0</x:v>
      </x:c>
      <x:c r="F84" s="68" t="str">
        <x:v>化气格清纯度取决于全局是否顺化神</x:v>
      </x:c>
      <x:c r="G84" s="82" t="str">
        <x:v>综合层</x:v>
      </x:c>
      <x:c r="H84" s="68" t="str">
        <x:v>化气格候选</x:v>
      </x:c>
      <x:c r="I84" s="68" t="str">
        <x:v>真化或假化候选成立</x:v>
      </x:c>
      <x:c r="J84" s="68" t="str">
        <x:v>财官印食等十神关系按化神重映射后方向一致</x:v>
      </x:c>
      <x:c r="K84" s="68" t="str">
        <x:v>杂气逆化或原气反复出现</x:v>
      </x:c>
      <x:c r="L84" s="82" t="str">
        <x:v>待定</x:v>
      </x:c>
      <x:c r="M84" s="68" t="str">
        <x:v>待定</x:v>
      </x:c>
      <x:c r="N84" s="82" t="str">
        <x:v>待定</x:v>
      </x:c>
      <x:c r="O84" s="84" t="str">
        <x:v>待定</x:v>
      </x:c>
      <x:c r="P84" s="82" t="str">
        <x:v>待定</x:v>
      </x:c>
      <x:c r="Q84" s="68" t="str">
        <x:v>不能只看天干一合，需看全局是否真正围绕化神运行</x:v>
      </x:c>
      <x:c r="R84" s="68" t="str">
        <x:v>M14已生成候选；M08、M09、M10、M11相关结论可追溯</x:v>
      </x:c>
      <x:c r="S84" s="68" t="str">
        <x:v>格神与关键配合十神均以有效力量和实际功能为准</x:v>
      </x:c>
      <x:c r="T84" s="68" t="str">
        <x:v>格神得令、有根、透达、清纯，组合路径稳定且日主承载匹配</x:v>
      </x:c>
      <x:c r="U84" s="68" t="str">
        <x:v>格神受制、混杂、路径受阻、日主承载不足或救应只能局部作用</x:v>
      </x:c>
      <x:c r="V84" s="90" t="str">
        <x:v>格神失效、核心作用路径完全中断，或特殊格局硬门槛被有效反证否决</x:v>
      </x:c>
      <x:c r="W84" s="68" t="str">
        <x:v>特殊格局严格条件、流派争议及岁运补成另按专门规则处理</x:v>
      </x:c>
      <x:c r="X84" s="84" t="str">
        <x:v>化气格_全局顺化</x:v>
      </x:c>
      <x:c r="Y84" s="84" t="str">
        <x:v>化气格候选判为“待定”：破格等级为“待定”，救应为“待定”，清纯度为“待定”；层次需结合全局继续评估。</x:v>
      </x:c>
      <x:c r="Z84" s="68" t="str">
        <x:v>若“格神失效、核心作用路径完全中断，或特殊格局硬门槛被有效反证否决”成立，应降低为成立但有破或不成立，不得维持当前结论。</x:v>
      </x:c>
      <x:c r="AA84" s="82" t="str">
        <x:v>较高</x:v>
      </x:c>
      <x:c r="AB84" s="82" t="str">
        <x:v>子平格局</x:v>
      </x:c>
      <x:c r="AC84" s="68" t="str">
        <x:v>格局成败须区分：格神是否有效、结构是否能运行、是否存在破坏、救应是否直接修复破格机制，以及格局成立与层次高低。</x:v>
      </x:c>
      <x:c r="AD84" s="68" t="str">
        <x:v>当“真化或假化候选成立”成立，且成格证据相互支持、无决定性否决时，可按本规则判断。</x:v>
      </x:c>
      <x:c r="AE84" s="90" t="str">
        <x:v>只有格局名称或局部组合，但“格神失效、核心作用路径完全中断，或特殊格局硬门槛被有效反证否决”成立时，不能按本规则维持格局。</x:v>
      </x:c>
      <x:c r="AF84" s="68" t="str">
        <x:v>https://zh.wikisource.org/wiki/%E6%BB%B4%E5%A4%A9%E9%AB%93%E9%97%A1%E5%BE%AE ; https://zh.wikisource.org/zh-hans/%E6%BB%B4%E5%A4%A9%E9%AB%93</x:v>
      </x:c>
      <x:c r="AG84" s="82" t="str">
        <x:v>采用</x:v>
      </x:c>
      <x:c r="AH84" s="82" t="str">
        <x:v>初审</x:v>
      </x:c>
      <x:c r="AI84" s="87" t="n">
        <x:v>46260</x:v>
      </x:c>
    </x:row>
    <x:row r="85">
      <x:c r="A85" s="72" t="str">
        <x:f>IF(OR(C85="",D85=""),"",B85&amp;"-"&amp;UPPER(C85)&amp;"-"&amp;TEXT(D85,"0000")&amp;"-"&amp;E85)</x:f>
        <x:v>M15-ZHUAN-0079-V1.0</x:v>
      </x:c>
      <x:c r="B85" s="74" t="str">
        <x:v>M15</x:v>
      </x:c>
      <x:c r="C85" s="74" t="str">
        <x:v>ZHUAN</x:v>
      </x:c>
      <x:c r="D85" s="215" t="n">
        <x:v>79</x:v>
      </x:c>
      <x:c r="E85" s="74" t="str">
        <x:v>V1.0</x:v>
      </x:c>
      <x:c r="F85" s="68" t="str">
        <x:v>专旺格严格成立要求一气独旺且逆神无效</x:v>
      </x:c>
      <x:c r="G85" s="82" t="str">
        <x:v>综合层</x:v>
      </x:c>
      <x:c r="H85" s="68" t="str">
        <x:v>专旺候选</x:v>
      </x:c>
      <x:c r="I85" s="68" t="str">
        <x:v>日主同类五行得令、多根、透干成党，全局一气主导，克制该气的力量无效</x:v>
      </x:c>
      <x:c r="J85" s="68" t="str">
        <x:v>月令、地支方局、透干与主路径均指向同一五行</x:v>
      </x:c>
      <x:c r="K85" s="68" t="str">
        <x:v>无决定性破格因素</x:v>
      </x:c>
      <x:c r="L85" s="82" t="str">
        <x:v>无破</x:v>
      </x:c>
      <x:c r="M85" s="68" t="str">
        <x:v>无须救应</x:v>
      </x:c>
      <x:c r="N85" s="82" t="str">
        <x:v>无救应</x:v>
      </x:c>
      <x:c r="O85" s="84" t="str">
        <x:v>特殊格局严格成立</x:v>
      </x:c>
      <x:c r="P85" s="82" t="str">
        <x:v>清纯</x:v>
      </x:c>
      <x:c r="Q85" s="68" t="str">
        <x:v>一气成象，普通均衡逻辑需服从专旺气势</x:v>
      </x:c>
      <x:c r="R85" s="68" t="str">
        <x:v>M14已生成候选；M08、M09、M10、M11相关结论可追溯</x:v>
      </x:c>
      <x:c r="S85" s="68" t="str">
        <x:v>格神与关键配合十神均以有效力量和实际功能为准</x:v>
      </x:c>
      <x:c r="T85" s="68" t="str">
        <x:v>格神得令、有根、透达、清纯，组合路径稳定且日主承载匹配</x:v>
      </x:c>
      <x:c r="U85" s="68" t="str">
        <x:v>格神受制、混杂、路径受阻、日主承载不足或救应只能局部作用</x:v>
      </x:c>
      <x:c r="V85" s="90" t="str">
        <x:v>格神失效、核心作用路径完全中断，或特殊格局硬门槛被有效反证否决</x:v>
      </x:c>
      <x:c r="W85" s="68" t="str">
        <x:v>特殊格局严格条件、流派争议及岁运补成另按专门规则处理</x:v>
      </x:c>
      <x:c r="X85" s="84" t="str">
        <x:v>专旺格_严格成立</x:v>
      </x:c>
      <x:c r="Y85" s="84" t="str">
        <x:v>专旺候选判为“特殊格局严格成立”：破格等级为“无破”，救应为“无救应”，清纯度为“清纯”；层次需结合全局继续评估。</x:v>
      </x:c>
      <x:c r="Z85" s="68" t="str">
        <x:v>若“格神失效、核心作用路径完全中断，或特殊格局硬门槛被有效反证否决”成立，应降低为成立但有破或不成立，不得维持当前结论。</x:v>
      </x:c>
      <x:c r="AA85" s="82" t="str">
        <x:v>较高</x:v>
      </x:c>
      <x:c r="AB85" s="82" t="str">
        <x:v>子平格局</x:v>
      </x:c>
      <x:c r="AC85" s="68" t="str">
        <x:v>格局成败须区分：格神是否有效、结构是否能运行、是否存在破坏、救应是否直接修复破格机制，以及格局成立与层次高低。</x:v>
      </x:c>
      <x:c r="AD85" s="68" t="str">
        <x:v>当“日主同类五行得令、多根、透干成党，全局一气主导，克制该气的力量无效”成立，且成格证据相互支持、无决定性否决时，可按本规则判断。</x:v>
      </x:c>
      <x:c r="AE85" s="90" t="str">
        <x:v>只有格局名称或局部组合，但“格神失效、核心作用路径完全中断，或特殊格局硬门槛被有效反证否决”成立时，不能按本规则维持格局。</x:v>
      </x:c>
      <x:c r="AF85" s="68" t="str">
        <x:v>https://zh.wikisource.org/wiki/%E6%BB%B4%E5%A4%A9%E9%AB%93%E9%97%A1%E5%BE%AE ; https://zh.wikisource.org/zh-hans/%E6%BB%B4%E5%A4%A9%E9%AB%93</x:v>
      </x:c>
      <x:c r="AG85" s="82" t="str">
        <x:v>采用</x:v>
      </x:c>
      <x:c r="AH85" s="82" t="str">
        <x:v>初审</x:v>
      </x:c>
      <x:c r="AI85" s="87" t="n">
        <x:v>46260</x:v>
      </x:c>
    </x:row>
    <x:row r="86">
      <x:c r="A86" s="72" t="str">
        <x:f>IF(OR(C86="",D86=""),"",B86&amp;"-"&amp;UPPER(C86)&amp;"-"&amp;TEXT(D86,"0000")&amp;"-"&amp;E86)</x:f>
        <x:v>M15-ZHUAN-0080-V1.0</x:v>
      </x:c>
      <x:c r="B86" s="74" t="str">
        <x:v>M15</x:v>
      </x:c>
      <x:c r="C86" s="74" t="str">
        <x:v>ZHUAN</x:v>
      </x:c>
      <x:c r="D86" s="215" t="n">
        <x:v>80</x:v>
      </x:c>
      <x:c r="E86" s="74" t="str">
        <x:v>V1.0</x:v>
      </x:c>
      <x:c r="F86" s="68" t="str">
        <x:v>曲直格候选严格成立条件</x:v>
      </x:c>
      <x:c r="G86" s="82" t="str">
        <x:v>综合层</x:v>
      </x:c>
      <x:c r="H86" s="68" t="str">
        <x:v>曲直格候选</x:v>
      </x:c>
      <x:c r="I86" s="68" t="str">
        <x:v>木得令成方成局、透干成党，日主属木，全局顺木势</x:v>
      </x:c>
      <x:c r="J86" s="68" t="str">
        <x:v>木覆盖月令、根气、透干和主要流通方向</x:v>
      </x:c>
      <x:c r="K86" s="68" t="str">
        <x:v>克木的金无有效成势</x:v>
      </x:c>
      <x:c r="L86" s="82" t="str">
        <x:v>无破</x:v>
      </x:c>
      <x:c r="M86" s="68" t="str">
        <x:v>无须救应</x:v>
      </x:c>
      <x:c r="N86" s="82" t="str">
        <x:v>无救应</x:v>
      </x:c>
      <x:c r="O86" s="84" t="str">
        <x:v>特殊格局严格成立</x:v>
      </x:c>
      <x:c r="P86" s="82" t="str">
        <x:v>清纯</x:v>
      </x:c>
      <x:c r="Q86" s="68" t="str">
        <x:v>木一气成象，杂气不足以改变主势</x:v>
      </x:c>
      <x:c r="R86" s="68" t="str">
        <x:v>M14已生成候选；M08、M09、M10、M11相关结论可追溯</x:v>
      </x:c>
      <x:c r="S86" s="68" t="str">
        <x:v>格神与关键配合十神均以有效力量和实际功能为准</x:v>
      </x:c>
      <x:c r="T86" s="68" t="str">
        <x:v>格神得令、有根、透达、清纯，组合路径稳定且日主承载匹配</x:v>
      </x:c>
      <x:c r="U86" s="68" t="str">
        <x:v>格神受制、混杂、路径受阻、日主承载不足或救应只能局部作用</x:v>
      </x:c>
      <x:c r="V86" s="90" t="str">
        <x:v>格神失效、核心作用路径完全中断，或特殊格局硬门槛被有效反证否决</x:v>
      </x:c>
      <x:c r="W86" s="68" t="str">
        <x:v>特殊格局严格条件、流派争议及岁运补成另按专门规则处理</x:v>
      </x:c>
      <x:c r="X86" s="84" t="str">
        <x:v>曲直格候选_严格成立</x:v>
      </x:c>
      <x:c r="Y86" s="84" t="str">
        <x:v>曲直格候选判为“特殊格局严格成立”：破格等级为“无破”，救应为“无救应”，清纯度为“清纯”；层次需结合全局继续评估。</x:v>
      </x:c>
      <x:c r="Z86" s="68" t="str">
        <x:v>若“格神失效、核心作用路径完全中断，或特殊格局硬门槛被有效反证否决”成立，应降低为成立但有破或不成立，不得维持当前结论。</x:v>
      </x:c>
      <x:c r="AA86" s="82" t="str">
        <x:v>较高</x:v>
      </x:c>
      <x:c r="AB86" s="82" t="str">
        <x:v>子平格局</x:v>
      </x:c>
      <x:c r="AC86" s="68" t="str">
        <x:v>格局成败须区分：格神是否有效、结构是否能运行、是否存在破坏、救应是否直接修复破格机制，以及格局成立与层次高低。</x:v>
      </x:c>
      <x:c r="AD86" s="68" t="str">
        <x:v>当“木得令成方成局、透干成党，日主属木，全局顺木势”成立，且成格证据相互支持、无决定性否决时，可按本规则判断。</x:v>
      </x:c>
      <x:c r="AE86" s="90" t="str">
        <x:v>只有格局名称或局部组合，但“格神失效、核心作用路径完全中断，或特殊格局硬门槛被有效反证否决”成立时，不能按本规则维持格局。</x:v>
      </x:c>
      <x:c r="AF86" s="68" t="str">
        <x:v>https://zh.wikisource.org/wiki/%E6%BB%B4%E5%A4%A9%E9%AB%93%E9%97%A1%E5%BE%AE ; https://zh.wikisource.org/zh-hans/%E6%BB%B4%E5%A4%A9%E9%AB%93</x:v>
      </x:c>
      <x:c r="AG86" s="82" t="str">
        <x:v>采用</x:v>
      </x:c>
      <x:c r="AH86" s="82" t="str">
        <x:v>初审</x:v>
      </x:c>
      <x:c r="AI86" s="87" t="n">
        <x:v>46260</x:v>
      </x:c>
    </x:row>
    <x:row r="87">
      <x:c r="A87" s="72" t="str">
        <x:f>IF(OR(C87="",D87=""),"",B87&amp;"-"&amp;UPPER(C87)&amp;"-"&amp;TEXT(D87,"0000")&amp;"-"&amp;E87)</x:f>
        <x:v>M15-ZHUAN-0081-V1.0</x:v>
      </x:c>
      <x:c r="B87" s="74" t="str">
        <x:v>M15</x:v>
      </x:c>
      <x:c r="C87" s="74" t="str">
        <x:v>ZHUAN</x:v>
      </x:c>
      <x:c r="D87" s="215" t="n">
        <x:v>81</x:v>
      </x:c>
      <x:c r="E87" s="74" t="str">
        <x:v>V1.0</x:v>
      </x:c>
      <x:c r="F87" s="68" t="str">
        <x:v>炎上格候选严格成立条件</x:v>
      </x:c>
      <x:c r="G87" s="82" t="str">
        <x:v>综合层</x:v>
      </x:c>
      <x:c r="H87" s="68" t="str">
        <x:v>炎上格候选</x:v>
      </x:c>
      <x:c r="I87" s="68" t="str">
        <x:v>火得令成方成局、透干成党，日主属火，全局顺火势</x:v>
      </x:c>
      <x:c r="J87" s="68" t="str">
        <x:v>火覆盖月令、根气、透干和主要流通方向</x:v>
      </x:c>
      <x:c r="K87" s="68" t="str">
        <x:v>克火的水无有效成势</x:v>
      </x:c>
      <x:c r="L87" s="82" t="str">
        <x:v>无破</x:v>
      </x:c>
      <x:c r="M87" s="68" t="str">
        <x:v>无须救应</x:v>
      </x:c>
      <x:c r="N87" s="82" t="str">
        <x:v>无救应</x:v>
      </x:c>
      <x:c r="O87" s="84" t="str">
        <x:v>特殊格局严格成立</x:v>
      </x:c>
      <x:c r="P87" s="82" t="str">
        <x:v>清纯</x:v>
      </x:c>
      <x:c r="Q87" s="68" t="str">
        <x:v>火一气成象，杂气不足以改变主势</x:v>
      </x:c>
      <x:c r="R87" s="68" t="str">
        <x:v>M14已生成候选；M08、M09、M10、M11相关结论可追溯</x:v>
      </x:c>
      <x:c r="S87" s="68" t="str">
        <x:v>格神与关键配合十神均以有效力量和实际功能为准</x:v>
      </x:c>
      <x:c r="T87" s="68" t="str">
        <x:v>格神得令、有根、透达、清纯，组合路径稳定且日主承载匹配</x:v>
      </x:c>
      <x:c r="U87" s="68" t="str">
        <x:v>格神受制、混杂、路径受阻、日主承载不足或救应只能局部作用</x:v>
      </x:c>
      <x:c r="V87" s="90" t="str">
        <x:v>格神失效、核心作用路径完全中断，或特殊格局硬门槛被有效反证否决</x:v>
      </x:c>
      <x:c r="W87" s="68" t="str">
        <x:v>特殊格局严格条件、流派争议及岁运补成另按专门规则处理</x:v>
      </x:c>
      <x:c r="X87" s="84" t="str">
        <x:v>炎上格候选_严格成立</x:v>
      </x:c>
      <x:c r="Y87" s="84" t="str">
        <x:v>炎上格候选判为“特殊格局严格成立”：破格等级为“无破”，救应为“无救应”，清纯度为“清纯”；层次需结合全局继续评估。</x:v>
      </x:c>
      <x:c r="Z87" s="68" t="str">
        <x:v>若“格神失效、核心作用路径完全中断，或特殊格局硬门槛被有效反证否决”成立，应降低为成立但有破或不成立，不得维持当前结论。</x:v>
      </x:c>
      <x:c r="AA87" s="82" t="str">
        <x:v>较高</x:v>
      </x:c>
      <x:c r="AB87" s="82" t="str">
        <x:v>子平格局</x:v>
      </x:c>
      <x:c r="AC87" s="68" t="str">
        <x:v>格局成败须区分：格神是否有效、结构是否能运行、是否存在破坏、救应是否直接修复破格机制，以及格局成立与层次高低。</x:v>
      </x:c>
      <x:c r="AD87" s="68" t="str">
        <x:v>当“火得令成方成局、透干成党，日主属火，全局顺火势”成立，且成格证据相互支持、无决定性否决时，可按本规则判断。</x:v>
      </x:c>
      <x:c r="AE87" s="90" t="str">
        <x:v>只有格局名称或局部组合，但“格神失效、核心作用路径完全中断，或特殊格局硬门槛被有效反证否决”成立时，不能按本规则维持格局。</x:v>
      </x:c>
      <x:c r="AF87" s="68" t="str">
        <x:v>https://zh.wikisource.org/wiki/%E6%BB%B4%E5%A4%A9%E9%AB%93%E9%97%A1%E5%BE%AE ; https://zh.wikisource.org/zh-hans/%E6%BB%B4%E5%A4%A9%E9%AB%93</x:v>
      </x:c>
      <x:c r="AG87" s="82" t="str">
        <x:v>采用</x:v>
      </x:c>
      <x:c r="AH87" s="82" t="str">
        <x:v>初审</x:v>
      </x:c>
      <x:c r="AI87" s="87" t="n">
        <x:v>46260</x:v>
      </x:c>
    </x:row>
    <x:row r="88">
      <x:c r="A88" s="72" t="str">
        <x:f>IF(OR(C88="",D88=""),"",B88&amp;"-"&amp;UPPER(C88)&amp;"-"&amp;TEXT(D88,"0000")&amp;"-"&amp;E88)</x:f>
        <x:v>M15-ZHUAN-0082-V1.0</x:v>
      </x:c>
      <x:c r="B88" s="74" t="str">
        <x:v>M15</x:v>
      </x:c>
      <x:c r="C88" s="74" t="str">
        <x:v>ZHUAN</x:v>
      </x:c>
      <x:c r="D88" s="215" t="n">
        <x:v>82</x:v>
      </x:c>
      <x:c r="E88" s="74" t="str">
        <x:v>V1.0</x:v>
      </x:c>
      <x:c r="F88" s="68" t="str">
        <x:v>稼穑格候选严格成立条件</x:v>
      </x:c>
      <x:c r="G88" s="82" t="str">
        <x:v>综合层</x:v>
      </x:c>
      <x:c r="H88" s="68" t="str">
        <x:v>稼穑格候选</x:v>
      </x:c>
      <x:c r="I88" s="68" t="str">
        <x:v>土得令成方成局、透干成党，日主属土，全局顺土势</x:v>
      </x:c>
      <x:c r="J88" s="68" t="str">
        <x:v>土覆盖月令、根气、透干和主要流通方向</x:v>
      </x:c>
      <x:c r="K88" s="68" t="str">
        <x:v>克土的木无有效成势</x:v>
      </x:c>
      <x:c r="L88" s="82" t="str">
        <x:v>无破</x:v>
      </x:c>
      <x:c r="M88" s="68" t="str">
        <x:v>无须救应</x:v>
      </x:c>
      <x:c r="N88" s="82" t="str">
        <x:v>无救应</x:v>
      </x:c>
      <x:c r="O88" s="84" t="str">
        <x:v>特殊格局严格成立</x:v>
      </x:c>
      <x:c r="P88" s="82" t="str">
        <x:v>清纯</x:v>
      </x:c>
      <x:c r="Q88" s="68" t="str">
        <x:v>土一气成象，杂气不足以改变主势</x:v>
      </x:c>
      <x:c r="R88" s="68" t="str">
        <x:v>M14已生成候选；M08、M09、M10、M11相关结论可追溯</x:v>
      </x:c>
      <x:c r="S88" s="68" t="str">
        <x:v>格神与关键配合十神均以有效力量和实际功能为准</x:v>
      </x:c>
      <x:c r="T88" s="68" t="str">
        <x:v>格神得令、有根、透达、清纯，组合路径稳定且日主承载匹配</x:v>
      </x:c>
      <x:c r="U88" s="68" t="str">
        <x:v>格神受制、混杂、路径受阻、日主承载不足或救应只能局部作用</x:v>
      </x:c>
      <x:c r="V88" s="90" t="str">
        <x:v>格神失效、核心作用路径完全中断，或特殊格局硬门槛被有效反证否决</x:v>
      </x:c>
      <x:c r="W88" s="68" t="str">
        <x:v>特殊格局严格条件、流派争议及岁运补成另按专门规则处理</x:v>
      </x:c>
      <x:c r="X88" s="84" t="str">
        <x:v>稼穑格候选_严格成立</x:v>
      </x:c>
      <x:c r="Y88" s="84" t="str">
        <x:v>稼穑格候选判为“特殊格局严格成立”：破格等级为“无破”，救应为“无救应”，清纯度为“清纯”；层次需结合全局继续评估。</x:v>
      </x:c>
      <x:c r="Z88" s="68" t="str">
        <x:v>若“格神失效、核心作用路径完全中断，或特殊格局硬门槛被有效反证否决”成立，应降低为成立但有破或不成立，不得维持当前结论。</x:v>
      </x:c>
      <x:c r="AA88" s="82" t="str">
        <x:v>较高</x:v>
      </x:c>
      <x:c r="AB88" s="82" t="str">
        <x:v>子平格局</x:v>
      </x:c>
      <x:c r="AC88" s="68" t="str">
        <x:v>格局成败须区分：格神是否有效、结构是否能运行、是否存在破坏、救应是否直接修复破格机制，以及格局成立与层次高低。</x:v>
      </x:c>
      <x:c r="AD88" s="68" t="str">
        <x:v>当“土得令成方成局、透干成党，日主属土，全局顺土势”成立，且成格证据相互支持、无决定性否决时，可按本规则判断。</x:v>
      </x:c>
      <x:c r="AE88" s="90" t="str">
        <x:v>只有格局名称或局部组合，但“格神失效、核心作用路径完全中断，或特殊格局硬门槛被有效反证否决”成立时，不能按本规则维持格局。</x:v>
      </x:c>
      <x:c r="AF88" s="68" t="str">
        <x:v>https://zh.wikisource.org/wiki/%E6%BB%B4%E5%A4%A9%E9%AB%93%E9%97%A1%E5%BE%AE ; https://zh.wikisource.org/zh-hans/%E6%BB%B4%E5%A4%A9%E9%AB%93</x:v>
      </x:c>
      <x:c r="AG88" s="82" t="str">
        <x:v>采用</x:v>
      </x:c>
      <x:c r="AH88" s="82" t="str">
        <x:v>初审</x:v>
      </x:c>
      <x:c r="AI88" s="87" t="n">
        <x:v>46260</x:v>
      </x:c>
    </x:row>
    <x:row r="89">
      <x:c r="A89" s="72" t="str">
        <x:f>IF(OR(C89="",D89=""),"",B89&amp;"-"&amp;UPPER(C89)&amp;"-"&amp;TEXT(D89,"0000")&amp;"-"&amp;E89)</x:f>
        <x:v>M15-ZHUAN-0083-V1.0</x:v>
      </x:c>
      <x:c r="B89" s="74" t="str">
        <x:v>M15</x:v>
      </x:c>
      <x:c r="C89" s="74" t="str">
        <x:v>ZHUAN</x:v>
      </x:c>
      <x:c r="D89" s="215" t="n">
        <x:v>83</x:v>
      </x:c>
      <x:c r="E89" s="74" t="str">
        <x:v>V1.0</x:v>
      </x:c>
      <x:c r="F89" s="68" t="str">
        <x:v>从革格候选严格成立条件</x:v>
      </x:c>
      <x:c r="G89" s="82" t="str">
        <x:v>综合层</x:v>
      </x:c>
      <x:c r="H89" s="68" t="str">
        <x:v>从革格候选</x:v>
      </x:c>
      <x:c r="I89" s="68" t="str">
        <x:v>金得令成方成局、透干成党，日主属金，全局顺金势</x:v>
      </x:c>
      <x:c r="J89" s="68" t="str">
        <x:v>金覆盖月令、根气、透干和主要流通方向</x:v>
      </x:c>
      <x:c r="K89" s="68" t="str">
        <x:v>克金的火无有效成势</x:v>
      </x:c>
      <x:c r="L89" s="82" t="str">
        <x:v>无破</x:v>
      </x:c>
      <x:c r="M89" s="68" t="str">
        <x:v>无须救应</x:v>
      </x:c>
      <x:c r="N89" s="82" t="str">
        <x:v>无救应</x:v>
      </x:c>
      <x:c r="O89" s="84" t="str">
        <x:v>特殊格局严格成立</x:v>
      </x:c>
      <x:c r="P89" s="82" t="str">
        <x:v>清纯</x:v>
      </x:c>
      <x:c r="Q89" s="68" t="str">
        <x:v>金一气成象，杂气不足以改变主势</x:v>
      </x:c>
      <x:c r="R89" s="68" t="str">
        <x:v>M14已生成候选；M08、M09、M10、M11相关结论可追溯</x:v>
      </x:c>
      <x:c r="S89" s="68" t="str">
        <x:v>格神与关键配合十神均以有效力量和实际功能为准</x:v>
      </x:c>
      <x:c r="T89" s="68" t="str">
        <x:v>格神得令、有根、透达、清纯，组合路径稳定且日主承载匹配</x:v>
      </x:c>
      <x:c r="U89" s="68" t="str">
        <x:v>格神受制、混杂、路径受阻、日主承载不足或救应只能局部作用</x:v>
      </x:c>
      <x:c r="V89" s="90" t="str">
        <x:v>格神失效、核心作用路径完全中断，或特殊格局硬门槛被有效反证否决</x:v>
      </x:c>
      <x:c r="W89" s="68" t="str">
        <x:v>特殊格局严格条件、流派争议及岁运补成另按专门规则处理</x:v>
      </x:c>
      <x:c r="X89" s="84" t="str">
        <x:v>从革格候选_严格成立</x:v>
      </x:c>
      <x:c r="Y89" s="84" t="str">
        <x:v>从革格候选判为“特殊格局严格成立”：破格等级为“无破”，救应为“无救应”，清纯度为“清纯”；层次需结合全局继续评估。</x:v>
      </x:c>
      <x:c r="Z89" s="68" t="str">
        <x:v>若“格神失效、核心作用路径完全中断，或特殊格局硬门槛被有效反证否决”成立，应降低为成立但有破或不成立，不得维持当前结论。</x:v>
      </x:c>
      <x:c r="AA89" s="82" t="str">
        <x:v>较高</x:v>
      </x:c>
      <x:c r="AB89" s="82" t="str">
        <x:v>子平格局</x:v>
      </x:c>
      <x:c r="AC89" s="68" t="str">
        <x:v>格局成败须区分：格神是否有效、结构是否能运行、是否存在破坏、救应是否直接修复破格机制，以及格局成立与层次高低。</x:v>
      </x:c>
      <x:c r="AD89" s="68" t="str">
        <x:v>当“金得令成方成局、透干成党，日主属金，全局顺金势”成立，且成格证据相互支持、无决定性否决时，可按本规则判断。</x:v>
      </x:c>
      <x:c r="AE89" s="90" t="str">
        <x:v>只有格局名称或局部组合，但“格神失效、核心作用路径完全中断，或特殊格局硬门槛被有效反证否决”成立时，不能按本规则维持格局。</x:v>
      </x:c>
      <x:c r="AF89" s="68" t="str">
        <x:v>https://zh.wikisource.org/wiki/%E6%BB%B4%E5%A4%A9%E9%AB%93%E9%97%A1%E5%BE%AE ; https://zh.wikisource.org/zh-hans/%E6%BB%B4%E5%A4%A9%E9%AB%93</x:v>
      </x:c>
      <x:c r="AG89" s="82" t="str">
        <x:v>采用</x:v>
      </x:c>
      <x:c r="AH89" s="82" t="str">
        <x:v>初审</x:v>
      </x:c>
      <x:c r="AI89" s="87" t="n">
        <x:v>46260</x:v>
      </x:c>
    </x:row>
    <x:row r="90">
      <x:c r="A90" s="72" t="str">
        <x:f>IF(OR(C90="",D90=""),"",B90&amp;"-"&amp;UPPER(C90)&amp;"-"&amp;TEXT(D90,"0000")&amp;"-"&amp;E90)</x:f>
        <x:v>M15-ZHUAN-0084-V1.0</x:v>
      </x:c>
      <x:c r="B90" s="74" t="str">
        <x:v>M15</x:v>
      </x:c>
      <x:c r="C90" s="74" t="str">
        <x:v>ZHUAN</x:v>
      </x:c>
      <x:c r="D90" s="215" t="n">
        <x:v>84</x:v>
      </x:c>
      <x:c r="E90" s="74" t="str">
        <x:v>V1.0</x:v>
      </x:c>
      <x:c r="F90" s="68" t="str">
        <x:v>润下格候选严格成立条件</x:v>
      </x:c>
      <x:c r="G90" s="82" t="str">
        <x:v>综合层</x:v>
      </x:c>
      <x:c r="H90" s="68" t="str">
        <x:v>润下格候选</x:v>
      </x:c>
      <x:c r="I90" s="68" t="str">
        <x:v>水得令成方成局、透干成党，日主属水，全局顺水势</x:v>
      </x:c>
      <x:c r="J90" s="68" t="str">
        <x:v>水覆盖月令、根气、透干和主要流通方向</x:v>
      </x:c>
      <x:c r="K90" s="68" t="str">
        <x:v>克水的土无有效成势</x:v>
      </x:c>
      <x:c r="L90" s="82" t="str">
        <x:v>无破</x:v>
      </x:c>
      <x:c r="M90" s="68" t="str">
        <x:v>无须救应</x:v>
      </x:c>
      <x:c r="N90" s="82" t="str">
        <x:v>无救应</x:v>
      </x:c>
      <x:c r="O90" s="84" t="str">
        <x:v>特殊格局严格成立</x:v>
      </x:c>
      <x:c r="P90" s="82" t="str">
        <x:v>清纯</x:v>
      </x:c>
      <x:c r="Q90" s="68" t="str">
        <x:v>水一气成象，杂气不足以改变主势</x:v>
      </x:c>
      <x:c r="R90" s="68" t="str">
        <x:v>M14已生成候选；M08、M09、M10、M11相关结论可追溯</x:v>
      </x:c>
      <x:c r="S90" s="68" t="str">
        <x:v>格神与关键配合十神均以有效力量和实际功能为准</x:v>
      </x:c>
      <x:c r="T90" s="68" t="str">
        <x:v>格神得令、有根、透达、清纯，组合路径稳定且日主承载匹配</x:v>
      </x:c>
      <x:c r="U90" s="68" t="str">
        <x:v>格神受制、混杂、路径受阻、日主承载不足或救应只能局部作用</x:v>
      </x:c>
      <x:c r="V90" s="90" t="str">
        <x:v>格神失效、核心作用路径完全中断，或特殊格局硬门槛被有效反证否决</x:v>
      </x:c>
      <x:c r="W90" s="68" t="str">
        <x:v>特殊格局严格条件、流派争议及岁运补成另按专门规则处理</x:v>
      </x:c>
      <x:c r="X90" s="84" t="str">
        <x:v>润下格候选_严格成立</x:v>
      </x:c>
      <x:c r="Y90" s="84" t="str">
        <x:v>润下格候选判为“特殊格局严格成立”：破格等级为“无破”，救应为“无救应”，清纯度为“清纯”；层次需结合全局继续评估。</x:v>
      </x:c>
      <x:c r="Z90" s="68" t="str">
        <x:v>若“格神失效、核心作用路径完全中断，或特殊格局硬门槛被有效反证否决”成立，应降低为成立但有破或不成立，不得维持当前结论。</x:v>
      </x:c>
      <x:c r="AA90" s="82" t="str">
        <x:v>较高</x:v>
      </x:c>
      <x:c r="AB90" s="82" t="str">
        <x:v>子平格局</x:v>
      </x:c>
      <x:c r="AC90" s="68" t="str">
        <x:v>格局成败须区分：格神是否有效、结构是否能运行、是否存在破坏、救应是否直接修复破格机制，以及格局成立与层次高低。</x:v>
      </x:c>
      <x:c r="AD90" s="68" t="str">
        <x:v>当“水得令成方成局、透干成党，日主属水，全局顺水势”成立，且成格证据相互支持、无决定性否决时，可按本规则判断。</x:v>
      </x:c>
      <x:c r="AE90" s="90" t="str">
        <x:v>只有格局名称或局部组合，但“格神失效、核心作用路径完全中断，或特殊格局硬门槛被有效反证否决”成立时，不能按本规则维持格局。</x:v>
      </x:c>
      <x:c r="AF90" s="68" t="str">
        <x:v>https://zh.wikisource.org/wiki/%E6%BB%B4%E5%A4%A9%E9%AB%93%E9%97%A1%E5%BE%AE ; https://zh.wikisource.org/zh-hans/%E6%BB%B4%E5%A4%A9%E9%AB%93</x:v>
      </x:c>
      <x:c r="AG90" s="82" t="str">
        <x:v>采用</x:v>
      </x:c>
      <x:c r="AH90" s="82" t="str">
        <x:v>初审</x:v>
      </x:c>
      <x:c r="AI90" s="87" t="n">
        <x:v>46260</x:v>
      </x:c>
    </x:row>
    <x:row r="91">
      <x:c r="A91" s="72" t="str">
        <x:f>IF(OR(C91="",D91=""),"",B91&amp;"-"&amp;UPPER(C91)&amp;"-"&amp;TEXT(D91,"0000")&amp;"-"&amp;E91)</x:f>
        <x:v>M15-ZHUAN-0085-V1.0</x:v>
      </x:c>
      <x:c r="B91" s="74" t="str">
        <x:v>M15</x:v>
      </x:c>
      <x:c r="C91" s="74" t="str">
        <x:v>ZHUAN</x:v>
      </x:c>
      <x:c r="D91" s="215" t="n">
        <x:v>85</x:v>
      </x:c>
      <x:c r="E91" s="74" t="str">
        <x:v>V1.0</x:v>
      </x:c>
      <x:c r="F91" s="68" t="str">
        <x:v>有效逆克力量会严重破坏专旺</x:v>
      </x:c>
      <x:c r="G91" s="82" t="str">
        <x:v>综合层</x:v>
      </x:c>
      <x:c r="H91" s="68" t="str">
        <x:v>专旺候选</x:v>
      </x:c>
      <x:c r="I91" s="68" t="str">
        <x:v>专旺候选具一气基础</x:v>
      </x:c>
      <x:c r="J91" s="68" t="str">
        <x:v>月令依据、格神根气与有效力量、日主配合及M11组合证据相互支持</x:v>
      </x:c>
      <x:c r="K91" s="68" t="str">
        <x:v>克制主气的逆神有根有源并形成真实制约</x:v>
      </x:c>
      <x:c r="L91" s="82" t="str">
        <x:v>严重</x:v>
      </x:c>
      <x:c r="M91" s="68" t="str">
        <x:v>主气制化逆神或逆神被合制失效</x:v>
      </x:c>
      <x:c r="N91" s="82" t="str">
        <x:v>待定</x:v>
      </x:c>
      <x:c r="O91" s="84" t="str">
        <x:v>成立但有破</x:v>
      </x:c>
      <x:c r="P91" s="82" t="str">
        <x:v>有杂</x:v>
      </x:c>
      <x:c r="Q91" s="68" t="str">
        <x:v>专旺纯度下降；逆神形成独立集团时格局不成立</x:v>
      </x:c>
      <x:c r="R91" s="68" t="str">
        <x:v>M14已生成候选；M08、M09、M10、M11相关结论可追溯</x:v>
      </x:c>
      <x:c r="S91" s="68" t="str">
        <x:v>格神与关键配合十神均以有效力量和实际功能为准</x:v>
      </x:c>
      <x:c r="T91" s="68" t="str">
        <x:v>格神得令、有根、透达、清纯，组合路径稳定且日主承载匹配</x:v>
      </x:c>
      <x:c r="U91" s="68" t="str">
        <x:v>格神受制、混杂、路径受阻、日主承载不足或救应只能局部作用</x:v>
      </x:c>
      <x:c r="V91" s="90" t="str">
        <x:v>格神失效、核心作用路径完全中断，或特殊格局硬门槛被有效反证否决</x:v>
      </x:c>
      <x:c r="W91" s="68" t="str">
        <x:v>特殊格局严格条件、流派争议及岁运补成另按专门规则处理</x:v>
      </x:c>
      <x:c r="X91" s="84" t="str">
        <x:v>专旺格_逆克破格</x:v>
      </x:c>
      <x:c r="Y91" s="84" t="str">
        <x:v>专旺候选判为“成立但有破”：破格等级为“严重”，救应为“待定”，清纯度为“有杂”；层次需结合全局继续评估。</x:v>
      </x:c>
      <x:c r="Z91" s="68" t="str">
        <x:v>若“格神失效、核心作用路径完全中断，或特殊格局硬门槛被有效反证否决”成立，应降低为成立但有破或不成立，不得维持当前结论。</x:v>
      </x:c>
      <x:c r="AA91" s="82" t="str">
        <x:v>较高</x:v>
      </x:c>
      <x:c r="AB91" s="82" t="str">
        <x:v>子平格局</x:v>
      </x:c>
      <x:c r="AC91" s="68" t="str">
        <x:v>格局成败须区分：格神是否有效、结构是否能运行、是否存在破坏、救应是否直接修复破格机制，以及格局成立与层次高低。</x:v>
      </x:c>
      <x:c r="AD91" s="68" t="str">
        <x:v>当“专旺候选具一气基础”成立，且成格证据相互支持、无决定性否决时，可按本规则判断。</x:v>
      </x:c>
      <x:c r="AE91" s="90" t="str">
        <x:v>只有格局名称或局部组合，但“格神失效、核心作用路径完全中断，或特殊格局硬门槛被有效反证否决”成立时，不能按本规则维持格局。</x:v>
      </x:c>
      <x:c r="AF91" s="68" t="str">
        <x:v>https://zh.wikisource.org/wiki/%E6%BB%B4%E5%A4%A9%E9%AB%93%E9%97%A1%E5%BE%AE ; https://zh.wikisource.org/zh-hans/%E6%BB%B4%E5%A4%A9%E9%AB%93</x:v>
      </x:c>
      <x:c r="AG91" s="82" t="str">
        <x:v>采用</x:v>
      </x:c>
      <x:c r="AH91" s="82" t="str">
        <x:v>初审</x:v>
      </x:c>
      <x:c r="AI91" s="87" t="n">
        <x:v>46260</x:v>
      </x:c>
    </x:row>
    <x:row r="92">
      <x:c r="A92" s="72" t="str">
        <x:f>IF(OR(C92="",D92=""),"",B92&amp;"-"&amp;UPPER(C92)&amp;"-"&amp;TEXT(D92,"0000")&amp;"-"&amp;E92)</x:f>
        <x:v>M15-ZHUAN-0086-V1.0</x:v>
      </x:c>
      <x:c r="B92" s="74" t="str">
        <x:v>M15</x:v>
      </x:c>
      <x:c r="C92" s="74" t="str">
        <x:v>ZHUAN</x:v>
      </x:c>
      <x:c r="D92" s="215" t="n">
        <x:v>86</x:v>
      </x:c>
      <x:c r="E92" s="74" t="str">
        <x:v>V1.0</x:v>
      </x:c>
      <x:c r="F92" s="68" t="str">
        <x:v>杂气虽少但能改变主路径时不可忽略</x:v>
      </x:c>
      <x:c r="G92" s="82" t="str">
        <x:v>综合层</x:v>
      </x:c>
      <x:c r="H92" s="68" t="str">
        <x:v>专旺候选</x:v>
      </x:c>
      <x:c r="I92" s="68" t="str">
        <x:v>专旺候选成立</x:v>
      </x:c>
      <x:c r="J92" s="68" t="str">
        <x:v>月令依据、格神根气与有效力量、日主配合及M11组合证据相互支持</x:v>
      </x:c>
      <x:c r="K92" s="68" t="str">
        <x:v>异气数量少但位居关键桥梁、格神或直接克制主气</x:v>
      </x:c>
      <x:c r="L92" s="82" t="str">
        <x:v>一般</x:v>
      </x:c>
      <x:c r="M92" s="68" t="str">
        <x:v>主气使杂气失效或杂气顺势转化</x:v>
      </x:c>
      <x:c r="N92" s="82" t="str">
        <x:v>待定</x:v>
      </x:c>
      <x:c r="O92" s="84" t="str">
        <x:v>成立但有破</x:v>
      </x:c>
      <x:c r="P92" s="82" t="str">
        <x:v>有杂</x:v>
      </x:c>
      <x:c r="Q92" s="68" t="str">
        <x:v>专旺判断看有效作用，不按杂气数量机械定纯杂</x:v>
      </x:c>
      <x:c r="R92" s="68" t="str">
        <x:v>M14已生成候选；M08、M09、M10、M11相关结论可追溯</x:v>
      </x:c>
      <x:c r="S92" s="68" t="str">
        <x:v>格神与关键配合十神均以有效力量和实际功能为准</x:v>
      </x:c>
      <x:c r="T92" s="68" t="str">
        <x:v>格神得令、有根、透达、清纯，组合路径稳定且日主承载匹配</x:v>
      </x:c>
      <x:c r="U92" s="68" t="str">
        <x:v>格神受制、混杂、路径受阻、日主承载不足或救应只能局部作用</x:v>
      </x:c>
      <x:c r="V92" s="90" t="str">
        <x:v>格神失效、核心作用路径完全中断，或特殊格局硬门槛被有效反证否决</x:v>
      </x:c>
      <x:c r="W92" s="68" t="str">
        <x:v>特殊格局严格条件、流派争议及岁运补成另按专门规则处理</x:v>
      </x:c>
      <x:c r="X92" s="84" t="str">
        <x:v>专旺格_关键杂气</x:v>
      </x:c>
      <x:c r="Y92" s="84" t="str">
        <x:v>专旺候选判为“成立但有破”：破格等级为“一般”，救应为“待定”，清纯度为“有杂”；层次需结合全局继续评估。</x:v>
      </x:c>
      <x:c r="Z92" s="68" t="str">
        <x:v>若“格神失效、核心作用路径完全中断，或特殊格局硬门槛被有效反证否决”成立，应降低为成立但有破或不成立，不得维持当前结论。</x:v>
      </x:c>
      <x:c r="AA92" s="82" t="str">
        <x:v>较高</x:v>
      </x:c>
      <x:c r="AB92" s="82" t="str">
        <x:v>子平格局</x:v>
      </x:c>
      <x:c r="AC92" s="68" t="str">
        <x:v>格局成败须区分：格神是否有效、结构是否能运行、是否存在破坏、救应是否直接修复破格机制，以及格局成立与层次高低。</x:v>
      </x:c>
      <x:c r="AD92" s="68" t="str">
        <x:v>当“专旺候选成立”成立，且成格证据相互支持、无决定性否决时，可按本规则判断。</x:v>
      </x:c>
      <x:c r="AE92" s="90" t="str">
        <x:v>只有格局名称或局部组合，但“格神失效、核心作用路径完全中断，或特殊格局硬门槛被有效反证否决”成立时，不能按本规则维持格局。</x:v>
      </x:c>
      <x:c r="AF92" s="68" t="str">
        <x:v>https://zh.wikisource.org/wiki/%E6%BB%B4%E5%A4%A9%E9%AB%93%E9%97%A1%E5%BE%AE ; https://zh.wikisource.org/zh-hans/%E6%BB%B4%E5%A4%A9%E9%AB%93</x:v>
      </x:c>
      <x:c r="AG92" s="82" t="str">
        <x:v>采用</x:v>
      </x:c>
      <x:c r="AH92" s="82" t="str">
        <x:v>初审</x:v>
      </x:c>
      <x:c r="AI92" s="87" t="n">
        <x:v>46260</x:v>
      </x:c>
    </x:row>
    <x:row r="93">
      <x:c r="A93" s="72" t="str">
        <x:f>IF(OR(C93="",D93=""),"",B93&amp;"-"&amp;UPPER(C93)&amp;"-"&amp;TEXT(D93,"0000")&amp;"-"&amp;E93)</x:f>
        <x:v>M15-RESCUE-0087-V1.0</x:v>
      </x:c>
      <x:c r="B93" s="74" t="str">
        <x:v>M15</x:v>
      </x:c>
      <x:c r="C93" s="74" t="str">
        <x:v>RESCUE</x:v>
      </x:c>
      <x:c r="D93" s="215" t="n">
        <x:v>87</x:v>
      </x:c>
      <x:c r="E93" s="74" t="str">
        <x:v>V1.0</x:v>
      </x:c>
      <x:c r="F93" s="68" t="str">
        <x:v>无救应表示破格机制未被任何有效力量修复</x:v>
      </x:c>
      <x:c r="G93" s="82" t="str">
        <x:v>综合层</x:v>
      </x:c>
      <x:c r="H93" s="68" t="str">
        <x:v>所有破格候选</x:v>
      </x:c>
      <x:c r="I93" s="68" t="str">
        <x:v>格局存在破损，未发现可直接作用破格因素的第三力量</x:v>
      </x:c>
      <x:c r="J93" s="68" t="str">
        <x:v>月令依据、格神根气与有效力量、日主配合及M11组合证据相互支持</x:v>
      </x:c>
      <x:c r="K93" s="68" t="str">
        <x:v>破格持续存在</x:v>
      </x:c>
      <x:c r="L93" s="82" t="str">
        <x:v>待定</x:v>
      </x:c>
      <x:c r="M93" s="68" t="str">
        <x:v>无</x:v>
      </x:c>
      <x:c r="N93" s="82" t="str">
        <x:v>无救应</x:v>
      </x:c>
      <x:c r="O93" s="84" t="str">
        <x:v>成立但有破</x:v>
      </x:c>
      <x:c r="P93" s="82" t="str">
        <x:v>待定</x:v>
      </x:c>
      <x:c r="Q93" s="68" t="str">
        <x:v>格局只能按破损后的净状态运行</x:v>
      </x:c>
      <x:c r="R93" s="68" t="str">
        <x:v>M14已生成候选；M08、M09、M10、M11相关结论可追溯</x:v>
      </x:c>
      <x:c r="S93" s="68" t="str">
        <x:v>格神与关键配合十神均以有效力量和实际功能为准</x:v>
      </x:c>
      <x:c r="T93" s="68" t="str">
        <x:v>格神得令、有根、透达、清纯，组合路径稳定且日主承载匹配</x:v>
      </x:c>
      <x:c r="U93" s="68" t="str">
        <x:v>格神受制、混杂、路径受阻、日主承载不足或救应只能局部作用</x:v>
      </x:c>
      <x:c r="V93" s="90" t="str">
        <x:v>格神失效、核心作用路径完全中断，或特殊格局硬门槛被有效反证否决</x:v>
      </x:c>
      <x:c r="W93" s="68" t="str">
        <x:v>特殊格局严格条件、流派争议及岁运补成另按专门规则处理</x:v>
      </x:c>
      <x:c r="X93" s="84" t="str">
        <x:v>救应_无救应</x:v>
      </x:c>
      <x:c r="Y93" s="84" t="str">
        <x:v>所有破格候选判为“成立但有破”：破格等级为“待定”，救应为“无救应”，清纯度为“待定”；层次需结合全局继续评估。</x:v>
      </x:c>
      <x:c r="Z93" s="68" t="str">
        <x:v>若“格神失效、核心作用路径完全中断，或特殊格局硬门槛被有效反证否决”成立，应降低为成立但有破或不成立，不得维持当前结论。</x:v>
      </x:c>
      <x:c r="AA93" s="82" t="str">
        <x:v>较高</x:v>
      </x:c>
      <x:c r="AB93" s="82" t="str">
        <x:v>子平格局</x:v>
      </x:c>
      <x:c r="AC93" s="68" t="str">
        <x:v>格局成败须区分：格神是否有效、结构是否能运行、是否存在破坏、救应是否直接修复破格机制，以及格局成立与层次高低。</x:v>
      </x:c>
      <x:c r="AD93" s="68" t="str">
        <x:v>当“格局存在破损，未发现可直接作用破格因素的第三力量”成立，且成格证据相互支持、无决定性否决时，可按本规则判断。</x:v>
      </x:c>
      <x:c r="AE93" s="90" t="str">
        <x:v>只有格局名称或局部组合，但“格神失效、核心作用路径完全中断，或特殊格局硬门槛被有效反证否决”成立时，不能按本规则维持格局。</x:v>
      </x:c>
      <x:c r="AF93" s="68" t="str">
        <x:v>https://zh.wikisource.org/zh-hans/%E6%B7%B5%E6%B5%B7%E5%AD%90%E5%B9%B3 ; https://zh.wikisource.org/wiki/%E6%BB%B4%E5%A4%A9%E9%AB%93%E9%97%A1%E5%BE%AE</x:v>
      </x:c>
      <x:c r="AG93" s="82" t="str">
        <x:v>采用</x:v>
      </x:c>
      <x:c r="AH93" s="82" t="str">
        <x:v>初审</x:v>
      </x:c>
      <x:c r="AI93" s="87" t="n">
        <x:v>46260</x:v>
      </x:c>
    </x:row>
    <x:row r="94">
      <x:c r="A94" s="72" t="str">
        <x:f>IF(OR(C94="",D94=""),"",B94&amp;"-"&amp;UPPER(C94)&amp;"-"&amp;TEXT(D94,"0000")&amp;"-"&amp;E94)</x:f>
        <x:v>M15-RESCUE-0088-V1.0</x:v>
      </x:c>
      <x:c r="B94" s="74" t="str">
        <x:v>M15</x:v>
      </x:c>
      <x:c r="C94" s="74" t="str">
        <x:v>RESCUE</x:v>
      </x:c>
      <x:c r="D94" s="215" t="n">
        <x:v>88</x:v>
      </x:c>
      <x:c r="E94" s="74" t="str">
        <x:v>V1.0</x:v>
      </x:c>
      <x:c r="F94" s="68" t="str">
        <x:v>弱救应只能轻微缓解破格</x:v>
      </x:c>
      <x:c r="G94" s="82" t="str">
        <x:v>综合层</x:v>
      </x:c>
      <x:c r="H94" s="68" t="str">
        <x:v>所有破格候选</x:v>
      </x:c>
      <x:c r="I94" s="68" t="str">
        <x:v>救应存在但无根、遥隔、力量弱或作用路径不完整</x:v>
      </x:c>
      <x:c r="J94" s="68" t="str">
        <x:v>只能部分牵制破格因素</x:v>
      </x:c>
      <x:c r="K94" s="68" t="str">
        <x:v>破格仍占明显优势</x:v>
      </x:c>
      <x:c r="L94" s="82" t="str">
        <x:v>一般</x:v>
      </x:c>
      <x:c r="M94" s="68" t="str">
        <x:v>弱救应</x:v>
      </x:c>
      <x:c r="N94" s="82" t="str">
        <x:v>弱救应</x:v>
      </x:c>
      <x:c r="O94" s="84" t="str">
        <x:v>有破有救</x:v>
      </x:c>
      <x:c r="P94" s="82" t="str">
        <x:v>有杂</x:v>
      </x:c>
      <x:c r="Q94" s="68" t="str">
        <x:v>格局改善有限，层次接近成立但有破</x:v>
      </x:c>
      <x:c r="R94" s="68" t="str">
        <x:v>M14已生成候选；M08、M09、M10、M11相关结论可追溯</x:v>
      </x:c>
      <x:c r="S94" s="68" t="str">
        <x:v>格神与关键配合十神均以有效力量和实际功能为准</x:v>
      </x:c>
      <x:c r="T94" s="68" t="str">
        <x:v>格神得令、有根、透达、清纯，组合路径稳定且日主承载匹配</x:v>
      </x:c>
      <x:c r="U94" s="68" t="str">
        <x:v>格神受制、混杂、路径受阻、日主承载不足或救应只能局部作用</x:v>
      </x:c>
      <x:c r="V94" s="90" t="str">
        <x:v>格神失效、核心作用路径完全中断，或特殊格局硬门槛被有效反证否决</x:v>
      </x:c>
      <x:c r="W94" s="68" t="str">
        <x:v>特殊格局严格条件、流派争议及岁运补成另按专门规则处理</x:v>
      </x:c>
      <x:c r="X94" s="84" t="str">
        <x:v>救应_弱救应</x:v>
      </x:c>
      <x:c r="Y94" s="84" t="str">
        <x:v>所有破格候选判为“有破有救”：破格等级为“一般”，救应为“弱救应”，清纯度为“有杂”；层次需结合全局继续评估。</x:v>
      </x:c>
      <x:c r="Z94" s="68" t="str">
        <x:v>若“格神失效、核心作用路径完全中断，或特殊格局硬门槛被有效反证否决”成立，应降低为成立但有破或不成立，不得维持当前结论。</x:v>
      </x:c>
      <x:c r="AA94" s="82" t="str">
        <x:v>较高</x:v>
      </x:c>
      <x:c r="AB94" s="82" t="str">
        <x:v>子平格局</x:v>
      </x:c>
      <x:c r="AC94" s="68" t="str">
        <x:v>格局成败须区分：格神是否有效、结构是否能运行、是否存在破坏、救应是否直接修复破格机制，以及格局成立与层次高低。</x:v>
      </x:c>
      <x:c r="AD94" s="68" t="str">
        <x:v>当“救应存在但无根、遥隔、力量弱或作用路径不完整”成立，且成格证据相互支持、无决定性否决时，可按本规则判断。</x:v>
      </x:c>
      <x:c r="AE94" s="90" t="str">
        <x:v>只有格局名称或局部组合，但“格神失效、核心作用路径完全中断，或特殊格局硬门槛被有效反证否决”成立时，不能按本规则维持格局。</x:v>
      </x:c>
      <x:c r="AF94" s="68" t="str">
        <x:v>https://zh.wikisource.org/zh-hans/%E6%B7%B5%E6%B5%B7%E5%AD%90%E5%B9%B3 ; https://zh.wikisource.org/wiki/%E6%BB%B4%E5%A4%A9%E9%AB%93%E9%97%A1%E5%BE%AE</x:v>
      </x:c>
      <x:c r="AG94" s="82" t="str">
        <x:v>采用</x:v>
      </x:c>
      <x:c r="AH94" s="82" t="str">
        <x:v>初审</x:v>
      </x:c>
      <x:c r="AI94" s="87" t="n">
        <x:v>46260</x:v>
      </x:c>
    </x:row>
    <x:row r="95">
      <x:c r="A95" s="72" t="str">
        <x:f>IF(OR(C95="",D95=""),"",B95&amp;"-"&amp;UPPER(C95)&amp;"-"&amp;TEXT(D95,"0000")&amp;"-"&amp;E95)</x:f>
        <x:v>M15-RESCUE-0089-V1.0</x:v>
      </x:c>
      <x:c r="B95" s="74" t="str">
        <x:v>M15</x:v>
      </x:c>
      <x:c r="C95" s="74" t="str">
        <x:v>RESCUE</x:v>
      </x:c>
      <x:c r="D95" s="215" t="n">
        <x:v>89</x:v>
      </x:c>
      <x:c r="E95" s="74" t="str">
        <x:v>V1.0</x:v>
      </x:c>
      <x:c r="F95" s="68" t="str">
        <x:v>部分有效救应可恢复局部功能</x:v>
      </x:c>
      <x:c r="G95" s="82" t="str">
        <x:v>综合层</x:v>
      </x:c>
      <x:c r="H95" s="68" t="str">
        <x:v>所有破格候选</x:v>
      </x:c>
      <x:c r="I95" s="68" t="str">
        <x:v>救应对破格因素形成真实作用，但不能完全覆盖全部破坏</x:v>
      </x:c>
      <x:c r="J95" s="68" t="str">
        <x:v>受损格神或关键路径部分恢复</x:v>
      </x:c>
      <x:c r="K95" s="68" t="str">
        <x:v>仍有剩余破损</x:v>
      </x:c>
      <x:c r="L95" s="82" t="str">
        <x:v>一般</x:v>
      </x:c>
      <x:c r="M95" s="68" t="str">
        <x:v>局部修复</x:v>
      </x:c>
      <x:c r="N95" s="82" t="str">
        <x:v>部分有效</x:v>
      </x:c>
      <x:c r="O95" s="84" t="str">
        <x:v>有破有救</x:v>
      </x:c>
      <x:c r="P95" s="82" t="str">
        <x:v>有杂</x:v>
      </x:c>
      <x:c r="Q95" s="68" t="str">
        <x:v>格局可运行但稳定性仍受限制</x:v>
      </x:c>
      <x:c r="R95" s="68" t="str">
        <x:v>M14已生成候选；M08、M09、M10、M11相关结论可追溯</x:v>
      </x:c>
      <x:c r="S95" s="68" t="str">
        <x:v>格神与关键配合十神均以有效力量和实际功能为准</x:v>
      </x:c>
      <x:c r="T95" s="68" t="str">
        <x:v>格神得令、有根、透达、清纯，组合路径稳定且日主承载匹配</x:v>
      </x:c>
      <x:c r="U95" s="68" t="str">
        <x:v>格神受制、混杂、路径受阻、日主承载不足或救应只能局部作用</x:v>
      </x:c>
      <x:c r="V95" s="90" t="str">
        <x:v>格神失效、核心作用路径完全中断，或特殊格局硬门槛被有效反证否决</x:v>
      </x:c>
      <x:c r="W95" s="68" t="str">
        <x:v>特殊格局严格条件、流派争议及岁运补成另按专门规则处理</x:v>
      </x:c>
      <x:c r="X95" s="84" t="str">
        <x:v>救应_部分有效</x:v>
      </x:c>
      <x:c r="Y95" s="84" t="str">
        <x:v>所有破格候选判为“有破有救”：破格等级为“一般”，救应为“部分有效”，清纯度为“有杂”；层次需结合全局继续评估。</x:v>
      </x:c>
      <x:c r="Z95" s="68" t="str">
        <x:v>若“格神失效、核心作用路径完全中断，或特殊格局硬门槛被有效反证否决”成立，应降低为成立但有破或不成立，不得维持当前结论。</x:v>
      </x:c>
      <x:c r="AA95" s="82" t="str">
        <x:v>较高</x:v>
      </x:c>
      <x:c r="AB95" s="82" t="str">
        <x:v>子平格局</x:v>
      </x:c>
      <x:c r="AC95" s="68" t="str">
        <x:v>格局成败须区分：格神是否有效、结构是否能运行、是否存在破坏、救应是否直接修复破格机制，以及格局成立与层次高低。</x:v>
      </x:c>
      <x:c r="AD95" s="68" t="str">
        <x:v>当“救应对破格因素形成真实作用，但不能完全覆盖全部破坏”成立，且成格证据相互支持、无决定性否决时，可按本规则判断。</x:v>
      </x:c>
      <x:c r="AE95" s="90" t="str">
        <x:v>只有格局名称或局部组合，但“格神失效、核心作用路径完全中断，或特殊格局硬门槛被有效反证否决”成立时，不能按本规则维持格局。</x:v>
      </x:c>
      <x:c r="AF95" s="68" t="str">
        <x:v>https://zh.wikisource.org/zh-hans/%E6%B7%B5%E6%B5%B7%E5%AD%90%E5%B9%B3 ; https://zh.wikisource.org/wiki/%E6%BB%B4%E5%A4%A9%E9%AB%93%E9%97%A1%E5%BE%AE</x:v>
      </x:c>
      <x:c r="AG95" s="82" t="str">
        <x:v>采用</x:v>
      </x:c>
      <x:c r="AH95" s="82" t="str">
        <x:v>初审</x:v>
      </x:c>
      <x:c r="AI95" s="87" t="n">
        <x:v>46260</x:v>
      </x:c>
    </x:row>
    <x:row r="96">
      <x:c r="A96" s="72" t="str">
        <x:f>IF(OR(C96="",D96=""),"",B96&amp;"-"&amp;UPPER(C96)&amp;"-"&amp;TEXT(D96,"0000")&amp;"-"&amp;E96)</x:f>
        <x:v>M15-RESCUE-0090-V1.0</x:v>
      </x:c>
      <x:c r="B96" s="74" t="str">
        <x:v>M15</x:v>
      </x:c>
      <x:c r="C96" s="74" t="str">
        <x:v>RESCUE</x:v>
      </x:c>
      <x:c r="D96" s="215" t="n">
        <x:v>90</x:v>
      </x:c>
      <x:c r="E96" s="74" t="str">
        <x:v>V1.0</x:v>
      </x:c>
      <x:c r="F96" s="68" t="str">
        <x:v>明显有效救应可恢复格局主要功能</x:v>
      </x:c>
      <x:c r="G96" s="82" t="str">
        <x:v>综合层</x:v>
      </x:c>
      <x:c r="H96" s="68" t="str">
        <x:v>所有破格候选</x:v>
      </x:c>
      <x:c r="I96" s="68" t="str">
        <x:v>救应有根有源、路径直接，能够压制主要破格因素</x:v>
      </x:c>
      <x:c r="J96" s="68" t="str">
        <x:v>格神与主路径恢复，破格只留次级影响</x:v>
      </x:c>
      <x:c r="K96" s="68" t="str">
        <x:v>主要破格已受控</x:v>
      </x:c>
      <x:c r="L96" s="82" t="str">
        <x:v>轻微</x:v>
      </x:c>
      <x:c r="M96" s="68" t="str">
        <x:v>强救应</x:v>
      </x:c>
      <x:c r="N96" s="82" t="str">
        <x:v>明显有效</x:v>
      </x:c>
      <x:c r="O96" s="84" t="str">
        <x:v>有破有救</x:v>
      </x:c>
      <x:c r="P96" s="82" t="str">
        <x:v>较清</x:v>
      </x:c>
      <x:c r="Q96" s="68" t="str">
        <x:v>格局主要功能恢复，低于原局无破但高于普通破格</x:v>
      </x:c>
      <x:c r="R96" s="68" t="str">
        <x:v>M14已生成候选；M08、M09、M10、M11相关结论可追溯</x:v>
      </x:c>
      <x:c r="S96" s="68" t="str">
        <x:v>格神与关键配合十神均以有效力量和实际功能为准</x:v>
      </x:c>
      <x:c r="T96" s="68" t="str">
        <x:v>格神得令、有根、透达、清纯，组合路径稳定且日主承载匹配</x:v>
      </x:c>
      <x:c r="U96" s="68" t="str">
        <x:v>格神受制、混杂、路径受阻、日主承载不足或救应只能局部作用</x:v>
      </x:c>
      <x:c r="V96" s="90" t="str">
        <x:v>格神失效、核心作用路径完全中断，或特殊格局硬门槛被有效反证否决</x:v>
      </x:c>
      <x:c r="W96" s="68" t="str">
        <x:v>特殊格局严格条件、流派争议及岁运补成另按专门规则处理</x:v>
      </x:c>
      <x:c r="X96" s="84" t="str">
        <x:v>救应_明显有效</x:v>
      </x:c>
      <x:c r="Y96" s="84" t="str">
        <x:v>所有破格候选判为“有破有救”：破格等级为“轻微”，救应为“明显有效”，清纯度为“较清”；层次需结合全局继续评估。</x:v>
      </x:c>
      <x:c r="Z96" s="68" t="str">
        <x:v>若“格神失效、核心作用路径完全中断，或特殊格局硬门槛被有效反证否决”成立，应降低为成立但有破或不成立，不得维持当前结论。</x:v>
      </x:c>
      <x:c r="AA96" s="82" t="str">
        <x:v>较高</x:v>
      </x:c>
      <x:c r="AB96" s="82" t="str">
        <x:v>子平格局</x:v>
      </x:c>
      <x:c r="AC96" s="68" t="str">
        <x:v>格局成败须区分：格神是否有效、结构是否能运行、是否存在破坏、救应是否直接修复破格机制，以及格局成立与层次高低。</x:v>
      </x:c>
      <x:c r="AD96" s="68" t="str">
        <x:v>当“救应有根有源、路径直接，能够压制主要破格因素”成立，且成格证据相互支持、无决定性否决时，可按本规则判断。</x:v>
      </x:c>
      <x:c r="AE96" s="90" t="str">
        <x:v>只有格局名称或局部组合，但“格神失效、核心作用路径完全中断，或特殊格局硬门槛被有效反证否决”成立时，不能按本规则维持格局。</x:v>
      </x:c>
      <x:c r="AF96" s="68" t="str">
        <x:v>https://zh.wikisource.org/zh-hans/%E6%B7%B5%E6%B5%B7%E5%AD%90%E5%B9%B3 ; https://zh.wikisource.org/wiki/%E6%BB%B4%E5%A4%A9%E9%AB%93%E9%97%A1%E5%BE%AE</x:v>
      </x:c>
      <x:c r="AG96" s="82" t="str">
        <x:v>采用</x:v>
      </x:c>
      <x:c r="AH96" s="82" t="str">
        <x:v>初审</x:v>
      </x:c>
      <x:c r="AI96" s="87" t="n">
        <x:v>46260</x:v>
      </x:c>
    </x:row>
    <x:row r="97">
      <x:c r="A97" s="72" t="str">
        <x:f>IF(OR(C97="",D97=""),"",B97&amp;"-"&amp;UPPER(C97)&amp;"-"&amp;TEXT(D97,"0000")&amp;"-"&amp;E97)</x:f>
        <x:v>M15-RESCUE-0091-V1.0</x:v>
      </x:c>
      <x:c r="B97" s="74" t="str">
        <x:v>M15</x:v>
      </x:c>
      <x:c r="C97" s="74" t="str">
        <x:v>RESCUE</x:v>
      </x:c>
      <x:c r="D97" s="215" t="n">
        <x:v>91</x:v>
      </x:c>
      <x:c r="E97" s="74" t="str">
        <x:v>V1.0</x:v>
      </x:c>
      <x:c r="F97" s="68" t="str">
        <x:v>完全救应要求破格因素功能基本消失</x:v>
      </x:c>
      <x:c r="G97" s="82" t="str">
        <x:v>综合层</x:v>
      </x:c>
      <x:c r="H97" s="68" t="str">
        <x:v>所有破格候选</x:v>
      </x:c>
      <x:c r="I97" s="68" t="str">
        <x:v>救应直接制去、合住或转化破格因素，格神与主路径完整恢复</x:v>
      </x:c>
      <x:c r="J97" s="68" t="str">
        <x:v>破格因素不再形成有效破坏</x:v>
      </x:c>
      <x:c r="K97" s="68" t="str">
        <x:v>原破格已被解除</x:v>
      </x:c>
      <x:c r="L97" s="82" t="str">
        <x:v>轻微</x:v>
      </x:c>
      <x:c r="M97" s="68" t="str">
        <x:v>完全修复</x:v>
      </x:c>
      <x:c r="N97" s="82" t="str">
        <x:v>完全救应</x:v>
      </x:c>
      <x:c r="O97" s="84" t="str">
        <x:v>有破有救</x:v>
      </x:c>
      <x:c r="P97" s="82" t="str">
        <x:v>较清</x:v>
      </x:c>
      <x:c r="Q97" s="68" t="str">
        <x:v>格局接近无破状态，但仍应记录曾有破有救的结构</x:v>
      </x:c>
      <x:c r="R97" s="68" t="str">
        <x:v>M14已生成候选；M08、M09、M10、M11相关结论可追溯</x:v>
      </x:c>
      <x:c r="S97" s="68" t="str">
        <x:v>格神与关键配合十神均以有效力量和实际功能为准</x:v>
      </x:c>
      <x:c r="T97" s="68" t="str">
        <x:v>格神得令、有根、透达、清纯，组合路径稳定且日主承载匹配</x:v>
      </x:c>
      <x:c r="U97" s="68" t="str">
        <x:v>格神受制、混杂、路径受阻、日主承载不足或救应只能局部作用</x:v>
      </x:c>
      <x:c r="V97" s="90" t="str">
        <x:v>格神失效、核心作用路径完全中断，或特殊格局硬门槛被有效反证否决</x:v>
      </x:c>
      <x:c r="W97" s="68" t="str">
        <x:v>特殊格局严格条件、流派争议及岁运补成另按专门规则处理</x:v>
      </x:c>
      <x:c r="X97" s="84" t="str">
        <x:v>救应_完全救应</x:v>
      </x:c>
      <x:c r="Y97" s="84" t="str">
        <x:v>所有破格候选判为“有破有救”：破格等级为“轻微”，救应为“完全救应”，清纯度为“较清”；层次需结合全局继续评估。</x:v>
      </x:c>
      <x:c r="Z97" s="68" t="str">
        <x:v>若“格神失效、核心作用路径完全中断，或特殊格局硬门槛被有效反证否决”成立，应降低为成立但有破或不成立，不得维持当前结论。</x:v>
      </x:c>
      <x:c r="AA97" s="82" t="str">
        <x:v>较高</x:v>
      </x:c>
      <x:c r="AB97" s="82" t="str">
        <x:v>子平格局</x:v>
      </x:c>
      <x:c r="AC97" s="68" t="str">
        <x:v>格局成败须区分：格神是否有效、结构是否能运行、是否存在破坏、救应是否直接修复破格机制，以及格局成立与层次高低。</x:v>
      </x:c>
      <x:c r="AD97" s="68" t="str">
        <x:v>当“救应直接制去、合住或转化破格因素，格神与主路径完整恢复”成立，且成格证据相互支持、无决定性否决时，可按本规则判断。</x:v>
      </x:c>
      <x:c r="AE97" s="90" t="str">
        <x:v>只有格局名称或局部组合，但“格神失效、核心作用路径完全中断，或特殊格局硬门槛被有效反证否决”成立时，不能按本规则维持格局。</x:v>
      </x:c>
      <x:c r="AF97" s="68" t="str">
        <x:v>https://zh.wikisource.org/zh-hans/%E6%B7%B5%E6%B5%B7%E5%AD%90%E5%B9%B3 ; https://zh.wikisource.org/wiki/%E6%BB%B4%E5%A4%A9%E9%AB%93%E9%97%A1%E5%BE%AE</x:v>
      </x:c>
      <x:c r="AG97" s="82" t="str">
        <x:v>采用</x:v>
      </x:c>
      <x:c r="AH97" s="82" t="str">
        <x:v>初审</x:v>
      </x:c>
      <x:c r="AI97" s="87" t="n">
        <x:v>46260</x:v>
      </x:c>
    </x:row>
    <x:row r="98">
      <x:c r="A98" s="72" t="str">
        <x:f>IF(OR(C98="",D98=""),"",B98&amp;"-"&amp;UPPER(C98)&amp;"-"&amp;TEXT(D98,"0000")&amp;"-"&amp;E98)</x:f>
        <x:v>M15-RESCUE-0092-V1.0</x:v>
      </x:c>
      <x:c r="B98" s="74" t="str">
        <x:v>M15</x:v>
      </x:c>
      <x:c r="C98" s="74" t="str">
        <x:v>RESCUE</x:v>
      </x:c>
      <x:c r="D98" s="215" t="n">
        <x:v>92</x:v>
      </x:c>
      <x:c r="E98" s="74" t="str">
        <x:v>V1.0</x:v>
      </x:c>
      <x:c r="F98" s="68" t="str">
        <x:v>救应产生更大副作用时不得升格</x:v>
      </x:c>
      <x:c r="G98" s="82" t="str">
        <x:v>综合层</x:v>
      </x:c>
      <x:c r="H98" s="68" t="str">
        <x:v>所有破格候选</x:v>
      </x:c>
      <x:c r="I98" s="68" t="str">
        <x:v>某力量能够修复原破格</x:v>
      </x:c>
      <x:c r="J98" s="68" t="str">
        <x:v>同时会破坏另一核心格神、加重日主失衡或制造更严重调候流通问题</x:v>
      </x:c>
      <x:c r="K98" s="68" t="str">
        <x:v>原破格与新副作用并存</x:v>
      </x:c>
      <x:c r="L98" s="82" t="str">
        <x:v>待定</x:v>
      </x:c>
      <x:c r="M98" s="68" t="str">
        <x:v>有副作用的救应</x:v>
      </x:c>
      <x:c r="N98" s="82" t="str">
        <x:v>部分有效</x:v>
      </x:c>
      <x:c r="O98" s="84" t="str">
        <x:v>有破有救</x:v>
      </x:c>
      <x:c r="P98" s="82" t="str">
        <x:v>有杂</x:v>
      </x:c>
      <x:c r="Q98" s="68" t="str">
        <x:v>只按净收益判断，不因存在救应而自动提高层次</x:v>
      </x:c>
      <x:c r="R98" s="68" t="str">
        <x:v>M14已生成候选；M08、M09、M10、M11相关结论可追溯</x:v>
      </x:c>
      <x:c r="S98" s="68" t="str">
        <x:v>格神与关键配合十神均以有效力量和实际功能为准</x:v>
      </x:c>
      <x:c r="T98" s="68" t="str">
        <x:v>格神得令、有根、透达、清纯，组合路径稳定且日主承载匹配</x:v>
      </x:c>
      <x:c r="U98" s="68" t="str">
        <x:v>格神受制、混杂、路径受阻、日主承载不足或救应只能局部作用</x:v>
      </x:c>
      <x:c r="V98" s="90" t="str">
        <x:v>格神失效、核心作用路径完全中断，或特殊格局硬门槛被有效反证否决</x:v>
      </x:c>
      <x:c r="W98" s="68" t="str">
        <x:v>特殊格局严格条件、流派争议及岁运补成另按专门规则处理</x:v>
      </x:c>
      <x:c r="X98" s="84" t="str">
        <x:v>救应_副作用限制</x:v>
      </x:c>
      <x:c r="Y98" s="84" t="str">
        <x:v>所有破格候选判为“有破有救”：破格等级为“待定”，救应为“部分有效”，清纯度为“有杂”；层次需结合全局继续评估。</x:v>
      </x:c>
      <x:c r="Z98" s="68" t="str">
        <x:v>若“格神失效、核心作用路径完全中断，或特殊格局硬门槛被有效反证否决”成立，应降低为成立但有破或不成立，不得维持当前结论。</x:v>
      </x:c>
      <x:c r="AA98" s="82" t="str">
        <x:v>较高</x:v>
      </x:c>
      <x:c r="AB98" s="82" t="str">
        <x:v>子平格局</x:v>
      </x:c>
      <x:c r="AC98" s="68" t="str">
        <x:v>格局成败须区分：格神是否有效、结构是否能运行、是否存在破坏、救应是否直接修复破格机制，以及格局成立与层次高低。</x:v>
      </x:c>
      <x:c r="AD98" s="68" t="str">
        <x:v>当“某力量能够修复原破格”成立，且成格证据相互支持、无决定性否决时，可按本规则判断。</x:v>
      </x:c>
      <x:c r="AE98" s="90" t="str">
        <x:v>只有格局名称或局部组合，但“格神失效、核心作用路径完全中断，或特殊格局硬门槛被有效反证否决”成立时，不能按本规则维持格局。</x:v>
      </x:c>
      <x:c r="AF98" s="68" t="str">
        <x:v>https://zh.wikisource.org/zh-hans/%E6%B7%B5%E6%B5%B7%E5%AD%90%E5%B9%B3 ; https://zh.wikisource.org/wiki/%E6%BB%B4%E5%A4%A9%E9%AB%93%E9%97%A1%E5%BE%AE</x:v>
      </x:c>
      <x:c r="AG98" s="82" t="str">
        <x:v>采用</x:v>
      </x:c>
      <x:c r="AH98" s="82" t="str">
        <x:v>初审</x:v>
      </x:c>
      <x:c r="AI98" s="87" t="n">
        <x:v>46260</x:v>
      </x:c>
    </x:row>
    <x:row r="99">
      <x:c r="A99" s="72" t="str">
        <x:f>IF(OR(C99="",D99=""),"",B99&amp;"-"&amp;UPPER(C99)&amp;"-"&amp;TEXT(D99,"0000")&amp;"-"&amp;E99)</x:f>
        <x:v>M15-RESCUE-0093-V1.0</x:v>
      </x:c>
      <x:c r="B99" s="74" t="str">
        <x:v>M15</x:v>
      </x:c>
      <x:c r="C99" s="74" t="str">
        <x:v>RESCUE</x:v>
      </x:c>
      <x:c r="D99" s="215" t="n">
        <x:v>93</x:v>
      </x:c>
      <x:c r="E99" s="74" t="str">
        <x:v>V1.0</x:v>
      </x:c>
      <x:c r="F99" s="68" t="str">
        <x:v>救应必须有足够作用容量</x:v>
      </x:c>
      <x:c r="G99" s="82" t="str">
        <x:v>综合层</x:v>
      </x:c>
      <x:c r="H99" s="68" t="str">
        <x:v>所有破格候选</x:v>
      </x:c>
      <x:c r="I99" s="68" t="str">
        <x:v>同一救应力量同时承担多个修复任务</x:v>
      </x:c>
      <x:c r="J99" s="68" t="str">
        <x:v>其有效力量需要在多个对象间分配</x:v>
      </x:c>
      <x:c r="K99" s="68" t="str">
        <x:v>多处破损共享同一救应</x:v>
      </x:c>
      <x:c r="L99" s="82" t="str">
        <x:v>待定</x:v>
      </x:c>
      <x:c r="M99" s="68" t="str">
        <x:v>共享救应</x:v>
      </x:c>
      <x:c r="N99" s="82" t="str">
        <x:v>待定</x:v>
      </x:c>
      <x:c r="O99" s="84" t="str">
        <x:v>待定</x:v>
      </x:c>
      <x:c r="P99" s="82" t="str">
        <x:v>待定</x:v>
      </x:c>
      <x:c r="Q99" s="68" t="str">
        <x:v>不能把同一节点在多个救应中重复全额调用</x:v>
      </x:c>
      <x:c r="R99" s="68" t="str">
        <x:v>M14已生成候选；M08、M09、M10、M11相关结论可追溯</x:v>
      </x:c>
      <x:c r="S99" s="68" t="str">
        <x:v>格神与关键配合十神均以有效力量和实际功能为准</x:v>
      </x:c>
      <x:c r="T99" s="68" t="str">
        <x:v>格神得令、有根、透达、清纯，组合路径稳定且日主承载匹配</x:v>
      </x:c>
      <x:c r="U99" s="68" t="str">
        <x:v>格神受制、混杂、路径受阻、日主承载不足或救应只能局部作用</x:v>
      </x:c>
      <x:c r="V99" s="90" t="str">
        <x:v>格神失效、核心作用路径完全中断，或特殊格局硬门槛被有效反证否决</x:v>
      </x:c>
      <x:c r="W99" s="68" t="str">
        <x:v>特殊格局严格条件、流派争议及岁运补成另按专门规则处理</x:v>
      </x:c>
      <x:c r="X99" s="84" t="str">
        <x:v>救应_容量去重</x:v>
      </x:c>
      <x:c r="Y99" s="84" t="str">
        <x:v>所有破格候选判为“待定”：破格等级为“待定”，救应为“待定”，清纯度为“待定”；层次需结合全局继续评估。</x:v>
      </x:c>
      <x:c r="Z99" s="68" t="str">
        <x:v>若“格神失效、核心作用路径完全中断，或特殊格局硬门槛被有效反证否决”成立，应降低为成立但有破或不成立，不得维持当前结论。</x:v>
      </x:c>
      <x:c r="AA99" s="82" t="str">
        <x:v>较高</x:v>
      </x:c>
      <x:c r="AB99" s="82" t="str">
        <x:v>子平格局</x:v>
      </x:c>
      <x:c r="AC99" s="68" t="str">
        <x:v>格局成败须区分：格神是否有效、结构是否能运行、是否存在破坏、救应是否直接修复破格机制，以及格局成立与层次高低。</x:v>
      </x:c>
      <x:c r="AD99" s="68" t="str">
        <x:v>当“同一救应力量同时承担多个修复任务”成立，且成格证据相互支持、无决定性否决时，可按本规则判断。</x:v>
      </x:c>
      <x:c r="AE99" s="90" t="str">
        <x:v>只有格局名称或局部组合，但“格神失效、核心作用路径完全中断，或特殊格局硬门槛被有效反证否决”成立时，不能按本规则维持格局。</x:v>
      </x:c>
      <x:c r="AF99" s="68" t="str">
        <x:v>https://zh.wikisource.org/zh-hans/%E6%B7%B5%E6%B5%B7%E5%AD%90%E5%B9%B3 ; https://zh.wikisource.org/wiki/%E6%BB%B4%E5%A4%A9%E9%AB%93%E9%97%A1%E5%BE%AE</x:v>
      </x:c>
      <x:c r="AG99" s="82" t="str">
        <x:v>采用</x:v>
      </x:c>
      <x:c r="AH99" s="82" t="str">
        <x:v>初审</x:v>
      </x:c>
      <x:c r="AI99" s="87" t="n">
        <x:v>46260</x:v>
      </x:c>
    </x:row>
    <x:row r="100">
      <x:c r="A100" s="72" t="str">
        <x:f>IF(OR(C100="",D100=""),"",B100&amp;"-"&amp;UPPER(C100)&amp;"-"&amp;TEXT(D100,"0000")&amp;"-"&amp;E100)</x:f>
        <x:v>M15-RESCUE-0094-V1.0</x:v>
      </x:c>
      <x:c r="B100" s="74" t="str">
        <x:v>M15</x:v>
      </x:c>
      <x:c r="C100" s="74" t="str">
        <x:v>RESCUE</x:v>
      </x:c>
      <x:c r="D100" s="215" t="n">
        <x:v>94</x:v>
      </x:c>
      <x:c r="E100" s="74" t="str">
        <x:v>V1.0</x:v>
      </x:c>
      <x:c r="F100" s="68" t="str">
        <x:v>多重救应需要判断是否相互协同</x:v>
      </x:c>
      <x:c r="G100" s="82" t="str">
        <x:v>综合层</x:v>
      </x:c>
      <x:c r="H100" s="68" t="str">
        <x:v>所有破格候选</x:v>
      </x:c>
      <x:c r="I100" s="68" t="str">
        <x:v>两个以上救应力量同时出现</x:v>
      </x:c>
      <x:c r="J100" s="68" t="str">
        <x:v>救应可能互相生扶，也可能互相克制或争夺同一节点</x:v>
      </x:c>
      <x:c r="K100" s="68" t="str">
        <x:v>待定</x:v>
      </x:c>
      <x:c r="L100" s="82" t="str">
        <x:v>待定</x:v>
      </x:c>
      <x:c r="M100" s="68" t="str">
        <x:v>多重救应</x:v>
      </x:c>
      <x:c r="N100" s="82" t="str">
        <x:v>待定</x:v>
      </x:c>
      <x:c r="O100" s="84" t="str">
        <x:v>待定</x:v>
      </x:c>
      <x:c r="P100" s="82" t="str">
        <x:v>待定</x:v>
      </x:c>
      <x:c r="Q100" s="68" t="str">
        <x:v>按协同后的净修复效果定级，不按救应数量累加</x:v>
      </x:c>
      <x:c r="R100" s="68" t="str">
        <x:v>M14已生成候选；M08、M09、M10、M11相关结论可追溯</x:v>
      </x:c>
      <x:c r="S100" s="68" t="str">
        <x:v>格神与关键配合十神均以有效力量和实际功能为准</x:v>
      </x:c>
      <x:c r="T100" s="68" t="str">
        <x:v>格神得令、有根、透达、清纯，组合路径稳定且日主承载匹配</x:v>
      </x:c>
      <x:c r="U100" s="68" t="str">
        <x:v>格神受制、混杂、路径受阻、日主承载不足或救应只能局部作用</x:v>
      </x:c>
      <x:c r="V100" s="90" t="str">
        <x:v>格神失效、核心作用路径完全中断，或特殊格局硬门槛被有效反证否决</x:v>
      </x:c>
      <x:c r="W100" s="68" t="str">
        <x:v>特殊格局严格条件、流派争议及岁运补成另按专门规则处理</x:v>
      </x:c>
      <x:c r="X100" s="84" t="str">
        <x:v>救应_多救应协同</x:v>
      </x:c>
      <x:c r="Y100" s="84" t="str">
        <x:v>所有破格候选判为“待定”：破格等级为“待定”，救应为“待定”，清纯度为“待定”；层次需结合全局继续评估。</x:v>
      </x:c>
      <x:c r="Z100" s="68" t="str">
        <x:v>若“格神失效、核心作用路径完全中断，或特殊格局硬门槛被有效反证否决”成立，应降低为成立但有破或不成立，不得维持当前结论。</x:v>
      </x:c>
      <x:c r="AA100" s="82" t="str">
        <x:v>较高</x:v>
      </x:c>
      <x:c r="AB100" s="82" t="str">
        <x:v>子平格局</x:v>
      </x:c>
      <x:c r="AC100" s="68" t="str">
        <x:v>格局成败须区分：格神是否有效、结构是否能运行、是否存在破坏、救应是否直接修复破格机制，以及格局成立与层次高低。</x:v>
      </x:c>
      <x:c r="AD100" s="68" t="str">
        <x:v>当“两个以上救应力量同时出现”成立，且成格证据相互支持、无决定性否决时，可按本规则判断。</x:v>
      </x:c>
      <x:c r="AE100" s="90" t="str">
        <x:v>只有格局名称或局部组合，但“格神失效、核心作用路径完全中断，或特殊格局硬门槛被有效反证否决”成立时，不能按本规则维持格局。</x:v>
      </x:c>
      <x:c r="AF100" s="68" t="str">
        <x:v>https://zh.wikisource.org/zh-hans/%E6%B7%B5%E6%B5%B7%E5%AD%90%E5%B9%B3 ; https://zh.wikisource.org/wiki/%E6%BB%B4%E5%A4%A9%E9%AB%93%E9%97%A1%E5%BE%AE</x:v>
      </x:c>
      <x:c r="AG100" s="82" t="str">
        <x:v>采用</x:v>
      </x:c>
      <x:c r="AH100" s="82" t="str">
        <x:v>初审</x:v>
      </x:c>
      <x:c r="AI100" s="87" t="n">
        <x:v>46260</x:v>
      </x:c>
    </x:row>
    <x:row r="101">
      <x:c r="A101" s="72" t="str">
        <x:f>IF(OR(C101="",D101=""),"",B101&amp;"-"&amp;UPPER(C101)&amp;"-"&amp;TEXT(D101,"0000")&amp;"-"&amp;E101)</x:f>
        <x:v>M15-RESCUE-0095-V1.0</x:v>
      </x:c>
      <x:c r="B101" s="74" t="str">
        <x:v>M15</x:v>
      </x:c>
      <x:c r="C101" s="74" t="str">
        <x:v>RESCUE</x:v>
      </x:c>
      <x:c r="D101" s="215" t="n">
        <x:v>95</x:v>
      </x:c>
      <x:c r="E101" s="74" t="str">
        <x:v>V1.0</x:v>
      </x:c>
      <x:c r="F101" s="68" t="str">
        <x:v>救应只能修复其对应的破格对象</x:v>
      </x:c>
      <x:c r="G101" s="82" t="str">
        <x:v>综合层</x:v>
      </x:c>
      <x:c r="H101" s="68" t="str">
        <x:v>所有破格候选</x:v>
      </x:c>
      <x:c r="I101" s="68" t="str">
        <x:v>救应与某一破格因素作用路径成立</x:v>
      </x:c>
      <x:c r="J101" s="68" t="str">
        <x:v>对其他无路径的破格因素不产生自动修复</x:v>
      </x:c>
      <x:c r="K101" s="68" t="str">
        <x:v>多类破格并存</x:v>
      </x:c>
      <x:c r="L101" s="82" t="str">
        <x:v>待定</x:v>
      </x:c>
      <x:c r="M101" s="68" t="str">
        <x:v>定向救应</x:v>
      </x:c>
      <x:c r="N101" s="82" t="str">
        <x:v>待定</x:v>
      </x:c>
      <x:c r="O101" s="84" t="str">
        <x:v>待定</x:v>
      </x:c>
      <x:c r="P101" s="82" t="str">
        <x:v>待定</x:v>
      </x:c>
      <x:c r="Q101" s="68" t="str">
        <x:v>一个救应不能无条件包治全局所有破格</x:v>
      </x:c>
      <x:c r="R101" s="68" t="str">
        <x:v>M14已生成候选；M08、M09、M10、M11相关结论可追溯</x:v>
      </x:c>
      <x:c r="S101" s="68" t="str">
        <x:v>格神与关键配合十神均以有效力量和实际功能为准</x:v>
      </x:c>
      <x:c r="T101" s="68" t="str">
        <x:v>格神得令、有根、透达、清纯，组合路径稳定且日主承载匹配</x:v>
      </x:c>
      <x:c r="U101" s="68" t="str">
        <x:v>格神受制、混杂、路径受阻、日主承载不足或救应只能局部作用</x:v>
      </x:c>
      <x:c r="V101" s="90" t="str">
        <x:v>格神失效、核心作用路径完全中断，或特殊格局硬门槛被有效反证否决</x:v>
      </x:c>
      <x:c r="W101" s="68" t="str">
        <x:v>特殊格局严格条件、流派争议及岁运补成另按专门规则处理</x:v>
      </x:c>
      <x:c r="X101" s="84" t="str">
        <x:v>救应_对象限定</x:v>
      </x:c>
      <x:c r="Y101" s="84" t="str">
        <x:v>所有破格候选判为“待定”：破格等级为“待定”，救应为“待定”，清纯度为“待定”；层次需结合全局继续评估。</x:v>
      </x:c>
      <x:c r="Z101" s="68" t="str">
        <x:v>若“格神失效、核心作用路径完全中断，或特殊格局硬门槛被有效反证否决”成立，应降低为成立但有破或不成立，不得维持当前结论。</x:v>
      </x:c>
      <x:c r="AA101" s="82" t="str">
        <x:v>较高</x:v>
      </x:c>
      <x:c r="AB101" s="82" t="str">
        <x:v>子平格局</x:v>
      </x:c>
      <x:c r="AC101" s="68" t="str">
        <x:v>格局成败须区分：格神是否有效、结构是否能运行、是否存在破坏、救应是否直接修复破格机制，以及格局成立与层次高低。</x:v>
      </x:c>
      <x:c r="AD101" s="68" t="str">
        <x:v>当“救应与某一破格因素作用路径成立”成立，且成格证据相互支持、无决定性否决时，可按本规则判断。</x:v>
      </x:c>
      <x:c r="AE101" s="90" t="str">
        <x:v>只有格局名称或局部组合，但“格神失效、核心作用路径完全中断，或特殊格局硬门槛被有效反证否决”成立时，不能按本规则维持格局。</x:v>
      </x:c>
      <x:c r="AF101" s="68" t="str">
        <x:v>https://zh.wikisource.org/zh-hans/%E6%B7%B5%E6%B5%B7%E5%AD%90%E5%B9%B3 ; https://zh.wikisource.org/wiki/%E6%BB%B4%E5%A4%A9%E9%AB%93%E9%97%A1%E5%BE%AE</x:v>
      </x:c>
      <x:c r="AG101" s="82" t="str">
        <x:v>采用</x:v>
      </x:c>
      <x:c r="AH101" s="82" t="str">
        <x:v>初审</x:v>
      </x:c>
      <x:c r="AI101" s="87" t="n">
        <x:v>46260</x:v>
      </x:c>
    </x:row>
    <x:row r="102">
      <x:c r="A102" s="72" t="str">
        <x:f>IF(OR(C102="",D102=""),"",B102&amp;"-"&amp;UPPER(C102)&amp;"-"&amp;TEXT(D102,"0000")&amp;"-"&amp;E102)</x:f>
        <x:v>M15-RESCUE-0096-V1.0</x:v>
      </x:c>
      <x:c r="B102" s="74" t="str">
        <x:v>M15</x:v>
      </x:c>
      <x:c r="C102" s="74" t="str">
        <x:v>RESCUE</x:v>
      </x:c>
      <x:c r="D102" s="215" t="n">
        <x:v>96</x:v>
      </x:c>
      <x:c r="E102" s="74" t="str">
        <x:v>V1.0</x:v>
      </x:c>
      <x:c r="F102" s="68" t="str">
        <x:v>救应有效性应进入格局层次而非改变原始事实</x:v>
      </x:c>
      <x:c r="G102" s="82" t="str">
        <x:v>综合层</x:v>
      </x:c>
      <x:c r="H102" s="68" t="str">
        <x:v>所有格局</x:v>
      </x:c>
      <x:c r="I102" s="68" t="str">
        <x:v>有破有救结构已经确认</x:v>
      </x:c>
      <x:c r="J102" s="68" t="str">
        <x:v>原破格与救应两者均保留记录</x:v>
      </x:c>
      <x:c r="K102" s="68" t="str">
        <x:v>历史破格事实存在</x:v>
      </x:c>
      <x:c r="L102" s="82" t="str">
        <x:v>待定</x:v>
      </x:c>
      <x:c r="M102" s="68" t="str">
        <x:v>有效救应</x:v>
      </x:c>
      <x:c r="N102" s="82" t="str">
        <x:v>待定</x:v>
      </x:c>
      <x:c r="O102" s="84" t="str">
        <x:v>有破有救</x:v>
      </x:c>
      <x:c r="P102" s="82" t="str">
        <x:v>待定</x:v>
      </x:c>
      <x:c r="Q102" s="68" t="str">
        <x:v>输出应说明“有破有救”，不能把它改写成原局从未有破</x:v>
      </x:c>
      <x:c r="R102" s="68" t="str">
        <x:v>M14已生成候选；M08、M09、M10、M11相关结论可追溯</x:v>
      </x:c>
      <x:c r="S102" s="68" t="str">
        <x:v>格神与关键配合十神均以有效力量和实际功能为准</x:v>
      </x:c>
      <x:c r="T102" s="68" t="str">
        <x:v>格神得令、有根、透达、清纯，组合路径稳定且日主承载匹配</x:v>
      </x:c>
      <x:c r="U102" s="68" t="str">
        <x:v>格神受制、混杂、路径受阻、日主承载不足或救应只能局部作用</x:v>
      </x:c>
      <x:c r="V102" s="90" t="str">
        <x:v>格神失效、核心作用路径完全中断，或特殊格局硬门槛被有效反证否决</x:v>
      </x:c>
      <x:c r="W102" s="68" t="str">
        <x:v>特殊格局严格条件、流派争议及岁运补成另按专门规则处理</x:v>
      </x:c>
      <x:c r="X102" s="84" t="str">
        <x:v>救应_事实保留</x:v>
      </x:c>
      <x:c r="Y102" s="84" t="str">
        <x:v>最终表述必须同时保留破格机制和救应机制，并说明净结果与层次，不把有破有救伪装成天然清纯无破。</x:v>
      </x:c>
      <x:c r="Z102" s="68" t="str">
        <x:v>若“格神失效、核心作用路径完全中断，或特殊格局硬门槛被有效反证否决”成立，应降低为成立但有破或不成立，不得维持当前结论。</x:v>
      </x:c>
      <x:c r="AA102" s="82" t="str">
        <x:v>较高</x:v>
      </x:c>
      <x:c r="AB102" s="82" t="str">
        <x:v>子平格局</x:v>
      </x:c>
      <x:c r="AC102" s="68" t="str">
        <x:v>格局成败须区分：格神是否有效、结构是否能运行、是否存在破坏、救应是否直接修复破格机制，以及格局成立与层次高低。</x:v>
      </x:c>
      <x:c r="AD102" s="68" t="str">
        <x:v>当“有破有救结构已经确认”成立，且成格证据相互支持、无决定性否决时，可按本规则判断。</x:v>
      </x:c>
      <x:c r="AE102" s="90" t="str">
        <x:v>只有格局名称或局部组合，但“格神失效、核心作用路径完全中断，或特殊格局硬门槛被有效反证否决”成立时，不能按本规则维持格局。</x:v>
      </x:c>
      <x:c r="AF102" s="68" t="str">
        <x:v>https://zh.wikisource.org/zh-hans/%E6%B7%B5%E6%B5%B7%E5%AD%90%E5%B9%B3 ; https://zh.wikisource.org/wiki/%E6%BB%B4%E5%A4%A9%E9%AB%93%E9%97%A1%E5%BE%AE</x:v>
      </x:c>
      <x:c r="AG102" s="82" t="str">
        <x:v>采用</x:v>
      </x:c>
      <x:c r="AH102" s="82" t="str">
        <x:v>初审</x:v>
      </x:c>
      <x:c r="AI102" s="87" t="n">
        <x:v>46260</x:v>
      </x:c>
    </x:row>
    <x:row r="103">
      <x:c r="A103" s="72" t="str">
        <x:f>IF(OR(C103="",D103=""),"",B103&amp;"-"&amp;UPPER(C103)&amp;"-"&amp;TEXT(D103,"0000")&amp;"-"&amp;E103)</x:f>
        <x:v>M15-BOUND-0097-V1.0</x:v>
      </x:c>
      <x:c r="B103" s="74" t="str">
        <x:v>M15</x:v>
      </x:c>
      <x:c r="C103" s="74" t="str">
        <x:v>BOUND</x:v>
      </x:c>
      <x:c r="D103" s="215" t="n">
        <x:v>97</x:v>
      </x:c>
      <x:c r="E103" s="74" t="str">
        <x:v>V1.0</x:v>
      </x:c>
      <x:c r="F103" s="68" t="str">
        <x:v>格局成立不等于格局层次高</x:v>
      </x:c>
      <x:c r="G103" s="82" t="str">
        <x:v>综合层</x:v>
      </x:c>
      <x:c r="H103" s="68" t="str">
        <x:v>所有格局</x:v>
      </x:c>
      <x:c r="I103" s="68" t="str">
        <x:v>格局达到基本成立</x:v>
      </x:c>
      <x:c r="J103" s="68" t="str">
        <x:v>清纯度、破格、救应、流通、调候与日主承载仍可能一般</x:v>
      </x:c>
      <x:c r="K103" s="68" t="str">
        <x:v>待定</x:v>
      </x:c>
      <x:c r="L103" s="82" t="str">
        <x:v>待定</x:v>
      </x:c>
      <x:c r="M103" s="68" t="str">
        <x:v>待定</x:v>
      </x:c>
      <x:c r="N103" s="82" t="str">
        <x:v>待定</x:v>
      </x:c>
      <x:c r="O103" s="84" t="str">
        <x:v>基本成立</x:v>
      </x:c>
      <x:c r="P103" s="82" t="str">
        <x:v>待定</x:v>
      </x:c>
      <x:c r="Q103" s="68" t="str">
        <x:v>必须单独评价运行质量和稳定性</x:v>
      </x:c>
      <x:c r="R103" s="68" t="str">
        <x:v>M14已生成候选；M08、M09、M10、M11相关结论可追溯</x:v>
      </x:c>
      <x:c r="S103" s="68" t="str">
        <x:v>格神与关键配合十神均以有效力量和实际功能为准</x:v>
      </x:c>
      <x:c r="T103" s="68" t="str">
        <x:v>格神得令、有根、透达、清纯，组合路径稳定且日主承载匹配</x:v>
      </x:c>
      <x:c r="U103" s="68" t="str">
        <x:v>格神受制、混杂、路径受阻、日主承载不足或救应只能局部作用</x:v>
      </x:c>
      <x:c r="V103" s="90" t="str">
        <x:v>格神失效、核心作用路径完全中断，或特殊格局硬门槛被有效反证否决</x:v>
      </x:c>
      <x:c r="W103" s="68" t="str">
        <x:v>特殊格局严格条件、流派争议及岁运补成另按专门规则处理</x:v>
      </x:c>
      <x:c r="X103" s="84" t="str">
        <x:v>格局成立层次边界</x:v>
      </x:c>
      <x:c r="Y103" s="84" t="str">
        <x:v>所有格局判为“基本成立”：破格等级为“待定”，救应为“待定”，清纯度为“待定”；层次需结合全局继续评估。</x:v>
      </x:c>
      <x:c r="Z103" s="68" t="str">
        <x:v>若“格神失效、核心作用路径完全中断，或特殊格局硬门槛被有效反证否决”成立，应降低为成立但有破或不成立，不得维持当前结论。</x:v>
      </x:c>
      <x:c r="AA103" s="82" t="str">
        <x:v>较高</x:v>
      </x:c>
      <x:c r="AB103" s="82" t="str">
        <x:v>子平格局</x:v>
      </x:c>
      <x:c r="AC103" s="68" t="str">
        <x:v>格局成败须区分：格神是否有效、结构是否能运行、是否存在破坏、救应是否直接修复破格机制，以及格局成立与层次高低。</x:v>
      </x:c>
      <x:c r="AD103" s="68" t="str">
        <x:v>当“格局达到基本成立”成立，且成格证据相互支持、无决定性否决时，可按本规则判断。</x:v>
      </x:c>
      <x:c r="AE103" s="90" t="str">
        <x:v>只有格局名称或局部组合，但“格神失效、核心作用路径完全中断，或特殊格局硬门槛被有效反证否决”成立时，不能按本规则维持格局。</x:v>
      </x:c>
      <x:c r="AF103" s="68" t="str">
        <x:v>https://zh.wikisource.org/zh-hans/%E6%B7%B5%E6%B5%B7%E5%AD%90%E5%B9%B3 ; https://zh.wikisource.org/wiki/%E6%BB%B4%E5%A4%A9%E9%AB%93%E9%97%A1%E5%BE%AE</x:v>
      </x:c>
      <x:c r="AG103" s="82" t="str">
        <x:v>采用</x:v>
      </x:c>
      <x:c r="AH103" s="82" t="str">
        <x:v>初审</x:v>
      </x:c>
      <x:c r="AI103" s="87" t="n">
        <x:v>46260</x:v>
      </x:c>
    </x:row>
    <x:row r="104">
      <x:c r="A104" s="72" t="str">
        <x:f>IF(OR(C104="",D104=""),"",B104&amp;"-"&amp;UPPER(C104)&amp;"-"&amp;TEXT(D104,"0000")&amp;"-"&amp;E104)</x:f>
        <x:v>M15-BOUND-0098-V1.0</x:v>
      </x:c>
      <x:c r="B104" s="74" t="str">
        <x:v>M15</x:v>
      </x:c>
      <x:c r="C104" s="74" t="str">
        <x:v>BOUND</x:v>
      </x:c>
      <x:c r="D104" s="215" t="n">
        <x:v>98</x:v>
      </x:c>
      <x:c r="E104" s="74" t="str">
        <x:v>V1.0</x:v>
      </x:c>
      <x:c r="F104" s="68" t="str">
        <x:v>格局有破不等于必然完全不成立</x:v>
      </x:c>
      <x:c r="G104" s="82" t="str">
        <x:v>综合层</x:v>
      </x:c>
      <x:c r="H104" s="68" t="str">
        <x:v>所有格局</x:v>
      </x:c>
      <x:c r="I104" s="68" t="str">
        <x:v>核心格神和结构仍能运行</x:v>
      </x:c>
      <x:c r="J104" s="68" t="str">
        <x:v>月令依据、格神根气与有效力量、日主配合及M11组合证据相互支持</x:v>
      </x:c>
      <x:c r="K104" s="68" t="str">
        <x:v>存在轻微、一般或严重破损</x:v>
      </x:c>
      <x:c r="L104" s="82" t="str">
        <x:v>待定</x:v>
      </x:c>
      <x:c r="M104" s="68" t="str">
        <x:v>待定</x:v>
      </x:c>
      <x:c r="N104" s="82" t="str">
        <x:v>待定</x:v>
      </x:c>
      <x:c r="O104" s="84" t="str">
        <x:v>成立但有破</x:v>
      </x:c>
      <x:c r="P104" s="82" t="str">
        <x:v>待定</x:v>
      </x:c>
      <x:c r="Q104" s="68" t="str">
        <x:v>只有根本破格或核心失效才判不成立</x:v>
      </x:c>
      <x:c r="R104" s="68" t="str">
        <x:v>M14已生成候选；M08、M09、M10、M11相关结论可追溯</x:v>
      </x:c>
      <x:c r="S104" s="68" t="str">
        <x:v>格神与关键配合十神均以有效力量和实际功能为准</x:v>
      </x:c>
      <x:c r="T104" s="68" t="str">
        <x:v>格神得令、有根、透达、清纯，组合路径稳定且日主承载匹配</x:v>
      </x:c>
      <x:c r="U104" s="68" t="str">
        <x:v>格神受制、混杂、路径受阻、日主承载不足或救应只能局部作用</x:v>
      </x:c>
      <x:c r="V104" s="90" t="str">
        <x:v>格神失效、核心作用路径完全中断，或特殊格局硬门槛被有效反证否决</x:v>
      </x:c>
      <x:c r="W104" s="68" t="str">
        <x:v>特殊格局严格条件、流派争议及岁运补成另按专门规则处理</x:v>
      </x:c>
      <x:c r="X104" s="84" t="str">
        <x:v>有破非自动否决</x:v>
      </x:c>
      <x:c r="Y104" s="84" t="str">
        <x:v>所有格局判为“成立但有破”：破格等级为“待定”，救应为“待定”，清纯度为“待定”；层次需结合全局继续评估。</x:v>
      </x:c>
      <x:c r="Z104" s="68" t="str">
        <x:v>若“格神失效、核心作用路径完全中断，或特殊格局硬门槛被有效反证否决”成立，应降低为成立但有破或不成立，不得维持当前结论。</x:v>
      </x:c>
      <x:c r="AA104" s="82" t="str">
        <x:v>较高</x:v>
      </x:c>
      <x:c r="AB104" s="82" t="str">
        <x:v>子平格局</x:v>
      </x:c>
      <x:c r="AC104" s="68" t="str">
        <x:v>格局成败须区分：格神是否有效、结构是否能运行、是否存在破坏、救应是否直接修复破格机制，以及格局成立与层次高低。</x:v>
      </x:c>
      <x:c r="AD104" s="68" t="str">
        <x:v>当“核心格神和结构仍能运行”成立，且成格证据相互支持、无决定性否决时，可按本规则判断。</x:v>
      </x:c>
      <x:c r="AE104" s="90" t="str">
        <x:v>只有格局名称或局部组合，但“格神失效、核心作用路径完全中断，或特殊格局硬门槛被有效反证否决”成立时，不能按本规则维持格局。</x:v>
      </x:c>
      <x:c r="AF104" s="68" t="str">
        <x:v>https://zh.wikisource.org/zh-hans/%E6%B7%B5%E6%B5%B7%E5%AD%90%E5%B9%B3 ; https://zh.wikisource.org/wiki/%E6%BB%B4%E5%A4%A9%E9%AB%93%E9%97%A1%E5%BE%AE</x:v>
      </x:c>
      <x:c r="AG104" s="82" t="str">
        <x:v>采用</x:v>
      </x:c>
      <x:c r="AH104" s="82" t="str">
        <x:v>初审</x:v>
      </x:c>
      <x:c r="AI104" s="87" t="n">
        <x:v>46260</x:v>
      </x:c>
    </x:row>
    <x:row r="105">
      <x:c r="A105" s="72" t="str">
        <x:f>IF(OR(C105="",D105=""),"",B105&amp;"-"&amp;UPPER(C105)&amp;"-"&amp;TEXT(D105,"0000")&amp;"-"&amp;E105)</x:f>
        <x:v>M15-BOUND-0099-V1.0</x:v>
      </x:c>
      <x:c r="B105" s="74" t="str">
        <x:v>M15</x:v>
      </x:c>
      <x:c r="C105" s="74" t="str">
        <x:v>BOUND</x:v>
      </x:c>
      <x:c r="D105" s="215" t="n">
        <x:v>99</x:v>
      </x:c>
      <x:c r="E105" s="74" t="str">
        <x:v>V1.0</x:v>
      </x:c>
      <x:c r="F105" s="68" t="str">
        <x:v>格局成败不能直接推出富贵贫贱与具体事件</x:v>
      </x:c>
      <x:c r="G105" s="82" t="str">
        <x:v>综合层</x:v>
      </x:c>
      <x:c r="H105" s="68" t="str">
        <x:v>所有格局</x:v>
      </x:c>
      <x:c r="I105" s="68" t="str">
        <x:v>M15完成最终格局状态</x:v>
      </x:c>
      <x:c r="J105" s="68" t="str">
        <x:v>格局是结构运行方式，不是现实结果的单因决定</x:v>
      </x:c>
      <x:c r="K105" s="68" t="str">
        <x:v>不适用</x:v>
      </x:c>
      <x:c r="L105" s="82" t="str">
        <x:v>无破</x:v>
      </x:c>
      <x:c r="M105" s="68" t="str">
        <x:v>不适用</x:v>
      </x:c>
      <x:c r="N105" s="82" t="str">
        <x:v>无救应</x:v>
      </x:c>
      <x:c r="O105" s="84" t="str">
        <x:v>待定</x:v>
      </x:c>
      <x:c r="P105" s="82" t="str">
        <x:v>待定</x:v>
      </x:c>
      <x:c r="Q105" s="68" t="str">
        <x:v>现实表现需结合用神、岁运和上层主题模型</x:v>
      </x:c>
      <x:c r="R105" s="68" t="str">
        <x:v>M14已生成候选；M08、M09、M10、M11相关结论可追溯</x:v>
      </x:c>
      <x:c r="S105" s="68" t="str">
        <x:v>格神与关键配合十神均以有效力量和实际功能为准</x:v>
      </x:c>
      <x:c r="T105" s="68" t="str">
        <x:v>格神得令、有根、透达、清纯，组合路径稳定且日主承载匹配</x:v>
      </x:c>
      <x:c r="U105" s="68" t="str">
        <x:v>格神受制、混杂、路径受阻、日主承载不足或救应只能局部作用</x:v>
      </x:c>
      <x:c r="V105" s="90" t="str">
        <x:v>格神失效、核心作用路径完全中断，或特殊格局硬门槛被有效反证否决</x:v>
      </x:c>
      <x:c r="W105" s="68" t="str">
        <x:v>特殊格局严格条件、流派争议及岁运补成另按专门规则处理</x:v>
      </x:c>
      <x:c r="X105" s="84" t="str">
        <x:v>格局事件边界</x:v>
      </x:c>
      <x:c r="Y105" s="84" t="str">
        <x:v>M15只输出格局成立、破格、救应、清纯度与层次，不直接断财富、职位、婚姻、疾病或具体人生事件。</x:v>
      </x:c>
      <x:c r="Z105" s="68" t="str">
        <x:v>若“格神失效、核心作用路径完全中断，或特殊格局硬门槛被有效反证否决”成立，应降低为成立但有破或不成立，不得维持当前结论。</x:v>
      </x:c>
      <x:c r="AA105" s="82" t="str">
        <x:v>较高</x:v>
      </x:c>
      <x:c r="AB105" s="82" t="str">
        <x:v>子平格局</x:v>
      </x:c>
      <x:c r="AC105" s="68" t="str">
        <x:v>格局成败须区分：格神是否有效、结构是否能运行、是否存在破坏、救应是否直接修复破格机制，以及格局成立与层次高低。</x:v>
      </x:c>
      <x:c r="AD105" s="68" t="str">
        <x:v>当“M15完成最终格局状态”成立，且成格证据相互支持、无决定性否决时，可按本规则判断。</x:v>
      </x:c>
      <x:c r="AE105" s="90" t="str">
        <x:v>只有格局名称或局部组合，但“格神失效、核心作用路径完全中断，或特殊格局硬门槛被有效反证否决”成立时，不能按本规则维持格局。</x:v>
      </x:c>
      <x:c r="AF105" s="68" t="str">
        <x:v>https://zh.wikisource.org/zh-hans/%E6%B7%B5%E6%B5%B7%E5%AD%90%E5%B9%B3 ; https://zh.wikisource.org/wiki/%E6%BB%B4%E5%A4%A9%E9%AB%93%E9%97%A1%E5%BE%AE</x:v>
      </x:c>
      <x:c r="AG105" s="82" t="str">
        <x:v>采用</x:v>
      </x:c>
      <x:c r="AH105" s="82" t="str">
        <x:v>初审</x:v>
      </x:c>
      <x:c r="AI105" s="87" t="n">
        <x:v>46260</x:v>
      </x:c>
    </x:row>
    <x:row r="106">
      <x:c r="A106" s="214" t="str">
        <x:f>IF(OR(C106="",D106=""),"",B106&amp;"-"&amp;UPPER(C106)&amp;"-"&amp;TEXT(D106,"0000")&amp;"-"&amp;E106)</x:f>
        <x:v>M15-BOUND-0100-V1.0</x:v>
      </x:c>
      <x:c r="B106" s="214" t="str">
        <x:v>M15</x:v>
      </x:c>
      <x:c r="C106" s="214" t="str">
        <x:v>BOUND</x:v>
      </x:c>
      <x:c r="D106" s="216" t="n">
        <x:v>100</x:v>
      </x:c>
      <x:c r="E106" s="214" t="str">
        <x:v>V1.0</x:v>
      </x:c>
      <x:c r="F106" s="214" t="str">
        <x:v>原局成败与岁运救格必须分开</x:v>
      </x:c>
      <x:c r="G106" s="214" t="str">
        <x:v>综合层</x:v>
      </x:c>
      <x:c r="H106" s="214" t="str">
        <x:v>所有格局</x:v>
      </x:c>
      <x:c r="I106" s="214" t="str">
        <x:v>原局格局存在破损或缺少救应</x:v>
      </x:c>
      <x:c r="J106" s="214" t="str">
        <x:v>未来岁运可能补入救应，但不属于原局静态事实</x:v>
      </x:c>
      <x:c r="K106" s="214" t="str">
        <x:v>原局破格照实保留</x:v>
      </x:c>
      <x:c r="L106" s="214" t="str">
        <x:v>待定</x:v>
      </x:c>
      <x:c r="M106" s="214" t="str">
        <x:v>岁运可能救格</x:v>
      </x:c>
      <x:c r="N106" s="214" t="str">
        <x:v>待定</x:v>
      </x:c>
      <x:c r="O106" s="214" t="str">
        <x:v>待定</x:v>
      </x:c>
      <x:c r="P106" s="214" t="str">
        <x:v>待定</x:v>
      </x:c>
      <x:c r="Q106" s="214" t="str">
        <x:v>原局状态先定，岁运变化由动态作用引擎另判</x:v>
      </x:c>
      <x:c r="R106" s="214" t="str">
        <x:v>M14已生成候选；M08、M09、M10、M11相关结论可追溯</x:v>
      </x:c>
      <x:c r="S106" s="214" t="str">
        <x:v>格神与关键配合十神均以有效力量和实际功能为准</x:v>
      </x:c>
      <x:c r="T106" s="214" t="str">
        <x:v>格神得令、有根、透达、清纯，组合路径稳定且日主承载匹配</x:v>
      </x:c>
      <x:c r="U106" s="214" t="str">
        <x:v>格神受制、混杂、路径受阻、日主承载不足或救应只能局部作用</x:v>
      </x:c>
      <x:c r="V106" s="214" t="str">
        <x:v>格神失效、核心作用路径完全中断，或特殊格局硬门槛被有效反证否决</x:v>
      </x:c>
      <x:c r="W106" s="214" t="str">
        <x:v>岁运引动、成格、破格与救格属于D0动态模型</x:v>
      </x:c>
      <x:c r="X106" s="214" t="str">
        <x:v>格局静动态边界</x:v>
      </x:c>
      <x:c r="Y106" s="214" t="str">
        <x:v>不得用未来岁运的潜在救应提前把原局写成有破有救或清纯成立。</x:v>
      </x:c>
      <x:c r="Z106" s="214" t="str">
        <x:v>若“格神失效、核心作用路径完全中断，或特殊格局硬门槛被有效反证否决”成立，应降低为成立但有破或不成立，不得维持当前结论。</x:v>
      </x:c>
      <x:c r="AA106" s="214" t="str">
        <x:v>较高</x:v>
      </x:c>
      <x:c r="AB106" s="214" t="str">
        <x:v>子平格局</x:v>
      </x:c>
      <x:c r="AC106" s="214" t="str">
        <x:v>格局成败须区分：格神是否有效、结构是否能运行、是否存在破坏、救应是否直接修复破格机制，以及格局成立与层次高低。</x:v>
      </x:c>
      <x:c r="AD106" s="214" t="str">
        <x:v>当“原局格局存在破损或缺少救应”成立，且成格证据相互支持、无决定性否决时，可按本规则判断。</x:v>
      </x:c>
      <x:c r="AE106" s="214" t="str">
        <x:v>只有格局名称或局部组合，但“格神失效、核心作用路径完全中断，或特殊格局硬门槛被有效反证否决”成立时，不能按本规则维持格局。</x:v>
      </x:c>
      <x:c r="AF106" s="214" t="str">
        <x:v>https://zh.wikisource.org/zh-hans/%E6%B7%B5%E6%B5%B7%E5%AD%90%E5%B9%B3 ; https://zh.wikisource.org/wiki/%E6%BB%B4%E5%A4%A9%E9%AB%93%E9%97%A1%E5%BE%AE</x:v>
      </x:c>
      <x:c r="AG106" s="214" t="str">
        <x:v>采用</x:v>
      </x:c>
      <x:c r="AH106" s="214" t="str">
        <x:v>初审</x:v>
      </x:c>
      <x:c r="AI106" s="217" t="n">
        <x:v>46260</x:v>
      </x:c>
    </x:row>
  </x:sheetData>
  <x:mergeCells>
    <x:mergeCell ref="A1:O1"/>
    <x:mergeCell ref="A2:O2"/>
    <x:mergeCell ref="A3:O3"/>
    <x:mergeCell ref="A4:O4"/>
  </x:mergeCells>
  <x:conditionalFormatting sqref="A6:A105">
    <x:cfRule type="expression" dxfId="13" priority="1">
      <x:formula>AND(A6&lt;&gt;"",COUNTIF($A$6:$A$105,A6)&gt;1)</x:formula>
    </x:cfRule>
  </x:conditionalFormatting>
  <x:dataValidations count="22">
    <x:dataValidation type="list" sqref="E6:E105">
      <x:formula1>'99_下拉选项'!$BG$4:$BG$12</x:formula1>
    </x:dataValidation>
    <x:dataValidation type="list" sqref="G6:G105">
      <x:formula1>'99_下拉选项'!$F$4:$F$7</x:formula1>
    </x:dataValidation>
    <x:dataValidation type="list" sqref="L6:L105">
      <x:formula1>'99_下拉选项'!$AF$4:$AF$9</x:formula1>
    </x:dataValidation>
    <x:dataValidation type="list" sqref="N6:N105">
      <x:formula1>'99_下拉选项'!$AG$4:$AG$9</x:formula1>
    </x:dataValidation>
    <x:dataValidation type="list" sqref="O6:O105">
      <x:formula1>'99_下拉选项'!$AD$4:$AD$11</x:formula1>
    </x:dataValidation>
    <x:dataValidation type="list" sqref="P6:P105">
      <x:formula1>'99_下拉选项'!$AE$4:$AE$9</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'99_下拉选项'!$BG$4:$BG$15</x:formula1>
    </x:dataValidation>
    <x:dataValidation type="list" sqref="G7:G106">
      <x:formula1>'99_下拉选项'!$F$4:$F$7</x:formula1>
    </x:dataValidation>
    <x:dataValidation type="list" sqref="L7:L106">
      <x:formula1>'99_下拉选项'!$AF$4:$AF$9</x:formula1>
    </x:dataValidation>
    <x:dataValidation type="list" sqref="N7:N106">
      <x:formula1>'99_下拉选项'!$AG$4:$AG$9</x:formula1>
    </x:dataValidation>
    <x:dataValidation type="list" sqref="O7:O106">
      <x:formula1>'99_下拉选项'!$AD$4:$AD$11</x:formula1>
    </x:dataValidation>
    <x:dataValidation type="list" sqref="P7:P106">
      <x:formula1>'99_下拉选项'!$AE$4:$AE$9</x:formula1>
    </x:dataValidation>
    <x:dataValidation type="list" sqref="AA7:AA106">
      <x:formula1>'99_下拉选项'!$Q$4:$Q$8</x:formula1>
    </x:dataValidation>
    <x:dataValidation type="list" sqref="AB7:AB106">
      <x:formula1>'99_下拉选项'!$R$4:$R$11</x:formula1>
    </x:dataValidation>
    <x:dataValidation type="list" sqref="AG7:AG106">
      <x:formula1>'99_下拉选项'!$S$4:$S$9</x:formula1>
    </x:dataValidation>
    <x:dataValidation type="list" sqref="AH7:AH106">
      <x:formula1>'99_下拉选项'!$T$4:$T$8</x:formula1>
    </x:dataValidation>
    <x:dataValidation type="list" sqref="E7:E106">
      <x:formula1>'99_下拉选项'!$BG$4:$BG$16</x:formula1>
    </x:dataValidation>
  </x:dataValidations>
  <x:pageMargins left="0.7" right="0.7" top="0.75" bottom="0.75" header="0.3" footer="0.3"/>
  <x:tableParts count="1">
    <x:tablePart xmlns:r="http://schemas.openxmlformats.org/officeDocument/2006/relationships" r:id="Rce478e47b4f84395"/>
  </x:tableParts>
</x:worksheet>
</file>

<file path=xl/worksheets/sheet1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30" hidden="0" customWidth="1"/>
    <x:col min="12" max="12" width="30"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16"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M16｜根本之病、表层之病与药神规则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把旺衰、流通、制化、格局和调候问题转化为病位、病性、根因与药理，评估药力不足、过量和产生新病的风险。</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前置依赖：M08/M09/M10/M11/M12/M13/M15　｜　主要输出：根本病、表层病、主药、辅助药与副作用　｜　直接下游：M17/M18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病类</x:v>
      </x:c>
      <x:c r="I5" s="61" t="str">
        <x:v>病位</x:v>
      </x:c>
      <x:c r="J5" s="61" t="str">
        <x:v>病性</x:v>
      </x:c>
      <x:c r="K5" s="61" t="str">
        <x:v>根本原因</x:v>
      </x:c>
      <x:c r="L5" s="61" t="str">
        <x:v>表层表现</x:v>
      </x:c>
      <x:c r="M5" s="61" t="str">
        <x:v>严重程度</x:v>
      </x:c>
      <x:c r="N5" s="61" t="str">
        <x:v>主药五行/十神</x:v>
      </x:c>
      <x:c r="O5" s="61" t="str">
        <x:v>辅助药五行/十神</x:v>
      </x:c>
      <x:c r="P5" s="61" t="str">
        <x:v>药理</x:v>
      </x:c>
      <x:c r="Q5" s="61" t="str">
        <x:v>成立条件</x:v>
      </x:c>
      <x:c r="R5" s="61" t="str">
        <x:v>禁忌条件</x:v>
      </x:c>
      <x:c r="S5" s="61" t="str">
        <x:v>药力不足后果</x:v>
      </x:c>
      <x:c r="T5" s="61" t="str">
        <x:v>药力过度后果</x:v>
      </x:c>
      <x:c r="U5" s="61" t="str">
        <x:v>是否伤害格局</x:v>
      </x:c>
      <x:c r="V5" s="61" t="str">
        <x:v>是否产生新病</x:v>
      </x:c>
      <x:c r="W5" s="61" t="str">
        <x:v>新病类型</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M16-DEMO-9999-V0.1</x:v>
      </x:c>
      <x:c r="B6" s="76" t="str">
        <x:v>M16</x:v>
      </x:c>
      <x:c r="C6" s="76" t="str">
        <x:v>DEMO</x:v>
      </x:c>
      <x:c r="D6" s="78" t="n">
        <x:v>9999</x:v>
      </x:c>
      <x:c r="E6" s="76" t="str">
        <x:v>V0.1</x:v>
      </x:c>
      <x:c r="F6" s="76" t="str">
        <x:v>根本之病优先于表层症状</x:v>
      </x:c>
      <x:c r="G6" s="76" t="str">
        <x:v>综合层</x:v>
      </x:c>
      <x:c r="H6" s="76" t="str">
        <x:v>制化病</x:v>
      </x:c>
      <x:c r="I6" s="76" t="str">
        <x:v>官杀—日主作用链</x:v>
      </x:c>
      <x:c r="J6" s="76" t="str">
        <x:v>杀旺攻身的表象</x:v>
      </x:c>
      <x:c r="K6" s="76" t="str">
        <x:v>日主缺乏有效承载且制化路径失效</x:v>
      </x:c>
      <x:c r="L6" s="76" t="str">
        <x:v>官杀压力明显</x:v>
      </x:c>
      <x:c r="M6" s="76" t="str">
        <x:v>首要矛盾</x:v>
      </x:c>
      <x:c r="N6" s="76" t="str">
        <x:v>印星或食神，需按路径择一</x:v>
      </x:c>
      <x:c r="O6" s="76" t="str">
        <x:v>比劫或财星，取决于保护印/食的需要</x:v>
      </x:c>
      <x:c r="P6" s="76" t="str">
        <x:v>复合药理</x:v>
      </x:c>
      <x:c r="Q6" s="76" t="str">
        <x:v>确认杀有力、日主承载不足且现有制化无效</x:v>
      </x:c>
      <x:c r="R6" s="76" t="str">
        <x:v>不得同时无差别加强印与食，避免制化两立或进一步泄身</x:v>
      </x:c>
      <x:c r="S6" s="76" t="str">
        <x:v>官杀压力仍直接落在日主</x:v>
      </x:c>
      <x:c r="T6" s="76" t="str">
        <x:v>印过旺可能夺食，食过旺可能泄身太过</x:v>
      </x:c>
      <x:c r="U6" s="76" t="str">
        <x:v>条件性</x:v>
      </x:c>
      <x:c r="V6" s="76" t="str">
        <x:v>条件性</x:v>
      </x:c>
      <x:c r="W6" s="76" t="str">
        <x:v>枭夺食、泄身过度或格局冲突</x:v>
      </x:c>
      <x:c r="X6" s="76" t="str">
        <x:v>M09-M15完成</x:v>
      </x:c>
      <x:c r="Y6" s="76" t="str">
        <x:v>区分根因与症状</x:v>
      </x:c>
      <x:c r="Z6" s="76" t="str">
        <x:v>药神有根有源且直接作用于病位</x:v>
      </x:c>
      <x:c r="AA6" s="76" t="str">
        <x:v>药神被合制或产生更大格局冲突</x:v>
      </x:c>
      <x:c r="AB6" s="76" t="str">
        <x:v>仅看到官杀旺，不得跳过承载与制化直接指定单一药神</x:v>
      </x:c>
      <x:c r="AC6" s="76" t="str">
        <x:v>特殊格局严格成立时，病药须服从格局硬约束</x:v>
      </x:c>
      <x:c r="AD6" s="76" t="str">
        <x:v>根因病药</x:v>
      </x:c>
      <x:c r="AE6" s="76" t="str">
        <x:v>表层为官杀压力，根本之病在承载与制化失效；药神须优先修复该机制，而非只压低官杀数量。</x:v>
      </x:c>
      <x:c r="AF6" s="76" t="str">
        <x:v>中等</x:v>
      </x:c>
      <x:c r="AG6" s="76" t="str">
        <x:v>病药</x:v>
      </x:c>
      <x:c r="AH6" s="76" t="str">
        <x:v>同一表象可能由不同根因造成，药神因此不同。</x:v>
      </x:c>
      <x:c r="AI6" s="76" t="str">
        <x:v>杀旺、身弱、印被财坏，应先处理印功能。</x:v>
      </x:c>
      <x:c r="AJ6" s="76" t="str">
        <x:v>见杀旺一律用食神制杀，不审身弱与枭夺食。</x:v>
      </x:c>
      <x:c r="AK6" s="76" t="str">
        <x:v>示例</x:v>
      </x:c>
      <x:c r="AL6" s="76" t="str">
        <x:v>未审核</x:v>
      </x:c>
      <x:c r="AM6" s="86" t="n">
        <x:v>46254</x:v>
      </x:c>
    </x:row>
    <x:row r="7">
      <x:c r="A7" s="72" t="str">
        <x:f>IF(OR(C7="",D7=""),"",B7&amp;"-"&amp;UPPER(C7)&amp;"-"&amp;TEXT(D7,"0000")&amp;"-"&amp;E7)</x:f>
      </x:c>
      <x:c r="B7" s="74" t="str">
        <x:v>M16</x:v>
      </x:c>
      <x:c r="C7" s="74"/>
      <x:c r="D7" s="79"/>
      <x:c r="E7" s="74" t="str">
        <x:v>V1.0</x:v>
      </x:c>
      <x:c r="F7" s="68"/>
      <x:c r="G7" s="82"/>
      <x:c r="H7" s="82"/>
      <x:c r="I7" s="68"/>
      <x:c r="J7" s="68"/>
      <x:c r="K7" s="68"/>
      <x:c r="L7" s="68"/>
      <x:c r="M7" s="82"/>
      <x:c r="N7" s="68"/>
      <x:c r="O7" s="68"/>
      <x:c r="P7" s="82"/>
      <x:c r="Q7" s="68"/>
      <x:c r="R7" s="90"/>
      <x:c r="S7" s="90"/>
      <x:c r="T7" s="90"/>
      <x:c r="U7" s="82"/>
      <x:c r="V7" s="90"/>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M16</x:v>
      </x:c>
      <x:c r="C8" s="74"/>
      <x:c r="D8" s="79"/>
      <x:c r="E8" s="74" t="str">
        <x:v>V1.0</x:v>
      </x:c>
      <x:c r="F8" s="68"/>
      <x:c r="G8" s="82"/>
      <x:c r="H8" s="82"/>
      <x:c r="I8" s="68"/>
      <x:c r="J8" s="68"/>
      <x:c r="K8" s="68"/>
      <x:c r="L8" s="68"/>
      <x:c r="M8" s="82"/>
      <x:c r="N8" s="68"/>
      <x:c r="O8" s="68"/>
      <x:c r="P8" s="82"/>
      <x:c r="Q8" s="68"/>
      <x:c r="R8" s="90"/>
      <x:c r="S8" s="90"/>
      <x:c r="T8" s="90"/>
      <x:c r="U8" s="82"/>
      <x:c r="V8" s="90"/>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M16</x:v>
      </x:c>
      <x:c r="C9" s="74"/>
      <x:c r="D9" s="79"/>
      <x:c r="E9" s="74" t="str">
        <x:v>V1.0</x:v>
      </x:c>
      <x:c r="F9" s="68"/>
      <x:c r="G9" s="82"/>
      <x:c r="H9" s="82"/>
      <x:c r="I9" s="68"/>
      <x:c r="J9" s="68"/>
      <x:c r="K9" s="68"/>
      <x:c r="L9" s="68"/>
      <x:c r="M9" s="82"/>
      <x:c r="N9" s="68"/>
      <x:c r="O9" s="68"/>
      <x:c r="P9" s="82"/>
      <x:c r="Q9" s="68"/>
      <x:c r="R9" s="90"/>
      <x:c r="S9" s="90"/>
      <x:c r="T9" s="90"/>
      <x:c r="U9" s="82"/>
      <x:c r="V9" s="90"/>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M16</x:v>
      </x:c>
      <x:c r="C10" s="74"/>
      <x:c r="D10" s="79"/>
      <x:c r="E10" s="74" t="str">
        <x:v>V1.0</x:v>
      </x:c>
      <x:c r="F10" s="68"/>
      <x:c r="G10" s="82"/>
      <x:c r="H10" s="82"/>
      <x:c r="I10" s="68"/>
      <x:c r="J10" s="68"/>
      <x:c r="K10" s="68"/>
      <x:c r="L10" s="68"/>
      <x:c r="M10" s="82"/>
      <x:c r="N10" s="68"/>
      <x:c r="O10" s="68"/>
      <x:c r="P10" s="82"/>
      <x:c r="Q10" s="68"/>
      <x:c r="R10" s="90"/>
      <x:c r="S10" s="90"/>
      <x:c r="T10" s="90"/>
      <x:c r="U10" s="82"/>
      <x:c r="V10" s="90"/>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M16</x:v>
      </x:c>
      <x:c r="C11" s="74"/>
      <x:c r="D11" s="79"/>
      <x:c r="E11" s="74" t="str">
        <x:v>V1.0</x:v>
      </x:c>
      <x:c r="F11" s="68"/>
      <x:c r="G11" s="82"/>
      <x:c r="H11" s="82"/>
      <x:c r="I11" s="68"/>
      <x:c r="J11" s="68"/>
      <x:c r="K11" s="68"/>
      <x:c r="L11" s="68"/>
      <x:c r="M11" s="82"/>
      <x:c r="N11" s="68"/>
      <x:c r="O11" s="68"/>
      <x:c r="P11" s="82"/>
      <x:c r="Q11" s="68"/>
      <x:c r="R11" s="90"/>
      <x:c r="S11" s="90"/>
      <x:c r="T11" s="90"/>
      <x:c r="U11" s="82"/>
      <x:c r="V11" s="90"/>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M16</x:v>
      </x:c>
      <x:c r="C12" s="74"/>
      <x:c r="D12" s="79"/>
      <x:c r="E12" s="74" t="str">
        <x:v>V1.0</x:v>
      </x:c>
      <x:c r="F12" s="68"/>
      <x:c r="G12" s="82"/>
      <x:c r="H12" s="82"/>
      <x:c r="I12" s="68"/>
      <x:c r="J12" s="68"/>
      <x:c r="K12" s="68"/>
      <x:c r="L12" s="68"/>
      <x:c r="M12" s="82"/>
      <x:c r="N12" s="68"/>
      <x:c r="O12" s="68"/>
      <x:c r="P12" s="82"/>
      <x:c r="Q12" s="68"/>
      <x:c r="R12" s="90"/>
      <x:c r="S12" s="90"/>
      <x:c r="T12" s="90"/>
      <x:c r="U12" s="82"/>
      <x:c r="V12" s="90"/>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M16</x:v>
      </x:c>
      <x:c r="C13" s="74"/>
      <x:c r="D13" s="79"/>
      <x:c r="E13" s="74" t="str">
        <x:v>V1.0</x:v>
      </x:c>
      <x:c r="F13" s="68"/>
      <x:c r="G13" s="82"/>
      <x:c r="H13" s="82"/>
      <x:c r="I13" s="68"/>
      <x:c r="J13" s="68"/>
      <x:c r="K13" s="68"/>
      <x:c r="L13" s="68"/>
      <x:c r="M13" s="82"/>
      <x:c r="N13" s="68"/>
      <x:c r="O13" s="68"/>
      <x:c r="P13" s="82"/>
      <x:c r="Q13" s="68"/>
      <x:c r="R13" s="90"/>
      <x:c r="S13" s="90"/>
      <x:c r="T13" s="90"/>
      <x:c r="U13" s="82"/>
      <x:c r="V13" s="90"/>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M16</x:v>
      </x:c>
      <x:c r="C14" s="74"/>
      <x:c r="D14" s="79"/>
      <x:c r="E14" s="74" t="str">
        <x:v>V1.0</x:v>
      </x:c>
      <x:c r="F14" s="68"/>
      <x:c r="G14" s="82"/>
      <x:c r="H14" s="82"/>
      <x:c r="I14" s="68"/>
      <x:c r="J14" s="68"/>
      <x:c r="K14" s="68"/>
      <x:c r="L14" s="68"/>
      <x:c r="M14" s="82"/>
      <x:c r="N14" s="68"/>
      <x:c r="O14" s="68"/>
      <x:c r="P14" s="82"/>
      <x:c r="Q14" s="68"/>
      <x:c r="R14" s="90"/>
      <x:c r="S14" s="90"/>
      <x:c r="T14" s="90"/>
      <x:c r="U14" s="82"/>
      <x:c r="V14" s="90"/>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M16</x:v>
      </x:c>
      <x:c r="C15" s="74"/>
      <x:c r="D15" s="79"/>
      <x:c r="E15" s="74" t="str">
        <x:v>V1.0</x:v>
      </x:c>
      <x:c r="F15" s="68"/>
      <x:c r="G15" s="82"/>
      <x:c r="H15" s="82"/>
      <x:c r="I15" s="68"/>
      <x:c r="J15" s="68"/>
      <x:c r="K15" s="68"/>
      <x:c r="L15" s="68"/>
      <x:c r="M15" s="82"/>
      <x:c r="N15" s="68"/>
      <x:c r="O15" s="68"/>
      <x:c r="P15" s="82"/>
      <x:c r="Q15" s="68"/>
      <x:c r="R15" s="90"/>
      <x:c r="S15" s="90"/>
      <x:c r="T15" s="90"/>
      <x:c r="U15" s="82"/>
      <x:c r="V15" s="90"/>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M16</x:v>
      </x:c>
      <x:c r="C16" s="74"/>
      <x:c r="D16" s="79"/>
      <x:c r="E16" s="74" t="str">
        <x:v>V1.0</x:v>
      </x:c>
      <x:c r="F16" s="68"/>
      <x:c r="G16" s="82"/>
      <x:c r="H16" s="82"/>
      <x:c r="I16" s="68"/>
      <x:c r="J16" s="68"/>
      <x:c r="K16" s="68"/>
      <x:c r="L16" s="68"/>
      <x:c r="M16" s="82"/>
      <x:c r="N16" s="68"/>
      <x:c r="O16" s="68"/>
      <x:c r="P16" s="82"/>
      <x:c r="Q16" s="68"/>
      <x:c r="R16" s="90"/>
      <x:c r="S16" s="90"/>
      <x:c r="T16" s="90"/>
      <x:c r="U16" s="82"/>
      <x:c r="V16" s="90"/>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M16</x:v>
      </x:c>
      <x:c r="C17" s="74"/>
      <x:c r="D17" s="79"/>
      <x:c r="E17" s="74" t="str">
        <x:v>V1.0</x:v>
      </x:c>
      <x:c r="F17" s="68"/>
      <x:c r="G17" s="82"/>
      <x:c r="H17" s="82"/>
      <x:c r="I17" s="68"/>
      <x:c r="J17" s="68"/>
      <x:c r="K17" s="68"/>
      <x:c r="L17" s="68"/>
      <x:c r="M17" s="82"/>
      <x:c r="N17" s="68"/>
      <x:c r="O17" s="68"/>
      <x:c r="P17" s="82"/>
      <x:c r="Q17" s="68"/>
      <x:c r="R17" s="90"/>
      <x:c r="S17" s="90"/>
      <x:c r="T17" s="90"/>
      <x:c r="U17" s="82"/>
      <x:c r="V17" s="90"/>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M16</x:v>
      </x:c>
      <x:c r="C18" s="74"/>
      <x:c r="D18" s="79"/>
      <x:c r="E18" s="74" t="str">
        <x:v>V1.0</x:v>
      </x:c>
      <x:c r="F18" s="68"/>
      <x:c r="G18" s="82"/>
      <x:c r="H18" s="82"/>
      <x:c r="I18" s="68"/>
      <x:c r="J18" s="68"/>
      <x:c r="K18" s="68"/>
      <x:c r="L18" s="68"/>
      <x:c r="M18" s="82"/>
      <x:c r="N18" s="68"/>
      <x:c r="O18" s="68"/>
      <x:c r="P18" s="82"/>
      <x:c r="Q18" s="68"/>
      <x:c r="R18" s="90"/>
      <x:c r="S18" s="90"/>
      <x:c r="T18" s="90"/>
      <x:c r="U18" s="82"/>
      <x:c r="V18" s="90"/>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M16</x:v>
      </x:c>
      <x:c r="C19" s="74"/>
      <x:c r="D19" s="79"/>
      <x:c r="E19" s="74" t="str">
        <x:v>V1.0</x:v>
      </x:c>
      <x:c r="F19" s="68"/>
      <x:c r="G19" s="82"/>
      <x:c r="H19" s="82"/>
      <x:c r="I19" s="68"/>
      <x:c r="J19" s="68"/>
      <x:c r="K19" s="68"/>
      <x:c r="L19" s="68"/>
      <x:c r="M19" s="82"/>
      <x:c r="N19" s="68"/>
      <x:c r="O19" s="68"/>
      <x:c r="P19" s="82"/>
      <x:c r="Q19" s="68"/>
      <x:c r="R19" s="90"/>
      <x:c r="S19" s="90"/>
      <x:c r="T19" s="90"/>
      <x:c r="U19" s="82"/>
      <x:c r="V19" s="90"/>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M16</x:v>
      </x:c>
      <x:c r="C20" s="74"/>
      <x:c r="D20" s="79"/>
      <x:c r="E20" s="74" t="str">
        <x:v>V1.0</x:v>
      </x:c>
      <x:c r="F20" s="68"/>
      <x:c r="G20" s="82"/>
      <x:c r="H20" s="82"/>
      <x:c r="I20" s="68"/>
      <x:c r="J20" s="68"/>
      <x:c r="K20" s="68"/>
      <x:c r="L20" s="68"/>
      <x:c r="M20" s="82"/>
      <x:c r="N20" s="68"/>
      <x:c r="O20" s="68"/>
      <x:c r="P20" s="82"/>
      <x:c r="Q20" s="68"/>
      <x:c r="R20" s="90"/>
      <x:c r="S20" s="90"/>
      <x:c r="T20" s="90"/>
      <x:c r="U20" s="82"/>
      <x:c r="V20" s="90"/>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M16</x:v>
      </x:c>
      <x:c r="C21" s="74"/>
      <x:c r="D21" s="79"/>
      <x:c r="E21" s="74" t="str">
        <x:v>V1.0</x:v>
      </x:c>
      <x:c r="F21" s="68"/>
      <x:c r="G21" s="82"/>
      <x:c r="H21" s="82"/>
      <x:c r="I21" s="68"/>
      <x:c r="J21" s="68"/>
      <x:c r="K21" s="68"/>
      <x:c r="L21" s="68"/>
      <x:c r="M21" s="82"/>
      <x:c r="N21" s="68"/>
      <x:c r="O21" s="68"/>
      <x:c r="P21" s="82"/>
      <x:c r="Q21" s="68"/>
      <x:c r="R21" s="90"/>
      <x:c r="S21" s="90"/>
      <x:c r="T21" s="90"/>
      <x:c r="U21" s="82"/>
      <x:c r="V21" s="90"/>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M16</x:v>
      </x:c>
      <x:c r="C22" s="74"/>
      <x:c r="D22" s="79"/>
      <x:c r="E22" s="74" t="str">
        <x:v>V1.0</x:v>
      </x:c>
      <x:c r="F22" s="68"/>
      <x:c r="G22" s="82"/>
      <x:c r="H22" s="82"/>
      <x:c r="I22" s="68"/>
      <x:c r="J22" s="68"/>
      <x:c r="K22" s="68"/>
      <x:c r="L22" s="68"/>
      <x:c r="M22" s="82"/>
      <x:c r="N22" s="68"/>
      <x:c r="O22" s="68"/>
      <x:c r="P22" s="82"/>
      <x:c r="Q22" s="68"/>
      <x:c r="R22" s="90"/>
      <x:c r="S22" s="90"/>
      <x:c r="T22" s="90"/>
      <x:c r="U22" s="82"/>
      <x:c r="V22" s="90"/>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M16</x:v>
      </x:c>
      <x:c r="C23" s="74"/>
      <x:c r="D23" s="79"/>
      <x:c r="E23" s="74" t="str">
        <x:v>V1.0</x:v>
      </x:c>
      <x:c r="F23" s="68"/>
      <x:c r="G23" s="82"/>
      <x:c r="H23" s="82"/>
      <x:c r="I23" s="68"/>
      <x:c r="J23" s="68"/>
      <x:c r="K23" s="68"/>
      <x:c r="L23" s="68"/>
      <x:c r="M23" s="82"/>
      <x:c r="N23" s="68"/>
      <x:c r="O23" s="68"/>
      <x:c r="P23" s="82"/>
      <x:c r="Q23" s="68"/>
      <x:c r="R23" s="90"/>
      <x:c r="S23" s="90"/>
      <x:c r="T23" s="90"/>
      <x:c r="U23" s="82"/>
      <x:c r="V23" s="90"/>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M16</x:v>
      </x:c>
      <x:c r="C24" s="74"/>
      <x:c r="D24" s="79"/>
      <x:c r="E24" s="74" t="str">
        <x:v>V1.0</x:v>
      </x:c>
      <x:c r="F24" s="68"/>
      <x:c r="G24" s="82"/>
      <x:c r="H24" s="82"/>
      <x:c r="I24" s="68"/>
      <x:c r="J24" s="68"/>
      <x:c r="K24" s="68"/>
      <x:c r="L24" s="68"/>
      <x:c r="M24" s="82"/>
      <x:c r="N24" s="68"/>
      <x:c r="O24" s="68"/>
      <x:c r="P24" s="82"/>
      <x:c r="Q24" s="68"/>
      <x:c r="R24" s="90"/>
      <x:c r="S24" s="90"/>
      <x:c r="T24" s="90"/>
      <x:c r="U24" s="82"/>
      <x:c r="V24" s="90"/>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M16</x:v>
      </x:c>
      <x:c r="C25" s="74"/>
      <x:c r="D25" s="79"/>
      <x:c r="E25" s="74" t="str">
        <x:v>V1.0</x:v>
      </x:c>
      <x:c r="F25" s="68"/>
      <x:c r="G25" s="82"/>
      <x:c r="H25" s="82"/>
      <x:c r="I25" s="68"/>
      <x:c r="J25" s="68"/>
      <x:c r="K25" s="68"/>
      <x:c r="L25" s="68"/>
      <x:c r="M25" s="82"/>
      <x:c r="N25" s="68"/>
      <x:c r="O25" s="68"/>
      <x:c r="P25" s="82"/>
      <x:c r="Q25" s="68"/>
      <x:c r="R25" s="90"/>
      <x:c r="S25" s="90"/>
      <x:c r="T25" s="90"/>
      <x:c r="U25" s="82"/>
      <x:c r="V25" s="90"/>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M16</x:v>
      </x:c>
      <x:c r="C26" s="74"/>
      <x:c r="D26" s="79"/>
      <x:c r="E26" s="74" t="str">
        <x:v>V1.0</x:v>
      </x:c>
      <x:c r="F26" s="68"/>
      <x:c r="G26" s="82"/>
      <x:c r="H26" s="82"/>
      <x:c r="I26" s="68"/>
      <x:c r="J26" s="68"/>
      <x:c r="K26" s="68"/>
      <x:c r="L26" s="68"/>
      <x:c r="M26" s="82"/>
      <x:c r="N26" s="68"/>
      <x:c r="O26" s="68"/>
      <x:c r="P26" s="82"/>
      <x:c r="Q26" s="68"/>
      <x:c r="R26" s="90"/>
      <x:c r="S26" s="90"/>
      <x:c r="T26" s="90"/>
      <x:c r="U26" s="82"/>
      <x:c r="V26" s="90"/>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M16</x:v>
      </x:c>
      <x:c r="C27" s="74"/>
      <x:c r="D27" s="79"/>
      <x:c r="E27" s="74" t="str">
        <x:v>V1.0</x:v>
      </x:c>
      <x:c r="F27" s="68"/>
      <x:c r="G27" s="82"/>
      <x:c r="H27" s="82"/>
      <x:c r="I27" s="68"/>
      <x:c r="J27" s="68"/>
      <x:c r="K27" s="68"/>
      <x:c r="L27" s="68"/>
      <x:c r="M27" s="82"/>
      <x:c r="N27" s="68"/>
      <x:c r="O27" s="68"/>
      <x:c r="P27" s="82"/>
      <x:c r="Q27" s="68"/>
      <x:c r="R27" s="90"/>
      <x:c r="S27" s="90"/>
      <x:c r="T27" s="90"/>
      <x:c r="U27" s="82"/>
      <x:c r="V27" s="90"/>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M16</x:v>
      </x:c>
      <x:c r="C28" s="74"/>
      <x:c r="D28" s="79"/>
      <x:c r="E28" s="74" t="str">
        <x:v>V1.0</x:v>
      </x:c>
      <x:c r="F28" s="68"/>
      <x:c r="G28" s="82"/>
      <x:c r="H28" s="82"/>
      <x:c r="I28" s="68"/>
      <x:c r="J28" s="68"/>
      <x:c r="K28" s="68"/>
      <x:c r="L28" s="68"/>
      <x:c r="M28" s="82"/>
      <x:c r="N28" s="68"/>
      <x:c r="O28" s="68"/>
      <x:c r="P28" s="82"/>
      <x:c r="Q28" s="68"/>
      <x:c r="R28" s="90"/>
      <x:c r="S28" s="90"/>
      <x:c r="T28" s="90"/>
      <x:c r="U28" s="82"/>
      <x:c r="V28" s="90"/>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M16</x:v>
      </x:c>
      <x:c r="C29" s="74"/>
      <x:c r="D29" s="79"/>
      <x:c r="E29" s="74" t="str">
        <x:v>V1.0</x:v>
      </x:c>
      <x:c r="F29" s="68"/>
      <x:c r="G29" s="82"/>
      <x:c r="H29" s="82"/>
      <x:c r="I29" s="68"/>
      <x:c r="J29" s="68"/>
      <x:c r="K29" s="68"/>
      <x:c r="L29" s="68"/>
      <x:c r="M29" s="82"/>
      <x:c r="N29" s="68"/>
      <x:c r="O29" s="68"/>
      <x:c r="P29" s="82"/>
      <x:c r="Q29" s="68"/>
      <x:c r="R29" s="90"/>
      <x:c r="S29" s="90"/>
      <x:c r="T29" s="90"/>
      <x:c r="U29" s="82"/>
      <x:c r="V29" s="90"/>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M16</x:v>
      </x:c>
      <x:c r="C30" s="74"/>
      <x:c r="D30" s="79"/>
      <x:c r="E30" s="74" t="str">
        <x:v>V1.0</x:v>
      </x:c>
      <x:c r="F30" s="68"/>
      <x:c r="G30" s="82"/>
      <x:c r="H30" s="82"/>
      <x:c r="I30" s="68"/>
      <x:c r="J30" s="68"/>
      <x:c r="K30" s="68"/>
      <x:c r="L30" s="68"/>
      <x:c r="M30" s="82"/>
      <x:c r="N30" s="68"/>
      <x:c r="O30" s="68"/>
      <x:c r="P30" s="82"/>
      <x:c r="Q30" s="68"/>
      <x:c r="R30" s="90"/>
      <x:c r="S30" s="90"/>
      <x:c r="T30" s="90"/>
      <x:c r="U30" s="82"/>
      <x:c r="V30" s="90"/>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M16</x:v>
      </x:c>
      <x:c r="C31" s="74"/>
      <x:c r="D31" s="79"/>
      <x:c r="E31" s="74" t="str">
        <x:v>V1.0</x:v>
      </x:c>
      <x:c r="F31" s="68"/>
      <x:c r="G31" s="82"/>
      <x:c r="H31" s="82"/>
      <x:c r="I31" s="68"/>
      <x:c r="J31" s="68"/>
      <x:c r="K31" s="68"/>
      <x:c r="L31" s="68"/>
      <x:c r="M31" s="82"/>
      <x:c r="N31" s="68"/>
      <x:c r="O31" s="68"/>
      <x:c r="P31" s="82"/>
      <x:c r="Q31" s="68"/>
      <x:c r="R31" s="90"/>
      <x:c r="S31" s="90"/>
      <x:c r="T31" s="90"/>
      <x:c r="U31" s="82"/>
      <x:c r="V31" s="90"/>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M16</x:v>
      </x:c>
      <x:c r="C32" s="74"/>
      <x:c r="D32" s="79"/>
      <x:c r="E32" s="74" t="str">
        <x:v>V1.0</x:v>
      </x:c>
      <x:c r="F32" s="68"/>
      <x:c r="G32" s="82"/>
      <x:c r="H32" s="82"/>
      <x:c r="I32" s="68"/>
      <x:c r="J32" s="68"/>
      <x:c r="K32" s="68"/>
      <x:c r="L32" s="68"/>
      <x:c r="M32" s="82"/>
      <x:c r="N32" s="68"/>
      <x:c r="O32" s="68"/>
      <x:c r="P32" s="82"/>
      <x:c r="Q32" s="68"/>
      <x:c r="R32" s="90"/>
      <x:c r="S32" s="90"/>
      <x:c r="T32" s="90"/>
      <x:c r="U32" s="82"/>
      <x:c r="V32" s="90"/>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M16</x:v>
      </x:c>
      <x:c r="C33" s="74"/>
      <x:c r="D33" s="79"/>
      <x:c r="E33" s="74" t="str">
        <x:v>V1.0</x:v>
      </x:c>
      <x:c r="F33" s="68"/>
      <x:c r="G33" s="82"/>
      <x:c r="H33" s="82"/>
      <x:c r="I33" s="68"/>
      <x:c r="J33" s="68"/>
      <x:c r="K33" s="68"/>
      <x:c r="L33" s="68"/>
      <x:c r="M33" s="82"/>
      <x:c r="N33" s="68"/>
      <x:c r="O33" s="68"/>
      <x:c r="P33" s="82"/>
      <x:c r="Q33" s="68"/>
      <x:c r="R33" s="90"/>
      <x:c r="S33" s="90"/>
      <x:c r="T33" s="90"/>
      <x:c r="U33" s="82"/>
      <x:c r="V33" s="90"/>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M16</x:v>
      </x:c>
      <x:c r="C34" s="74"/>
      <x:c r="D34" s="79"/>
      <x:c r="E34" s="74" t="str">
        <x:v>V1.0</x:v>
      </x:c>
      <x:c r="F34" s="68"/>
      <x:c r="G34" s="82"/>
      <x:c r="H34" s="82"/>
      <x:c r="I34" s="68"/>
      <x:c r="J34" s="68"/>
      <x:c r="K34" s="68"/>
      <x:c r="L34" s="68"/>
      <x:c r="M34" s="82"/>
      <x:c r="N34" s="68"/>
      <x:c r="O34" s="68"/>
      <x:c r="P34" s="82"/>
      <x:c r="Q34" s="68"/>
      <x:c r="R34" s="90"/>
      <x:c r="S34" s="90"/>
      <x:c r="T34" s="90"/>
      <x:c r="U34" s="82"/>
      <x:c r="V34" s="90"/>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M16</x:v>
      </x:c>
      <x:c r="C35" s="74"/>
      <x:c r="D35" s="79"/>
      <x:c r="E35" s="74" t="str">
        <x:v>V1.0</x:v>
      </x:c>
      <x:c r="F35" s="68"/>
      <x:c r="G35" s="82"/>
      <x:c r="H35" s="82"/>
      <x:c r="I35" s="68"/>
      <x:c r="J35" s="68"/>
      <x:c r="K35" s="68"/>
      <x:c r="L35" s="68"/>
      <x:c r="M35" s="82"/>
      <x:c r="N35" s="68"/>
      <x:c r="O35" s="68"/>
      <x:c r="P35" s="82"/>
      <x:c r="Q35" s="68"/>
      <x:c r="R35" s="90"/>
      <x:c r="S35" s="90"/>
      <x:c r="T35" s="90"/>
      <x:c r="U35" s="82"/>
      <x:c r="V35" s="90"/>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M16</x:v>
      </x:c>
      <x:c r="C36" s="74"/>
      <x:c r="D36" s="79"/>
      <x:c r="E36" s="74" t="str">
        <x:v>V1.0</x:v>
      </x:c>
      <x:c r="F36" s="68"/>
      <x:c r="G36" s="82"/>
      <x:c r="H36" s="82"/>
      <x:c r="I36" s="68"/>
      <x:c r="J36" s="68"/>
      <x:c r="K36" s="68"/>
      <x:c r="L36" s="68"/>
      <x:c r="M36" s="82"/>
      <x:c r="N36" s="68"/>
      <x:c r="O36" s="68"/>
      <x:c r="P36" s="82"/>
      <x:c r="Q36" s="68"/>
      <x:c r="R36" s="90"/>
      <x:c r="S36" s="90"/>
      <x:c r="T36" s="90"/>
      <x:c r="U36" s="82"/>
      <x:c r="V36" s="90"/>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M16</x:v>
      </x:c>
      <x:c r="C37" s="74"/>
      <x:c r="D37" s="79"/>
      <x:c r="E37" s="74" t="str">
        <x:v>V1.0</x:v>
      </x:c>
      <x:c r="F37" s="68"/>
      <x:c r="G37" s="82"/>
      <x:c r="H37" s="82"/>
      <x:c r="I37" s="68"/>
      <x:c r="J37" s="68"/>
      <x:c r="K37" s="68"/>
      <x:c r="L37" s="68"/>
      <x:c r="M37" s="82"/>
      <x:c r="N37" s="68"/>
      <x:c r="O37" s="68"/>
      <x:c r="P37" s="82"/>
      <x:c r="Q37" s="68"/>
      <x:c r="R37" s="90"/>
      <x:c r="S37" s="90"/>
      <x:c r="T37" s="90"/>
      <x:c r="U37" s="82"/>
      <x:c r="V37" s="90"/>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M16</x:v>
      </x:c>
      <x:c r="C38" s="74"/>
      <x:c r="D38" s="79"/>
      <x:c r="E38" s="74" t="str">
        <x:v>V1.0</x:v>
      </x:c>
      <x:c r="F38" s="68"/>
      <x:c r="G38" s="82"/>
      <x:c r="H38" s="82"/>
      <x:c r="I38" s="68"/>
      <x:c r="J38" s="68"/>
      <x:c r="K38" s="68"/>
      <x:c r="L38" s="68"/>
      <x:c r="M38" s="82"/>
      <x:c r="N38" s="68"/>
      <x:c r="O38" s="68"/>
      <x:c r="P38" s="82"/>
      <x:c r="Q38" s="68"/>
      <x:c r="R38" s="90"/>
      <x:c r="S38" s="90"/>
      <x:c r="T38" s="90"/>
      <x:c r="U38" s="82"/>
      <x:c r="V38" s="90"/>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M16</x:v>
      </x:c>
      <x:c r="C39" s="74"/>
      <x:c r="D39" s="79"/>
      <x:c r="E39" s="74" t="str">
        <x:v>V1.0</x:v>
      </x:c>
      <x:c r="F39" s="68"/>
      <x:c r="G39" s="82"/>
      <x:c r="H39" s="82"/>
      <x:c r="I39" s="68"/>
      <x:c r="J39" s="68"/>
      <x:c r="K39" s="68"/>
      <x:c r="L39" s="68"/>
      <x:c r="M39" s="82"/>
      <x:c r="N39" s="68"/>
      <x:c r="O39" s="68"/>
      <x:c r="P39" s="82"/>
      <x:c r="Q39" s="68"/>
      <x:c r="R39" s="90"/>
      <x:c r="S39" s="90"/>
      <x:c r="T39" s="90"/>
      <x:c r="U39" s="82"/>
      <x:c r="V39" s="90"/>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M16</x:v>
      </x:c>
      <x:c r="C40" s="74"/>
      <x:c r="D40" s="79"/>
      <x:c r="E40" s="74" t="str">
        <x:v>V1.0</x:v>
      </x:c>
      <x:c r="F40" s="68"/>
      <x:c r="G40" s="82"/>
      <x:c r="H40" s="82"/>
      <x:c r="I40" s="68"/>
      <x:c r="J40" s="68"/>
      <x:c r="K40" s="68"/>
      <x:c r="L40" s="68"/>
      <x:c r="M40" s="82"/>
      <x:c r="N40" s="68"/>
      <x:c r="O40" s="68"/>
      <x:c r="P40" s="82"/>
      <x:c r="Q40" s="68"/>
      <x:c r="R40" s="90"/>
      <x:c r="S40" s="90"/>
      <x:c r="T40" s="90"/>
      <x:c r="U40" s="82"/>
      <x:c r="V40" s="90"/>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M16</x:v>
      </x:c>
      <x:c r="C41" s="74"/>
      <x:c r="D41" s="79"/>
      <x:c r="E41" s="74" t="str">
        <x:v>V1.0</x:v>
      </x:c>
      <x:c r="F41" s="68"/>
      <x:c r="G41" s="82"/>
      <x:c r="H41" s="82"/>
      <x:c r="I41" s="68"/>
      <x:c r="J41" s="68"/>
      <x:c r="K41" s="68"/>
      <x:c r="L41" s="68"/>
      <x:c r="M41" s="82"/>
      <x:c r="N41" s="68"/>
      <x:c r="O41" s="68"/>
      <x:c r="P41" s="82"/>
      <x:c r="Q41" s="68"/>
      <x:c r="R41" s="90"/>
      <x:c r="S41" s="90"/>
      <x:c r="T41" s="90"/>
      <x:c r="U41" s="82"/>
      <x:c r="V41" s="90"/>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M16</x:v>
      </x:c>
      <x:c r="C42" s="74"/>
      <x:c r="D42" s="79"/>
      <x:c r="E42" s="74" t="str">
        <x:v>V1.0</x:v>
      </x:c>
      <x:c r="F42" s="68"/>
      <x:c r="G42" s="82"/>
      <x:c r="H42" s="82"/>
      <x:c r="I42" s="68"/>
      <x:c r="J42" s="68"/>
      <x:c r="K42" s="68"/>
      <x:c r="L42" s="68"/>
      <x:c r="M42" s="82"/>
      <x:c r="N42" s="68"/>
      <x:c r="O42" s="68"/>
      <x:c r="P42" s="82"/>
      <x:c r="Q42" s="68"/>
      <x:c r="R42" s="90"/>
      <x:c r="S42" s="90"/>
      <x:c r="T42" s="90"/>
      <x:c r="U42" s="82"/>
      <x:c r="V42" s="90"/>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M16</x:v>
      </x:c>
      <x:c r="C43" s="74"/>
      <x:c r="D43" s="79"/>
      <x:c r="E43" s="74" t="str">
        <x:v>V1.0</x:v>
      </x:c>
      <x:c r="F43" s="68"/>
      <x:c r="G43" s="82"/>
      <x:c r="H43" s="82"/>
      <x:c r="I43" s="68"/>
      <x:c r="J43" s="68"/>
      <x:c r="K43" s="68"/>
      <x:c r="L43" s="68"/>
      <x:c r="M43" s="82"/>
      <x:c r="N43" s="68"/>
      <x:c r="O43" s="68"/>
      <x:c r="P43" s="82"/>
      <x:c r="Q43" s="68"/>
      <x:c r="R43" s="90"/>
      <x:c r="S43" s="90"/>
      <x:c r="T43" s="90"/>
      <x:c r="U43" s="82"/>
      <x:c r="V43" s="90"/>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M16</x:v>
      </x:c>
      <x:c r="C44" s="74"/>
      <x:c r="D44" s="79"/>
      <x:c r="E44" s="74" t="str">
        <x:v>V1.0</x:v>
      </x:c>
      <x:c r="F44" s="68"/>
      <x:c r="G44" s="82"/>
      <x:c r="H44" s="82"/>
      <x:c r="I44" s="68"/>
      <x:c r="J44" s="68"/>
      <x:c r="K44" s="68"/>
      <x:c r="L44" s="68"/>
      <x:c r="M44" s="82"/>
      <x:c r="N44" s="68"/>
      <x:c r="O44" s="68"/>
      <x:c r="P44" s="82"/>
      <x:c r="Q44" s="68"/>
      <x:c r="R44" s="90"/>
      <x:c r="S44" s="90"/>
      <x:c r="T44" s="90"/>
      <x:c r="U44" s="82"/>
      <x:c r="V44" s="90"/>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M16</x:v>
      </x:c>
      <x:c r="C45" s="74"/>
      <x:c r="D45" s="79"/>
      <x:c r="E45" s="74" t="str">
        <x:v>V1.0</x:v>
      </x:c>
      <x:c r="F45" s="68"/>
      <x:c r="G45" s="82"/>
      <x:c r="H45" s="82"/>
      <x:c r="I45" s="68"/>
      <x:c r="J45" s="68"/>
      <x:c r="K45" s="68"/>
      <x:c r="L45" s="68"/>
      <x:c r="M45" s="82"/>
      <x:c r="N45" s="68"/>
      <x:c r="O45" s="68"/>
      <x:c r="P45" s="82"/>
      <x:c r="Q45" s="68"/>
      <x:c r="R45" s="90"/>
      <x:c r="S45" s="90"/>
      <x:c r="T45" s="90"/>
      <x:c r="U45" s="82"/>
      <x:c r="V45" s="90"/>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M16</x:v>
      </x:c>
      <x:c r="C46" s="74"/>
      <x:c r="D46" s="79"/>
      <x:c r="E46" s="74" t="str">
        <x:v>V1.0</x:v>
      </x:c>
      <x:c r="F46" s="68"/>
      <x:c r="G46" s="82"/>
      <x:c r="H46" s="82"/>
      <x:c r="I46" s="68"/>
      <x:c r="J46" s="68"/>
      <x:c r="K46" s="68"/>
      <x:c r="L46" s="68"/>
      <x:c r="M46" s="82"/>
      <x:c r="N46" s="68"/>
      <x:c r="O46" s="68"/>
      <x:c r="P46" s="82"/>
      <x:c r="Q46" s="68"/>
      <x:c r="R46" s="90"/>
      <x:c r="S46" s="90"/>
      <x:c r="T46" s="90"/>
      <x:c r="U46" s="82"/>
      <x:c r="V46" s="90"/>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M16</x:v>
      </x:c>
      <x:c r="C47" s="74"/>
      <x:c r="D47" s="79"/>
      <x:c r="E47" s="74" t="str">
        <x:v>V1.0</x:v>
      </x:c>
      <x:c r="F47" s="68"/>
      <x:c r="G47" s="82"/>
      <x:c r="H47" s="82"/>
      <x:c r="I47" s="68"/>
      <x:c r="J47" s="68"/>
      <x:c r="K47" s="68"/>
      <x:c r="L47" s="68"/>
      <x:c r="M47" s="82"/>
      <x:c r="N47" s="68"/>
      <x:c r="O47" s="68"/>
      <x:c r="P47" s="82"/>
      <x:c r="Q47" s="68"/>
      <x:c r="R47" s="90"/>
      <x:c r="S47" s="90"/>
      <x:c r="T47" s="90"/>
      <x:c r="U47" s="82"/>
      <x:c r="V47" s="90"/>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M16</x:v>
      </x:c>
      <x:c r="C48" s="74"/>
      <x:c r="D48" s="79"/>
      <x:c r="E48" s="74" t="str">
        <x:v>V1.0</x:v>
      </x:c>
      <x:c r="F48" s="68"/>
      <x:c r="G48" s="82"/>
      <x:c r="H48" s="82"/>
      <x:c r="I48" s="68"/>
      <x:c r="J48" s="68"/>
      <x:c r="K48" s="68"/>
      <x:c r="L48" s="68"/>
      <x:c r="M48" s="82"/>
      <x:c r="N48" s="68"/>
      <x:c r="O48" s="68"/>
      <x:c r="P48" s="82"/>
      <x:c r="Q48" s="68"/>
      <x:c r="R48" s="90"/>
      <x:c r="S48" s="90"/>
      <x:c r="T48" s="90"/>
      <x:c r="U48" s="82"/>
      <x:c r="V48" s="90"/>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M16</x:v>
      </x:c>
      <x:c r="C49" s="74"/>
      <x:c r="D49" s="79"/>
      <x:c r="E49" s="74" t="str">
        <x:v>V1.0</x:v>
      </x:c>
      <x:c r="F49" s="68"/>
      <x:c r="G49" s="82"/>
      <x:c r="H49" s="82"/>
      <x:c r="I49" s="68"/>
      <x:c r="J49" s="68"/>
      <x:c r="K49" s="68"/>
      <x:c r="L49" s="68"/>
      <x:c r="M49" s="82"/>
      <x:c r="N49" s="68"/>
      <x:c r="O49" s="68"/>
      <x:c r="P49" s="82"/>
      <x:c r="Q49" s="68"/>
      <x:c r="R49" s="90"/>
      <x:c r="S49" s="90"/>
      <x:c r="T49" s="90"/>
      <x:c r="U49" s="82"/>
      <x:c r="V49" s="90"/>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M16</x:v>
      </x:c>
      <x:c r="C50" s="74"/>
      <x:c r="D50" s="79"/>
      <x:c r="E50" s="74" t="str">
        <x:v>V1.0</x:v>
      </x:c>
      <x:c r="F50" s="68"/>
      <x:c r="G50" s="82"/>
      <x:c r="H50" s="82"/>
      <x:c r="I50" s="68"/>
      <x:c r="J50" s="68"/>
      <x:c r="K50" s="68"/>
      <x:c r="L50" s="68"/>
      <x:c r="M50" s="82"/>
      <x:c r="N50" s="68"/>
      <x:c r="O50" s="68"/>
      <x:c r="P50" s="82"/>
      <x:c r="Q50" s="68"/>
      <x:c r="R50" s="90"/>
      <x:c r="S50" s="90"/>
      <x:c r="T50" s="90"/>
      <x:c r="U50" s="82"/>
      <x:c r="V50" s="90"/>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M16</x:v>
      </x:c>
      <x:c r="C51" s="74"/>
      <x:c r="D51" s="79"/>
      <x:c r="E51" s="74" t="str">
        <x:v>V1.0</x:v>
      </x:c>
      <x:c r="F51" s="68"/>
      <x:c r="G51" s="82"/>
      <x:c r="H51" s="82"/>
      <x:c r="I51" s="68"/>
      <x:c r="J51" s="68"/>
      <x:c r="K51" s="68"/>
      <x:c r="L51" s="68"/>
      <x:c r="M51" s="82"/>
      <x:c r="N51" s="68"/>
      <x:c r="O51" s="68"/>
      <x:c r="P51" s="82"/>
      <x:c r="Q51" s="68"/>
      <x:c r="R51" s="90"/>
      <x:c r="S51" s="90"/>
      <x:c r="T51" s="90"/>
      <x:c r="U51" s="82"/>
      <x:c r="V51" s="90"/>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M16</x:v>
      </x:c>
      <x:c r="C52" s="74"/>
      <x:c r="D52" s="79"/>
      <x:c r="E52" s="74" t="str">
        <x:v>V1.0</x:v>
      </x:c>
      <x:c r="F52" s="68"/>
      <x:c r="G52" s="82"/>
      <x:c r="H52" s="82"/>
      <x:c r="I52" s="68"/>
      <x:c r="J52" s="68"/>
      <x:c r="K52" s="68"/>
      <x:c r="L52" s="68"/>
      <x:c r="M52" s="82"/>
      <x:c r="N52" s="68"/>
      <x:c r="O52" s="68"/>
      <x:c r="P52" s="82"/>
      <x:c r="Q52" s="68"/>
      <x:c r="R52" s="90"/>
      <x:c r="S52" s="90"/>
      <x:c r="T52" s="90"/>
      <x:c r="U52" s="82"/>
      <x:c r="V52" s="90"/>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M16</x:v>
      </x:c>
      <x:c r="C53" s="74"/>
      <x:c r="D53" s="79"/>
      <x:c r="E53" s="74" t="str">
        <x:v>V1.0</x:v>
      </x:c>
      <x:c r="F53" s="68"/>
      <x:c r="G53" s="82"/>
      <x:c r="H53" s="82"/>
      <x:c r="I53" s="68"/>
      <x:c r="J53" s="68"/>
      <x:c r="K53" s="68"/>
      <x:c r="L53" s="68"/>
      <x:c r="M53" s="82"/>
      <x:c r="N53" s="68"/>
      <x:c r="O53" s="68"/>
      <x:c r="P53" s="82"/>
      <x:c r="Q53" s="68"/>
      <x:c r="R53" s="90"/>
      <x:c r="S53" s="90"/>
      <x:c r="T53" s="90"/>
      <x:c r="U53" s="82"/>
      <x:c r="V53" s="90"/>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M16</x:v>
      </x:c>
      <x:c r="C54" s="74"/>
      <x:c r="D54" s="79"/>
      <x:c r="E54" s="74" t="str">
        <x:v>V1.0</x:v>
      </x:c>
      <x:c r="F54" s="68"/>
      <x:c r="G54" s="82"/>
      <x:c r="H54" s="82"/>
      <x:c r="I54" s="68"/>
      <x:c r="J54" s="68"/>
      <x:c r="K54" s="68"/>
      <x:c r="L54" s="68"/>
      <x:c r="M54" s="82"/>
      <x:c r="N54" s="68"/>
      <x:c r="O54" s="68"/>
      <x:c r="P54" s="82"/>
      <x:c r="Q54" s="68"/>
      <x:c r="R54" s="90"/>
      <x:c r="S54" s="90"/>
      <x:c r="T54" s="90"/>
      <x:c r="U54" s="82"/>
      <x:c r="V54" s="90"/>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M16</x:v>
      </x:c>
      <x:c r="C55" s="74"/>
      <x:c r="D55" s="79"/>
      <x:c r="E55" s="74" t="str">
        <x:v>V1.0</x:v>
      </x:c>
      <x:c r="F55" s="68"/>
      <x:c r="G55" s="82"/>
      <x:c r="H55" s="82"/>
      <x:c r="I55" s="68"/>
      <x:c r="J55" s="68"/>
      <x:c r="K55" s="68"/>
      <x:c r="L55" s="68"/>
      <x:c r="M55" s="82"/>
      <x:c r="N55" s="68"/>
      <x:c r="O55" s="68"/>
      <x:c r="P55" s="82"/>
      <x:c r="Q55" s="68"/>
      <x:c r="R55" s="90"/>
      <x:c r="S55" s="90"/>
      <x:c r="T55" s="90"/>
      <x:c r="U55" s="82"/>
      <x:c r="V55" s="90"/>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M16</x:v>
      </x:c>
      <x:c r="C56" s="74"/>
      <x:c r="D56" s="79"/>
      <x:c r="E56" s="74" t="str">
        <x:v>V1.0</x:v>
      </x:c>
      <x:c r="F56" s="68"/>
      <x:c r="G56" s="82"/>
      <x:c r="H56" s="82"/>
      <x:c r="I56" s="68"/>
      <x:c r="J56" s="68"/>
      <x:c r="K56" s="68"/>
      <x:c r="L56" s="68"/>
      <x:c r="M56" s="82"/>
      <x:c r="N56" s="68"/>
      <x:c r="O56" s="68"/>
      <x:c r="P56" s="82"/>
      <x:c r="Q56" s="68"/>
      <x:c r="R56" s="90"/>
      <x:c r="S56" s="90"/>
      <x:c r="T56" s="90"/>
      <x:c r="U56" s="82"/>
      <x:c r="V56" s="90"/>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M16</x:v>
      </x:c>
      <x:c r="C57" s="74"/>
      <x:c r="D57" s="79"/>
      <x:c r="E57" s="74" t="str">
        <x:v>V1.0</x:v>
      </x:c>
      <x:c r="F57" s="68"/>
      <x:c r="G57" s="82"/>
      <x:c r="H57" s="82"/>
      <x:c r="I57" s="68"/>
      <x:c r="J57" s="68"/>
      <x:c r="K57" s="68"/>
      <x:c r="L57" s="68"/>
      <x:c r="M57" s="82"/>
      <x:c r="N57" s="68"/>
      <x:c r="O57" s="68"/>
      <x:c r="P57" s="82"/>
      <x:c r="Q57" s="68"/>
      <x:c r="R57" s="90"/>
      <x:c r="S57" s="90"/>
      <x:c r="T57" s="90"/>
      <x:c r="U57" s="82"/>
      <x:c r="V57" s="90"/>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M16</x:v>
      </x:c>
      <x:c r="C58" s="74"/>
      <x:c r="D58" s="79"/>
      <x:c r="E58" s="74" t="str">
        <x:v>V1.0</x:v>
      </x:c>
      <x:c r="F58" s="68"/>
      <x:c r="G58" s="82"/>
      <x:c r="H58" s="82"/>
      <x:c r="I58" s="68"/>
      <x:c r="J58" s="68"/>
      <x:c r="K58" s="68"/>
      <x:c r="L58" s="68"/>
      <x:c r="M58" s="82"/>
      <x:c r="N58" s="68"/>
      <x:c r="O58" s="68"/>
      <x:c r="P58" s="82"/>
      <x:c r="Q58" s="68"/>
      <x:c r="R58" s="90"/>
      <x:c r="S58" s="90"/>
      <x:c r="T58" s="90"/>
      <x:c r="U58" s="82"/>
      <x:c r="V58" s="90"/>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M16</x:v>
      </x:c>
      <x:c r="C59" s="74"/>
      <x:c r="D59" s="79"/>
      <x:c r="E59" s="74" t="str">
        <x:v>V1.0</x:v>
      </x:c>
      <x:c r="F59" s="68"/>
      <x:c r="G59" s="82"/>
      <x:c r="H59" s="82"/>
      <x:c r="I59" s="68"/>
      <x:c r="J59" s="68"/>
      <x:c r="K59" s="68"/>
      <x:c r="L59" s="68"/>
      <x:c r="M59" s="82"/>
      <x:c r="N59" s="68"/>
      <x:c r="O59" s="68"/>
      <x:c r="P59" s="82"/>
      <x:c r="Q59" s="68"/>
      <x:c r="R59" s="90"/>
      <x:c r="S59" s="90"/>
      <x:c r="T59" s="90"/>
      <x:c r="U59" s="82"/>
      <x:c r="V59" s="90"/>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M16</x:v>
      </x:c>
      <x:c r="C60" s="74"/>
      <x:c r="D60" s="79"/>
      <x:c r="E60" s="74" t="str">
        <x:v>V1.0</x:v>
      </x:c>
      <x:c r="F60" s="68"/>
      <x:c r="G60" s="82"/>
      <x:c r="H60" s="82"/>
      <x:c r="I60" s="68"/>
      <x:c r="J60" s="68"/>
      <x:c r="K60" s="68"/>
      <x:c r="L60" s="68"/>
      <x:c r="M60" s="82"/>
      <x:c r="N60" s="68"/>
      <x:c r="O60" s="68"/>
      <x:c r="P60" s="82"/>
      <x:c r="Q60" s="68"/>
      <x:c r="R60" s="90"/>
      <x:c r="S60" s="90"/>
      <x:c r="T60" s="90"/>
      <x:c r="U60" s="82"/>
      <x:c r="V60" s="90"/>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M16</x:v>
      </x:c>
      <x:c r="C61" s="74"/>
      <x:c r="D61" s="79"/>
      <x:c r="E61" s="74" t="str">
        <x:v>V1.0</x:v>
      </x:c>
      <x:c r="F61" s="68"/>
      <x:c r="G61" s="82"/>
      <x:c r="H61" s="82"/>
      <x:c r="I61" s="68"/>
      <x:c r="J61" s="68"/>
      <x:c r="K61" s="68"/>
      <x:c r="L61" s="68"/>
      <x:c r="M61" s="82"/>
      <x:c r="N61" s="68"/>
      <x:c r="O61" s="68"/>
      <x:c r="P61" s="82"/>
      <x:c r="Q61" s="68"/>
      <x:c r="R61" s="90"/>
      <x:c r="S61" s="90"/>
      <x:c r="T61" s="90"/>
      <x:c r="U61" s="82"/>
      <x:c r="V61" s="90"/>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M16</x:v>
      </x:c>
      <x:c r="C62" s="74"/>
      <x:c r="D62" s="79"/>
      <x:c r="E62" s="74" t="str">
        <x:v>V1.0</x:v>
      </x:c>
      <x:c r="F62" s="68"/>
      <x:c r="G62" s="82"/>
      <x:c r="H62" s="82"/>
      <x:c r="I62" s="68"/>
      <x:c r="J62" s="68"/>
      <x:c r="K62" s="68"/>
      <x:c r="L62" s="68"/>
      <x:c r="M62" s="82"/>
      <x:c r="N62" s="68"/>
      <x:c r="O62" s="68"/>
      <x:c r="P62" s="82"/>
      <x:c r="Q62" s="68"/>
      <x:c r="R62" s="90"/>
      <x:c r="S62" s="90"/>
      <x:c r="T62" s="90"/>
      <x:c r="U62" s="82"/>
      <x:c r="V62" s="90"/>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M16</x:v>
      </x:c>
      <x:c r="C63" s="74"/>
      <x:c r="D63" s="79"/>
      <x:c r="E63" s="74" t="str">
        <x:v>V1.0</x:v>
      </x:c>
      <x:c r="F63" s="68"/>
      <x:c r="G63" s="82"/>
      <x:c r="H63" s="82"/>
      <x:c r="I63" s="68"/>
      <x:c r="J63" s="68"/>
      <x:c r="K63" s="68"/>
      <x:c r="L63" s="68"/>
      <x:c r="M63" s="82"/>
      <x:c r="N63" s="68"/>
      <x:c r="O63" s="68"/>
      <x:c r="P63" s="82"/>
      <x:c r="Q63" s="68"/>
      <x:c r="R63" s="90"/>
      <x:c r="S63" s="90"/>
      <x:c r="T63" s="90"/>
      <x:c r="U63" s="82"/>
      <x:c r="V63" s="90"/>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M16</x:v>
      </x:c>
      <x:c r="C64" s="74"/>
      <x:c r="D64" s="79"/>
      <x:c r="E64" s="74" t="str">
        <x:v>V1.0</x:v>
      </x:c>
      <x:c r="F64" s="68"/>
      <x:c r="G64" s="82"/>
      <x:c r="H64" s="82"/>
      <x:c r="I64" s="68"/>
      <x:c r="J64" s="68"/>
      <x:c r="K64" s="68"/>
      <x:c r="L64" s="68"/>
      <x:c r="M64" s="82"/>
      <x:c r="N64" s="68"/>
      <x:c r="O64" s="68"/>
      <x:c r="P64" s="82"/>
      <x:c r="Q64" s="68"/>
      <x:c r="R64" s="90"/>
      <x:c r="S64" s="90"/>
      <x:c r="T64" s="90"/>
      <x:c r="U64" s="82"/>
      <x:c r="V64" s="90"/>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M16</x:v>
      </x:c>
      <x:c r="C65" s="74"/>
      <x:c r="D65" s="79"/>
      <x:c r="E65" s="74" t="str">
        <x:v>V1.0</x:v>
      </x:c>
      <x:c r="F65" s="68"/>
      <x:c r="G65" s="82"/>
      <x:c r="H65" s="82"/>
      <x:c r="I65" s="68"/>
      <x:c r="J65" s="68"/>
      <x:c r="K65" s="68"/>
      <x:c r="L65" s="68"/>
      <x:c r="M65" s="82"/>
      <x:c r="N65" s="68"/>
      <x:c r="O65" s="68"/>
      <x:c r="P65" s="82"/>
      <x:c r="Q65" s="68"/>
      <x:c r="R65" s="90"/>
      <x:c r="S65" s="90"/>
      <x:c r="T65" s="90"/>
      <x:c r="U65" s="82"/>
      <x:c r="V65" s="90"/>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M16</x:v>
      </x:c>
      <x:c r="C66" s="74"/>
      <x:c r="D66" s="79"/>
      <x:c r="E66" s="74" t="str">
        <x:v>V1.0</x:v>
      </x:c>
      <x:c r="F66" s="68"/>
      <x:c r="G66" s="82"/>
      <x:c r="H66" s="82"/>
      <x:c r="I66" s="68"/>
      <x:c r="J66" s="68"/>
      <x:c r="K66" s="68"/>
      <x:c r="L66" s="68"/>
      <x:c r="M66" s="82"/>
      <x:c r="N66" s="68"/>
      <x:c r="O66" s="68"/>
      <x:c r="P66" s="82"/>
      <x:c r="Q66" s="68"/>
      <x:c r="R66" s="90"/>
      <x:c r="S66" s="90"/>
      <x:c r="T66" s="90"/>
      <x:c r="U66" s="82"/>
      <x:c r="V66" s="90"/>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M16</x:v>
      </x:c>
      <x:c r="C67" s="74"/>
      <x:c r="D67" s="79"/>
      <x:c r="E67" s="74" t="str">
        <x:v>V1.0</x:v>
      </x:c>
      <x:c r="F67" s="68"/>
      <x:c r="G67" s="82"/>
      <x:c r="H67" s="82"/>
      <x:c r="I67" s="68"/>
      <x:c r="J67" s="68"/>
      <x:c r="K67" s="68"/>
      <x:c r="L67" s="68"/>
      <x:c r="M67" s="82"/>
      <x:c r="N67" s="68"/>
      <x:c r="O67" s="68"/>
      <x:c r="P67" s="82"/>
      <x:c r="Q67" s="68"/>
      <x:c r="R67" s="90"/>
      <x:c r="S67" s="90"/>
      <x:c r="T67" s="90"/>
      <x:c r="U67" s="82"/>
      <x:c r="V67" s="90"/>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M16</x:v>
      </x:c>
      <x:c r="C68" s="74"/>
      <x:c r="D68" s="79"/>
      <x:c r="E68" s="74" t="str">
        <x:v>V1.0</x:v>
      </x:c>
      <x:c r="F68" s="68"/>
      <x:c r="G68" s="82"/>
      <x:c r="H68" s="82"/>
      <x:c r="I68" s="68"/>
      <x:c r="J68" s="68"/>
      <x:c r="K68" s="68"/>
      <x:c r="L68" s="68"/>
      <x:c r="M68" s="82"/>
      <x:c r="N68" s="68"/>
      <x:c r="O68" s="68"/>
      <x:c r="P68" s="82"/>
      <x:c r="Q68" s="68"/>
      <x:c r="R68" s="90"/>
      <x:c r="S68" s="90"/>
      <x:c r="T68" s="90"/>
      <x:c r="U68" s="82"/>
      <x:c r="V68" s="90"/>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M16</x:v>
      </x:c>
      <x:c r="C69" s="74"/>
      <x:c r="D69" s="79"/>
      <x:c r="E69" s="74" t="str">
        <x:v>V1.0</x:v>
      </x:c>
      <x:c r="F69" s="68"/>
      <x:c r="G69" s="82"/>
      <x:c r="H69" s="82"/>
      <x:c r="I69" s="68"/>
      <x:c r="J69" s="68"/>
      <x:c r="K69" s="68"/>
      <x:c r="L69" s="68"/>
      <x:c r="M69" s="82"/>
      <x:c r="N69" s="68"/>
      <x:c r="O69" s="68"/>
      <x:c r="P69" s="82"/>
      <x:c r="Q69" s="68"/>
      <x:c r="R69" s="90"/>
      <x:c r="S69" s="90"/>
      <x:c r="T69" s="90"/>
      <x:c r="U69" s="82"/>
      <x:c r="V69" s="90"/>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M16</x:v>
      </x:c>
      <x:c r="C70" s="74"/>
      <x:c r="D70" s="79"/>
      <x:c r="E70" s="74" t="str">
        <x:v>V1.0</x:v>
      </x:c>
      <x:c r="F70" s="68"/>
      <x:c r="G70" s="82"/>
      <x:c r="H70" s="82"/>
      <x:c r="I70" s="68"/>
      <x:c r="J70" s="68"/>
      <x:c r="K70" s="68"/>
      <x:c r="L70" s="68"/>
      <x:c r="M70" s="82"/>
      <x:c r="N70" s="68"/>
      <x:c r="O70" s="68"/>
      <x:c r="P70" s="82"/>
      <x:c r="Q70" s="68"/>
      <x:c r="R70" s="90"/>
      <x:c r="S70" s="90"/>
      <x:c r="T70" s="90"/>
      <x:c r="U70" s="82"/>
      <x:c r="V70" s="90"/>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M16</x:v>
      </x:c>
      <x:c r="C71" s="74"/>
      <x:c r="D71" s="79"/>
      <x:c r="E71" s="74" t="str">
        <x:v>V1.0</x:v>
      </x:c>
      <x:c r="F71" s="68"/>
      <x:c r="G71" s="82"/>
      <x:c r="H71" s="82"/>
      <x:c r="I71" s="68"/>
      <x:c r="J71" s="68"/>
      <x:c r="K71" s="68"/>
      <x:c r="L71" s="68"/>
      <x:c r="M71" s="82"/>
      <x:c r="N71" s="68"/>
      <x:c r="O71" s="68"/>
      <x:c r="P71" s="82"/>
      <x:c r="Q71" s="68"/>
      <x:c r="R71" s="90"/>
      <x:c r="S71" s="90"/>
      <x:c r="T71" s="90"/>
      <x:c r="U71" s="82"/>
      <x:c r="V71" s="90"/>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M16</x:v>
      </x:c>
      <x:c r="C72" s="74"/>
      <x:c r="D72" s="79"/>
      <x:c r="E72" s="74" t="str">
        <x:v>V1.0</x:v>
      </x:c>
      <x:c r="F72" s="68"/>
      <x:c r="G72" s="82"/>
      <x:c r="H72" s="82"/>
      <x:c r="I72" s="68"/>
      <x:c r="J72" s="68"/>
      <x:c r="K72" s="68"/>
      <x:c r="L72" s="68"/>
      <x:c r="M72" s="82"/>
      <x:c r="N72" s="68"/>
      <x:c r="O72" s="68"/>
      <x:c r="P72" s="82"/>
      <x:c r="Q72" s="68"/>
      <x:c r="R72" s="90"/>
      <x:c r="S72" s="90"/>
      <x:c r="T72" s="90"/>
      <x:c r="U72" s="82"/>
      <x:c r="V72" s="90"/>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M16</x:v>
      </x:c>
      <x:c r="C73" s="74"/>
      <x:c r="D73" s="79"/>
      <x:c r="E73" s="74" t="str">
        <x:v>V1.0</x:v>
      </x:c>
      <x:c r="F73" s="68"/>
      <x:c r="G73" s="82"/>
      <x:c r="H73" s="82"/>
      <x:c r="I73" s="68"/>
      <x:c r="J73" s="68"/>
      <x:c r="K73" s="68"/>
      <x:c r="L73" s="68"/>
      <x:c r="M73" s="82"/>
      <x:c r="N73" s="68"/>
      <x:c r="O73" s="68"/>
      <x:c r="P73" s="82"/>
      <x:c r="Q73" s="68"/>
      <x:c r="R73" s="90"/>
      <x:c r="S73" s="90"/>
      <x:c r="T73" s="90"/>
      <x:c r="U73" s="82"/>
      <x:c r="V73" s="90"/>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M16</x:v>
      </x:c>
      <x:c r="C74" s="74"/>
      <x:c r="D74" s="79"/>
      <x:c r="E74" s="74" t="str">
        <x:v>V1.0</x:v>
      </x:c>
      <x:c r="F74" s="68"/>
      <x:c r="G74" s="82"/>
      <x:c r="H74" s="82"/>
      <x:c r="I74" s="68"/>
      <x:c r="J74" s="68"/>
      <x:c r="K74" s="68"/>
      <x:c r="L74" s="68"/>
      <x:c r="M74" s="82"/>
      <x:c r="N74" s="68"/>
      <x:c r="O74" s="68"/>
      <x:c r="P74" s="82"/>
      <x:c r="Q74" s="68"/>
      <x:c r="R74" s="90"/>
      <x:c r="S74" s="90"/>
      <x:c r="T74" s="90"/>
      <x:c r="U74" s="82"/>
      <x:c r="V74" s="90"/>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M16</x:v>
      </x:c>
      <x:c r="C75" s="74"/>
      <x:c r="D75" s="79"/>
      <x:c r="E75" s="74" t="str">
        <x:v>V1.0</x:v>
      </x:c>
      <x:c r="F75" s="68"/>
      <x:c r="G75" s="82"/>
      <x:c r="H75" s="82"/>
      <x:c r="I75" s="68"/>
      <x:c r="J75" s="68"/>
      <x:c r="K75" s="68"/>
      <x:c r="L75" s="68"/>
      <x:c r="M75" s="82"/>
      <x:c r="N75" s="68"/>
      <x:c r="O75" s="68"/>
      <x:c r="P75" s="82"/>
      <x:c r="Q75" s="68"/>
      <x:c r="R75" s="90"/>
      <x:c r="S75" s="90"/>
      <x:c r="T75" s="90"/>
      <x:c r="U75" s="82"/>
      <x:c r="V75" s="90"/>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M16</x:v>
      </x:c>
      <x:c r="C76" s="74"/>
      <x:c r="D76" s="79"/>
      <x:c r="E76" s="74" t="str">
        <x:v>V1.0</x:v>
      </x:c>
      <x:c r="F76" s="68"/>
      <x:c r="G76" s="82"/>
      <x:c r="H76" s="82"/>
      <x:c r="I76" s="68"/>
      <x:c r="J76" s="68"/>
      <x:c r="K76" s="68"/>
      <x:c r="L76" s="68"/>
      <x:c r="M76" s="82"/>
      <x:c r="N76" s="68"/>
      <x:c r="O76" s="68"/>
      <x:c r="P76" s="82"/>
      <x:c r="Q76" s="68"/>
      <x:c r="R76" s="90"/>
      <x:c r="S76" s="90"/>
      <x:c r="T76" s="90"/>
      <x:c r="U76" s="82"/>
      <x:c r="V76" s="90"/>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M16</x:v>
      </x:c>
      <x:c r="C77" s="74"/>
      <x:c r="D77" s="79"/>
      <x:c r="E77" s="74" t="str">
        <x:v>V1.0</x:v>
      </x:c>
      <x:c r="F77" s="68"/>
      <x:c r="G77" s="82"/>
      <x:c r="H77" s="82"/>
      <x:c r="I77" s="68"/>
      <x:c r="J77" s="68"/>
      <x:c r="K77" s="68"/>
      <x:c r="L77" s="68"/>
      <x:c r="M77" s="82"/>
      <x:c r="N77" s="68"/>
      <x:c r="O77" s="68"/>
      <x:c r="P77" s="82"/>
      <x:c r="Q77" s="68"/>
      <x:c r="R77" s="90"/>
      <x:c r="S77" s="90"/>
      <x:c r="T77" s="90"/>
      <x:c r="U77" s="82"/>
      <x:c r="V77" s="90"/>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M16</x:v>
      </x:c>
      <x:c r="C78" s="74"/>
      <x:c r="D78" s="79"/>
      <x:c r="E78" s="74" t="str">
        <x:v>V1.0</x:v>
      </x:c>
      <x:c r="F78" s="68"/>
      <x:c r="G78" s="82"/>
      <x:c r="H78" s="82"/>
      <x:c r="I78" s="68"/>
      <x:c r="J78" s="68"/>
      <x:c r="K78" s="68"/>
      <x:c r="L78" s="68"/>
      <x:c r="M78" s="82"/>
      <x:c r="N78" s="68"/>
      <x:c r="O78" s="68"/>
      <x:c r="P78" s="82"/>
      <x:c r="Q78" s="68"/>
      <x:c r="R78" s="90"/>
      <x:c r="S78" s="90"/>
      <x:c r="T78" s="90"/>
      <x:c r="U78" s="82"/>
      <x:c r="V78" s="90"/>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M16</x:v>
      </x:c>
      <x:c r="C79" s="74"/>
      <x:c r="D79" s="79"/>
      <x:c r="E79" s="74" t="str">
        <x:v>V1.0</x:v>
      </x:c>
      <x:c r="F79" s="68"/>
      <x:c r="G79" s="82"/>
      <x:c r="H79" s="82"/>
      <x:c r="I79" s="68"/>
      <x:c r="J79" s="68"/>
      <x:c r="K79" s="68"/>
      <x:c r="L79" s="68"/>
      <x:c r="M79" s="82"/>
      <x:c r="N79" s="68"/>
      <x:c r="O79" s="68"/>
      <x:c r="P79" s="82"/>
      <x:c r="Q79" s="68"/>
      <x:c r="R79" s="90"/>
      <x:c r="S79" s="90"/>
      <x:c r="T79" s="90"/>
      <x:c r="U79" s="82"/>
      <x:c r="V79" s="90"/>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M16</x:v>
      </x:c>
      <x:c r="C80" s="74"/>
      <x:c r="D80" s="79"/>
      <x:c r="E80" s="74" t="str">
        <x:v>V1.0</x:v>
      </x:c>
      <x:c r="F80" s="68"/>
      <x:c r="G80" s="82"/>
      <x:c r="H80" s="82"/>
      <x:c r="I80" s="68"/>
      <x:c r="J80" s="68"/>
      <x:c r="K80" s="68"/>
      <x:c r="L80" s="68"/>
      <x:c r="M80" s="82"/>
      <x:c r="N80" s="68"/>
      <x:c r="O80" s="68"/>
      <x:c r="P80" s="82"/>
      <x:c r="Q80" s="68"/>
      <x:c r="R80" s="90"/>
      <x:c r="S80" s="90"/>
      <x:c r="T80" s="90"/>
      <x:c r="U80" s="82"/>
      <x:c r="V80" s="90"/>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M16</x:v>
      </x:c>
      <x:c r="C81" s="74"/>
      <x:c r="D81" s="79"/>
      <x:c r="E81" s="74" t="str">
        <x:v>V1.0</x:v>
      </x:c>
      <x:c r="F81" s="68"/>
      <x:c r="G81" s="82"/>
      <x:c r="H81" s="82"/>
      <x:c r="I81" s="68"/>
      <x:c r="J81" s="68"/>
      <x:c r="K81" s="68"/>
      <x:c r="L81" s="68"/>
      <x:c r="M81" s="82"/>
      <x:c r="N81" s="68"/>
      <x:c r="O81" s="68"/>
      <x:c r="P81" s="82"/>
      <x:c r="Q81" s="68"/>
      <x:c r="R81" s="90"/>
      <x:c r="S81" s="90"/>
      <x:c r="T81" s="90"/>
      <x:c r="U81" s="82"/>
      <x:c r="V81" s="90"/>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M16</x:v>
      </x:c>
      <x:c r="C82" s="74"/>
      <x:c r="D82" s="79"/>
      <x:c r="E82" s="74" t="str">
        <x:v>V1.0</x:v>
      </x:c>
      <x:c r="F82" s="68"/>
      <x:c r="G82" s="82"/>
      <x:c r="H82" s="82"/>
      <x:c r="I82" s="68"/>
      <x:c r="J82" s="68"/>
      <x:c r="K82" s="68"/>
      <x:c r="L82" s="68"/>
      <x:c r="M82" s="82"/>
      <x:c r="N82" s="68"/>
      <x:c r="O82" s="68"/>
      <x:c r="P82" s="82"/>
      <x:c r="Q82" s="68"/>
      <x:c r="R82" s="90"/>
      <x:c r="S82" s="90"/>
      <x:c r="T82" s="90"/>
      <x:c r="U82" s="82"/>
      <x:c r="V82" s="90"/>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M16</x:v>
      </x:c>
      <x:c r="C83" s="74"/>
      <x:c r="D83" s="79"/>
      <x:c r="E83" s="74" t="str">
        <x:v>V1.0</x:v>
      </x:c>
      <x:c r="F83" s="68"/>
      <x:c r="G83" s="82"/>
      <x:c r="H83" s="82"/>
      <x:c r="I83" s="68"/>
      <x:c r="J83" s="68"/>
      <x:c r="K83" s="68"/>
      <x:c r="L83" s="68"/>
      <x:c r="M83" s="82"/>
      <x:c r="N83" s="68"/>
      <x:c r="O83" s="68"/>
      <x:c r="P83" s="82"/>
      <x:c r="Q83" s="68"/>
      <x:c r="R83" s="90"/>
      <x:c r="S83" s="90"/>
      <x:c r="T83" s="90"/>
      <x:c r="U83" s="82"/>
      <x:c r="V83" s="90"/>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M16</x:v>
      </x:c>
      <x:c r="C84" s="74"/>
      <x:c r="D84" s="79"/>
      <x:c r="E84" s="74" t="str">
        <x:v>V1.0</x:v>
      </x:c>
      <x:c r="F84" s="68"/>
      <x:c r="G84" s="82"/>
      <x:c r="H84" s="82"/>
      <x:c r="I84" s="68"/>
      <x:c r="J84" s="68"/>
      <x:c r="K84" s="68"/>
      <x:c r="L84" s="68"/>
      <x:c r="M84" s="82"/>
      <x:c r="N84" s="68"/>
      <x:c r="O84" s="68"/>
      <x:c r="P84" s="82"/>
      <x:c r="Q84" s="68"/>
      <x:c r="R84" s="90"/>
      <x:c r="S84" s="90"/>
      <x:c r="T84" s="90"/>
      <x:c r="U84" s="82"/>
      <x:c r="V84" s="90"/>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M16</x:v>
      </x:c>
      <x:c r="C85" s="74"/>
      <x:c r="D85" s="79"/>
      <x:c r="E85" s="74" t="str">
        <x:v>V1.0</x:v>
      </x:c>
      <x:c r="F85" s="68"/>
      <x:c r="G85" s="82"/>
      <x:c r="H85" s="82"/>
      <x:c r="I85" s="68"/>
      <x:c r="J85" s="68"/>
      <x:c r="K85" s="68"/>
      <x:c r="L85" s="68"/>
      <x:c r="M85" s="82"/>
      <x:c r="N85" s="68"/>
      <x:c r="O85" s="68"/>
      <x:c r="P85" s="82"/>
      <x:c r="Q85" s="68"/>
      <x:c r="R85" s="90"/>
      <x:c r="S85" s="90"/>
      <x:c r="T85" s="90"/>
      <x:c r="U85" s="82"/>
      <x:c r="V85" s="90"/>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M16</x:v>
      </x:c>
      <x:c r="C86" s="74"/>
      <x:c r="D86" s="79"/>
      <x:c r="E86" s="74" t="str">
        <x:v>V1.0</x:v>
      </x:c>
      <x:c r="F86" s="68"/>
      <x:c r="G86" s="82"/>
      <x:c r="H86" s="82"/>
      <x:c r="I86" s="68"/>
      <x:c r="J86" s="68"/>
      <x:c r="K86" s="68"/>
      <x:c r="L86" s="68"/>
      <x:c r="M86" s="82"/>
      <x:c r="N86" s="68"/>
      <x:c r="O86" s="68"/>
      <x:c r="P86" s="82"/>
      <x:c r="Q86" s="68"/>
      <x:c r="R86" s="90"/>
      <x:c r="S86" s="90"/>
      <x:c r="T86" s="90"/>
      <x:c r="U86" s="82"/>
      <x:c r="V86" s="90"/>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M16</x:v>
      </x:c>
      <x:c r="C87" s="74"/>
      <x:c r="D87" s="79"/>
      <x:c r="E87" s="74" t="str">
        <x:v>V1.0</x:v>
      </x:c>
      <x:c r="F87" s="68"/>
      <x:c r="G87" s="82"/>
      <x:c r="H87" s="82"/>
      <x:c r="I87" s="68"/>
      <x:c r="J87" s="68"/>
      <x:c r="K87" s="68"/>
      <x:c r="L87" s="68"/>
      <x:c r="M87" s="82"/>
      <x:c r="N87" s="68"/>
      <x:c r="O87" s="68"/>
      <x:c r="P87" s="82"/>
      <x:c r="Q87" s="68"/>
      <x:c r="R87" s="90"/>
      <x:c r="S87" s="90"/>
      <x:c r="T87" s="90"/>
      <x:c r="U87" s="82"/>
      <x:c r="V87" s="90"/>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M16</x:v>
      </x:c>
      <x:c r="C88" s="74"/>
      <x:c r="D88" s="79"/>
      <x:c r="E88" s="74" t="str">
        <x:v>V1.0</x:v>
      </x:c>
      <x:c r="F88" s="68"/>
      <x:c r="G88" s="82"/>
      <x:c r="H88" s="82"/>
      <x:c r="I88" s="68"/>
      <x:c r="J88" s="68"/>
      <x:c r="K88" s="68"/>
      <x:c r="L88" s="68"/>
      <x:c r="M88" s="82"/>
      <x:c r="N88" s="68"/>
      <x:c r="O88" s="68"/>
      <x:c r="P88" s="82"/>
      <x:c r="Q88" s="68"/>
      <x:c r="R88" s="90"/>
      <x:c r="S88" s="90"/>
      <x:c r="T88" s="90"/>
      <x:c r="U88" s="82"/>
      <x:c r="V88" s="90"/>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M16</x:v>
      </x:c>
      <x:c r="C89" s="74"/>
      <x:c r="D89" s="79"/>
      <x:c r="E89" s="74" t="str">
        <x:v>V1.0</x:v>
      </x:c>
      <x:c r="F89" s="68"/>
      <x:c r="G89" s="82"/>
      <x:c r="H89" s="82"/>
      <x:c r="I89" s="68"/>
      <x:c r="J89" s="68"/>
      <x:c r="K89" s="68"/>
      <x:c r="L89" s="68"/>
      <x:c r="M89" s="82"/>
      <x:c r="N89" s="68"/>
      <x:c r="O89" s="68"/>
      <x:c r="P89" s="82"/>
      <x:c r="Q89" s="68"/>
      <x:c r="R89" s="90"/>
      <x:c r="S89" s="90"/>
      <x:c r="T89" s="90"/>
      <x:c r="U89" s="82"/>
      <x:c r="V89" s="90"/>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M16</x:v>
      </x:c>
      <x:c r="C90" s="74"/>
      <x:c r="D90" s="79"/>
      <x:c r="E90" s="74" t="str">
        <x:v>V1.0</x:v>
      </x:c>
      <x:c r="F90" s="68"/>
      <x:c r="G90" s="82"/>
      <x:c r="H90" s="82"/>
      <x:c r="I90" s="68"/>
      <x:c r="J90" s="68"/>
      <x:c r="K90" s="68"/>
      <x:c r="L90" s="68"/>
      <x:c r="M90" s="82"/>
      <x:c r="N90" s="68"/>
      <x:c r="O90" s="68"/>
      <x:c r="P90" s="82"/>
      <x:c r="Q90" s="68"/>
      <x:c r="R90" s="90"/>
      <x:c r="S90" s="90"/>
      <x:c r="T90" s="90"/>
      <x:c r="U90" s="82"/>
      <x:c r="V90" s="90"/>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M16</x:v>
      </x:c>
      <x:c r="C91" s="74"/>
      <x:c r="D91" s="79"/>
      <x:c r="E91" s="74" t="str">
        <x:v>V1.0</x:v>
      </x:c>
      <x:c r="F91" s="68"/>
      <x:c r="G91" s="82"/>
      <x:c r="H91" s="82"/>
      <x:c r="I91" s="68"/>
      <x:c r="J91" s="68"/>
      <x:c r="K91" s="68"/>
      <x:c r="L91" s="68"/>
      <x:c r="M91" s="82"/>
      <x:c r="N91" s="68"/>
      <x:c r="O91" s="68"/>
      <x:c r="P91" s="82"/>
      <x:c r="Q91" s="68"/>
      <x:c r="R91" s="90"/>
      <x:c r="S91" s="90"/>
      <x:c r="T91" s="90"/>
      <x:c r="U91" s="82"/>
      <x:c r="V91" s="90"/>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M16</x:v>
      </x:c>
      <x:c r="C92" s="74"/>
      <x:c r="D92" s="79"/>
      <x:c r="E92" s="74" t="str">
        <x:v>V1.0</x:v>
      </x:c>
      <x:c r="F92" s="68"/>
      <x:c r="G92" s="82"/>
      <x:c r="H92" s="82"/>
      <x:c r="I92" s="68"/>
      <x:c r="J92" s="68"/>
      <x:c r="K92" s="68"/>
      <x:c r="L92" s="68"/>
      <x:c r="M92" s="82"/>
      <x:c r="N92" s="68"/>
      <x:c r="O92" s="68"/>
      <x:c r="P92" s="82"/>
      <x:c r="Q92" s="68"/>
      <x:c r="R92" s="90"/>
      <x:c r="S92" s="90"/>
      <x:c r="T92" s="90"/>
      <x:c r="U92" s="82"/>
      <x:c r="V92" s="90"/>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M16</x:v>
      </x:c>
      <x:c r="C93" s="74"/>
      <x:c r="D93" s="79"/>
      <x:c r="E93" s="74" t="str">
        <x:v>V1.0</x:v>
      </x:c>
      <x:c r="F93" s="68"/>
      <x:c r="G93" s="82"/>
      <x:c r="H93" s="82"/>
      <x:c r="I93" s="68"/>
      <x:c r="J93" s="68"/>
      <x:c r="K93" s="68"/>
      <x:c r="L93" s="68"/>
      <x:c r="M93" s="82"/>
      <x:c r="N93" s="68"/>
      <x:c r="O93" s="68"/>
      <x:c r="P93" s="82"/>
      <x:c r="Q93" s="68"/>
      <x:c r="R93" s="90"/>
      <x:c r="S93" s="90"/>
      <x:c r="T93" s="90"/>
      <x:c r="U93" s="82"/>
      <x:c r="V93" s="90"/>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M16</x:v>
      </x:c>
      <x:c r="C94" s="74"/>
      <x:c r="D94" s="79"/>
      <x:c r="E94" s="74" t="str">
        <x:v>V1.0</x:v>
      </x:c>
      <x:c r="F94" s="68"/>
      <x:c r="G94" s="82"/>
      <x:c r="H94" s="82"/>
      <x:c r="I94" s="68"/>
      <x:c r="J94" s="68"/>
      <x:c r="K94" s="68"/>
      <x:c r="L94" s="68"/>
      <x:c r="M94" s="82"/>
      <x:c r="N94" s="68"/>
      <x:c r="O94" s="68"/>
      <x:c r="P94" s="82"/>
      <x:c r="Q94" s="68"/>
      <x:c r="R94" s="90"/>
      <x:c r="S94" s="90"/>
      <x:c r="T94" s="90"/>
      <x:c r="U94" s="82"/>
      <x:c r="V94" s="90"/>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M16</x:v>
      </x:c>
      <x:c r="C95" s="74"/>
      <x:c r="D95" s="79"/>
      <x:c r="E95" s="74" t="str">
        <x:v>V1.0</x:v>
      </x:c>
      <x:c r="F95" s="68"/>
      <x:c r="G95" s="82"/>
      <x:c r="H95" s="82"/>
      <x:c r="I95" s="68"/>
      <x:c r="J95" s="68"/>
      <x:c r="K95" s="68"/>
      <x:c r="L95" s="68"/>
      <x:c r="M95" s="82"/>
      <x:c r="N95" s="68"/>
      <x:c r="O95" s="68"/>
      <x:c r="P95" s="82"/>
      <x:c r="Q95" s="68"/>
      <x:c r="R95" s="90"/>
      <x:c r="S95" s="90"/>
      <x:c r="T95" s="90"/>
      <x:c r="U95" s="82"/>
      <x:c r="V95" s="90"/>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M16</x:v>
      </x:c>
      <x:c r="C96" s="74"/>
      <x:c r="D96" s="79"/>
      <x:c r="E96" s="74" t="str">
        <x:v>V1.0</x:v>
      </x:c>
      <x:c r="F96" s="68"/>
      <x:c r="G96" s="82"/>
      <x:c r="H96" s="82"/>
      <x:c r="I96" s="68"/>
      <x:c r="J96" s="68"/>
      <x:c r="K96" s="68"/>
      <x:c r="L96" s="68"/>
      <x:c r="M96" s="82"/>
      <x:c r="N96" s="68"/>
      <x:c r="O96" s="68"/>
      <x:c r="P96" s="82"/>
      <x:c r="Q96" s="68"/>
      <x:c r="R96" s="90"/>
      <x:c r="S96" s="90"/>
      <x:c r="T96" s="90"/>
      <x:c r="U96" s="82"/>
      <x:c r="V96" s="90"/>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M16</x:v>
      </x:c>
      <x:c r="C97" s="74"/>
      <x:c r="D97" s="79"/>
      <x:c r="E97" s="74" t="str">
        <x:v>V1.0</x:v>
      </x:c>
      <x:c r="F97" s="68"/>
      <x:c r="G97" s="82"/>
      <x:c r="H97" s="82"/>
      <x:c r="I97" s="68"/>
      <x:c r="J97" s="68"/>
      <x:c r="K97" s="68"/>
      <x:c r="L97" s="68"/>
      <x:c r="M97" s="82"/>
      <x:c r="N97" s="68"/>
      <x:c r="O97" s="68"/>
      <x:c r="P97" s="82"/>
      <x:c r="Q97" s="68"/>
      <x:c r="R97" s="90"/>
      <x:c r="S97" s="90"/>
      <x:c r="T97" s="90"/>
      <x:c r="U97" s="82"/>
      <x:c r="V97" s="90"/>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M16</x:v>
      </x:c>
      <x:c r="C98" s="74"/>
      <x:c r="D98" s="79"/>
      <x:c r="E98" s="74" t="str">
        <x:v>V1.0</x:v>
      </x:c>
      <x:c r="F98" s="68"/>
      <x:c r="G98" s="82"/>
      <x:c r="H98" s="82"/>
      <x:c r="I98" s="68"/>
      <x:c r="J98" s="68"/>
      <x:c r="K98" s="68"/>
      <x:c r="L98" s="68"/>
      <x:c r="M98" s="82"/>
      <x:c r="N98" s="68"/>
      <x:c r="O98" s="68"/>
      <x:c r="P98" s="82"/>
      <x:c r="Q98" s="68"/>
      <x:c r="R98" s="90"/>
      <x:c r="S98" s="90"/>
      <x:c r="T98" s="90"/>
      <x:c r="U98" s="82"/>
      <x:c r="V98" s="90"/>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M16</x:v>
      </x:c>
      <x:c r="C99" s="74"/>
      <x:c r="D99" s="79"/>
      <x:c r="E99" s="74" t="str">
        <x:v>V1.0</x:v>
      </x:c>
      <x:c r="F99" s="68"/>
      <x:c r="G99" s="82"/>
      <x:c r="H99" s="82"/>
      <x:c r="I99" s="68"/>
      <x:c r="J99" s="68"/>
      <x:c r="K99" s="68"/>
      <x:c r="L99" s="68"/>
      <x:c r="M99" s="82"/>
      <x:c r="N99" s="68"/>
      <x:c r="O99" s="68"/>
      <x:c r="P99" s="82"/>
      <x:c r="Q99" s="68"/>
      <x:c r="R99" s="90"/>
      <x:c r="S99" s="90"/>
      <x:c r="T99" s="90"/>
      <x:c r="U99" s="82"/>
      <x:c r="V99" s="90"/>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M16</x:v>
      </x:c>
      <x:c r="C100" s="74"/>
      <x:c r="D100" s="79"/>
      <x:c r="E100" s="74" t="str">
        <x:v>V1.0</x:v>
      </x:c>
      <x:c r="F100" s="68"/>
      <x:c r="G100" s="82"/>
      <x:c r="H100" s="82"/>
      <x:c r="I100" s="68"/>
      <x:c r="J100" s="68"/>
      <x:c r="K100" s="68"/>
      <x:c r="L100" s="68"/>
      <x:c r="M100" s="82"/>
      <x:c r="N100" s="68"/>
      <x:c r="O100" s="68"/>
      <x:c r="P100" s="82"/>
      <x:c r="Q100" s="68"/>
      <x:c r="R100" s="90"/>
      <x:c r="S100" s="90"/>
      <x:c r="T100" s="90"/>
      <x:c r="U100" s="82"/>
      <x:c r="V100" s="90"/>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M16</x:v>
      </x:c>
      <x:c r="C101" s="74"/>
      <x:c r="D101" s="79"/>
      <x:c r="E101" s="74" t="str">
        <x:v>V1.0</x:v>
      </x:c>
      <x:c r="F101" s="68"/>
      <x:c r="G101" s="82"/>
      <x:c r="H101" s="82"/>
      <x:c r="I101" s="68"/>
      <x:c r="J101" s="68"/>
      <x:c r="K101" s="68"/>
      <x:c r="L101" s="68"/>
      <x:c r="M101" s="82"/>
      <x:c r="N101" s="68"/>
      <x:c r="O101" s="68"/>
      <x:c r="P101" s="82"/>
      <x:c r="Q101" s="68"/>
      <x:c r="R101" s="90"/>
      <x:c r="S101" s="90"/>
      <x:c r="T101" s="90"/>
      <x:c r="U101" s="82"/>
      <x:c r="V101" s="90"/>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M16</x:v>
      </x:c>
      <x:c r="C102" s="74"/>
      <x:c r="D102" s="79"/>
      <x:c r="E102" s="74" t="str">
        <x:v>V1.0</x:v>
      </x:c>
      <x:c r="F102" s="68"/>
      <x:c r="G102" s="82"/>
      <x:c r="H102" s="82"/>
      <x:c r="I102" s="68"/>
      <x:c r="J102" s="68"/>
      <x:c r="K102" s="68"/>
      <x:c r="L102" s="68"/>
      <x:c r="M102" s="82"/>
      <x:c r="N102" s="68"/>
      <x:c r="O102" s="68"/>
      <x:c r="P102" s="82"/>
      <x:c r="Q102" s="68"/>
      <x:c r="R102" s="90"/>
      <x:c r="S102" s="90"/>
      <x:c r="T102" s="90"/>
      <x:c r="U102" s="82"/>
      <x:c r="V102" s="90"/>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M16</x:v>
      </x:c>
      <x:c r="C103" s="74"/>
      <x:c r="D103" s="79"/>
      <x:c r="E103" s="74" t="str">
        <x:v>V1.0</x:v>
      </x:c>
      <x:c r="F103" s="68"/>
      <x:c r="G103" s="82"/>
      <x:c r="H103" s="82"/>
      <x:c r="I103" s="68"/>
      <x:c r="J103" s="68"/>
      <x:c r="K103" s="68"/>
      <x:c r="L103" s="68"/>
      <x:c r="M103" s="82"/>
      <x:c r="N103" s="68"/>
      <x:c r="O103" s="68"/>
      <x:c r="P103" s="82"/>
      <x:c r="Q103" s="68"/>
      <x:c r="R103" s="90"/>
      <x:c r="S103" s="90"/>
      <x:c r="T103" s="90"/>
      <x:c r="U103" s="82"/>
      <x:c r="V103" s="90"/>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M16</x:v>
      </x:c>
      <x:c r="C104" s="74"/>
      <x:c r="D104" s="79"/>
      <x:c r="E104" s="74" t="str">
        <x:v>V1.0</x:v>
      </x:c>
      <x:c r="F104" s="68"/>
      <x:c r="G104" s="82"/>
      <x:c r="H104" s="82"/>
      <x:c r="I104" s="68"/>
      <x:c r="J104" s="68"/>
      <x:c r="K104" s="68"/>
      <x:c r="L104" s="68"/>
      <x:c r="M104" s="82"/>
      <x:c r="N104" s="68"/>
      <x:c r="O104" s="68"/>
      <x:c r="P104" s="82"/>
      <x:c r="Q104" s="68"/>
      <x:c r="R104" s="90"/>
      <x:c r="S104" s="90"/>
      <x:c r="T104" s="90"/>
      <x:c r="U104" s="82"/>
      <x:c r="V104" s="90"/>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M16</x:v>
      </x:c>
      <x:c r="C105" s="74"/>
      <x:c r="D105" s="79"/>
      <x:c r="E105" s="74" t="str">
        <x:v>V1.0</x:v>
      </x:c>
      <x:c r="F105" s="68"/>
      <x:c r="G105" s="82"/>
      <x:c r="H105" s="82"/>
      <x:c r="I105" s="68"/>
      <x:c r="J105" s="68"/>
      <x:c r="K105" s="68"/>
      <x:c r="L105" s="68"/>
      <x:c r="M105" s="82"/>
      <x:c r="N105" s="68"/>
      <x:c r="O105" s="68"/>
      <x:c r="P105" s="82"/>
      <x:c r="Q105" s="68"/>
      <x:c r="R105" s="90"/>
      <x:c r="S105" s="90"/>
      <x:c r="T105" s="90"/>
      <x:c r="U105" s="82"/>
      <x:c r="V105" s="90"/>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4"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'99_下拉选项'!$AH$4:$AH$10</x:formula1>
    </x:dataValidation>
    <x:dataValidation type="list" sqref="M6:M105">
      <x:formula1>'99_下拉选项'!$AI$4:$AI$9</x:formula1>
    </x:dataValidation>
    <x:dataValidation type="list" sqref="P6:P105">
      <x:formula1>'99_下拉选项'!$AJ$4:$AJ$18</x:formula1>
    </x:dataValidation>
    <x:dataValidation type="list" sqref="U6:U105">
      <x:formula1>'99_下拉选项'!$X$4:$X$7</x:formula1>
    </x:dataValidation>
    <x:dataValidation type="list" sqref="V6:V105">
      <x:formula1>'99_下拉选项'!$X$4:$X$7</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'99_下拉选项'!$BG$4:$BG$16</x:formula1>
    </x:dataValidation>
  </x:dataValidations>
  <x:pageMargins left="0.7" right="0.7" top="0.75" bottom="0.75" header="0.3" footer="0.3"/>
  <x:tableParts count="1">
    <x:tablePart xmlns:r="http://schemas.openxmlformats.org/officeDocument/2006/relationships" r:id="R6282f34a4579414d"/>
  </x:tableParts>
</x:worksheet>
</file>

<file path=xl/worksheets/sheet1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2"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13" hidden="0" customWidth="1"/>
  </x:cols>
  <x:sheetData>
    <x:row r="1" ht="28" customHeight="1">
      <x:c r="A1" s="32" t="str">
        <x:v>M17｜扶抑、格局、通关、调候与病药用神矩阵</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把每个候选五行放入五维用神矩阵，分别记录收益、冲突与副作用，最后定主用、辅助用、喜、忌及条件性定位。</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前置依赖：M09/M12/M13/M15/M16　｜　主要输出：主用、辅助用、喜忌及条件说明　｜　直接下游：M18/M19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候选五行</x:v>
      </x:c>
      <x:c r="I5" s="61" t="str">
        <x:v>对应十神</x:v>
      </x:c>
      <x:c r="J5" s="61" t="str">
        <x:v>用神来源</x:v>
      </x:c>
      <x:c r="K5" s="61" t="str">
        <x:v>扶抑作用</x:v>
      </x:c>
      <x:c r="L5" s="61" t="str">
        <x:v>格局作用</x:v>
      </x:c>
      <x:c r="M5" s="61" t="str">
        <x:v>通关作用</x:v>
      </x:c>
      <x:c r="N5" s="61" t="str">
        <x:v>调候作用</x:v>
      </x:c>
      <x:c r="O5" s="61" t="str">
        <x:v>病药作用</x:v>
      </x:c>
      <x:c r="P5" s="61" t="str">
        <x:v>主要收益</x:v>
      </x:c>
      <x:c r="Q5" s="61" t="str">
        <x:v>主要副作用</x:v>
      </x:c>
      <x:c r="R5" s="61" t="str">
        <x:v>适用条件</x:v>
      </x:c>
      <x:c r="S5" s="61" t="str">
        <x:v>不适用条件</x:v>
      </x:c>
      <x:c r="T5" s="61" t="str">
        <x:v>冲突维度</x:v>
      </x:c>
      <x:c r="U5" s="61" t="str">
        <x:v>冲突裁决Rule_ID</x:v>
      </x:c>
      <x:c r="V5" s="61" t="str">
        <x:v>综合定位</x:v>
      </x:c>
      <x:c r="W5" s="61" t="str">
        <x:v>主次优先级</x:v>
      </x:c>
      <x:c r="X5" s="61" t="str">
        <x:v>是否条件性</x:v>
      </x:c>
      <x:c r="Y5" s="61" t="str">
        <x:v>条件说明</x:v>
      </x:c>
      <x:c r="Z5" s="61" t="str">
        <x:v>结论标签</x:v>
      </x:c>
      <x:c r="AA5" s="61" t="str">
        <x:v>标准输出</x:v>
      </x:c>
      <x:c r="AB5" s="61" t="str">
        <x:v>置信等级</x:v>
      </x:c>
      <x:c r="AC5" s="61" t="str">
        <x:v>流派标签</x:v>
      </x:c>
      <x:c r="AD5" s="61" t="str">
        <x:v>依据说明</x:v>
      </x:c>
      <x:c r="AE5" s="61" t="str">
        <x:v>正例</x:v>
      </x:c>
      <x:c r="AF5" s="61" t="str">
        <x:v>反例</x:v>
      </x:c>
      <x:c r="AG5" s="61" t="str">
        <x:v>规则状态</x:v>
      </x:c>
      <x:c r="AH5" s="61" t="str">
        <x:v>审核状态</x:v>
      </x:c>
      <x:c r="AI5" s="61" t="str">
        <x:v>更新日期</x:v>
      </x:c>
    </x:row>
    <x:row r="6" ht="66" customHeight="1">
      <x:c r="A6" s="76" t="str">
        <x:f>IF(OR(C6="",D6=""),"",B6&amp;"-"&amp;UPPER(C6)&amp;"-"&amp;TEXT(D6,"0000")&amp;"-"&amp;E6)</x:f>
        <x:v>M17-DEMO-9999-V0.1</x:v>
      </x:c>
      <x:c r="B6" s="76" t="str">
        <x:v>M17</x:v>
      </x:c>
      <x:c r="C6" s="76" t="str">
        <x:v>DEMO</x:v>
      </x:c>
      <x:c r="D6" s="78" t="n">
        <x:v>9999</x:v>
      </x:c>
      <x:c r="E6" s="76" t="str">
        <x:v>V0.1</x:v>
      </x:c>
      <x:c r="F6" s="76" t="str">
        <x:v>调候有利但破格时降为条件性用神</x:v>
      </x:c>
      <x:c r="G6" s="76" t="str">
        <x:v>综合层</x:v>
      </x:c>
      <x:c r="H6" s="76" t="str">
        <x:v>火</x:v>
      </x:c>
      <x:c r="I6" s="76" t="str">
        <x:v>食神</x:v>
      </x:c>
      <x:c r="J6" s="76" t="str">
        <x:v>复合来源</x:v>
      </x:c>
      <x:c r="K6" s="76" t="str">
        <x:v>可能泄身</x:v>
      </x:c>
      <x:c r="L6" s="76" t="str">
        <x:v>可能伤害特殊格局或冲击核心格神</x:v>
      </x:c>
      <x:c r="M6" s="76" t="str">
        <x:v>视路径而定</x:v>
      </x:c>
      <x:c r="N6" s="76" t="str">
        <x:v>暖局明显</x:v>
      </x:c>
      <x:c r="O6" s="76" t="str">
        <x:v>解决寒凝</x:v>
      </x:c>
      <x:c r="P6" s="76" t="str">
        <x:v>改善寒冷与生化停滞</x:v>
      </x:c>
      <x:c r="Q6" s="76" t="str">
        <x:v>日主偏弱时进一步泄身，或破坏格局硬约束</x:v>
      </x:c>
      <x:c r="R6" s="76" t="str">
        <x:v>寒凝达到首要问题且火有根有源</x:v>
      </x:c>
      <x:c r="S6" s="76" t="str">
        <x:v>特殊格局严格成立且忌火，或身弱无承载</x:v>
      </x:c>
      <x:c r="T6" s="76" t="str">
        <x:v>调候与格局/扶抑冲突</x:v>
      </x:c>
      <x:c r="U6" s="76" t="str">
        <x:v>M18-待填写</x:v>
      </x:c>
      <x:c r="V6" s="76" t="str">
        <x:v>条件性喜神</x:v>
      </x:c>
      <x:c r="W6" s="76" t="str">
        <x:v>条件顺位</x:v>
      </x:c>
      <x:c r="X6" s="76" t="str">
        <x:v>是</x:v>
      </x:c>
      <x:c r="Y6" s="76" t="str">
        <x:v>只有在不破格且日主可承载时，火才发挥正面作用</x:v>
      </x:c>
      <x:c r="Z6" s="76" t="str">
        <x:v>条件性用神</x:v>
      </x:c>
      <x:c r="AA6" s="76" t="str">
        <x:v>火在调候层面有利，但可能泄身或破格，故暂定条件性喜神，不列为无条件主用。</x:v>
      </x:c>
      <x:c r="AB6" s="76" t="str">
        <x:v>中等</x:v>
      </x:c>
      <x:c r="AC6" s="76" t="str">
        <x:v>现代综合</x:v>
      </x:c>
      <x:c r="AD6" s="76" t="str">
        <x:v>用神需多维评估，某一维度有利不足以自动成为主用。</x:v>
      </x:c>
      <x:c r="AE6" s="76" t="str">
        <x:v>寒局需火，但从格严格忌火时只能条件采用。</x:v>
      </x:c>
      <x:c r="AF6" s="76" t="str">
        <x:v>调候需火便直接写火为唯一主用。</x:v>
      </x:c>
      <x:c r="AG6" s="76" t="str">
        <x:v>示例</x:v>
      </x:c>
      <x:c r="AH6" s="76" t="str">
        <x:v>未审核</x:v>
      </x:c>
      <x:c r="AI6" s="86" t="n">
        <x:v>46254</x:v>
      </x:c>
    </x:row>
    <x:row r="7">
      <x:c r="A7" s="72" t="str">
        <x:f>IF(OR(C7="",D7=""),"",B7&amp;"-"&amp;UPPER(C7)&amp;"-"&amp;TEXT(D7,"0000")&amp;"-"&amp;E7)</x:f>
      </x:c>
      <x:c r="B7" s="74" t="str">
        <x:v>M17</x:v>
      </x:c>
      <x:c r="C7" s="74"/>
      <x:c r="D7" s="79"/>
      <x:c r="E7" s="74" t="str">
        <x:v>V1.0</x:v>
      </x:c>
      <x:c r="F7" s="68"/>
      <x:c r="G7" s="82"/>
      <x:c r="H7" s="82"/>
      <x:c r="I7" s="82"/>
      <x:c r="J7" s="82"/>
      <x:c r="K7" s="68"/>
      <x:c r="L7" s="68"/>
      <x:c r="M7" s="68"/>
      <x:c r="N7" s="68"/>
      <x:c r="O7" s="68"/>
      <x:c r="P7" s="68"/>
      <x:c r="Q7" s="90"/>
      <x:c r="R7" s="68"/>
      <x:c r="S7" s="68"/>
      <x:c r="T7" s="68"/>
      <x:c r="U7" s="68"/>
      <x:c r="V7" s="84"/>
      <x:c r="W7" s="82"/>
      <x:c r="X7" s="82"/>
      <x:c r="Y7" s="68"/>
      <x:c r="Z7" s="84"/>
      <x:c r="AA7" s="84"/>
      <x:c r="AB7" s="82"/>
      <x:c r="AC7" s="82"/>
      <x:c r="AD7" s="68"/>
      <x:c r="AE7" s="68"/>
      <x:c r="AF7" s="90"/>
      <x:c r="AG7" s="82"/>
      <x:c r="AH7" s="82"/>
      <x:c r="AI7" s="87"/>
    </x:row>
    <x:row r="8">
      <x:c r="A8" s="72" t="str">
        <x:f>IF(OR(C8="",D8=""),"",B8&amp;"-"&amp;UPPER(C8)&amp;"-"&amp;TEXT(D8,"0000")&amp;"-"&amp;E8)</x:f>
      </x:c>
      <x:c r="B8" s="74" t="str">
        <x:v>M17</x:v>
      </x:c>
      <x:c r="C8" s="74"/>
      <x:c r="D8" s="79"/>
      <x:c r="E8" s="74" t="str">
        <x:v>V1.0</x:v>
      </x:c>
      <x:c r="F8" s="68"/>
      <x:c r="G8" s="82"/>
      <x:c r="H8" s="82"/>
      <x:c r="I8" s="82"/>
      <x:c r="J8" s="82"/>
      <x:c r="K8" s="68"/>
      <x:c r="L8" s="68"/>
      <x:c r="M8" s="68"/>
      <x:c r="N8" s="68"/>
      <x:c r="O8" s="68"/>
      <x:c r="P8" s="68"/>
      <x:c r="Q8" s="90"/>
      <x:c r="R8" s="68"/>
      <x:c r="S8" s="68"/>
      <x:c r="T8" s="68"/>
      <x:c r="U8" s="68"/>
      <x:c r="V8" s="84"/>
      <x:c r="W8" s="82"/>
      <x:c r="X8" s="82"/>
      <x:c r="Y8" s="68"/>
      <x:c r="Z8" s="84"/>
      <x:c r="AA8" s="84"/>
      <x:c r="AB8" s="82"/>
      <x:c r="AC8" s="82"/>
      <x:c r="AD8" s="68"/>
      <x:c r="AE8" s="68"/>
      <x:c r="AF8" s="90"/>
      <x:c r="AG8" s="82"/>
      <x:c r="AH8" s="82"/>
      <x:c r="AI8" s="87"/>
    </x:row>
    <x:row r="9">
      <x:c r="A9" s="72" t="str">
        <x:f>IF(OR(C9="",D9=""),"",B9&amp;"-"&amp;UPPER(C9)&amp;"-"&amp;TEXT(D9,"0000")&amp;"-"&amp;E9)</x:f>
      </x:c>
      <x:c r="B9" s="74" t="str">
        <x:v>M17</x:v>
      </x:c>
      <x:c r="C9" s="74"/>
      <x:c r="D9" s="79"/>
      <x:c r="E9" s="74" t="str">
        <x:v>V1.0</x:v>
      </x:c>
      <x:c r="F9" s="68"/>
      <x:c r="G9" s="82"/>
      <x:c r="H9" s="82"/>
      <x:c r="I9" s="82"/>
      <x:c r="J9" s="82"/>
      <x:c r="K9" s="68"/>
      <x:c r="L9" s="68"/>
      <x:c r="M9" s="68"/>
      <x:c r="N9" s="68"/>
      <x:c r="O9" s="68"/>
      <x:c r="P9" s="68"/>
      <x:c r="Q9" s="90"/>
      <x:c r="R9" s="68"/>
      <x:c r="S9" s="68"/>
      <x:c r="T9" s="68"/>
      <x:c r="U9" s="68"/>
      <x:c r="V9" s="84"/>
      <x:c r="W9" s="82"/>
      <x:c r="X9" s="82"/>
      <x:c r="Y9" s="68"/>
      <x:c r="Z9" s="84"/>
      <x:c r="AA9" s="84"/>
      <x:c r="AB9" s="82"/>
      <x:c r="AC9" s="82"/>
      <x:c r="AD9" s="68"/>
      <x:c r="AE9" s="68"/>
      <x:c r="AF9" s="90"/>
      <x:c r="AG9" s="82"/>
      <x:c r="AH9" s="82"/>
      <x:c r="AI9" s="87"/>
    </x:row>
    <x:row r="10">
      <x:c r="A10" s="72" t="str">
        <x:f>IF(OR(C10="",D10=""),"",B10&amp;"-"&amp;UPPER(C10)&amp;"-"&amp;TEXT(D10,"0000")&amp;"-"&amp;E10)</x:f>
      </x:c>
      <x:c r="B10" s="74" t="str">
        <x:v>M17</x:v>
      </x:c>
      <x:c r="C10" s="74"/>
      <x:c r="D10" s="79"/>
      <x:c r="E10" s="74" t="str">
        <x:v>V1.0</x:v>
      </x:c>
      <x:c r="F10" s="68"/>
      <x:c r="G10" s="82"/>
      <x:c r="H10" s="82"/>
      <x:c r="I10" s="82"/>
      <x:c r="J10" s="82"/>
      <x:c r="K10" s="68"/>
      <x:c r="L10" s="68"/>
      <x:c r="M10" s="68"/>
      <x:c r="N10" s="68"/>
      <x:c r="O10" s="68"/>
      <x:c r="P10" s="68"/>
      <x:c r="Q10" s="90"/>
      <x:c r="R10" s="68"/>
      <x:c r="S10" s="68"/>
      <x:c r="T10" s="68"/>
      <x:c r="U10" s="68"/>
      <x:c r="V10" s="84"/>
      <x:c r="W10" s="82"/>
      <x:c r="X10" s="82"/>
      <x:c r="Y10" s="68"/>
      <x:c r="Z10" s="84"/>
      <x:c r="AA10" s="84"/>
      <x:c r="AB10" s="82"/>
      <x:c r="AC10" s="82"/>
      <x:c r="AD10" s="68"/>
      <x:c r="AE10" s="68"/>
      <x:c r="AF10" s="90"/>
      <x:c r="AG10" s="82"/>
      <x:c r="AH10" s="82"/>
      <x:c r="AI10" s="87"/>
    </x:row>
    <x:row r="11">
      <x:c r="A11" s="72" t="str">
        <x:f>IF(OR(C11="",D11=""),"",B11&amp;"-"&amp;UPPER(C11)&amp;"-"&amp;TEXT(D11,"0000")&amp;"-"&amp;E11)</x:f>
      </x:c>
      <x:c r="B11" s="74" t="str">
        <x:v>M17</x:v>
      </x:c>
      <x:c r="C11" s="74"/>
      <x:c r="D11" s="79"/>
      <x:c r="E11" s="74" t="str">
        <x:v>V1.0</x:v>
      </x:c>
      <x:c r="F11" s="68"/>
      <x:c r="G11" s="82"/>
      <x:c r="H11" s="82"/>
      <x:c r="I11" s="82"/>
      <x:c r="J11" s="82"/>
      <x:c r="K11" s="68"/>
      <x:c r="L11" s="68"/>
      <x:c r="M11" s="68"/>
      <x:c r="N11" s="68"/>
      <x:c r="O11" s="68"/>
      <x:c r="P11" s="68"/>
      <x:c r="Q11" s="90"/>
      <x:c r="R11" s="68"/>
      <x:c r="S11" s="68"/>
      <x:c r="T11" s="68"/>
      <x:c r="U11" s="68"/>
      <x:c r="V11" s="84"/>
      <x:c r="W11" s="82"/>
      <x:c r="X11" s="82"/>
      <x:c r="Y11" s="68"/>
      <x:c r="Z11" s="84"/>
      <x:c r="AA11" s="84"/>
      <x:c r="AB11" s="82"/>
      <x:c r="AC11" s="82"/>
      <x:c r="AD11" s="68"/>
      <x:c r="AE11" s="68"/>
      <x:c r="AF11" s="90"/>
      <x:c r="AG11" s="82"/>
      <x:c r="AH11" s="82"/>
      <x:c r="AI11" s="87"/>
    </x:row>
    <x:row r="12">
      <x:c r="A12" s="72" t="str">
        <x:f>IF(OR(C12="",D12=""),"",B12&amp;"-"&amp;UPPER(C12)&amp;"-"&amp;TEXT(D12,"0000")&amp;"-"&amp;E12)</x:f>
      </x:c>
      <x:c r="B12" s="74" t="str">
        <x:v>M17</x:v>
      </x:c>
      <x:c r="C12" s="74"/>
      <x:c r="D12" s="79"/>
      <x:c r="E12" s="74" t="str">
        <x:v>V1.0</x:v>
      </x:c>
      <x:c r="F12" s="68"/>
      <x:c r="G12" s="82"/>
      <x:c r="H12" s="82"/>
      <x:c r="I12" s="82"/>
      <x:c r="J12" s="82"/>
      <x:c r="K12" s="68"/>
      <x:c r="L12" s="68"/>
      <x:c r="M12" s="68"/>
      <x:c r="N12" s="68"/>
      <x:c r="O12" s="68"/>
      <x:c r="P12" s="68"/>
      <x:c r="Q12" s="90"/>
      <x:c r="R12" s="68"/>
      <x:c r="S12" s="68"/>
      <x:c r="T12" s="68"/>
      <x:c r="U12" s="68"/>
      <x:c r="V12" s="84"/>
      <x:c r="W12" s="82"/>
      <x:c r="X12" s="82"/>
      <x:c r="Y12" s="68"/>
      <x:c r="Z12" s="84"/>
      <x:c r="AA12" s="84"/>
      <x:c r="AB12" s="82"/>
      <x:c r="AC12" s="82"/>
      <x:c r="AD12" s="68"/>
      <x:c r="AE12" s="68"/>
      <x:c r="AF12" s="90"/>
      <x:c r="AG12" s="82"/>
      <x:c r="AH12" s="82"/>
      <x:c r="AI12" s="87"/>
    </x:row>
    <x:row r="13">
      <x:c r="A13" s="72" t="str">
        <x:f>IF(OR(C13="",D13=""),"",B13&amp;"-"&amp;UPPER(C13)&amp;"-"&amp;TEXT(D13,"0000")&amp;"-"&amp;E13)</x:f>
      </x:c>
      <x:c r="B13" s="74" t="str">
        <x:v>M17</x:v>
      </x:c>
      <x:c r="C13" s="74"/>
      <x:c r="D13" s="79"/>
      <x:c r="E13" s="74" t="str">
        <x:v>V1.0</x:v>
      </x:c>
      <x:c r="F13" s="68"/>
      <x:c r="G13" s="82"/>
      <x:c r="H13" s="82"/>
      <x:c r="I13" s="82"/>
      <x:c r="J13" s="82"/>
      <x:c r="K13" s="68"/>
      <x:c r="L13" s="68"/>
      <x:c r="M13" s="68"/>
      <x:c r="N13" s="68"/>
      <x:c r="O13" s="68"/>
      <x:c r="P13" s="68"/>
      <x:c r="Q13" s="90"/>
      <x:c r="R13" s="68"/>
      <x:c r="S13" s="68"/>
      <x:c r="T13" s="68"/>
      <x:c r="U13" s="68"/>
      <x:c r="V13" s="84"/>
      <x:c r="W13" s="82"/>
      <x:c r="X13" s="82"/>
      <x:c r="Y13" s="68"/>
      <x:c r="Z13" s="84"/>
      <x:c r="AA13" s="84"/>
      <x:c r="AB13" s="82"/>
      <x:c r="AC13" s="82"/>
      <x:c r="AD13" s="68"/>
      <x:c r="AE13" s="68"/>
      <x:c r="AF13" s="90"/>
      <x:c r="AG13" s="82"/>
      <x:c r="AH13" s="82"/>
      <x:c r="AI13" s="87"/>
    </x:row>
    <x:row r="14">
      <x:c r="A14" s="72" t="str">
        <x:f>IF(OR(C14="",D14=""),"",B14&amp;"-"&amp;UPPER(C14)&amp;"-"&amp;TEXT(D14,"0000")&amp;"-"&amp;E14)</x:f>
      </x:c>
      <x:c r="B14" s="74" t="str">
        <x:v>M17</x:v>
      </x:c>
      <x:c r="C14" s="74"/>
      <x:c r="D14" s="79"/>
      <x:c r="E14" s="74" t="str">
        <x:v>V1.0</x:v>
      </x:c>
      <x:c r="F14" s="68"/>
      <x:c r="G14" s="82"/>
      <x:c r="H14" s="82"/>
      <x:c r="I14" s="82"/>
      <x:c r="J14" s="82"/>
      <x:c r="K14" s="68"/>
      <x:c r="L14" s="68"/>
      <x:c r="M14" s="68"/>
      <x:c r="N14" s="68"/>
      <x:c r="O14" s="68"/>
      <x:c r="P14" s="68"/>
      <x:c r="Q14" s="90"/>
      <x:c r="R14" s="68"/>
      <x:c r="S14" s="68"/>
      <x:c r="T14" s="68"/>
      <x:c r="U14" s="68"/>
      <x:c r="V14" s="84"/>
      <x:c r="W14" s="82"/>
      <x:c r="X14" s="82"/>
      <x:c r="Y14" s="68"/>
      <x:c r="Z14" s="84"/>
      <x:c r="AA14" s="84"/>
      <x:c r="AB14" s="82"/>
      <x:c r="AC14" s="82"/>
      <x:c r="AD14" s="68"/>
      <x:c r="AE14" s="68"/>
      <x:c r="AF14" s="90"/>
      <x:c r="AG14" s="82"/>
      <x:c r="AH14" s="82"/>
      <x:c r="AI14" s="87"/>
    </x:row>
    <x:row r="15">
      <x:c r="A15" s="72" t="str">
        <x:f>IF(OR(C15="",D15=""),"",B15&amp;"-"&amp;UPPER(C15)&amp;"-"&amp;TEXT(D15,"0000")&amp;"-"&amp;E15)</x:f>
      </x:c>
      <x:c r="B15" s="74" t="str">
        <x:v>M17</x:v>
      </x:c>
      <x:c r="C15" s="74"/>
      <x:c r="D15" s="79"/>
      <x:c r="E15" s="74" t="str">
        <x:v>V1.0</x:v>
      </x:c>
      <x:c r="F15" s="68"/>
      <x:c r="G15" s="82"/>
      <x:c r="H15" s="82"/>
      <x:c r="I15" s="82"/>
      <x:c r="J15" s="82"/>
      <x:c r="K15" s="68"/>
      <x:c r="L15" s="68"/>
      <x:c r="M15" s="68"/>
      <x:c r="N15" s="68"/>
      <x:c r="O15" s="68"/>
      <x:c r="P15" s="68"/>
      <x:c r="Q15" s="90"/>
      <x:c r="R15" s="68"/>
      <x:c r="S15" s="68"/>
      <x:c r="T15" s="68"/>
      <x:c r="U15" s="68"/>
      <x:c r="V15" s="84"/>
      <x:c r="W15" s="82"/>
      <x:c r="X15" s="82"/>
      <x:c r="Y15" s="68"/>
      <x:c r="Z15" s="84"/>
      <x:c r="AA15" s="84"/>
      <x:c r="AB15" s="82"/>
      <x:c r="AC15" s="82"/>
      <x:c r="AD15" s="68"/>
      <x:c r="AE15" s="68"/>
      <x:c r="AF15" s="90"/>
      <x:c r="AG15" s="82"/>
      <x:c r="AH15" s="82"/>
      <x:c r="AI15" s="87"/>
    </x:row>
    <x:row r="16">
      <x:c r="A16" s="72" t="str">
        <x:f>IF(OR(C16="",D16=""),"",B16&amp;"-"&amp;UPPER(C16)&amp;"-"&amp;TEXT(D16,"0000")&amp;"-"&amp;E16)</x:f>
      </x:c>
      <x:c r="B16" s="74" t="str">
        <x:v>M17</x:v>
      </x:c>
      <x:c r="C16" s="74"/>
      <x:c r="D16" s="79"/>
      <x:c r="E16" s="74" t="str">
        <x:v>V1.0</x:v>
      </x:c>
      <x:c r="F16" s="68"/>
      <x:c r="G16" s="82"/>
      <x:c r="H16" s="82"/>
      <x:c r="I16" s="82"/>
      <x:c r="J16" s="82"/>
      <x:c r="K16" s="68"/>
      <x:c r="L16" s="68"/>
      <x:c r="M16" s="68"/>
      <x:c r="N16" s="68"/>
      <x:c r="O16" s="68"/>
      <x:c r="P16" s="68"/>
      <x:c r="Q16" s="90"/>
      <x:c r="R16" s="68"/>
      <x:c r="S16" s="68"/>
      <x:c r="T16" s="68"/>
      <x:c r="U16" s="68"/>
      <x:c r="V16" s="84"/>
      <x:c r="W16" s="82"/>
      <x:c r="X16" s="82"/>
      <x:c r="Y16" s="68"/>
      <x:c r="Z16" s="84"/>
      <x:c r="AA16" s="84"/>
      <x:c r="AB16" s="82"/>
      <x:c r="AC16" s="82"/>
      <x:c r="AD16" s="68"/>
      <x:c r="AE16" s="68"/>
      <x:c r="AF16" s="90"/>
      <x:c r="AG16" s="82"/>
      <x:c r="AH16" s="82"/>
      <x:c r="AI16" s="87"/>
    </x:row>
    <x:row r="17">
      <x:c r="A17" s="72" t="str">
        <x:f>IF(OR(C17="",D17=""),"",B17&amp;"-"&amp;UPPER(C17)&amp;"-"&amp;TEXT(D17,"0000")&amp;"-"&amp;E17)</x:f>
      </x:c>
      <x:c r="B17" s="74" t="str">
        <x:v>M17</x:v>
      </x:c>
      <x:c r="C17" s="74"/>
      <x:c r="D17" s="79"/>
      <x:c r="E17" s="74" t="str">
        <x:v>V1.0</x:v>
      </x:c>
      <x:c r="F17" s="68"/>
      <x:c r="G17" s="82"/>
      <x:c r="H17" s="82"/>
      <x:c r="I17" s="82"/>
      <x:c r="J17" s="82"/>
      <x:c r="K17" s="68"/>
      <x:c r="L17" s="68"/>
      <x:c r="M17" s="68"/>
      <x:c r="N17" s="68"/>
      <x:c r="O17" s="68"/>
      <x:c r="P17" s="68"/>
      <x:c r="Q17" s="90"/>
      <x:c r="R17" s="68"/>
      <x:c r="S17" s="68"/>
      <x:c r="T17" s="68"/>
      <x:c r="U17" s="68"/>
      <x:c r="V17" s="84"/>
      <x:c r="W17" s="82"/>
      <x:c r="X17" s="82"/>
      <x:c r="Y17" s="68"/>
      <x:c r="Z17" s="84"/>
      <x:c r="AA17" s="84"/>
      <x:c r="AB17" s="82"/>
      <x:c r="AC17" s="82"/>
      <x:c r="AD17" s="68"/>
      <x:c r="AE17" s="68"/>
      <x:c r="AF17" s="90"/>
      <x:c r="AG17" s="82"/>
      <x:c r="AH17" s="82"/>
      <x:c r="AI17" s="87"/>
    </x:row>
    <x:row r="18">
      <x:c r="A18" s="72" t="str">
        <x:f>IF(OR(C18="",D18=""),"",B18&amp;"-"&amp;UPPER(C18)&amp;"-"&amp;TEXT(D18,"0000")&amp;"-"&amp;E18)</x:f>
      </x:c>
      <x:c r="B18" s="74" t="str">
        <x:v>M17</x:v>
      </x:c>
      <x:c r="C18" s="74"/>
      <x:c r="D18" s="79"/>
      <x:c r="E18" s="74" t="str">
        <x:v>V1.0</x:v>
      </x:c>
      <x:c r="F18" s="68"/>
      <x:c r="G18" s="82"/>
      <x:c r="H18" s="82"/>
      <x:c r="I18" s="82"/>
      <x:c r="J18" s="82"/>
      <x:c r="K18" s="68"/>
      <x:c r="L18" s="68"/>
      <x:c r="M18" s="68"/>
      <x:c r="N18" s="68"/>
      <x:c r="O18" s="68"/>
      <x:c r="P18" s="68"/>
      <x:c r="Q18" s="90"/>
      <x:c r="R18" s="68"/>
      <x:c r="S18" s="68"/>
      <x:c r="T18" s="68"/>
      <x:c r="U18" s="68"/>
      <x:c r="V18" s="84"/>
      <x:c r="W18" s="82"/>
      <x:c r="X18" s="82"/>
      <x:c r="Y18" s="68"/>
      <x:c r="Z18" s="84"/>
      <x:c r="AA18" s="84"/>
      <x:c r="AB18" s="82"/>
      <x:c r="AC18" s="82"/>
      <x:c r="AD18" s="68"/>
      <x:c r="AE18" s="68"/>
      <x:c r="AF18" s="90"/>
      <x:c r="AG18" s="82"/>
      <x:c r="AH18" s="82"/>
      <x:c r="AI18" s="87"/>
    </x:row>
    <x:row r="19">
      <x:c r="A19" s="72" t="str">
        <x:f>IF(OR(C19="",D19=""),"",B19&amp;"-"&amp;UPPER(C19)&amp;"-"&amp;TEXT(D19,"0000")&amp;"-"&amp;E19)</x:f>
      </x:c>
      <x:c r="B19" s="74" t="str">
        <x:v>M17</x:v>
      </x:c>
      <x:c r="C19" s="74"/>
      <x:c r="D19" s="79"/>
      <x:c r="E19" s="74" t="str">
        <x:v>V1.0</x:v>
      </x:c>
      <x:c r="F19" s="68"/>
      <x:c r="G19" s="82"/>
      <x:c r="H19" s="82"/>
      <x:c r="I19" s="82"/>
      <x:c r="J19" s="82"/>
      <x:c r="K19" s="68"/>
      <x:c r="L19" s="68"/>
      <x:c r="M19" s="68"/>
      <x:c r="N19" s="68"/>
      <x:c r="O19" s="68"/>
      <x:c r="P19" s="68"/>
      <x:c r="Q19" s="90"/>
      <x:c r="R19" s="68"/>
      <x:c r="S19" s="68"/>
      <x:c r="T19" s="68"/>
      <x:c r="U19" s="68"/>
      <x:c r="V19" s="84"/>
      <x:c r="W19" s="82"/>
      <x:c r="X19" s="82"/>
      <x:c r="Y19" s="68"/>
      <x:c r="Z19" s="84"/>
      <x:c r="AA19" s="84"/>
      <x:c r="AB19" s="82"/>
      <x:c r="AC19" s="82"/>
      <x:c r="AD19" s="68"/>
      <x:c r="AE19" s="68"/>
      <x:c r="AF19" s="90"/>
      <x:c r="AG19" s="82"/>
      <x:c r="AH19" s="82"/>
      <x:c r="AI19" s="87"/>
    </x:row>
    <x:row r="20">
      <x:c r="A20" s="72" t="str">
        <x:f>IF(OR(C20="",D20=""),"",B20&amp;"-"&amp;UPPER(C20)&amp;"-"&amp;TEXT(D20,"0000")&amp;"-"&amp;E20)</x:f>
      </x:c>
      <x:c r="B20" s="74" t="str">
        <x:v>M17</x:v>
      </x:c>
      <x:c r="C20" s="74"/>
      <x:c r="D20" s="79"/>
      <x:c r="E20" s="74" t="str">
        <x:v>V1.0</x:v>
      </x:c>
      <x:c r="F20" s="68"/>
      <x:c r="G20" s="82"/>
      <x:c r="H20" s="82"/>
      <x:c r="I20" s="82"/>
      <x:c r="J20" s="82"/>
      <x:c r="K20" s="68"/>
      <x:c r="L20" s="68"/>
      <x:c r="M20" s="68"/>
      <x:c r="N20" s="68"/>
      <x:c r="O20" s="68"/>
      <x:c r="P20" s="68"/>
      <x:c r="Q20" s="90"/>
      <x:c r="R20" s="68"/>
      <x:c r="S20" s="68"/>
      <x:c r="T20" s="68"/>
      <x:c r="U20" s="68"/>
      <x:c r="V20" s="84"/>
      <x:c r="W20" s="82"/>
      <x:c r="X20" s="82"/>
      <x:c r="Y20" s="68"/>
      <x:c r="Z20" s="84"/>
      <x:c r="AA20" s="84"/>
      <x:c r="AB20" s="82"/>
      <x:c r="AC20" s="82"/>
      <x:c r="AD20" s="68"/>
      <x:c r="AE20" s="68"/>
      <x:c r="AF20" s="90"/>
      <x:c r="AG20" s="82"/>
      <x:c r="AH20" s="82"/>
      <x:c r="AI20" s="87"/>
    </x:row>
    <x:row r="21">
      <x:c r="A21" s="72" t="str">
        <x:f>IF(OR(C21="",D21=""),"",B21&amp;"-"&amp;UPPER(C21)&amp;"-"&amp;TEXT(D21,"0000")&amp;"-"&amp;E21)</x:f>
      </x:c>
      <x:c r="B21" s="74" t="str">
        <x:v>M17</x:v>
      </x:c>
      <x:c r="C21" s="74"/>
      <x:c r="D21" s="79"/>
      <x:c r="E21" s="74" t="str">
        <x:v>V1.0</x:v>
      </x:c>
      <x:c r="F21" s="68"/>
      <x:c r="G21" s="82"/>
      <x:c r="H21" s="82"/>
      <x:c r="I21" s="82"/>
      <x:c r="J21" s="82"/>
      <x:c r="K21" s="68"/>
      <x:c r="L21" s="68"/>
      <x:c r="M21" s="68"/>
      <x:c r="N21" s="68"/>
      <x:c r="O21" s="68"/>
      <x:c r="P21" s="68"/>
      <x:c r="Q21" s="90"/>
      <x:c r="R21" s="68"/>
      <x:c r="S21" s="68"/>
      <x:c r="T21" s="68"/>
      <x:c r="U21" s="68"/>
      <x:c r="V21" s="84"/>
      <x:c r="W21" s="82"/>
      <x:c r="X21" s="82"/>
      <x:c r="Y21" s="68"/>
      <x:c r="Z21" s="84"/>
      <x:c r="AA21" s="84"/>
      <x:c r="AB21" s="82"/>
      <x:c r="AC21" s="82"/>
      <x:c r="AD21" s="68"/>
      <x:c r="AE21" s="68"/>
      <x:c r="AF21" s="90"/>
      <x:c r="AG21" s="82"/>
      <x:c r="AH21" s="82"/>
      <x:c r="AI21" s="87"/>
    </x:row>
    <x:row r="22">
      <x:c r="A22" s="72" t="str">
        <x:f>IF(OR(C22="",D22=""),"",B22&amp;"-"&amp;UPPER(C22)&amp;"-"&amp;TEXT(D22,"0000")&amp;"-"&amp;E22)</x:f>
      </x:c>
      <x:c r="B22" s="74" t="str">
        <x:v>M17</x:v>
      </x:c>
      <x:c r="C22" s="74"/>
      <x:c r="D22" s="79"/>
      <x:c r="E22" s="74" t="str">
        <x:v>V1.0</x:v>
      </x:c>
      <x:c r="F22" s="68"/>
      <x:c r="G22" s="82"/>
      <x:c r="H22" s="82"/>
      <x:c r="I22" s="82"/>
      <x:c r="J22" s="82"/>
      <x:c r="K22" s="68"/>
      <x:c r="L22" s="68"/>
      <x:c r="M22" s="68"/>
      <x:c r="N22" s="68"/>
      <x:c r="O22" s="68"/>
      <x:c r="P22" s="68"/>
      <x:c r="Q22" s="90"/>
      <x:c r="R22" s="68"/>
      <x:c r="S22" s="68"/>
      <x:c r="T22" s="68"/>
      <x:c r="U22" s="68"/>
      <x:c r="V22" s="84"/>
      <x:c r="W22" s="82"/>
      <x:c r="X22" s="82"/>
      <x:c r="Y22" s="68"/>
      <x:c r="Z22" s="84"/>
      <x:c r="AA22" s="84"/>
      <x:c r="AB22" s="82"/>
      <x:c r="AC22" s="82"/>
      <x:c r="AD22" s="68"/>
      <x:c r="AE22" s="68"/>
      <x:c r="AF22" s="90"/>
      <x:c r="AG22" s="82"/>
      <x:c r="AH22" s="82"/>
      <x:c r="AI22" s="87"/>
    </x:row>
    <x:row r="23">
      <x:c r="A23" s="72" t="str">
        <x:f>IF(OR(C23="",D23=""),"",B23&amp;"-"&amp;UPPER(C23)&amp;"-"&amp;TEXT(D23,"0000")&amp;"-"&amp;E23)</x:f>
      </x:c>
      <x:c r="B23" s="74" t="str">
        <x:v>M17</x:v>
      </x:c>
      <x:c r="C23" s="74"/>
      <x:c r="D23" s="79"/>
      <x:c r="E23" s="74" t="str">
        <x:v>V1.0</x:v>
      </x:c>
      <x:c r="F23" s="68"/>
      <x:c r="G23" s="82"/>
      <x:c r="H23" s="82"/>
      <x:c r="I23" s="82"/>
      <x:c r="J23" s="82"/>
      <x:c r="K23" s="68"/>
      <x:c r="L23" s="68"/>
      <x:c r="M23" s="68"/>
      <x:c r="N23" s="68"/>
      <x:c r="O23" s="68"/>
      <x:c r="P23" s="68"/>
      <x:c r="Q23" s="90"/>
      <x:c r="R23" s="68"/>
      <x:c r="S23" s="68"/>
      <x:c r="T23" s="68"/>
      <x:c r="U23" s="68"/>
      <x:c r="V23" s="84"/>
      <x:c r="W23" s="82"/>
      <x:c r="X23" s="82"/>
      <x:c r="Y23" s="68"/>
      <x:c r="Z23" s="84"/>
      <x:c r="AA23" s="84"/>
      <x:c r="AB23" s="82"/>
      <x:c r="AC23" s="82"/>
      <x:c r="AD23" s="68"/>
      <x:c r="AE23" s="68"/>
      <x:c r="AF23" s="90"/>
      <x:c r="AG23" s="82"/>
      <x:c r="AH23" s="82"/>
      <x:c r="AI23" s="87"/>
    </x:row>
    <x:row r="24">
      <x:c r="A24" s="72" t="str">
        <x:f>IF(OR(C24="",D24=""),"",B24&amp;"-"&amp;UPPER(C24)&amp;"-"&amp;TEXT(D24,"0000")&amp;"-"&amp;E24)</x:f>
      </x:c>
      <x:c r="B24" s="74" t="str">
        <x:v>M17</x:v>
      </x:c>
      <x:c r="C24" s="74"/>
      <x:c r="D24" s="79"/>
      <x:c r="E24" s="74" t="str">
        <x:v>V1.0</x:v>
      </x:c>
      <x:c r="F24" s="68"/>
      <x:c r="G24" s="82"/>
      <x:c r="H24" s="82"/>
      <x:c r="I24" s="82"/>
      <x:c r="J24" s="82"/>
      <x:c r="K24" s="68"/>
      <x:c r="L24" s="68"/>
      <x:c r="M24" s="68"/>
      <x:c r="N24" s="68"/>
      <x:c r="O24" s="68"/>
      <x:c r="P24" s="68"/>
      <x:c r="Q24" s="90"/>
      <x:c r="R24" s="68"/>
      <x:c r="S24" s="68"/>
      <x:c r="T24" s="68"/>
      <x:c r="U24" s="68"/>
      <x:c r="V24" s="84"/>
      <x:c r="W24" s="82"/>
      <x:c r="X24" s="82"/>
      <x:c r="Y24" s="68"/>
      <x:c r="Z24" s="84"/>
      <x:c r="AA24" s="84"/>
      <x:c r="AB24" s="82"/>
      <x:c r="AC24" s="82"/>
      <x:c r="AD24" s="68"/>
      <x:c r="AE24" s="68"/>
      <x:c r="AF24" s="90"/>
      <x:c r="AG24" s="82"/>
      <x:c r="AH24" s="82"/>
      <x:c r="AI24" s="87"/>
    </x:row>
    <x:row r="25">
      <x:c r="A25" s="72" t="str">
        <x:f>IF(OR(C25="",D25=""),"",B25&amp;"-"&amp;UPPER(C25)&amp;"-"&amp;TEXT(D25,"0000")&amp;"-"&amp;E25)</x:f>
      </x:c>
      <x:c r="B25" s="74" t="str">
        <x:v>M17</x:v>
      </x:c>
      <x:c r="C25" s="74"/>
      <x:c r="D25" s="79"/>
      <x:c r="E25" s="74" t="str">
        <x:v>V1.0</x:v>
      </x:c>
      <x:c r="F25" s="68"/>
      <x:c r="G25" s="82"/>
      <x:c r="H25" s="82"/>
      <x:c r="I25" s="82"/>
      <x:c r="J25" s="82"/>
      <x:c r="K25" s="68"/>
      <x:c r="L25" s="68"/>
      <x:c r="M25" s="68"/>
      <x:c r="N25" s="68"/>
      <x:c r="O25" s="68"/>
      <x:c r="P25" s="68"/>
      <x:c r="Q25" s="90"/>
      <x:c r="R25" s="68"/>
      <x:c r="S25" s="68"/>
      <x:c r="T25" s="68"/>
      <x:c r="U25" s="68"/>
      <x:c r="V25" s="84"/>
      <x:c r="W25" s="82"/>
      <x:c r="X25" s="82"/>
      <x:c r="Y25" s="68"/>
      <x:c r="Z25" s="84"/>
      <x:c r="AA25" s="84"/>
      <x:c r="AB25" s="82"/>
      <x:c r="AC25" s="82"/>
      <x:c r="AD25" s="68"/>
      <x:c r="AE25" s="68"/>
      <x:c r="AF25" s="90"/>
      <x:c r="AG25" s="82"/>
      <x:c r="AH25" s="82"/>
      <x:c r="AI25" s="87"/>
    </x:row>
    <x:row r="26">
      <x:c r="A26" s="72" t="str">
        <x:f>IF(OR(C26="",D26=""),"",B26&amp;"-"&amp;UPPER(C26)&amp;"-"&amp;TEXT(D26,"0000")&amp;"-"&amp;E26)</x:f>
      </x:c>
      <x:c r="B26" s="74" t="str">
        <x:v>M17</x:v>
      </x:c>
      <x:c r="C26" s="74"/>
      <x:c r="D26" s="79"/>
      <x:c r="E26" s="74" t="str">
        <x:v>V1.0</x:v>
      </x:c>
      <x:c r="F26" s="68"/>
      <x:c r="G26" s="82"/>
      <x:c r="H26" s="82"/>
      <x:c r="I26" s="82"/>
      <x:c r="J26" s="82"/>
      <x:c r="K26" s="68"/>
      <x:c r="L26" s="68"/>
      <x:c r="M26" s="68"/>
      <x:c r="N26" s="68"/>
      <x:c r="O26" s="68"/>
      <x:c r="P26" s="68"/>
      <x:c r="Q26" s="90"/>
      <x:c r="R26" s="68"/>
      <x:c r="S26" s="68"/>
      <x:c r="T26" s="68"/>
      <x:c r="U26" s="68"/>
      <x:c r="V26" s="84"/>
      <x:c r="W26" s="82"/>
      <x:c r="X26" s="82"/>
      <x:c r="Y26" s="68"/>
      <x:c r="Z26" s="84"/>
      <x:c r="AA26" s="84"/>
      <x:c r="AB26" s="82"/>
      <x:c r="AC26" s="82"/>
      <x:c r="AD26" s="68"/>
      <x:c r="AE26" s="68"/>
      <x:c r="AF26" s="90"/>
      <x:c r="AG26" s="82"/>
      <x:c r="AH26" s="82"/>
      <x:c r="AI26" s="87"/>
    </x:row>
    <x:row r="27">
      <x:c r="A27" s="72" t="str">
        <x:f>IF(OR(C27="",D27=""),"",B27&amp;"-"&amp;UPPER(C27)&amp;"-"&amp;TEXT(D27,"0000")&amp;"-"&amp;E27)</x:f>
      </x:c>
      <x:c r="B27" s="74" t="str">
        <x:v>M17</x:v>
      </x:c>
      <x:c r="C27" s="74"/>
      <x:c r="D27" s="79"/>
      <x:c r="E27" s="74" t="str">
        <x:v>V1.0</x:v>
      </x:c>
      <x:c r="F27" s="68"/>
      <x:c r="G27" s="82"/>
      <x:c r="H27" s="82"/>
      <x:c r="I27" s="82"/>
      <x:c r="J27" s="82"/>
      <x:c r="K27" s="68"/>
      <x:c r="L27" s="68"/>
      <x:c r="M27" s="68"/>
      <x:c r="N27" s="68"/>
      <x:c r="O27" s="68"/>
      <x:c r="P27" s="68"/>
      <x:c r="Q27" s="90"/>
      <x:c r="R27" s="68"/>
      <x:c r="S27" s="68"/>
      <x:c r="T27" s="68"/>
      <x:c r="U27" s="68"/>
      <x:c r="V27" s="84"/>
      <x:c r="W27" s="82"/>
      <x:c r="X27" s="82"/>
      <x:c r="Y27" s="68"/>
      <x:c r="Z27" s="84"/>
      <x:c r="AA27" s="84"/>
      <x:c r="AB27" s="82"/>
      <x:c r="AC27" s="82"/>
      <x:c r="AD27" s="68"/>
      <x:c r="AE27" s="68"/>
      <x:c r="AF27" s="90"/>
      <x:c r="AG27" s="82"/>
      <x:c r="AH27" s="82"/>
      <x:c r="AI27" s="87"/>
    </x:row>
    <x:row r="28">
      <x:c r="A28" s="72" t="str">
        <x:f>IF(OR(C28="",D28=""),"",B28&amp;"-"&amp;UPPER(C28)&amp;"-"&amp;TEXT(D28,"0000")&amp;"-"&amp;E28)</x:f>
      </x:c>
      <x:c r="B28" s="74" t="str">
        <x:v>M17</x:v>
      </x:c>
      <x:c r="C28" s="74"/>
      <x:c r="D28" s="79"/>
      <x:c r="E28" s="74" t="str">
        <x:v>V1.0</x:v>
      </x:c>
      <x:c r="F28" s="68"/>
      <x:c r="G28" s="82"/>
      <x:c r="H28" s="82"/>
      <x:c r="I28" s="82"/>
      <x:c r="J28" s="82"/>
      <x:c r="K28" s="68"/>
      <x:c r="L28" s="68"/>
      <x:c r="M28" s="68"/>
      <x:c r="N28" s="68"/>
      <x:c r="O28" s="68"/>
      <x:c r="P28" s="68"/>
      <x:c r="Q28" s="90"/>
      <x:c r="R28" s="68"/>
      <x:c r="S28" s="68"/>
      <x:c r="T28" s="68"/>
      <x:c r="U28" s="68"/>
      <x:c r="V28" s="84"/>
      <x:c r="W28" s="82"/>
      <x:c r="X28" s="82"/>
      <x:c r="Y28" s="68"/>
      <x:c r="Z28" s="84"/>
      <x:c r="AA28" s="84"/>
      <x:c r="AB28" s="82"/>
      <x:c r="AC28" s="82"/>
      <x:c r="AD28" s="68"/>
      <x:c r="AE28" s="68"/>
      <x:c r="AF28" s="90"/>
      <x:c r="AG28" s="82"/>
      <x:c r="AH28" s="82"/>
      <x:c r="AI28" s="87"/>
    </x:row>
    <x:row r="29">
      <x:c r="A29" s="72" t="str">
        <x:f>IF(OR(C29="",D29=""),"",B29&amp;"-"&amp;UPPER(C29)&amp;"-"&amp;TEXT(D29,"0000")&amp;"-"&amp;E29)</x:f>
      </x:c>
      <x:c r="B29" s="74" t="str">
        <x:v>M17</x:v>
      </x:c>
      <x:c r="C29" s="74"/>
      <x:c r="D29" s="79"/>
      <x:c r="E29" s="74" t="str">
        <x:v>V1.0</x:v>
      </x:c>
      <x:c r="F29" s="68"/>
      <x:c r="G29" s="82"/>
      <x:c r="H29" s="82"/>
      <x:c r="I29" s="82"/>
      <x:c r="J29" s="82"/>
      <x:c r="K29" s="68"/>
      <x:c r="L29" s="68"/>
      <x:c r="M29" s="68"/>
      <x:c r="N29" s="68"/>
      <x:c r="O29" s="68"/>
      <x:c r="P29" s="68"/>
      <x:c r="Q29" s="90"/>
      <x:c r="R29" s="68"/>
      <x:c r="S29" s="68"/>
      <x:c r="T29" s="68"/>
      <x:c r="U29" s="68"/>
      <x:c r="V29" s="84"/>
      <x:c r="W29" s="82"/>
      <x:c r="X29" s="82"/>
      <x:c r="Y29" s="68"/>
      <x:c r="Z29" s="84"/>
      <x:c r="AA29" s="84"/>
      <x:c r="AB29" s="82"/>
      <x:c r="AC29" s="82"/>
      <x:c r="AD29" s="68"/>
      <x:c r="AE29" s="68"/>
      <x:c r="AF29" s="90"/>
      <x:c r="AG29" s="82"/>
      <x:c r="AH29" s="82"/>
      <x:c r="AI29" s="87"/>
    </x:row>
    <x:row r="30">
      <x:c r="A30" s="72" t="str">
        <x:f>IF(OR(C30="",D30=""),"",B30&amp;"-"&amp;UPPER(C30)&amp;"-"&amp;TEXT(D30,"0000")&amp;"-"&amp;E30)</x:f>
      </x:c>
      <x:c r="B30" s="74" t="str">
        <x:v>M17</x:v>
      </x:c>
      <x:c r="C30" s="74"/>
      <x:c r="D30" s="79"/>
      <x:c r="E30" s="74" t="str">
        <x:v>V1.0</x:v>
      </x:c>
      <x:c r="F30" s="68"/>
      <x:c r="G30" s="82"/>
      <x:c r="H30" s="82"/>
      <x:c r="I30" s="82"/>
      <x:c r="J30" s="82"/>
      <x:c r="K30" s="68"/>
      <x:c r="L30" s="68"/>
      <x:c r="M30" s="68"/>
      <x:c r="N30" s="68"/>
      <x:c r="O30" s="68"/>
      <x:c r="P30" s="68"/>
      <x:c r="Q30" s="90"/>
      <x:c r="R30" s="68"/>
      <x:c r="S30" s="68"/>
      <x:c r="T30" s="68"/>
      <x:c r="U30" s="68"/>
      <x:c r="V30" s="84"/>
      <x:c r="W30" s="82"/>
      <x:c r="X30" s="82"/>
      <x:c r="Y30" s="68"/>
      <x:c r="Z30" s="84"/>
      <x:c r="AA30" s="84"/>
      <x:c r="AB30" s="82"/>
      <x:c r="AC30" s="82"/>
      <x:c r="AD30" s="68"/>
      <x:c r="AE30" s="68"/>
      <x:c r="AF30" s="90"/>
      <x:c r="AG30" s="82"/>
      <x:c r="AH30" s="82"/>
      <x:c r="AI30" s="87"/>
    </x:row>
    <x:row r="31">
      <x:c r="A31" s="72" t="str">
        <x:f>IF(OR(C31="",D31=""),"",B31&amp;"-"&amp;UPPER(C31)&amp;"-"&amp;TEXT(D31,"0000")&amp;"-"&amp;E31)</x:f>
      </x:c>
      <x:c r="B31" s="74" t="str">
        <x:v>M17</x:v>
      </x:c>
      <x:c r="C31" s="74"/>
      <x:c r="D31" s="79"/>
      <x:c r="E31" s="74" t="str">
        <x:v>V1.0</x:v>
      </x:c>
      <x:c r="F31" s="68"/>
      <x:c r="G31" s="82"/>
      <x:c r="H31" s="82"/>
      <x:c r="I31" s="82"/>
      <x:c r="J31" s="82"/>
      <x:c r="K31" s="68"/>
      <x:c r="L31" s="68"/>
      <x:c r="M31" s="68"/>
      <x:c r="N31" s="68"/>
      <x:c r="O31" s="68"/>
      <x:c r="P31" s="68"/>
      <x:c r="Q31" s="90"/>
      <x:c r="R31" s="68"/>
      <x:c r="S31" s="68"/>
      <x:c r="T31" s="68"/>
      <x:c r="U31" s="68"/>
      <x:c r="V31" s="84"/>
      <x:c r="W31" s="82"/>
      <x:c r="X31" s="82"/>
      <x:c r="Y31" s="68"/>
      <x:c r="Z31" s="84"/>
      <x:c r="AA31" s="84"/>
      <x:c r="AB31" s="82"/>
      <x:c r="AC31" s="82"/>
      <x:c r="AD31" s="68"/>
      <x:c r="AE31" s="68"/>
      <x:c r="AF31" s="90"/>
      <x:c r="AG31" s="82"/>
      <x:c r="AH31" s="82"/>
      <x:c r="AI31" s="87"/>
    </x:row>
    <x:row r="32">
      <x:c r="A32" s="72" t="str">
        <x:f>IF(OR(C32="",D32=""),"",B32&amp;"-"&amp;UPPER(C32)&amp;"-"&amp;TEXT(D32,"0000")&amp;"-"&amp;E32)</x:f>
      </x:c>
      <x:c r="B32" s="74" t="str">
        <x:v>M17</x:v>
      </x:c>
      <x:c r="C32" s="74"/>
      <x:c r="D32" s="79"/>
      <x:c r="E32" s="74" t="str">
        <x:v>V1.0</x:v>
      </x:c>
      <x:c r="F32" s="68"/>
      <x:c r="G32" s="82"/>
      <x:c r="H32" s="82"/>
      <x:c r="I32" s="82"/>
      <x:c r="J32" s="82"/>
      <x:c r="K32" s="68"/>
      <x:c r="L32" s="68"/>
      <x:c r="M32" s="68"/>
      <x:c r="N32" s="68"/>
      <x:c r="O32" s="68"/>
      <x:c r="P32" s="68"/>
      <x:c r="Q32" s="90"/>
      <x:c r="R32" s="68"/>
      <x:c r="S32" s="68"/>
      <x:c r="T32" s="68"/>
      <x:c r="U32" s="68"/>
      <x:c r="V32" s="84"/>
      <x:c r="W32" s="82"/>
      <x:c r="X32" s="82"/>
      <x:c r="Y32" s="68"/>
      <x:c r="Z32" s="84"/>
      <x:c r="AA32" s="84"/>
      <x:c r="AB32" s="82"/>
      <x:c r="AC32" s="82"/>
      <x:c r="AD32" s="68"/>
      <x:c r="AE32" s="68"/>
      <x:c r="AF32" s="90"/>
      <x:c r="AG32" s="82"/>
      <x:c r="AH32" s="82"/>
      <x:c r="AI32" s="87"/>
    </x:row>
    <x:row r="33">
      <x:c r="A33" s="72" t="str">
        <x:f>IF(OR(C33="",D33=""),"",B33&amp;"-"&amp;UPPER(C33)&amp;"-"&amp;TEXT(D33,"0000")&amp;"-"&amp;E33)</x:f>
      </x:c>
      <x:c r="B33" s="74" t="str">
        <x:v>M17</x:v>
      </x:c>
      <x:c r="C33" s="74"/>
      <x:c r="D33" s="79"/>
      <x:c r="E33" s="74" t="str">
        <x:v>V1.0</x:v>
      </x:c>
      <x:c r="F33" s="68"/>
      <x:c r="G33" s="82"/>
      <x:c r="H33" s="82"/>
      <x:c r="I33" s="82"/>
      <x:c r="J33" s="82"/>
      <x:c r="K33" s="68"/>
      <x:c r="L33" s="68"/>
      <x:c r="M33" s="68"/>
      <x:c r="N33" s="68"/>
      <x:c r="O33" s="68"/>
      <x:c r="P33" s="68"/>
      <x:c r="Q33" s="90"/>
      <x:c r="R33" s="68"/>
      <x:c r="S33" s="68"/>
      <x:c r="T33" s="68"/>
      <x:c r="U33" s="68"/>
      <x:c r="V33" s="84"/>
      <x:c r="W33" s="82"/>
      <x:c r="X33" s="82"/>
      <x:c r="Y33" s="68"/>
      <x:c r="Z33" s="84"/>
      <x:c r="AA33" s="84"/>
      <x:c r="AB33" s="82"/>
      <x:c r="AC33" s="82"/>
      <x:c r="AD33" s="68"/>
      <x:c r="AE33" s="68"/>
      <x:c r="AF33" s="90"/>
      <x:c r="AG33" s="82"/>
      <x:c r="AH33" s="82"/>
      <x:c r="AI33" s="87"/>
    </x:row>
    <x:row r="34">
      <x:c r="A34" s="72" t="str">
        <x:f>IF(OR(C34="",D34=""),"",B34&amp;"-"&amp;UPPER(C34)&amp;"-"&amp;TEXT(D34,"0000")&amp;"-"&amp;E34)</x:f>
      </x:c>
      <x:c r="B34" s="74" t="str">
        <x:v>M17</x:v>
      </x:c>
      <x:c r="C34" s="74"/>
      <x:c r="D34" s="79"/>
      <x:c r="E34" s="74" t="str">
        <x:v>V1.0</x:v>
      </x:c>
      <x:c r="F34" s="68"/>
      <x:c r="G34" s="82"/>
      <x:c r="H34" s="82"/>
      <x:c r="I34" s="82"/>
      <x:c r="J34" s="82"/>
      <x:c r="K34" s="68"/>
      <x:c r="L34" s="68"/>
      <x:c r="M34" s="68"/>
      <x:c r="N34" s="68"/>
      <x:c r="O34" s="68"/>
      <x:c r="P34" s="68"/>
      <x:c r="Q34" s="90"/>
      <x:c r="R34" s="68"/>
      <x:c r="S34" s="68"/>
      <x:c r="T34" s="68"/>
      <x:c r="U34" s="68"/>
      <x:c r="V34" s="84"/>
      <x:c r="W34" s="82"/>
      <x:c r="X34" s="82"/>
      <x:c r="Y34" s="68"/>
      <x:c r="Z34" s="84"/>
      <x:c r="AA34" s="84"/>
      <x:c r="AB34" s="82"/>
      <x:c r="AC34" s="82"/>
      <x:c r="AD34" s="68"/>
      <x:c r="AE34" s="68"/>
      <x:c r="AF34" s="90"/>
      <x:c r="AG34" s="82"/>
      <x:c r="AH34" s="82"/>
      <x:c r="AI34" s="87"/>
    </x:row>
    <x:row r="35">
      <x:c r="A35" s="72" t="str">
        <x:f>IF(OR(C35="",D35=""),"",B35&amp;"-"&amp;UPPER(C35)&amp;"-"&amp;TEXT(D35,"0000")&amp;"-"&amp;E35)</x:f>
      </x:c>
      <x:c r="B35" s="74" t="str">
        <x:v>M17</x:v>
      </x:c>
      <x:c r="C35" s="74"/>
      <x:c r="D35" s="79"/>
      <x:c r="E35" s="74" t="str">
        <x:v>V1.0</x:v>
      </x:c>
      <x:c r="F35" s="68"/>
      <x:c r="G35" s="82"/>
      <x:c r="H35" s="82"/>
      <x:c r="I35" s="82"/>
      <x:c r="J35" s="82"/>
      <x:c r="K35" s="68"/>
      <x:c r="L35" s="68"/>
      <x:c r="M35" s="68"/>
      <x:c r="N35" s="68"/>
      <x:c r="O35" s="68"/>
      <x:c r="P35" s="68"/>
      <x:c r="Q35" s="90"/>
      <x:c r="R35" s="68"/>
      <x:c r="S35" s="68"/>
      <x:c r="T35" s="68"/>
      <x:c r="U35" s="68"/>
      <x:c r="V35" s="84"/>
      <x:c r="W35" s="82"/>
      <x:c r="X35" s="82"/>
      <x:c r="Y35" s="68"/>
      <x:c r="Z35" s="84"/>
      <x:c r="AA35" s="84"/>
      <x:c r="AB35" s="82"/>
      <x:c r="AC35" s="82"/>
      <x:c r="AD35" s="68"/>
      <x:c r="AE35" s="68"/>
      <x:c r="AF35" s="90"/>
      <x:c r="AG35" s="82"/>
      <x:c r="AH35" s="82"/>
      <x:c r="AI35" s="87"/>
    </x:row>
    <x:row r="36">
      <x:c r="A36" s="72" t="str">
        <x:f>IF(OR(C36="",D36=""),"",B36&amp;"-"&amp;UPPER(C36)&amp;"-"&amp;TEXT(D36,"0000")&amp;"-"&amp;E36)</x:f>
      </x:c>
      <x:c r="B36" s="74" t="str">
        <x:v>M17</x:v>
      </x:c>
      <x:c r="C36" s="74"/>
      <x:c r="D36" s="79"/>
      <x:c r="E36" s="74" t="str">
        <x:v>V1.0</x:v>
      </x:c>
      <x:c r="F36" s="68"/>
      <x:c r="G36" s="82"/>
      <x:c r="H36" s="82"/>
      <x:c r="I36" s="82"/>
      <x:c r="J36" s="82"/>
      <x:c r="K36" s="68"/>
      <x:c r="L36" s="68"/>
      <x:c r="M36" s="68"/>
      <x:c r="N36" s="68"/>
      <x:c r="O36" s="68"/>
      <x:c r="P36" s="68"/>
      <x:c r="Q36" s="90"/>
      <x:c r="R36" s="68"/>
      <x:c r="S36" s="68"/>
      <x:c r="T36" s="68"/>
      <x:c r="U36" s="68"/>
      <x:c r="V36" s="84"/>
      <x:c r="W36" s="82"/>
      <x:c r="X36" s="82"/>
      <x:c r="Y36" s="68"/>
      <x:c r="Z36" s="84"/>
      <x:c r="AA36" s="84"/>
      <x:c r="AB36" s="82"/>
      <x:c r="AC36" s="82"/>
      <x:c r="AD36" s="68"/>
      <x:c r="AE36" s="68"/>
      <x:c r="AF36" s="90"/>
      <x:c r="AG36" s="82"/>
      <x:c r="AH36" s="82"/>
      <x:c r="AI36" s="87"/>
    </x:row>
    <x:row r="37">
      <x:c r="A37" s="72" t="str">
        <x:f>IF(OR(C37="",D37=""),"",B37&amp;"-"&amp;UPPER(C37)&amp;"-"&amp;TEXT(D37,"0000")&amp;"-"&amp;E37)</x:f>
      </x:c>
      <x:c r="B37" s="74" t="str">
        <x:v>M17</x:v>
      </x:c>
      <x:c r="C37" s="74"/>
      <x:c r="D37" s="79"/>
      <x:c r="E37" s="74" t="str">
        <x:v>V1.0</x:v>
      </x:c>
      <x:c r="F37" s="68"/>
      <x:c r="G37" s="82"/>
      <x:c r="H37" s="82"/>
      <x:c r="I37" s="82"/>
      <x:c r="J37" s="82"/>
      <x:c r="K37" s="68"/>
      <x:c r="L37" s="68"/>
      <x:c r="M37" s="68"/>
      <x:c r="N37" s="68"/>
      <x:c r="O37" s="68"/>
      <x:c r="P37" s="68"/>
      <x:c r="Q37" s="90"/>
      <x:c r="R37" s="68"/>
      <x:c r="S37" s="68"/>
      <x:c r="T37" s="68"/>
      <x:c r="U37" s="68"/>
      <x:c r="V37" s="84"/>
      <x:c r="W37" s="82"/>
      <x:c r="X37" s="82"/>
      <x:c r="Y37" s="68"/>
      <x:c r="Z37" s="84"/>
      <x:c r="AA37" s="84"/>
      <x:c r="AB37" s="82"/>
      <x:c r="AC37" s="82"/>
      <x:c r="AD37" s="68"/>
      <x:c r="AE37" s="68"/>
      <x:c r="AF37" s="90"/>
      <x:c r="AG37" s="82"/>
      <x:c r="AH37" s="82"/>
      <x:c r="AI37" s="87"/>
    </x:row>
    <x:row r="38">
      <x:c r="A38" s="72" t="str">
        <x:f>IF(OR(C38="",D38=""),"",B38&amp;"-"&amp;UPPER(C38)&amp;"-"&amp;TEXT(D38,"0000")&amp;"-"&amp;E38)</x:f>
      </x:c>
      <x:c r="B38" s="74" t="str">
        <x:v>M17</x:v>
      </x:c>
      <x:c r="C38" s="74"/>
      <x:c r="D38" s="79"/>
      <x:c r="E38" s="74" t="str">
        <x:v>V1.0</x:v>
      </x:c>
      <x:c r="F38" s="68"/>
      <x:c r="G38" s="82"/>
      <x:c r="H38" s="82"/>
      <x:c r="I38" s="82"/>
      <x:c r="J38" s="82"/>
      <x:c r="K38" s="68"/>
      <x:c r="L38" s="68"/>
      <x:c r="M38" s="68"/>
      <x:c r="N38" s="68"/>
      <x:c r="O38" s="68"/>
      <x:c r="P38" s="68"/>
      <x:c r="Q38" s="90"/>
      <x:c r="R38" s="68"/>
      <x:c r="S38" s="68"/>
      <x:c r="T38" s="68"/>
      <x:c r="U38" s="68"/>
      <x:c r="V38" s="84"/>
      <x:c r="W38" s="82"/>
      <x:c r="X38" s="82"/>
      <x:c r="Y38" s="68"/>
      <x:c r="Z38" s="84"/>
      <x:c r="AA38" s="84"/>
      <x:c r="AB38" s="82"/>
      <x:c r="AC38" s="82"/>
      <x:c r="AD38" s="68"/>
      <x:c r="AE38" s="68"/>
      <x:c r="AF38" s="90"/>
      <x:c r="AG38" s="82"/>
      <x:c r="AH38" s="82"/>
      <x:c r="AI38" s="87"/>
    </x:row>
    <x:row r="39">
      <x:c r="A39" s="72" t="str">
        <x:f>IF(OR(C39="",D39=""),"",B39&amp;"-"&amp;UPPER(C39)&amp;"-"&amp;TEXT(D39,"0000")&amp;"-"&amp;E39)</x:f>
      </x:c>
      <x:c r="B39" s="74" t="str">
        <x:v>M17</x:v>
      </x:c>
      <x:c r="C39" s="74"/>
      <x:c r="D39" s="79"/>
      <x:c r="E39" s="74" t="str">
        <x:v>V1.0</x:v>
      </x:c>
      <x:c r="F39" s="68"/>
      <x:c r="G39" s="82"/>
      <x:c r="H39" s="82"/>
      <x:c r="I39" s="82"/>
      <x:c r="J39" s="82"/>
      <x:c r="K39" s="68"/>
      <x:c r="L39" s="68"/>
      <x:c r="M39" s="68"/>
      <x:c r="N39" s="68"/>
      <x:c r="O39" s="68"/>
      <x:c r="P39" s="68"/>
      <x:c r="Q39" s="90"/>
      <x:c r="R39" s="68"/>
      <x:c r="S39" s="68"/>
      <x:c r="T39" s="68"/>
      <x:c r="U39" s="68"/>
      <x:c r="V39" s="84"/>
      <x:c r="W39" s="82"/>
      <x:c r="X39" s="82"/>
      <x:c r="Y39" s="68"/>
      <x:c r="Z39" s="84"/>
      <x:c r="AA39" s="84"/>
      <x:c r="AB39" s="82"/>
      <x:c r="AC39" s="82"/>
      <x:c r="AD39" s="68"/>
      <x:c r="AE39" s="68"/>
      <x:c r="AF39" s="90"/>
      <x:c r="AG39" s="82"/>
      <x:c r="AH39" s="82"/>
      <x:c r="AI39" s="87"/>
    </x:row>
    <x:row r="40">
      <x:c r="A40" s="72" t="str">
        <x:f>IF(OR(C40="",D40=""),"",B40&amp;"-"&amp;UPPER(C40)&amp;"-"&amp;TEXT(D40,"0000")&amp;"-"&amp;E40)</x:f>
      </x:c>
      <x:c r="B40" s="74" t="str">
        <x:v>M17</x:v>
      </x:c>
      <x:c r="C40" s="74"/>
      <x:c r="D40" s="79"/>
      <x:c r="E40" s="74" t="str">
        <x:v>V1.0</x:v>
      </x:c>
      <x:c r="F40" s="68"/>
      <x:c r="G40" s="82"/>
      <x:c r="H40" s="82"/>
      <x:c r="I40" s="82"/>
      <x:c r="J40" s="82"/>
      <x:c r="K40" s="68"/>
      <x:c r="L40" s="68"/>
      <x:c r="M40" s="68"/>
      <x:c r="N40" s="68"/>
      <x:c r="O40" s="68"/>
      <x:c r="P40" s="68"/>
      <x:c r="Q40" s="90"/>
      <x:c r="R40" s="68"/>
      <x:c r="S40" s="68"/>
      <x:c r="T40" s="68"/>
      <x:c r="U40" s="68"/>
      <x:c r="V40" s="84"/>
      <x:c r="W40" s="82"/>
      <x:c r="X40" s="82"/>
      <x:c r="Y40" s="68"/>
      <x:c r="Z40" s="84"/>
      <x:c r="AA40" s="84"/>
      <x:c r="AB40" s="82"/>
      <x:c r="AC40" s="82"/>
      <x:c r="AD40" s="68"/>
      <x:c r="AE40" s="68"/>
      <x:c r="AF40" s="90"/>
      <x:c r="AG40" s="82"/>
      <x:c r="AH40" s="82"/>
      <x:c r="AI40" s="87"/>
    </x:row>
    <x:row r="41">
      <x:c r="A41" s="72" t="str">
        <x:f>IF(OR(C41="",D41=""),"",B41&amp;"-"&amp;UPPER(C41)&amp;"-"&amp;TEXT(D41,"0000")&amp;"-"&amp;E41)</x:f>
      </x:c>
      <x:c r="B41" s="74" t="str">
        <x:v>M17</x:v>
      </x:c>
      <x:c r="C41" s="74"/>
      <x:c r="D41" s="79"/>
      <x:c r="E41" s="74" t="str">
        <x:v>V1.0</x:v>
      </x:c>
      <x:c r="F41" s="68"/>
      <x:c r="G41" s="82"/>
      <x:c r="H41" s="82"/>
      <x:c r="I41" s="82"/>
      <x:c r="J41" s="82"/>
      <x:c r="K41" s="68"/>
      <x:c r="L41" s="68"/>
      <x:c r="M41" s="68"/>
      <x:c r="N41" s="68"/>
      <x:c r="O41" s="68"/>
      <x:c r="P41" s="68"/>
      <x:c r="Q41" s="90"/>
      <x:c r="R41" s="68"/>
      <x:c r="S41" s="68"/>
      <x:c r="T41" s="68"/>
      <x:c r="U41" s="68"/>
      <x:c r="V41" s="84"/>
      <x:c r="W41" s="82"/>
      <x:c r="X41" s="82"/>
      <x:c r="Y41" s="68"/>
      <x:c r="Z41" s="84"/>
      <x:c r="AA41" s="84"/>
      <x:c r="AB41" s="82"/>
      <x:c r="AC41" s="82"/>
      <x:c r="AD41" s="68"/>
      <x:c r="AE41" s="68"/>
      <x:c r="AF41" s="90"/>
      <x:c r="AG41" s="82"/>
      <x:c r="AH41" s="82"/>
      <x:c r="AI41" s="87"/>
    </x:row>
    <x:row r="42">
      <x:c r="A42" s="72" t="str">
        <x:f>IF(OR(C42="",D42=""),"",B42&amp;"-"&amp;UPPER(C42)&amp;"-"&amp;TEXT(D42,"0000")&amp;"-"&amp;E42)</x:f>
      </x:c>
      <x:c r="B42" s="74" t="str">
        <x:v>M17</x:v>
      </x:c>
      <x:c r="C42" s="74"/>
      <x:c r="D42" s="79"/>
      <x:c r="E42" s="74" t="str">
        <x:v>V1.0</x:v>
      </x:c>
      <x:c r="F42" s="68"/>
      <x:c r="G42" s="82"/>
      <x:c r="H42" s="82"/>
      <x:c r="I42" s="82"/>
      <x:c r="J42" s="82"/>
      <x:c r="K42" s="68"/>
      <x:c r="L42" s="68"/>
      <x:c r="M42" s="68"/>
      <x:c r="N42" s="68"/>
      <x:c r="O42" s="68"/>
      <x:c r="P42" s="68"/>
      <x:c r="Q42" s="90"/>
      <x:c r="R42" s="68"/>
      <x:c r="S42" s="68"/>
      <x:c r="T42" s="68"/>
      <x:c r="U42" s="68"/>
      <x:c r="V42" s="84"/>
      <x:c r="W42" s="82"/>
      <x:c r="X42" s="82"/>
      <x:c r="Y42" s="68"/>
      <x:c r="Z42" s="84"/>
      <x:c r="AA42" s="84"/>
      <x:c r="AB42" s="82"/>
      <x:c r="AC42" s="82"/>
      <x:c r="AD42" s="68"/>
      <x:c r="AE42" s="68"/>
      <x:c r="AF42" s="90"/>
      <x:c r="AG42" s="82"/>
      <x:c r="AH42" s="82"/>
      <x:c r="AI42" s="87"/>
    </x:row>
    <x:row r="43">
      <x:c r="A43" s="72" t="str">
        <x:f>IF(OR(C43="",D43=""),"",B43&amp;"-"&amp;UPPER(C43)&amp;"-"&amp;TEXT(D43,"0000")&amp;"-"&amp;E43)</x:f>
      </x:c>
      <x:c r="B43" s="74" t="str">
        <x:v>M17</x:v>
      </x:c>
      <x:c r="C43" s="74"/>
      <x:c r="D43" s="79"/>
      <x:c r="E43" s="74" t="str">
        <x:v>V1.0</x:v>
      </x:c>
      <x:c r="F43" s="68"/>
      <x:c r="G43" s="82"/>
      <x:c r="H43" s="82"/>
      <x:c r="I43" s="82"/>
      <x:c r="J43" s="82"/>
      <x:c r="K43" s="68"/>
      <x:c r="L43" s="68"/>
      <x:c r="M43" s="68"/>
      <x:c r="N43" s="68"/>
      <x:c r="O43" s="68"/>
      <x:c r="P43" s="68"/>
      <x:c r="Q43" s="90"/>
      <x:c r="R43" s="68"/>
      <x:c r="S43" s="68"/>
      <x:c r="T43" s="68"/>
      <x:c r="U43" s="68"/>
      <x:c r="V43" s="84"/>
      <x:c r="W43" s="82"/>
      <x:c r="X43" s="82"/>
      <x:c r="Y43" s="68"/>
      <x:c r="Z43" s="84"/>
      <x:c r="AA43" s="84"/>
      <x:c r="AB43" s="82"/>
      <x:c r="AC43" s="82"/>
      <x:c r="AD43" s="68"/>
      <x:c r="AE43" s="68"/>
      <x:c r="AF43" s="90"/>
      <x:c r="AG43" s="82"/>
      <x:c r="AH43" s="82"/>
      <x:c r="AI43" s="87"/>
    </x:row>
    <x:row r="44">
      <x:c r="A44" s="72" t="str">
        <x:f>IF(OR(C44="",D44=""),"",B44&amp;"-"&amp;UPPER(C44)&amp;"-"&amp;TEXT(D44,"0000")&amp;"-"&amp;E44)</x:f>
      </x:c>
      <x:c r="B44" s="74" t="str">
        <x:v>M17</x:v>
      </x:c>
      <x:c r="C44" s="74"/>
      <x:c r="D44" s="79"/>
      <x:c r="E44" s="74" t="str">
        <x:v>V1.0</x:v>
      </x:c>
      <x:c r="F44" s="68"/>
      <x:c r="G44" s="82"/>
      <x:c r="H44" s="82"/>
      <x:c r="I44" s="82"/>
      <x:c r="J44" s="82"/>
      <x:c r="K44" s="68"/>
      <x:c r="L44" s="68"/>
      <x:c r="M44" s="68"/>
      <x:c r="N44" s="68"/>
      <x:c r="O44" s="68"/>
      <x:c r="P44" s="68"/>
      <x:c r="Q44" s="90"/>
      <x:c r="R44" s="68"/>
      <x:c r="S44" s="68"/>
      <x:c r="T44" s="68"/>
      <x:c r="U44" s="68"/>
      <x:c r="V44" s="84"/>
      <x:c r="W44" s="82"/>
      <x:c r="X44" s="82"/>
      <x:c r="Y44" s="68"/>
      <x:c r="Z44" s="84"/>
      <x:c r="AA44" s="84"/>
      <x:c r="AB44" s="82"/>
      <x:c r="AC44" s="82"/>
      <x:c r="AD44" s="68"/>
      <x:c r="AE44" s="68"/>
      <x:c r="AF44" s="90"/>
      <x:c r="AG44" s="82"/>
      <x:c r="AH44" s="82"/>
      <x:c r="AI44" s="87"/>
    </x:row>
    <x:row r="45">
      <x:c r="A45" s="72" t="str">
        <x:f>IF(OR(C45="",D45=""),"",B45&amp;"-"&amp;UPPER(C45)&amp;"-"&amp;TEXT(D45,"0000")&amp;"-"&amp;E45)</x:f>
      </x:c>
      <x:c r="B45" s="74" t="str">
        <x:v>M17</x:v>
      </x:c>
      <x:c r="C45" s="74"/>
      <x:c r="D45" s="79"/>
      <x:c r="E45" s="74" t="str">
        <x:v>V1.0</x:v>
      </x:c>
      <x:c r="F45" s="68"/>
      <x:c r="G45" s="82"/>
      <x:c r="H45" s="82"/>
      <x:c r="I45" s="82"/>
      <x:c r="J45" s="82"/>
      <x:c r="K45" s="68"/>
      <x:c r="L45" s="68"/>
      <x:c r="M45" s="68"/>
      <x:c r="N45" s="68"/>
      <x:c r="O45" s="68"/>
      <x:c r="P45" s="68"/>
      <x:c r="Q45" s="90"/>
      <x:c r="R45" s="68"/>
      <x:c r="S45" s="68"/>
      <x:c r="T45" s="68"/>
      <x:c r="U45" s="68"/>
      <x:c r="V45" s="84"/>
      <x:c r="W45" s="82"/>
      <x:c r="X45" s="82"/>
      <x:c r="Y45" s="68"/>
      <x:c r="Z45" s="84"/>
      <x:c r="AA45" s="84"/>
      <x:c r="AB45" s="82"/>
      <x:c r="AC45" s="82"/>
      <x:c r="AD45" s="68"/>
      <x:c r="AE45" s="68"/>
      <x:c r="AF45" s="90"/>
      <x:c r="AG45" s="82"/>
      <x:c r="AH45" s="82"/>
      <x:c r="AI45" s="87"/>
    </x:row>
    <x:row r="46">
      <x:c r="A46" s="72" t="str">
        <x:f>IF(OR(C46="",D46=""),"",B46&amp;"-"&amp;UPPER(C46)&amp;"-"&amp;TEXT(D46,"0000")&amp;"-"&amp;E46)</x:f>
      </x:c>
      <x:c r="B46" s="74" t="str">
        <x:v>M17</x:v>
      </x:c>
      <x:c r="C46" s="74"/>
      <x:c r="D46" s="79"/>
      <x:c r="E46" s="74" t="str">
        <x:v>V1.0</x:v>
      </x:c>
      <x:c r="F46" s="68"/>
      <x:c r="G46" s="82"/>
      <x:c r="H46" s="82"/>
      <x:c r="I46" s="82"/>
      <x:c r="J46" s="82"/>
      <x:c r="K46" s="68"/>
      <x:c r="L46" s="68"/>
      <x:c r="M46" s="68"/>
      <x:c r="N46" s="68"/>
      <x:c r="O46" s="68"/>
      <x:c r="P46" s="68"/>
      <x:c r="Q46" s="90"/>
      <x:c r="R46" s="68"/>
      <x:c r="S46" s="68"/>
      <x:c r="T46" s="68"/>
      <x:c r="U46" s="68"/>
      <x:c r="V46" s="84"/>
      <x:c r="W46" s="82"/>
      <x:c r="X46" s="82"/>
      <x:c r="Y46" s="68"/>
      <x:c r="Z46" s="84"/>
      <x:c r="AA46" s="84"/>
      <x:c r="AB46" s="82"/>
      <x:c r="AC46" s="82"/>
      <x:c r="AD46" s="68"/>
      <x:c r="AE46" s="68"/>
      <x:c r="AF46" s="90"/>
      <x:c r="AG46" s="82"/>
      <x:c r="AH46" s="82"/>
      <x:c r="AI46" s="87"/>
    </x:row>
    <x:row r="47">
      <x:c r="A47" s="72" t="str">
        <x:f>IF(OR(C47="",D47=""),"",B47&amp;"-"&amp;UPPER(C47)&amp;"-"&amp;TEXT(D47,"0000")&amp;"-"&amp;E47)</x:f>
      </x:c>
      <x:c r="B47" s="74" t="str">
        <x:v>M17</x:v>
      </x:c>
      <x:c r="C47" s="74"/>
      <x:c r="D47" s="79"/>
      <x:c r="E47" s="74" t="str">
        <x:v>V1.0</x:v>
      </x:c>
      <x:c r="F47" s="68"/>
      <x:c r="G47" s="82"/>
      <x:c r="H47" s="82"/>
      <x:c r="I47" s="82"/>
      <x:c r="J47" s="82"/>
      <x:c r="K47" s="68"/>
      <x:c r="L47" s="68"/>
      <x:c r="M47" s="68"/>
      <x:c r="N47" s="68"/>
      <x:c r="O47" s="68"/>
      <x:c r="P47" s="68"/>
      <x:c r="Q47" s="90"/>
      <x:c r="R47" s="68"/>
      <x:c r="S47" s="68"/>
      <x:c r="T47" s="68"/>
      <x:c r="U47" s="68"/>
      <x:c r="V47" s="84"/>
      <x:c r="W47" s="82"/>
      <x:c r="X47" s="82"/>
      <x:c r="Y47" s="68"/>
      <x:c r="Z47" s="84"/>
      <x:c r="AA47" s="84"/>
      <x:c r="AB47" s="82"/>
      <x:c r="AC47" s="82"/>
      <x:c r="AD47" s="68"/>
      <x:c r="AE47" s="68"/>
      <x:c r="AF47" s="90"/>
      <x:c r="AG47" s="82"/>
      <x:c r="AH47" s="82"/>
      <x:c r="AI47" s="87"/>
    </x:row>
    <x:row r="48">
      <x:c r="A48" s="72" t="str">
        <x:f>IF(OR(C48="",D48=""),"",B48&amp;"-"&amp;UPPER(C48)&amp;"-"&amp;TEXT(D48,"0000")&amp;"-"&amp;E48)</x:f>
      </x:c>
      <x:c r="B48" s="74" t="str">
        <x:v>M17</x:v>
      </x:c>
      <x:c r="C48" s="74"/>
      <x:c r="D48" s="79"/>
      <x:c r="E48" s="74" t="str">
        <x:v>V1.0</x:v>
      </x:c>
      <x:c r="F48" s="68"/>
      <x:c r="G48" s="82"/>
      <x:c r="H48" s="82"/>
      <x:c r="I48" s="82"/>
      <x:c r="J48" s="82"/>
      <x:c r="K48" s="68"/>
      <x:c r="L48" s="68"/>
      <x:c r="M48" s="68"/>
      <x:c r="N48" s="68"/>
      <x:c r="O48" s="68"/>
      <x:c r="P48" s="68"/>
      <x:c r="Q48" s="90"/>
      <x:c r="R48" s="68"/>
      <x:c r="S48" s="68"/>
      <x:c r="T48" s="68"/>
      <x:c r="U48" s="68"/>
      <x:c r="V48" s="84"/>
      <x:c r="W48" s="82"/>
      <x:c r="X48" s="82"/>
      <x:c r="Y48" s="68"/>
      <x:c r="Z48" s="84"/>
      <x:c r="AA48" s="84"/>
      <x:c r="AB48" s="82"/>
      <x:c r="AC48" s="82"/>
      <x:c r="AD48" s="68"/>
      <x:c r="AE48" s="68"/>
      <x:c r="AF48" s="90"/>
      <x:c r="AG48" s="82"/>
      <x:c r="AH48" s="82"/>
      <x:c r="AI48" s="87"/>
    </x:row>
    <x:row r="49">
      <x:c r="A49" s="72" t="str">
        <x:f>IF(OR(C49="",D49=""),"",B49&amp;"-"&amp;UPPER(C49)&amp;"-"&amp;TEXT(D49,"0000")&amp;"-"&amp;E49)</x:f>
      </x:c>
      <x:c r="B49" s="74" t="str">
        <x:v>M17</x:v>
      </x:c>
      <x:c r="C49" s="74"/>
      <x:c r="D49" s="79"/>
      <x:c r="E49" s="74" t="str">
        <x:v>V1.0</x:v>
      </x:c>
      <x:c r="F49" s="68"/>
      <x:c r="G49" s="82"/>
      <x:c r="H49" s="82"/>
      <x:c r="I49" s="82"/>
      <x:c r="J49" s="82"/>
      <x:c r="K49" s="68"/>
      <x:c r="L49" s="68"/>
      <x:c r="M49" s="68"/>
      <x:c r="N49" s="68"/>
      <x:c r="O49" s="68"/>
      <x:c r="P49" s="68"/>
      <x:c r="Q49" s="90"/>
      <x:c r="R49" s="68"/>
      <x:c r="S49" s="68"/>
      <x:c r="T49" s="68"/>
      <x:c r="U49" s="68"/>
      <x:c r="V49" s="84"/>
      <x:c r="W49" s="82"/>
      <x:c r="X49" s="82"/>
      <x:c r="Y49" s="68"/>
      <x:c r="Z49" s="84"/>
      <x:c r="AA49" s="84"/>
      <x:c r="AB49" s="82"/>
      <x:c r="AC49" s="82"/>
      <x:c r="AD49" s="68"/>
      <x:c r="AE49" s="68"/>
      <x:c r="AF49" s="90"/>
      <x:c r="AG49" s="82"/>
      <x:c r="AH49" s="82"/>
      <x:c r="AI49" s="87"/>
    </x:row>
    <x:row r="50">
      <x:c r="A50" s="72" t="str">
        <x:f>IF(OR(C50="",D50=""),"",B50&amp;"-"&amp;UPPER(C50)&amp;"-"&amp;TEXT(D50,"0000")&amp;"-"&amp;E50)</x:f>
      </x:c>
      <x:c r="B50" s="74" t="str">
        <x:v>M17</x:v>
      </x:c>
      <x:c r="C50" s="74"/>
      <x:c r="D50" s="79"/>
      <x:c r="E50" s="74" t="str">
        <x:v>V1.0</x:v>
      </x:c>
      <x:c r="F50" s="68"/>
      <x:c r="G50" s="82"/>
      <x:c r="H50" s="82"/>
      <x:c r="I50" s="82"/>
      <x:c r="J50" s="82"/>
      <x:c r="K50" s="68"/>
      <x:c r="L50" s="68"/>
      <x:c r="M50" s="68"/>
      <x:c r="N50" s="68"/>
      <x:c r="O50" s="68"/>
      <x:c r="P50" s="68"/>
      <x:c r="Q50" s="90"/>
      <x:c r="R50" s="68"/>
      <x:c r="S50" s="68"/>
      <x:c r="T50" s="68"/>
      <x:c r="U50" s="68"/>
      <x:c r="V50" s="84"/>
      <x:c r="W50" s="82"/>
      <x:c r="X50" s="82"/>
      <x:c r="Y50" s="68"/>
      <x:c r="Z50" s="84"/>
      <x:c r="AA50" s="84"/>
      <x:c r="AB50" s="82"/>
      <x:c r="AC50" s="82"/>
      <x:c r="AD50" s="68"/>
      <x:c r="AE50" s="68"/>
      <x:c r="AF50" s="90"/>
      <x:c r="AG50" s="82"/>
      <x:c r="AH50" s="82"/>
      <x:c r="AI50" s="87"/>
    </x:row>
    <x:row r="51">
      <x:c r="A51" s="72" t="str">
        <x:f>IF(OR(C51="",D51=""),"",B51&amp;"-"&amp;UPPER(C51)&amp;"-"&amp;TEXT(D51,"0000")&amp;"-"&amp;E51)</x:f>
      </x:c>
      <x:c r="B51" s="74" t="str">
        <x:v>M17</x:v>
      </x:c>
      <x:c r="C51" s="74"/>
      <x:c r="D51" s="79"/>
      <x:c r="E51" s="74" t="str">
        <x:v>V1.0</x:v>
      </x:c>
      <x:c r="F51" s="68"/>
      <x:c r="G51" s="82"/>
      <x:c r="H51" s="82"/>
      <x:c r="I51" s="82"/>
      <x:c r="J51" s="82"/>
      <x:c r="K51" s="68"/>
      <x:c r="L51" s="68"/>
      <x:c r="M51" s="68"/>
      <x:c r="N51" s="68"/>
      <x:c r="O51" s="68"/>
      <x:c r="P51" s="68"/>
      <x:c r="Q51" s="90"/>
      <x:c r="R51" s="68"/>
      <x:c r="S51" s="68"/>
      <x:c r="T51" s="68"/>
      <x:c r="U51" s="68"/>
      <x:c r="V51" s="84"/>
      <x:c r="W51" s="82"/>
      <x:c r="X51" s="82"/>
      <x:c r="Y51" s="68"/>
      <x:c r="Z51" s="84"/>
      <x:c r="AA51" s="84"/>
      <x:c r="AB51" s="82"/>
      <x:c r="AC51" s="82"/>
      <x:c r="AD51" s="68"/>
      <x:c r="AE51" s="68"/>
      <x:c r="AF51" s="90"/>
      <x:c r="AG51" s="82"/>
      <x:c r="AH51" s="82"/>
      <x:c r="AI51" s="87"/>
    </x:row>
    <x:row r="52">
      <x:c r="A52" s="72" t="str">
        <x:f>IF(OR(C52="",D52=""),"",B52&amp;"-"&amp;UPPER(C52)&amp;"-"&amp;TEXT(D52,"0000")&amp;"-"&amp;E52)</x:f>
      </x:c>
      <x:c r="B52" s="74" t="str">
        <x:v>M17</x:v>
      </x:c>
      <x:c r="C52" s="74"/>
      <x:c r="D52" s="79"/>
      <x:c r="E52" s="74" t="str">
        <x:v>V1.0</x:v>
      </x:c>
      <x:c r="F52" s="68"/>
      <x:c r="G52" s="82"/>
      <x:c r="H52" s="82"/>
      <x:c r="I52" s="82"/>
      <x:c r="J52" s="82"/>
      <x:c r="K52" s="68"/>
      <x:c r="L52" s="68"/>
      <x:c r="M52" s="68"/>
      <x:c r="N52" s="68"/>
      <x:c r="O52" s="68"/>
      <x:c r="P52" s="68"/>
      <x:c r="Q52" s="90"/>
      <x:c r="R52" s="68"/>
      <x:c r="S52" s="68"/>
      <x:c r="T52" s="68"/>
      <x:c r="U52" s="68"/>
      <x:c r="V52" s="84"/>
      <x:c r="W52" s="82"/>
      <x:c r="X52" s="82"/>
      <x:c r="Y52" s="68"/>
      <x:c r="Z52" s="84"/>
      <x:c r="AA52" s="84"/>
      <x:c r="AB52" s="82"/>
      <x:c r="AC52" s="82"/>
      <x:c r="AD52" s="68"/>
      <x:c r="AE52" s="68"/>
      <x:c r="AF52" s="90"/>
      <x:c r="AG52" s="82"/>
      <x:c r="AH52" s="82"/>
      <x:c r="AI52" s="87"/>
    </x:row>
    <x:row r="53">
      <x:c r="A53" s="72" t="str">
        <x:f>IF(OR(C53="",D53=""),"",B53&amp;"-"&amp;UPPER(C53)&amp;"-"&amp;TEXT(D53,"0000")&amp;"-"&amp;E53)</x:f>
      </x:c>
      <x:c r="B53" s="74" t="str">
        <x:v>M17</x:v>
      </x:c>
      <x:c r="C53" s="74"/>
      <x:c r="D53" s="79"/>
      <x:c r="E53" s="74" t="str">
        <x:v>V1.0</x:v>
      </x:c>
      <x:c r="F53" s="68"/>
      <x:c r="G53" s="82"/>
      <x:c r="H53" s="82"/>
      <x:c r="I53" s="82"/>
      <x:c r="J53" s="82"/>
      <x:c r="K53" s="68"/>
      <x:c r="L53" s="68"/>
      <x:c r="M53" s="68"/>
      <x:c r="N53" s="68"/>
      <x:c r="O53" s="68"/>
      <x:c r="P53" s="68"/>
      <x:c r="Q53" s="90"/>
      <x:c r="R53" s="68"/>
      <x:c r="S53" s="68"/>
      <x:c r="T53" s="68"/>
      <x:c r="U53" s="68"/>
      <x:c r="V53" s="84"/>
      <x:c r="W53" s="82"/>
      <x:c r="X53" s="82"/>
      <x:c r="Y53" s="68"/>
      <x:c r="Z53" s="84"/>
      <x:c r="AA53" s="84"/>
      <x:c r="AB53" s="82"/>
      <x:c r="AC53" s="82"/>
      <x:c r="AD53" s="68"/>
      <x:c r="AE53" s="68"/>
      <x:c r="AF53" s="90"/>
      <x:c r="AG53" s="82"/>
      <x:c r="AH53" s="82"/>
      <x:c r="AI53" s="87"/>
    </x:row>
    <x:row r="54">
      <x:c r="A54" s="72" t="str">
        <x:f>IF(OR(C54="",D54=""),"",B54&amp;"-"&amp;UPPER(C54)&amp;"-"&amp;TEXT(D54,"0000")&amp;"-"&amp;E54)</x:f>
      </x:c>
      <x:c r="B54" s="74" t="str">
        <x:v>M17</x:v>
      </x:c>
      <x:c r="C54" s="74"/>
      <x:c r="D54" s="79"/>
      <x:c r="E54" s="74" t="str">
        <x:v>V1.0</x:v>
      </x:c>
      <x:c r="F54" s="68"/>
      <x:c r="G54" s="82"/>
      <x:c r="H54" s="82"/>
      <x:c r="I54" s="82"/>
      <x:c r="J54" s="82"/>
      <x:c r="K54" s="68"/>
      <x:c r="L54" s="68"/>
      <x:c r="M54" s="68"/>
      <x:c r="N54" s="68"/>
      <x:c r="O54" s="68"/>
      <x:c r="P54" s="68"/>
      <x:c r="Q54" s="90"/>
      <x:c r="R54" s="68"/>
      <x:c r="S54" s="68"/>
      <x:c r="T54" s="68"/>
      <x:c r="U54" s="68"/>
      <x:c r="V54" s="84"/>
      <x:c r="W54" s="82"/>
      <x:c r="X54" s="82"/>
      <x:c r="Y54" s="68"/>
      <x:c r="Z54" s="84"/>
      <x:c r="AA54" s="84"/>
      <x:c r="AB54" s="82"/>
      <x:c r="AC54" s="82"/>
      <x:c r="AD54" s="68"/>
      <x:c r="AE54" s="68"/>
      <x:c r="AF54" s="90"/>
      <x:c r="AG54" s="82"/>
      <x:c r="AH54" s="82"/>
      <x:c r="AI54" s="87"/>
    </x:row>
    <x:row r="55">
      <x:c r="A55" s="72" t="str">
        <x:f>IF(OR(C55="",D55=""),"",B55&amp;"-"&amp;UPPER(C55)&amp;"-"&amp;TEXT(D55,"0000")&amp;"-"&amp;E55)</x:f>
      </x:c>
      <x:c r="B55" s="74" t="str">
        <x:v>M17</x:v>
      </x:c>
      <x:c r="C55" s="74"/>
      <x:c r="D55" s="79"/>
      <x:c r="E55" s="74" t="str">
        <x:v>V1.0</x:v>
      </x:c>
      <x:c r="F55" s="68"/>
      <x:c r="G55" s="82"/>
      <x:c r="H55" s="82"/>
      <x:c r="I55" s="82"/>
      <x:c r="J55" s="82"/>
      <x:c r="K55" s="68"/>
      <x:c r="L55" s="68"/>
      <x:c r="M55" s="68"/>
      <x:c r="N55" s="68"/>
      <x:c r="O55" s="68"/>
      <x:c r="P55" s="68"/>
      <x:c r="Q55" s="90"/>
      <x:c r="R55" s="68"/>
      <x:c r="S55" s="68"/>
      <x:c r="T55" s="68"/>
      <x:c r="U55" s="68"/>
      <x:c r="V55" s="84"/>
      <x:c r="W55" s="82"/>
      <x:c r="X55" s="82"/>
      <x:c r="Y55" s="68"/>
      <x:c r="Z55" s="84"/>
      <x:c r="AA55" s="84"/>
      <x:c r="AB55" s="82"/>
      <x:c r="AC55" s="82"/>
      <x:c r="AD55" s="68"/>
      <x:c r="AE55" s="68"/>
      <x:c r="AF55" s="90"/>
      <x:c r="AG55" s="82"/>
      <x:c r="AH55" s="82"/>
      <x:c r="AI55" s="87"/>
    </x:row>
    <x:row r="56">
      <x:c r="A56" s="72" t="str">
        <x:f>IF(OR(C56="",D56=""),"",B56&amp;"-"&amp;UPPER(C56)&amp;"-"&amp;TEXT(D56,"0000")&amp;"-"&amp;E56)</x:f>
      </x:c>
      <x:c r="B56" s="74" t="str">
        <x:v>M17</x:v>
      </x:c>
      <x:c r="C56" s="74"/>
      <x:c r="D56" s="79"/>
      <x:c r="E56" s="74" t="str">
        <x:v>V1.0</x:v>
      </x:c>
      <x:c r="F56" s="68"/>
      <x:c r="G56" s="82"/>
      <x:c r="H56" s="82"/>
      <x:c r="I56" s="82"/>
      <x:c r="J56" s="82"/>
      <x:c r="K56" s="68"/>
      <x:c r="L56" s="68"/>
      <x:c r="M56" s="68"/>
      <x:c r="N56" s="68"/>
      <x:c r="O56" s="68"/>
      <x:c r="P56" s="68"/>
      <x:c r="Q56" s="90"/>
      <x:c r="R56" s="68"/>
      <x:c r="S56" s="68"/>
      <x:c r="T56" s="68"/>
      <x:c r="U56" s="68"/>
      <x:c r="V56" s="84"/>
      <x:c r="W56" s="82"/>
      <x:c r="X56" s="82"/>
      <x:c r="Y56" s="68"/>
      <x:c r="Z56" s="84"/>
      <x:c r="AA56" s="84"/>
      <x:c r="AB56" s="82"/>
      <x:c r="AC56" s="82"/>
      <x:c r="AD56" s="68"/>
      <x:c r="AE56" s="68"/>
      <x:c r="AF56" s="90"/>
      <x:c r="AG56" s="82"/>
      <x:c r="AH56" s="82"/>
      <x:c r="AI56" s="87"/>
    </x:row>
    <x:row r="57">
      <x:c r="A57" s="72" t="str">
        <x:f>IF(OR(C57="",D57=""),"",B57&amp;"-"&amp;UPPER(C57)&amp;"-"&amp;TEXT(D57,"0000")&amp;"-"&amp;E57)</x:f>
      </x:c>
      <x:c r="B57" s="74" t="str">
        <x:v>M17</x:v>
      </x:c>
      <x:c r="C57" s="74"/>
      <x:c r="D57" s="79"/>
      <x:c r="E57" s="74" t="str">
        <x:v>V1.0</x:v>
      </x:c>
      <x:c r="F57" s="68"/>
      <x:c r="G57" s="82"/>
      <x:c r="H57" s="82"/>
      <x:c r="I57" s="82"/>
      <x:c r="J57" s="82"/>
      <x:c r="K57" s="68"/>
      <x:c r="L57" s="68"/>
      <x:c r="M57" s="68"/>
      <x:c r="N57" s="68"/>
      <x:c r="O57" s="68"/>
      <x:c r="P57" s="68"/>
      <x:c r="Q57" s="90"/>
      <x:c r="R57" s="68"/>
      <x:c r="S57" s="68"/>
      <x:c r="T57" s="68"/>
      <x:c r="U57" s="68"/>
      <x:c r="V57" s="84"/>
      <x:c r="W57" s="82"/>
      <x:c r="X57" s="82"/>
      <x:c r="Y57" s="68"/>
      <x:c r="Z57" s="84"/>
      <x:c r="AA57" s="84"/>
      <x:c r="AB57" s="82"/>
      <x:c r="AC57" s="82"/>
      <x:c r="AD57" s="68"/>
      <x:c r="AE57" s="68"/>
      <x:c r="AF57" s="90"/>
      <x:c r="AG57" s="82"/>
      <x:c r="AH57" s="82"/>
      <x:c r="AI57" s="87"/>
    </x:row>
    <x:row r="58">
      <x:c r="A58" s="72" t="str">
        <x:f>IF(OR(C58="",D58=""),"",B58&amp;"-"&amp;UPPER(C58)&amp;"-"&amp;TEXT(D58,"0000")&amp;"-"&amp;E58)</x:f>
      </x:c>
      <x:c r="B58" s="74" t="str">
        <x:v>M17</x:v>
      </x:c>
      <x:c r="C58" s="74"/>
      <x:c r="D58" s="79"/>
      <x:c r="E58" s="74" t="str">
        <x:v>V1.0</x:v>
      </x:c>
      <x:c r="F58" s="68"/>
      <x:c r="G58" s="82"/>
      <x:c r="H58" s="82"/>
      <x:c r="I58" s="82"/>
      <x:c r="J58" s="82"/>
      <x:c r="K58" s="68"/>
      <x:c r="L58" s="68"/>
      <x:c r="M58" s="68"/>
      <x:c r="N58" s="68"/>
      <x:c r="O58" s="68"/>
      <x:c r="P58" s="68"/>
      <x:c r="Q58" s="90"/>
      <x:c r="R58" s="68"/>
      <x:c r="S58" s="68"/>
      <x:c r="T58" s="68"/>
      <x:c r="U58" s="68"/>
      <x:c r="V58" s="84"/>
      <x:c r="W58" s="82"/>
      <x:c r="X58" s="82"/>
      <x:c r="Y58" s="68"/>
      <x:c r="Z58" s="84"/>
      <x:c r="AA58" s="84"/>
      <x:c r="AB58" s="82"/>
      <x:c r="AC58" s="82"/>
      <x:c r="AD58" s="68"/>
      <x:c r="AE58" s="68"/>
      <x:c r="AF58" s="90"/>
      <x:c r="AG58" s="82"/>
      <x:c r="AH58" s="82"/>
      <x:c r="AI58" s="87"/>
    </x:row>
    <x:row r="59">
      <x:c r="A59" s="72" t="str">
        <x:f>IF(OR(C59="",D59=""),"",B59&amp;"-"&amp;UPPER(C59)&amp;"-"&amp;TEXT(D59,"0000")&amp;"-"&amp;E59)</x:f>
      </x:c>
      <x:c r="B59" s="74" t="str">
        <x:v>M17</x:v>
      </x:c>
      <x:c r="C59" s="74"/>
      <x:c r="D59" s="79"/>
      <x:c r="E59" s="74" t="str">
        <x:v>V1.0</x:v>
      </x:c>
      <x:c r="F59" s="68"/>
      <x:c r="G59" s="82"/>
      <x:c r="H59" s="82"/>
      <x:c r="I59" s="82"/>
      <x:c r="J59" s="82"/>
      <x:c r="K59" s="68"/>
      <x:c r="L59" s="68"/>
      <x:c r="M59" s="68"/>
      <x:c r="N59" s="68"/>
      <x:c r="O59" s="68"/>
      <x:c r="P59" s="68"/>
      <x:c r="Q59" s="90"/>
      <x:c r="R59" s="68"/>
      <x:c r="S59" s="68"/>
      <x:c r="T59" s="68"/>
      <x:c r="U59" s="68"/>
      <x:c r="V59" s="84"/>
      <x:c r="W59" s="82"/>
      <x:c r="X59" s="82"/>
      <x:c r="Y59" s="68"/>
      <x:c r="Z59" s="84"/>
      <x:c r="AA59" s="84"/>
      <x:c r="AB59" s="82"/>
      <x:c r="AC59" s="82"/>
      <x:c r="AD59" s="68"/>
      <x:c r="AE59" s="68"/>
      <x:c r="AF59" s="90"/>
      <x:c r="AG59" s="82"/>
      <x:c r="AH59" s="82"/>
      <x:c r="AI59" s="87"/>
    </x:row>
    <x:row r="60">
      <x:c r="A60" s="72" t="str">
        <x:f>IF(OR(C60="",D60=""),"",B60&amp;"-"&amp;UPPER(C60)&amp;"-"&amp;TEXT(D60,"0000")&amp;"-"&amp;E60)</x:f>
      </x:c>
      <x:c r="B60" s="74" t="str">
        <x:v>M17</x:v>
      </x:c>
      <x:c r="C60" s="74"/>
      <x:c r="D60" s="79"/>
      <x:c r="E60" s="74" t="str">
        <x:v>V1.0</x:v>
      </x:c>
      <x:c r="F60" s="68"/>
      <x:c r="G60" s="82"/>
      <x:c r="H60" s="82"/>
      <x:c r="I60" s="82"/>
      <x:c r="J60" s="82"/>
      <x:c r="K60" s="68"/>
      <x:c r="L60" s="68"/>
      <x:c r="M60" s="68"/>
      <x:c r="N60" s="68"/>
      <x:c r="O60" s="68"/>
      <x:c r="P60" s="68"/>
      <x:c r="Q60" s="90"/>
      <x:c r="R60" s="68"/>
      <x:c r="S60" s="68"/>
      <x:c r="T60" s="68"/>
      <x:c r="U60" s="68"/>
      <x:c r="V60" s="84"/>
      <x:c r="W60" s="82"/>
      <x:c r="X60" s="82"/>
      <x:c r="Y60" s="68"/>
      <x:c r="Z60" s="84"/>
      <x:c r="AA60" s="84"/>
      <x:c r="AB60" s="82"/>
      <x:c r="AC60" s="82"/>
      <x:c r="AD60" s="68"/>
      <x:c r="AE60" s="68"/>
      <x:c r="AF60" s="90"/>
      <x:c r="AG60" s="82"/>
      <x:c r="AH60" s="82"/>
      <x:c r="AI60" s="87"/>
    </x:row>
    <x:row r="61">
      <x:c r="A61" s="72" t="str">
        <x:f>IF(OR(C61="",D61=""),"",B61&amp;"-"&amp;UPPER(C61)&amp;"-"&amp;TEXT(D61,"0000")&amp;"-"&amp;E61)</x:f>
      </x:c>
      <x:c r="B61" s="74" t="str">
        <x:v>M17</x:v>
      </x:c>
      <x:c r="C61" s="74"/>
      <x:c r="D61" s="79"/>
      <x:c r="E61" s="74" t="str">
        <x:v>V1.0</x:v>
      </x:c>
      <x:c r="F61" s="68"/>
      <x:c r="G61" s="82"/>
      <x:c r="H61" s="82"/>
      <x:c r="I61" s="82"/>
      <x:c r="J61" s="82"/>
      <x:c r="K61" s="68"/>
      <x:c r="L61" s="68"/>
      <x:c r="M61" s="68"/>
      <x:c r="N61" s="68"/>
      <x:c r="O61" s="68"/>
      <x:c r="P61" s="68"/>
      <x:c r="Q61" s="90"/>
      <x:c r="R61" s="68"/>
      <x:c r="S61" s="68"/>
      <x:c r="T61" s="68"/>
      <x:c r="U61" s="68"/>
      <x:c r="V61" s="84"/>
      <x:c r="W61" s="82"/>
      <x:c r="X61" s="82"/>
      <x:c r="Y61" s="68"/>
      <x:c r="Z61" s="84"/>
      <x:c r="AA61" s="84"/>
      <x:c r="AB61" s="82"/>
      <x:c r="AC61" s="82"/>
      <x:c r="AD61" s="68"/>
      <x:c r="AE61" s="68"/>
      <x:c r="AF61" s="90"/>
      <x:c r="AG61" s="82"/>
      <x:c r="AH61" s="82"/>
      <x:c r="AI61" s="87"/>
    </x:row>
    <x:row r="62">
      <x:c r="A62" s="72" t="str">
        <x:f>IF(OR(C62="",D62=""),"",B62&amp;"-"&amp;UPPER(C62)&amp;"-"&amp;TEXT(D62,"0000")&amp;"-"&amp;E62)</x:f>
      </x:c>
      <x:c r="B62" s="74" t="str">
        <x:v>M17</x:v>
      </x:c>
      <x:c r="C62" s="74"/>
      <x:c r="D62" s="79"/>
      <x:c r="E62" s="74" t="str">
        <x:v>V1.0</x:v>
      </x:c>
      <x:c r="F62" s="68"/>
      <x:c r="G62" s="82"/>
      <x:c r="H62" s="82"/>
      <x:c r="I62" s="82"/>
      <x:c r="J62" s="82"/>
      <x:c r="K62" s="68"/>
      <x:c r="L62" s="68"/>
      <x:c r="M62" s="68"/>
      <x:c r="N62" s="68"/>
      <x:c r="O62" s="68"/>
      <x:c r="P62" s="68"/>
      <x:c r="Q62" s="90"/>
      <x:c r="R62" s="68"/>
      <x:c r="S62" s="68"/>
      <x:c r="T62" s="68"/>
      <x:c r="U62" s="68"/>
      <x:c r="V62" s="84"/>
      <x:c r="W62" s="82"/>
      <x:c r="X62" s="82"/>
      <x:c r="Y62" s="68"/>
      <x:c r="Z62" s="84"/>
      <x:c r="AA62" s="84"/>
      <x:c r="AB62" s="82"/>
      <x:c r="AC62" s="82"/>
      <x:c r="AD62" s="68"/>
      <x:c r="AE62" s="68"/>
      <x:c r="AF62" s="90"/>
      <x:c r="AG62" s="82"/>
      <x:c r="AH62" s="82"/>
      <x:c r="AI62" s="87"/>
    </x:row>
    <x:row r="63">
      <x:c r="A63" s="72" t="str">
        <x:f>IF(OR(C63="",D63=""),"",B63&amp;"-"&amp;UPPER(C63)&amp;"-"&amp;TEXT(D63,"0000")&amp;"-"&amp;E63)</x:f>
      </x:c>
      <x:c r="B63" s="74" t="str">
        <x:v>M17</x:v>
      </x:c>
      <x:c r="C63" s="74"/>
      <x:c r="D63" s="79"/>
      <x:c r="E63" s="74" t="str">
        <x:v>V1.0</x:v>
      </x:c>
      <x:c r="F63" s="68"/>
      <x:c r="G63" s="82"/>
      <x:c r="H63" s="82"/>
      <x:c r="I63" s="82"/>
      <x:c r="J63" s="82"/>
      <x:c r="K63" s="68"/>
      <x:c r="L63" s="68"/>
      <x:c r="M63" s="68"/>
      <x:c r="N63" s="68"/>
      <x:c r="O63" s="68"/>
      <x:c r="P63" s="68"/>
      <x:c r="Q63" s="90"/>
      <x:c r="R63" s="68"/>
      <x:c r="S63" s="68"/>
      <x:c r="T63" s="68"/>
      <x:c r="U63" s="68"/>
      <x:c r="V63" s="84"/>
      <x:c r="W63" s="82"/>
      <x:c r="X63" s="82"/>
      <x:c r="Y63" s="68"/>
      <x:c r="Z63" s="84"/>
      <x:c r="AA63" s="84"/>
      <x:c r="AB63" s="82"/>
      <x:c r="AC63" s="82"/>
      <x:c r="AD63" s="68"/>
      <x:c r="AE63" s="68"/>
      <x:c r="AF63" s="90"/>
      <x:c r="AG63" s="82"/>
      <x:c r="AH63" s="82"/>
      <x:c r="AI63" s="87"/>
    </x:row>
    <x:row r="64">
      <x:c r="A64" s="72" t="str">
        <x:f>IF(OR(C64="",D64=""),"",B64&amp;"-"&amp;UPPER(C64)&amp;"-"&amp;TEXT(D64,"0000")&amp;"-"&amp;E64)</x:f>
      </x:c>
      <x:c r="B64" s="74" t="str">
        <x:v>M17</x:v>
      </x:c>
      <x:c r="C64" s="74"/>
      <x:c r="D64" s="79"/>
      <x:c r="E64" s="74" t="str">
        <x:v>V1.0</x:v>
      </x:c>
      <x:c r="F64" s="68"/>
      <x:c r="G64" s="82"/>
      <x:c r="H64" s="82"/>
      <x:c r="I64" s="82"/>
      <x:c r="J64" s="82"/>
      <x:c r="K64" s="68"/>
      <x:c r="L64" s="68"/>
      <x:c r="M64" s="68"/>
      <x:c r="N64" s="68"/>
      <x:c r="O64" s="68"/>
      <x:c r="P64" s="68"/>
      <x:c r="Q64" s="90"/>
      <x:c r="R64" s="68"/>
      <x:c r="S64" s="68"/>
      <x:c r="T64" s="68"/>
      <x:c r="U64" s="68"/>
      <x:c r="V64" s="84"/>
      <x:c r="W64" s="82"/>
      <x:c r="X64" s="82"/>
      <x:c r="Y64" s="68"/>
      <x:c r="Z64" s="84"/>
      <x:c r="AA64" s="84"/>
      <x:c r="AB64" s="82"/>
      <x:c r="AC64" s="82"/>
      <x:c r="AD64" s="68"/>
      <x:c r="AE64" s="68"/>
      <x:c r="AF64" s="90"/>
      <x:c r="AG64" s="82"/>
      <x:c r="AH64" s="82"/>
      <x:c r="AI64" s="87"/>
    </x:row>
    <x:row r="65">
      <x:c r="A65" s="72" t="str">
        <x:f>IF(OR(C65="",D65=""),"",B65&amp;"-"&amp;UPPER(C65)&amp;"-"&amp;TEXT(D65,"0000")&amp;"-"&amp;E65)</x:f>
      </x:c>
      <x:c r="B65" s="74" t="str">
        <x:v>M17</x:v>
      </x:c>
      <x:c r="C65" s="74"/>
      <x:c r="D65" s="79"/>
      <x:c r="E65" s="74" t="str">
        <x:v>V1.0</x:v>
      </x:c>
      <x:c r="F65" s="68"/>
      <x:c r="G65" s="82"/>
      <x:c r="H65" s="82"/>
      <x:c r="I65" s="82"/>
      <x:c r="J65" s="82"/>
      <x:c r="K65" s="68"/>
      <x:c r="L65" s="68"/>
      <x:c r="M65" s="68"/>
      <x:c r="N65" s="68"/>
      <x:c r="O65" s="68"/>
      <x:c r="P65" s="68"/>
      <x:c r="Q65" s="90"/>
      <x:c r="R65" s="68"/>
      <x:c r="S65" s="68"/>
      <x:c r="T65" s="68"/>
      <x:c r="U65" s="68"/>
      <x:c r="V65" s="84"/>
      <x:c r="W65" s="82"/>
      <x:c r="X65" s="82"/>
      <x:c r="Y65" s="68"/>
      <x:c r="Z65" s="84"/>
      <x:c r="AA65" s="84"/>
      <x:c r="AB65" s="82"/>
      <x:c r="AC65" s="82"/>
      <x:c r="AD65" s="68"/>
      <x:c r="AE65" s="68"/>
      <x:c r="AF65" s="90"/>
      <x:c r="AG65" s="82"/>
      <x:c r="AH65" s="82"/>
      <x:c r="AI65" s="87"/>
    </x:row>
    <x:row r="66">
      <x:c r="A66" s="72" t="str">
        <x:f>IF(OR(C66="",D66=""),"",B66&amp;"-"&amp;UPPER(C66)&amp;"-"&amp;TEXT(D66,"0000")&amp;"-"&amp;E66)</x:f>
      </x:c>
      <x:c r="B66" s="74" t="str">
        <x:v>M17</x:v>
      </x:c>
      <x:c r="C66" s="74"/>
      <x:c r="D66" s="79"/>
      <x:c r="E66" s="74" t="str">
        <x:v>V1.0</x:v>
      </x:c>
      <x:c r="F66" s="68"/>
      <x:c r="G66" s="82"/>
      <x:c r="H66" s="82"/>
      <x:c r="I66" s="82"/>
      <x:c r="J66" s="82"/>
      <x:c r="K66" s="68"/>
      <x:c r="L66" s="68"/>
      <x:c r="M66" s="68"/>
      <x:c r="N66" s="68"/>
      <x:c r="O66" s="68"/>
      <x:c r="P66" s="68"/>
      <x:c r="Q66" s="90"/>
      <x:c r="R66" s="68"/>
      <x:c r="S66" s="68"/>
      <x:c r="T66" s="68"/>
      <x:c r="U66" s="68"/>
      <x:c r="V66" s="84"/>
      <x:c r="W66" s="82"/>
      <x:c r="X66" s="82"/>
      <x:c r="Y66" s="68"/>
      <x:c r="Z66" s="84"/>
      <x:c r="AA66" s="84"/>
      <x:c r="AB66" s="82"/>
      <x:c r="AC66" s="82"/>
      <x:c r="AD66" s="68"/>
      <x:c r="AE66" s="68"/>
      <x:c r="AF66" s="90"/>
      <x:c r="AG66" s="82"/>
      <x:c r="AH66" s="82"/>
      <x:c r="AI66" s="87"/>
    </x:row>
    <x:row r="67">
      <x:c r="A67" s="72" t="str">
        <x:f>IF(OR(C67="",D67=""),"",B67&amp;"-"&amp;UPPER(C67)&amp;"-"&amp;TEXT(D67,"0000")&amp;"-"&amp;E67)</x:f>
      </x:c>
      <x:c r="B67" s="74" t="str">
        <x:v>M17</x:v>
      </x:c>
      <x:c r="C67" s="74"/>
      <x:c r="D67" s="79"/>
      <x:c r="E67" s="74" t="str">
        <x:v>V1.0</x:v>
      </x:c>
      <x:c r="F67" s="68"/>
      <x:c r="G67" s="82"/>
      <x:c r="H67" s="82"/>
      <x:c r="I67" s="82"/>
      <x:c r="J67" s="82"/>
      <x:c r="K67" s="68"/>
      <x:c r="L67" s="68"/>
      <x:c r="M67" s="68"/>
      <x:c r="N67" s="68"/>
      <x:c r="O67" s="68"/>
      <x:c r="P67" s="68"/>
      <x:c r="Q67" s="90"/>
      <x:c r="R67" s="68"/>
      <x:c r="S67" s="68"/>
      <x:c r="T67" s="68"/>
      <x:c r="U67" s="68"/>
      <x:c r="V67" s="84"/>
      <x:c r="W67" s="82"/>
      <x:c r="X67" s="82"/>
      <x:c r="Y67" s="68"/>
      <x:c r="Z67" s="84"/>
      <x:c r="AA67" s="84"/>
      <x:c r="AB67" s="82"/>
      <x:c r="AC67" s="82"/>
      <x:c r="AD67" s="68"/>
      <x:c r="AE67" s="68"/>
      <x:c r="AF67" s="90"/>
      <x:c r="AG67" s="82"/>
      <x:c r="AH67" s="82"/>
      <x:c r="AI67" s="87"/>
    </x:row>
    <x:row r="68">
      <x:c r="A68" s="72" t="str">
        <x:f>IF(OR(C68="",D68=""),"",B68&amp;"-"&amp;UPPER(C68)&amp;"-"&amp;TEXT(D68,"0000")&amp;"-"&amp;E68)</x:f>
      </x:c>
      <x:c r="B68" s="74" t="str">
        <x:v>M17</x:v>
      </x:c>
      <x:c r="C68" s="74"/>
      <x:c r="D68" s="79"/>
      <x:c r="E68" s="74" t="str">
        <x:v>V1.0</x:v>
      </x:c>
      <x:c r="F68" s="68"/>
      <x:c r="G68" s="82"/>
      <x:c r="H68" s="82"/>
      <x:c r="I68" s="82"/>
      <x:c r="J68" s="82"/>
      <x:c r="K68" s="68"/>
      <x:c r="L68" s="68"/>
      <x:c r="M68" s="68"/>
      <x:c r="N68" s="68"/>
      <x:c r="O68" s="68"/>
      <x:c r="P68" s="68"/>
      <x:c r="Q68" s="90"/>
      <x:c r="R68" s="68"/>
      <x:c r="S68" s="68"/>
      <x:c r="T68" s="68"/>
      <x:c r="U68" s="68"/>
      <x:c r="V68" s="84"/>
      <x:c r="W68" s="82"/>
      <x:c r="X68" s="82"/>
      <x:c r="Y68" s="68"/>
      <x:c r="Z68" s="84"/>
      <x:c r="AA68" s="84"/>
      <x:c r="AB68" s="82"/>
      <x:c r="AC68" s="82"/>
      <x:c r="AD68" s="68"/>
      <x:c r="AE68" s="68"/>
      <x:c r="AF68" s="90"/>
      <x:c r="AG68" s="82"/>
      <x:c r="AH68" s="82"/>
      <x:c r="AI68" s="87"/>
    </x:row>
    <x:row r="69">
      <x:c r="A69" s="72" t="str">
        <x:f>IF(OR(C69="",D69=""),"",B69&amp;"-"&amp;UPPER(C69)&amp;"-"&amp;TEXT(D69,"0000")&amp;"-"&amp;E69)</x:f>
      </x:c>
      <x:c r="B69" s="74" t="str">
        <x:v>M17</x:v>
      </x:c>
      <x:c r="C69" s="74"/>
      <x:c r="D69" s="79"/>
      <x:c r="E69" s="74" t="str">
        <x:v>V1.0</x:v>
      </x:c>
      <x:c r="F69" s="68"/>
      <x:c r="G69" s="82"/>
      <x:c r="H69" s="82"/>
      <x:c r="I69" s="82"/>
      <x:c r="J69" s="82"/>
      <x:c r="K69" s="68"/>
      <x:c r="L69" s="68"/>
      <x:c r="M69" s="68"/>
      <x:c r="N69" s="68"/>
      <x:c r="O69" s="68"/>
      <x:c r="P69" s="68"/>
      <x:c r="Q69" s="90"/>
      <x:c r="R69" s="68"/>
      <x:c r="S69" s="68"/>
      <x:c r="T69" s="68"/>
      <x:c r="U69" s="68"/>
      <x:c r="V69" s="84"/>
      <x:c r="W69" s="82"/>
      <x:c r="X69" s="82"/>
      <x:c r="Y69" s="68"/>
      <x:c r="Z69" s="84"/>
      <x:c r="AA69" s="84"/>
      <x:c r="AB69" s="82"/>
      <x:c r="AC69" s="82"/>
      <x:c r="AD69" s="68"/>
      <x:c r="AE69" s="68"/>
      <x:c r="AF69" s="90"/>
      <x:c r="AG69" s="82"/>
      <x:c r="AH69" s="82"/>
      <x:c r="AI69" s="87"/>
    </x:row>
    <x:row r="70">
      <x:c r="A70" s="72" t="str">
        <x:f>IF(OR(C70="",D70=""),"",B70&amp;"-"&amp;UPPER(C70)&amp;"-"&amp;TEXT(D70,"0000")&amp;"-"&amp;E70)</x:f>
      </x:c>
      <x:c r="B70" s="74" t="str">
        <x:v>M17</x:v>
      </x:c>
      <x:c r="C70" s="74"/>
      <x:c r="D70" s="79"/>
      <x:c r="E70" s="74" t="str">
        <x:v>V1.0</x:v>
      </x:c>
      <x:c r="F70" s="68"/>
      <x:c r="G70" s="82"/>
      <x:c r="H70" s="82"/>
      <x:c r="I70" s="82"/>
      <x:c r="J70" s="82"/>
      <x:c r="K70" s="68"/>
      <x:c r="L70" s="68"/>
      <x:c r="M70" s="68"/>
      <x:c r="N70" s="68"/>
      <x:c r="O70" s="68"/>
      <x:c r="P70" s="68"/>
      <x:c r="Q70" s="90"/>
      <x:c r="R70" s="68"/>
      <x:c r="S70" s="68"/>
      <x:c r="T70" s="68"/>
      <x:c r="U70" s="68"/>
      <x:c r="V70" s="84"/>
      <x:c r="W70" s="82"/>
      <x:c r="X70" s="82"/>
      <x:c r="Y70" s="68"/>
      <x:c r="Z70" s="84"/>
      <x:c r="AA70" s="84"/>
      <x:c r="AB70" s="82"/>
      <x:c r="AC70" s="82"/>
      <x:c r="AD70" s="68"/>
      <x:c r="AE70" s="68"/>
      <x:c r="AF70" s="90"/>
      <x:c r="AG70" s="82"/>
      <x:c r="AH70" s="82"/>
      <x:c r="AI70" s="87"/>
    </x:row>
    <x:row r="71">
      <x:c r="A71" s="72" t="str">
        <x:f>IF(OR(C71="",D71=""),"",B71&amp;"-"&amp;UPPER(C71)&amp;"-"&amp;TEXT(D71,"0000")&amp;"-"&amp;E71)</x:f>
      </x:c>
      <x:c r="B71" s="74" t="str">
        <x:v>M17</x:v>
      </x:c>
      <x:c r="C71" s="74"/>
      <x:c r="D71" s="79"/>
      <x:c r="E71" s="74" t="str">
        <x:v>V1.0</x:v>
      </x:c>
      <x:c r="F71" s="68"/>
      <x:c r="G71" s="82"/>
      <x:c r="H71" s="82"/>
      <x:c r="I71" s="82"/>
      <x:c r="J71" s="82"/>
      <x:c r="K71" s="68"/>
      <x:c r="L71" s="68"/>
      <x:c r="M71" s="68"/>
      <x:c r="N71" s="68"/>
      <x:c r="O71" s="68"/>
      <x:c r="P71" s="68"/>
      <x:c r="Q71" s="90"/>
      <x:c r="R71" s="68"/>
      <x:c r="S71" s="68"/>
      <x:c r="T71" s="68"/>
      <x:c r="U71" s="68"/>
      <x:c r="V71" s="84"/>
      <x:c r="W71" s="82"/>
      <x:c r="X71" s="82"/>
      <x:c r="Y71" s="68"/>
      <x:c r="Z71" s="84"/>
      <x:c r="AA71" s="84"/>
      <x:c r="AB71" s="82"/>
      <x:c r="AC71" s="82"/>
      <x:c r="AD71" s="68"/>
      <x:c r="AE71" s="68"/>
      <x:c r="AF71" s="90"/>
      <x:c r="AG71" s="82"/>
      <x:c r="AH71" s="82"/>
      <x:c r="AI71" s="87"/>
    </x:row>
    <x:row r="72">
      <x:c r="A72" s="72" t="str">
        <x:f>IF(OR(C72="",D72=""),"",B72&amp;"-"&amp;UPPER(C72)&amp;"-"&amp;TEXT(D72,"0000")&amp;"-"&amp;E72)</x:f>
      </x:c>
      <x:c r="B72" s="74" t="str">
        <x:v>M17</x:v>
      </x:c>
      <x:c r="C72" s="74"/>
      <x:c r="D72" s="79"/>
      <x:c r="E72" s="74" t="str">
        <x:v>V1.0</x:v>
      </x:c>
      <x:c r="F72" s="68"/>
      <x:c r="G72" s="82"/>
      <x:c r="H72" s="82"/>
      <x:c r="I72" s="82"/>
      <x:c r="J72" s="82"/>
      <x:c r="K72" s="68"/>
      <x:c r="L72" s="68"/>
      <x:c r="M72" s="68"/>
      <x:c r="N72" s="68"/>
      <x:c r="O72" s="68"/>
      <x:c r="P72" s="68"/>
      <x:c r="Q72" s="90"/>
      <x:c r="R72" s="68"/>
      <x:c r="S72" s="68"/>
      <x:c r="T72" s="68"/>
      <x:c r="U72" s="68"/>
      <x:c r="V72" s="84"/>
      <x:c r="W72" s="82"/>
      <x:c r="X72" s="82"/>
      <x:c r="Y72" s="68"/>
      <x:c r="Z72" s="84"/>
      <x:c r="AA72" s="84"/>
      <x:c r="AB72" s="82"/>
      <x:c r="AC72" s="82"/>
      <x:c r="AD72" s="68"/>
      <x:c r="AE72" s="68"/>
      <x:c r="AF72" s="90"/>
      <x:c r="AG72" s="82"/>
      <x:c r="AH72" s="82"/>
      <x:c r="AI72" s="87"/>
    </x:row>
    <x:row r="73">
      <x:c r="A73" s="72" t="str">
        <x:f>IF(OR(C73="",D73=""),"",B73&amp;"-"&amp;UPPER(C73)&amp;"-"&amp;TEXT(D73,"0000")&amp;"-"&amp;E73)</x:f>
      </x:c>
      <x:c r="B73" s="74" t="str">
        <x:v>M17</x:v>
      </x:c>
      <x:c r="C73" s="74"/>
      <x:c r="D73" s="79"/>
      <x:c r="E73" s="74" t="str">
        <x:v>V1.0</x:v>
      </x:c>
      <x:c r="F73" s="68"/>
      <x:c r="G73" s="82"/>
      <x:c r="H73" s="82"/>
      <x:c r="I73" s="82"/>
      <x:c r="J73" s="82"/>
      <x:c r="K73" s="68"/>
      <x:c r="L73" s="68"/>
      <x:c r="M73" s="68"/>
      <x:c r="N73" s="68"/>
      <x:c r="O73" s="68"/>
      <x:c r="P73" s="68"/>
      <x:c r="Q73" s="90"/>
      <x:c r="R73" s="68"/>
      <x:c r="S73" s="68"/>
      <x:c r="T73" s="68"/>
      <x:c r="U73" s="68"/>
      <x:c r="V73" s="84"/>
      <x:c r="W73" s="82"/>
      <x:c r="X73" s="82"/>
      <x:c r="Y73" s="68"/>
      <x:c r="Z73" s="84"/>
      <x:c r="AA73" s="84"/>
      <x:c r="AB73" s="82"/>
      <x:c r="AC73" s="82"/>
      <x:c r="AD73" s="68"/>
      <x:c r="AE73" s="68"/>
      <x:c r="AF73" s="90"/>
      <x:c r="AG73" s="82"/>
      <x:c r="AH73" s="82"/>
      <x:c r="AI73" s="87"/>
    </x:row>
    <x:row r="74">
      <x:c r="A74" s="72" t="str">
        <x:f>IF(OR(C74="",D74=""),"",B74&amp;"-"&amp;UPPER(C74)&amp;"-"&amp;TEXT(D74,"0000")&amp;"-"&amp;E74)</x:f>
      </x:c>
      <x:c r="B74" s="74" t="str">
        <x:v>M17</x:v>
      </x:c>
      <x:c r="C74" s="74"/>
      <x:c r="D74" s="79"/>
      <x:c r="E74" s="74" t="str">
        <x:v>V1.0</x:v>
      </x:c>
      <x:c r="F74" s="68"/>
      <x:c r="G74" s="82"/>
      <x:c r="H74" s="82"/>
      <x:c r="I74" s="82"/>
      <x:c r="J74" s="82"/>
      <x:c r="K74" s="68"/>
      <x:c r="L74" s="68"/>
      <x:c r="M74" s="68"/>
      <x:c r="N74" s="68"/>
      <x:c r="O74" s="68"/>
      <x:c r="P74" s="68"/>
      <x:c r="Q74" s="90"/>
      <x:c r="R74" s="68"/>
      <x:c r="S74" s="68"/>
      <x:c r="T74" s="68"/>
      <x:c r="U74" s="68"/>
      <x:c r="V74" s="84"/>
      <x:c r="W74" s="82"/>
      <x:c r="X74" s="82"/>
      <x:c r="Y74" s="68"/>
      <x:c r="Z74" s="84"/>
      <x:c r="AA74" s="84"/>
      <x:c r="AB74" s="82"/>
      <x:c r="AC74" s="82"/>
      <x:c r="AD74" s="68"/>
      <x:c r="AE74" s="68"/>
      <x:c r="AF74" s="90"/>
      <x:c r="AG74" s="82"/>
      <x:c r="AH74" s="82"/>
      <x:c r="AI74" s="87"/>
    </x:row>
    <x:row r="75">
      <x:c r="A75" s="72" t="str">
        <x:f>IF(OR(C75="",D75=""),"",B75&amp;"-"&amp;UPPER(C75)&amp;"-"&amp;TEXT(D75,"0000")&amp;"-"&amp;E75)</x:f>
      </x:c>
      <x:c r="B75" s="74" t="str">
        <x:v>M17</x:v>
      </x:c>
      <x:c r="C75" s="74"/>
      <x:c r="D75" s="79"/>
      <x:c r="E75" s="74" t="str">
        <x:v>V1.0</x:v>
      </x:c>
      <x:c r="F75" s="68"/>
      <x:c r="G75" s="82"/>
      <x:c r="H75" s="82"/>
      <x:c r="I75" s="82"/>
      <x:c r="J75" s="82"/>
      <x:c r="K75" s="68"/>
      <x:c r="L75" s="68"/>
      <x:c r="M75" s="68"/>
      <x:c r="N75" s="68"/>
      <x:c r="O75" s="68"/>
      <x:c r="P75" s="68"/>
      <x:c r="Q75" s="90"/>
      <x:c r="R75" s="68"/>
      <x:c r="S75" s="68"/>
      <x:c r="T75" s="68"/>
      <x:c r="U75" s="68"/>
      <x:c r="V75" s="84"/>
      <x:c r="W75" s="82"/>
      <x:c r="X75" s="82"/>
      <x:c r="Y75" s="68"/>
      <x:c r="Z75" s="84"/>
      <x:c r="AA75" s="84"/>
      <x:c r="AB75" s="82"/>
      <x:c r="AC75" s="82"/>
      <x:c r="AD75" s="68"/>
      <x:c r="AE75" s="68"/>
      <x:c r="AF75" s="90"/>
      <x:c r="AG75" s="82"/>
      <x:c r="AH75" s="82"/>
      <x:c r="AI75" s="87"/>
    </x:row>
    <x:row r="76">
      <x:c r="A76" s="72" t="str">
        <x:f>IF(OR(C76="",D76=""),"",B76&amp;"-"&amp;UPPER(C76)&amp;"-"&amp;TEXT(D76,"0000")&amp;"-"&amp;E76)</x:f>
      </x:c>
      <x:c r="B76" s="74" t="str">
        <x:v>M17</x:v>
      </x:c>
      <x:c r="C76" s="74"/>
      <x:c r="D76" s="79"/>
      <x:c r="E76" s="74" t="str">
        <x:v>V1.0</x:v>
      </x:c>
      <x:c r="F76" s="68"/>
      <x:c r="G76" s="82"/>
      <x:c r="H76" s="82"/>
      <x:c r="I76" s="82"/>
      <x:c r="J76" s="82"/>
      <x:c r="K76" s="68"/>
      <x:c r="L76" s="68"/>
      <x:c r="M76" s="68"/>
      <x:c r="N76" s="68"/>
      <x:c r="O76" s="68"/>
      <x:c r="P76" s="68"/>
      <x:c r="Q76" s="90"/>
      <x:c r="R76" s="68"/>
      <x:c r="S76" s="68"/>
      <x:c r="T76" s="68"/>
      <x:c r="U76" s="68"/>
      <x:c r="V76" s="84"/>
      <x:c r="W76" s="82"/>
      <x:c r="X76" s="82"/>
      <x:c r="Y76" s="68"/>
      <x:c r="Z76" s="84"/>
      <x:c r="AA76" s="84"/>
      <x:c r="AB76" s="82"/>
      <x:c r="AC76" s="82"/>
      <x:c r="AD76" s="68"/>
      <x:c r="AE76" s="68"/>
      <x:c r="AF76" s="90"/>
      <x:c r="AG76" s="82"/>
      <x:c r="AH76" s="82"/>
      <x:c r="AI76" s="87"/>
    </x:row>
    <x:row r="77">
      <x:c r="A77" s="72" t="str">
        <x:f>IF(OR(C77="",D77=""),"",B77&amp;"-"&amp;UPPER(C77)&amp;"-"&amp;TEXT(D77,"0000")&amp;"-"&amp;E77)</x:f>
      </x:c>
      <x:c r="B77" s="74" t="str">
        <x:v>M17</x:v>
      </x:c>
      <x:c r="C77" s="74"/>
      <x:c r="D77" s="79"/>
      <x:c r="E77" s="74" t="str">
        <x:v>V1.0</x:v>
      </x:c>
      <x:c r="F77" s="68"/>
      <x:c r="G77" s="82"/>
      <x:c r="H77" s="82"/>
      <x:c r="I77" s="82"/>
      <x:c r="J77" s="82"/>
      <x:c r="K77" s="68"/>
      <x:c r="L77" s="68"/>
      <x:c r="M77" s="68"/>
      <x:c r="N77" s="68"/>
      <x:c r="O77" s="68"/>
      <x:c r="P77" s="68"/>
      <x:c r="Q77" s="90"/>
      <x:c r="R77" s="68"/>
      <x:c r="S77" s="68"/>
      <x:c r="T77" s="68"/>
      <x:c r="U77" s="68"/>
      <x:c r="V77" s="84"/>
      <x:c r="W77" s="82"/>
      <x:c r="X77" s="82"/>
      <x:c r="Y77" s="68"/>
      <x:c r="Z77" s="84"/>
      <x:c r="AA77" s="84"/>
      <x:c r="AB77" s="82"/>
      <x:c r="AC77" s="82"/>
      <x:c r="AD77" s="68"/>
      <x:c r="AE77" s="68"/>
      <x:c r="AF77" s="90"/>
      <x:c r="AG77" s="82"/>
      <x:c r="AH77" s="82"/>
      <x:c r="AI77" s="87"/>
    </x:row>
    <x:row r="78">
      <x:c r="A78" s="72" t="str">
        <x:f>IF(OR(C78="",D78=""),"",B78&amp;"-"&amp;UPPER(C78)&amp;"-"&amp;TEXT(D78,"0000")&amp;"-"&amp;E78)</x:f>
      </x:c>
      <x:c r="B78" s="74" t="str">
        <x:v>M17</x:v>
      </x:c>
      <x:c r="C78" s="74"/>
      <x:c r="D78" s="79"/>
      <x:c r="E78" s="74" t="str">
        <x:v>V1.0</x:v>
      </x:c>
      <x:c r="F78" s="68"/>
      <x:c r="G78" s="82"/>
      <x:c r="H78" s="82"/>
      <x:c r="I78" s="82"/>
      <x:c r="J78" s="82"/>
      <x:c r="K78" s="68"/>
      <x:c r="L78" s="68"/>
      <x:c r="M78" s="68"/>
      <x:c r="N78" s="68"/>
      <x:c r="O78" s="68"/>
      <x:c r="P78" s="68"/>
      <x:c r="Q78" s="90"/>
      <x:c r="R78" s="68"/>
      <x:c r="S78" s="68"/>
      <x:c r="T78" s="68"/>
      <x:c r="U78" s="68"/>
      <x:c r="V78" s="84"/>
      <x:c r="W78" s="82"/>
      <x:c r="X78" s="82"/>
      <x:c r="Y78" s="68"/>
      <x:c r="Z78" s="84"/>
      <x:c r="AA78" s="84"/>
      <x:c r="AB78" s="82"/>
      <x:c r="AC78" s="82"/>
      <x:c r="AD78" s="68"/>
      <x:c r="AE78" s="68"/>
      <x:c r="AF78" s="90"/>
      <x:c r="AG78" s="82"/>
      <x:c r="AH78" s="82"/>
      <x:c r="AI78" s="87"/>
    </x:row>
    <x:row r="79">
      <x:c r="A79" s="72" t="str">
        <x:f>IF(OR(C79="",D79=""),"",B79&amp;"-"&amp;UPPER(C79)&amp;"-"&amp;TEXT(D79,"0000")&amp;"-"&amp;E79)</x:f>
      </x:c>
      <x:c r="B79" s="74" t="str">
        <x:v>M17</x:v>
      </x:c>
      <x:c r="C79" s="74"/>
      <x:c r="D79" s="79"/>
      <x:c r="E79" s="74" t="str">
        <x:v>V1.0</x:v>
      </x:c>
      <x:c r="F79" s="68"/>
      <x:c r="G79" s="82"/>
      <x:c r="H79" s="82"/>
      <x:c r="I79" s="82"/>
      <x:c r="J79" s="82"/>
      <x:c r="K79" s="68"/>
      <x:c r="L79" s="68"/>
      <x:c r="M79" s="68"/>
      <x:c r="N79" s="68"/>
      <x:c r="O79" s="68"/>
      <x:c r="P79" s="68"/>
      <x:c r="Q79" s="90"/>
      <x:c r="R79" s="68"/>
      <x:c r="S79" s="68"/>
      <x:c r="T79" s="68"/>
      <x:c r="U79" s="68"/>
      <x:c r="V79" s="84"/>
      <x:c r="W79" s="82"/>
      <x:c r="X79" s="82"/>
      <x:c r="Y79" s="68"/>
      <x:c r="Z79" s="84"/>
      <x:c r="AA79" s="84"/>
      <x:c r="AB79" s="82"/>
      <x:c r="AC79" s="82"/>
      <x:c r="AD79" s="68"/>
      <x:c r="AE79" s="68"/>
      <x:c r="AF79" s="90"/>
      <x:c r="AG79" s="82"/>
      <x:c r="AH79" s="82"/>
      <x:c r="AI79" s="87"/>
    </x:row>
    <x:row r="80">
      <x:c r="A80" s="72" t="str">
        <x:f>IF(OR(C80="",D80=""),"",B80&amp;"-"&amp;UPPER(C80)&amp;"-"&amp;TEXT(D80,"0000")&amp;"-"&amp;E80)</x:f>
      </x:c>
      <x:c r="B80" s="74" t="str">
        <x:v>M17</x:v>
      </x:c>
      <x:c r="C80" s="74"/>
      <x:c r="D80" s="79"/>
      <x:c r="E80" s="74" t="str">
        <x:v>V1.0</x:v>
      </x:c>
      <x:c r="F80" s="68"/>
      <x:c r="G80" s="82"/>
      <x:c r="H80" s="82"/>
      <x:c r="I80" s="82"/>
      <x:c r="J80" s="82"/>
      <x:c r="K80" s="68"/>
      <x:c r="L80" s="68"/>
      <x:c r="M80" s="68"/>
      <x:c r="N80" s="68"/>
      <x:c r="O80" s="68"/>
      <x:c r="P80" s="68"/>
      <x:c r="Q80" s="90"/>
      <x:c r="R80" s="68"/>
      <x:c r="S80" s="68"/>
      <x:c r="T80" s="68"/>
      <x:c r="U80" s="68"/>
      <x:c r="V80" s="84"/>
      <x:c r="W80" s="82"/>
      <x:c r="X80" s="82"/>
      <x:c r="Y80" s="68"/>
      <x:c r="Z80" s="84"/>
      <x:c r="AA80" s="84"/>
      <x:c r="AB80" s="82"/>
      <x:c r="AC80" s="82"/>
      <x:c r="AD80" s="68"/>
      <x:c r="AE80" s="68"/>
      <x:c r="AF80" s="90"/>
      <x:c r="AG80" s="82"/>
      <x:c r="AH80" s="82"/>
      <x:c r="AI80" s="87"/>
    </x:row>
    <x:row r="81">
      <x:c r="A81" s="72" t="str">
        <x:f>IF(OR(C81="",D81=""),"",B81&amp;"-"&amp;UPPER(C81)&amp;"-"&amp;TEXT(D81,"0000")&amp;"-"&amp;E81)</x:f>
      </x:c>
      <x:c r="B81" s="74" t="str">
        <x:v>M17</x:v>
      </x:c>
      <x:c r="C81" s="74"/>
      <x:c r="D81" s="79"/>
      <x:c r="E81" s="74" t="str">
        <x:v>V1.0</x:v>
      </x:c>
      <x:c r="F81" s="68"/>
      <x:c r="G81" s="82"/>
      <x:c r="H81" s="82"/>
      <x:c r="I81" s="82"/>
      <x:c r="J81" s="82"/>
      <x:c r="K81" s="68"/>
      <x:c r="L81" s="68"/>
      <x:c r="M81" s="68"/>
      <x:c r="N81" s="68"/>
      <x:c r="O81" s="68"/>
      <x:c r="P81" s="68"/>
      <x:c r="Q81" s="90"/>
      <x:c r="R81" s="68"/>
      <x:c r="S81" s="68"/>
      <x:c r="T81" s="68"/>
      <x:c r="U81" s="68"/>
      <x:c r="V81" s="84"/>
      <x:c r="W81" s="82"/>
      <x:c r="X81" s="82"/>
      <x:c r="Y81" s="68"/>
      <x:c r="Z81" s="84"/>
      <x:c r="AA81" s="84"/>
      <x:c r="AB81" s="82"/>
      <x:c r="AC81" s="82"/>
      <x:c r="AD81" s="68"/>
      <x:c r="AE81" s="68"/>
      <x:c r="AF81" s="90"/>
      <x:c r="AG81" s="82"/>
      <x:c r="AH81" s="82"/>
      <x:c r="AI81" s="87"/>
    </x:row>
    <x:row r="82">
      <x:c r="A82" s="72" t="str">
        <x:f>IF(OR(C82="",D82=""),"",B82&amp;"-"&amp;UPPER(C82)&amp;"-"&amp;TEXT(D82,"0000")&amp;"-"&amp;E82)</x:f>
      </x:c>
      <x:c r="B82" s="74" t="str">
        <x:v>M17</x:v>
      </x:c>
      <x:c r="C82" s="74"/>
      <x:c r="D82" s="79"/>
      <x:c r="E82" s="74" t="str">
        <x:v>V1.0</x:v>
      </x:c>
      <x:c r="F82" s="68"/>
      <x:c r="G82" s="82"/>
      <x:c r="H82" s="82"/>
      <x:c r="I82" s="82"/>
      <x:c r="J82" s="82"/>
      <x:c r="K82" s="68"/>
      <x:c r="L82" s="68"/>
      <x:c r="M82" s="68"/>
      <x:c r="N82" s="68"/>
      <x:c r="O82" s="68"/>
      <x:c r="P82" s="68"/>
      <x:c r="Q82" s="90"/>
      <x:c r="R82" s="68"/>
      <x:c r="S82" s="68"/>
      <x:c r="T82" s="68"/>
      <x:c r="U82" s="68"/>
      <x:c r="V82" s="84"/>
      <x:c r="W82" s="82"/>
      <x:c r="X82" s="82"/>
      <x:c r="Y82" s="68"/>
      <x:c r="Z82" s="84"/>
      <x:c r="AA82" s="84"/>
      <x:c r="AB82" s="82"/>
      <x:c r="AC82" s="82"/>
      <x:c r="AD82" s="68"/>
      <x:c r="AE82" s="68"/>
      <x:c r="AF82" s="90"/>
      <x:c r="AG82" s="82"/>
      <x:c r="AH82" s="82"/>
      <x:c r="AI82" s="87"/>
    </x:row>
    <x:row r="83">
      <x:c r="A83" s="72" t="str">
        <x:f>IF(OR(C83="",D83=""),"",B83&amp;"-"&amp;UPPER(C83)&amp;"-"&amp;TEXT(D83,"0000")&amp;"-"&amp;E83)</x:f>
      </x:c>
      <x:c r="B83" s="74" t="str">
        <x:v>M17</x:v>
      </x:c>
      <x:c r="C83" s="74"/>
      <x:c r="D83" s="79"/>
      <x:c r="E83" s="74" t="str">
        <x:v>V1.0</x:v>
      </x:c>
      <x:c r="F83" s="68"/>
      <x:c r="G83" s="82"/>
      <x:c r="H83" s="82"/>
      <x:c r="I83" s="82"/>
      <x:c r="J83" s="82"/>
      <x:c r="K83" s="68"/>
      <x:c r="L83" s="68"/>
      <x:c r="M83" s="68"/>
      <x:c r="N83" s="68"/>
      <x:c r="O83" s="68"/>
      <x:c r="P83" s="68"/>
      <x:c r="Q83" s="90"/>
      <x:c r="R83" s="68"/>
      <x:c r="S83" s="68"/>
      <x:c r="T83" s="68"/>
      <x:c r="U83" s="68"/>
      <x:c r="V83" s="84"/>
      <x:c r="W83" s="82"/>
      <x:c r="X83" s="82"/>
      <x:c r="Y83" s="68"/>
      <x:c r="Z83" s="84"/>
      <x:c r="AA83" s="84"/>
      <x:c r="AB83" s="82"/>
      <x:c r="AC83" s="82"/>
      <x:c r="AD83" s="68"/>
      <x:c r="AE83" s="68"/>
      <x:c r="AF83" s="90"/>
      <x:c r="AG83" s="82"/>
      <x:c r="AH83" s="82"/>
      <x:c r="AI83" s="87"/>
    </x:row>
    <x:row r="84">
      <x:c r="A84" s="72" t="str">
        <x:f>IF(OR(C84="",D84=""),"",B84&amp;"-"&amp;UPPER(C84)&amp;"-"&amp;TEXT(D84,"0000")&amp;"-"&amp;E84)</x:f>
      </x:c>
      <x:c r="B84" s="74" t="str">
        <x:v>M17</x:v>
      </x:c>
      <x:c r="C84" s="74"/>
      <x:c r="D84" s="79"/>
      <x:c r="E84" s="74" t="str">
        <x:v>V1.0</x:v>
      </x:c>
      <x:c r="F84" s="68"/>
      <x:c r="G84" s="82"/>
      <x:c r="H84" s="82"/>
      <x:c r="I84" s="82"/>
      <x:c r="J84" s="82"/>
      <x:c r="K84" s="68"/>
      <x:c r="L84" s="68"/>
      <x:c r="M84" s="68"/>
      <x:c r="N84" s="68"/>
      <x:c r="O84" s="68"/>
      <x:c r="P84" s="68"/>
      <x:c r="Q84" s="90"/>
      <x:c r="R84" s="68"/>
      <x:c r="S84" s="68"/>
      <x:c r="T84" s="68"/>
      <x:c r="U84" s="68"/>
      <x:c r="V84" s="84"/>
      <x:c r="W84" s="82"/>
      <x:c r="X84" s="82"/>
      <x:c r="Y84" s="68"/>
      <x:c r="Z84" s="84"/>
      <x:c r="AA84" s="84"/>
      <x:c r="AB84" s="82"/>
      <x:c r="AC84" s="82"/>
      <x:c r="AD84" s="68"/>
      <x:c r="AE84" s="68"/>
      <x:c r="AF84" s="90"/>
      <x:c r="AG84" s="82"/>
      <x:c r="AH84" s="82"/>
      <x:c r="AI84" s="87"/>
    </x:row>
    <x:row r="85">
      <x:c r="A85" s="72" t="str">
        <x:f>IF(OR(C85="",D85=""),"",B85&amp;"-"&amp;UPPER(C85)&amp;"-"&amp;TEXT(D85,"0000")&amp;"-"&amp;E85)</x:f>
      </x:c>
      <x:c r="B85" s="74" t="str">
        <x:v>M17</x:v>
      </x:c>
      <x:c r="C85" s="74"/>
      <x:c r="D85" s="79"/>
      <x:c r="E85" s="74" t="str">
        <x:v>V1.0</x:v>
      </x:c>
      <x:c r="F85" s="68"/>
      <x:c r="G85" s="82"/>
      <x:c r="H85" s="82"/>
      <x:c r="I85" s="82"/>
      <x:c r="J85" s="82"/>
      <x:c r="K85" s="68"/>
      <x:c r="L85" s="68"/>
      <x:c r="M85" s="68"/>
      <x:c r="N85" s="68"/>
      <x:c r="O85" s="68"/>
      <x:c r="P85" s="68"/>
      <x:c r="Q85" s="90"/>
      <x:c r="R85" s="68"/>
      <x:c r="S85" s="68"/>
      <x:c r="T85" s="68"/>
      <x:c r="U85" s="68"/>
      <x:c r="V85" s="84"/>
      <x:c r="W85" s="82"/>
      <x:c r="X85" s="82"/>
      <x:c r="Y85" s="68"/>
      <x:c r="Z85" s="84"/>
      <x:c r="AA85" s="84"/>
      <x:c r="AB85" s="82"/>
      <x:c r="AC85" s="82"/>
      <x:c r="AD85" s="68"/>
      <x:c r="AE85" s="68"/>
      <x:c r="AF85" s="90"/>
      <x:c r="AG85" s="82"/>
      <x:c r="AH85" s="82"/>
      <x:c r="AI85" s="87"/>
    </x:row>
    <x:row r="86">
      <x:c r="A86" s="72" t="str">
        <x:f>IF(OR(C86="",D86=""),"",B86&amp;"-"&amp;UPPER(C86)&amp;"-"&amp;TEXT(D86,"0000")&amp;"-"&amp;E86)</x:f>
      </x:c>
      <x:c r="B86" s="74" t="str">
        <x:v>M17</x:v>
      </x:c>
      <x:c r="C86" s="74"/>
      <x:c r="D86" s="79"/>
      <x:c r="E86" s="74" t="str">
        <x:v>V1.0</x:v>
      </x:c>
      <x:c r="F86" s="68"/>
      <x:c r="G86" s="82"/>
      <x:c r="H86" s="82"/>
      <x:c r="I86" s="82"/>
      <x:c r="J86" s="82"/>
      <x:c r="K86" s="68"/>
      <x:c r="L86" s="68"/>
      <x:c r="M86" s="68"/>
      <x:c r="N86" s="68"/>
      <x:c r="O86" s="68"/>
      <x:c r="P86" s="68"/>
      <x:c r="Q86" s="90"/>
      <x:c r="R86" s="68"/>
      <x:c r="S86" s="68"/>
      <x:c r="T86" s="68"/>
      <x:c r="U86" s="68"/>
      <x:c r="V86" s="84"/>
      <x:c r="W86" s="82"/>
      <x:c r="X86" s="82"/>
      <x:c r="Y86" s="68"/>
      <x:c r="Z86" s="84"/>
      <x:c r="AA86" s="84"/>
      <x:c r="AB86" s="82"/>
      <x:c r="AC86" s="82"/>
      <x:c r="AD86" s="68"/>
      <x:c r="AE86" s="68"/>
      <x:c r="AF86" s="90"/>
      <x:c r="AG86" s="82"/>
      <x:c r="AH86" s="82"/>
      <x:c r="AI86" s="87"/>
    </x:row>
    <x:row r="87">
      <x:c r="A87" s="72" t="str">
        <x:f>IF(OR(C87="",D87=""),"",B87&amp;"-"&amp;UPPER(C87)&amp;"-"&amp;TEXT(D87,"0000")&amp;"-"&amp;E87)</x:f>
      </x:c>
      <x:c r="B87" s="74" t="str">
        <x:v>M17</x:v>
      </x:c>
      <x:c r="C87" s="74"/>
      <x:c r="D87" s="79"/>
      <x:c r="E87" s="74" t="str">
        <x:v>V1.0</x:v>
      </x:c>
      <x:c r="F87" s="68"/>
      <x:c r="G87" s="82"/>
      <x:c r="H87" s="82"/>
      <x:c r="I87" s="82"/>
      <x:c r="J87" s="82"/>
      <x:c r="K87" s="68"/>
      <x:c r="L87" s="68"/>
      <x:c r="M87" s="68"/>
      <x:c r="N87" s="68"/>
      <x:c r="O87" s="68"/>
      <x:c r="P87" s="68"/>
      <x:c r="Q87" s="90"/>
      <x:c r="R87" s="68"/>
      <x:c r="S87" s="68"/>
      <x:c r="T87" s="68"/>
      <x:c r="U87" s="68"/>
      <x:c r="V87" s="84"/>
      <x:c r="W87" s="82"/>
      <x:c r="X87" s="82"/>
      <x:c r="Y87" s="68"/>
      <x:c r="Z87" s="84"/>
      <x:c r="AA87" s="84"/>
      <x:c r="AB87" s="82"/>
      <x:c r="AC87" s="82"/>
      <x:c r="AD87" s="68"/>
      <x:c r="AE87" s="68"/>
      <x:c r="AF87" s="90"/>
      <x:c r="AG87" s="82"/>
      <x:c r="AH87" s="82"/>
      <x:c r="AI87" s="87"/>
    </x:row>
    <x:row r="88">
      <x:c r="A88" s="72" t="str">
        <x:f>IF(OR(C88="",D88=""),"",B88&amp;"-"&amp;UPPER(C88)&amp;"-"&amp;TEXT(D88,"0000")&amp;"-"&amp;E88)</x:f>
      </x:c>
      <x:c r="B88" s="74" t="str">
        <x:v>M17</x:v>
      </x:c>
      <x:c r="C88" s="74"/>
      <x:c r="D88" s="79"/>
      <x:c r="E88" s="74" t="str">
        <x:v>V1.0</x:v>
      </x:c>
      <x:c r="F88" s="68"/>
      <x:c r="G88" s="82"/>
      <x:c r="H88" s="82"/>
      <x:c r="I88" s="82"/>
      <x:c r="J88" s="82"/>
      <x:c r="K88" s="68"/>
      <x:c r="L88" s="68"/>
      <x:c r="M88" s="68"/>
      <x:c r="N88" s="68"/>
      <x:c r="O88" s="68"/>
      <x:c r="P88" s="68"/>
      <x:c r="Q88" s="90"/>
      <x:c r="R88" s="68"/>
      <x:c r="S88" s="68"/>
      <x:c r="T88" s="68"/>
      <x:c r="U88" s="68"/>
      <x:c r="V88" s="84"/>
      <x:c r="W88" s="82"/>
      <x:c r="X88" s="82"/>
      <x:c r="Y88" s="68"/>
      <x:c r="Z88" s="84"/>
      <x:c r="AA88" s="84"/>
      <x:c r="AB88" s="82"/>
      <x:c r="AC88" s="82"/>
      <x:c r="AD88" s="68"/>
      <x:c r="AE88" s="68"/>
      <x:c r="AF88" s="90"/>
      <x:c r="AG88" s="82"/>
      <x:c r="AH88" s="82"/>
      <x:c r="AI88" s="87"/>
    </x:row>
    <x:row r="89">
      <x:c r="A89" s="72" t="str">
        <x:f>IF(OR(C89="",D89=""),"",B89&amp;"-"&amp;UPPER(C89)&amp;"-"&amp;TEXT(D89,"0000")&amp;"-"&amp;E89)</x:f>
      </x:c>
      <x:c r="B89" s="74" t="str">
        <x:v>M17</x:v>
      </x:c>
      <x:c r="C89" s="74"/>
      <x:c r="D89" s="79"/>
      <x:c r="E89" s="74" t="str">
        <x:v>V1.0</x:v>
      </x:c>
      <x:c r="F89" s="68"/>
      <x:c r="G89" s="82"/>
      <x:c r="H89" s="82"/>
      <x:c r="I89" s="82"/>
      <x:c r="J89" s="82"/>
      <x:c r="K89" s="68"/>
      <x:c r="L89" s="68"/>
      <x:c r="M89" s="68"/>
      <x:c r="N89" s="68"/>
      <x:c r="O89" s="68"/>
      <x:c r="P89" s="68"/>
      <x:c r="Q89" s="90"/>
      <x:c r="R89" s="68"/>
      <x:c r="S89" s="68"/>
      <x:c r="T89" s="68"/>
      <x:c r="U89" s="68"/>
      <x:c r="V89" s="84"/>
      <x:c r="W89" s="82"/>
      <x:c r="X89" s="82"/>
      <x:c r="Y89" s="68"/>
      <x:c r="Z89" s="84"/>
      <x:c r="AA89" s="84"/>
      <x:c r="AB89" s="82"/>
      <x:c r="AC89" s="82"/>
      <x:c r="AD89" s="68"/>
      <x:c r="AE89" s="68"/>
      <x:c r="AF89" s="90"/>
      <x:c r="AG89" s="82"/>
      <x:c r="AH89" s="82"/>
      <x:c r="AI89" s="87"/>
    </x:row>
    <x:row r="90">
      <x:c r="A90" s="72" t="str">
        <x:f>IF(OR(C90="",D90=""),"",B90&amp;"-"&amp;UPPER(C90)&amp;"-"&amp;TEXT(D90,"0000")&amp;"-"&amp;E90)</x:f>
      </x:c>
      <x:c r="B90" s="74" t="str">
        <x:v>M17</x:v>
      </x:c>
      <x:c r="C90" s="74"/>
      <x:c r="D90" s="79"/>
      <x:c r="E90" s="74" t="str">
        <x:v>V1.0</x:v>
      </x:c>
      <x:c r="F90" s="68"/>
      <x:c r="G90" s="82"/>
      <x:c r="H90" s="82"/>
      <x:c r="I90" s="82"/>
      <x:c r="J90" s="82"/>
      <x:c r="K90" s="68"/>
      <x:c r="L90" s="68"/>
      <x:c r="M90" s="68"/>
      <x:c r="N90" s="68"/>
      <x:c r="O90" s="68"/>
      <x:c r="P90" s="68"/>
      <x:c r="Q90" s="90"/>
      <x:c r="R90" s="68"/>
      <x:c r="S90" s="68"/>
      <x:c r="T90" s="68"/>
      <x:c r="U90" s="68"/>
      <x:c r="V90" s="84"/>
      <x:c r="W90" s="82"/>
      <x:c r="X90" s="82"/>
      <x:c r="Y90" s="68"/>
      <x:c r="Z90" s="84"/>
      <x:c r="AA90" s="84"/>
      <x:c r="AB90" s="82"/>
      <x:c r="AC90" s="82"/>
      <x:c r="AD90" s="68"/>
      <x:c r="AE90" s="68"/>
      <x:c r="AF90" s="90"/>
      <x:c r="AG90" s="82"/>
      <x:c r="AH90" s="82"/>
      <x:c r="AI90" s="87"/>
    </x:row>
    <x:row r="91">
      <x:c r="A91" s="72" t="str">
        <x:f>IF(OR(C91="",D91=""),"",B91&amp;"-"&amp;UPPER(C91)&amp;"-"&amp;TEXT(D91,"0000")&amp;"-"&amp;E91)</x:f>
      </x:c>
      <x:c r="B91" s="74" t="str">
        <x:v>M17</x:v>
      </x:c>
      <x:c r="C91" s="74"/>
      <x:c r="D91" s="79"/>
      <x:c r="E91" s="74" t="str">
        <x:v>V1.0</x:v>
      </x:c>
      <x:c r="F91" s="68"/>
      <x:c r="G91" s="82"/>
      <x:c r="H91" s="82"/>
      <x:c r="I91" s="82"/>
      <x:c r="J91" s="82"/>
      <x:c r="K91" s="68"/>
      <x:c r="L91" s="68"/>
      <x:c r="M91" s="68"/>
      <x:c r="N91" s="68"/>
      <x:c r="O91" s="68"/>
      <x:c r="P91" s="68"/>
      <x:c r="Q91" s="90"/>
      <x:c r="R91" s="68"/>
      <x:c r="S91" s="68"/>
      <x:c r="T91" s="68"/>
      <x:c r="U91" s="68"/>
      <x:c r="V91" s="84"/>
      <x:c r="W91" s="82"/>
      <x:c r="X91" s="82"/>
      <x:c r="Y91" s="68"/>
      <x:c r="Z91" s="84"/>
      <x:c r="AA91" s="84"/>
      <x:c r="AB91" s="82"/>
      <x:c r="AC91" s="82"/>
      <x:c r="AD91" s="68"/>
      <x:c r="AE91" s="68"/>
      <x:c r="AF91" s="90"/>
      <x:c r="AG91" s="82"/>
      <x:c r="AH91" s="82"/>
      <x:c r="AI91" s="87"/>
    </x:row>
    <x:row r="92">
      <x:c r="A92" s="72" t="str">
        <x:f>IF(OR(C92="",D92=""),"",B92&amp;"-"&amp;UPPER(C92)&amp;"-"&amp;TEXT(D92,"0000")&amp;"-"&amp;E92)</x:f>
      </x:c>
      <x:c r="B92" s="74" t="str">
        <x:v>M17</x:v>
      </x:c>
      <x:c r="C92" s="74"/>
      <x:c r="D92" s="79"/>
      <x:c r="E92" s="74" t="str">
        <x:v>V1.0</x:v>
      </x:c>
      <x:c r="F92" s="68"/>
      <x:c r="G92" s="82"/>
      <x:c r="H92" s="82"/>
      <x:c r="I92" s="82"/>
      <x:c r="J92" s="82"/>
      <x:c r="K92" s="68"/>
      <x:c r="L92" s="68"/>
      <x:c r="M92" s="68"/>
      <x:c r="N92" s="68"/>
      <x:c r="O92" s="68"/>
      <x:c r="P92" s="68"/>
      <x:c r="Q92" s="90"/>
      <x:c r="R92" s="68"/>
      <x:c r="S92" s="68"/>
      <x:c r="T92" s="68"/>
      <x:c r="U92" s="68"/>
      <x:c r="V92" s="84"/>
      <x:c r="W92" s="82"/>
      <x:c r="X92" s="82"/>
      <x:c r="Y92" s="68"/>
      <x:c r="Z92" s="84"/>
      <x:c r="AA92" s="84"/>
      <x:c r="AB92" s="82"/>
      <x:c r="AC92" s="82"/>
      <x:c r="AD92" s="68"/>
      <x:c r="AE92" s="68"/>
      <x:c r="AF92" s="90"/>
      <x:c r="AG92" s="82"/>
      <x:c r="AH92" s="82"/>
      <x:c r="AI92" s="87"/>
    </x:row>
    <x:row r="93">
      <x:c r="A93" s="72" t="str">
        <x:f>IF(OR(C93="",D93=""),"",B93&amp;"-"&amp;UPPER(C93)&amp;"-"&amp;TEXT(D93,"0000")&amp;"-"&amp;E93)</x:f>
      </x:c>
      <x:c r="B93" s="74" t="str">
        <x:v>M17</x:v>
      </x:c>
      <x:c r="C93" s="74"/>
      <x:c r="D93" s="79"/>
      <x:c r="E93" s="74" t="str">
        <x:v>V1.0</x:v>
      </x:c>
      <x:c r="F93" s="68"/>
      <x:c r="G93" s="82"/>
      <x:c r="H93" s="82"/>
      <x:c r="I93" s="82"/>
      <x:c r="J93" s="82"/>
      <x:c r="K93" s="68"/>
      <x:c r="L93" s="68"/>
      <x:c r="M93" s="68"/>
      <x:c r="N93" s="68"/>
      <x:c r="O93" s="68"/>
      <x:c r="P93" s="68"/>
      <x:c r="Q93" s="90"/>
      <x:c r="R93" s="68"/>
      <x:c r="S93" s="68"/>
      <x:c r="T93" s="68"/>
      <x:c r="U93" s="68"/>
      <x:c r="V93" s="84"/>
      <x:c r="W93" s="82"/>
      <x:c r="X93" s="82"/>
      <x:c r="Y93" s="68"/>
      <x:c r="Z93" s="84"/>
      <x:c r="AA93" s="84"/>
      <x:c r="AB93" s="82"/>
      <x:c r="AC93" s="82"/>
      <x:c r="AD93" s="68"/>
      <x:c r="AE93" s="68"/>
      <x:c r="AF93" s="90"/>
      <x:c r="AG93" s="82"/>
      <x:c r="AH93" s="82"/>
      <x:c r="AI93" s="87"/>
    </x:row>
    <x:row r="94">
      <x:c r="A94" s="72" t="str">
        <x:f>IF(OR(C94="",D94=""),"",B94&amp;"-"&amp;UPPER(C94)&amp;"-"&amp;TEXT(D94,"0000")&amp;"-"&amp;E94)</x:f>
      </x:c>
      <x:c r="B94" s="74" t="str">
        <x:v>M17</x:v>
      </x:c>
      <x:c r="C94" s="74"/>
      <x:c r="D94" s="79"/>
      <x:c r="E94" s="74" t="str">
        <x:v>V1.0</x:v>
      </x:c>
      <x:c r="F94" s="68"/>
      <x:c r="G94" s="82"/>
      <x:c r="H94" s="82"/>
      <x:c r="I94" s="82"/>
      <x:c r="J94" s="82"/>
      <x:c r="K94" s="68"/>
      <x:c r="L94" s="68"/>
      <x:c r="M94" s="68"/>
      <x:c r="N94" s="68"/>
      <x:c r="O94" s="68"/>
      <x:c r="P94" s="68"/>
      <x:c r="Q94" s="90"/>
      <x:c r="R94" s="68"/>
      <x:c r="S94" s="68"/>
      <x:c r="T94" s="68"/>
      <x:c r="U94" s="68"/>
      <x:c r="V94" s="84"/>
      <x:c r="W94" s="82"/>
      <x:c r="X94" s="82"/>
      <x:c r="Y94" s="68"/>
      <x:c r="Z94" s="84"/>
      <x:c r="AA94" s="84"/>
      <x:c r="AB94" s="82"/>
      <x:c r="AC94" s="82"/>
      <x:c r="AD94" s="68"/>
      <x:c r="AE94" s="68"/>
      <x:c r="AF94" s="90"/>
      <x:c r="AG94" s="82"/>
      <x:c r="AH94" s="82"/>
      <x:c r="AI94" s="87"/>
    </x:row>
    <x:row r="95">
      <x:c r="A95" s="72" t="str">
        <x:f>IF(OR(C95="",D95=""),"",B95&amp;"-"&amp;UPPER(C95)&amp;"-"&amp;TEXT(D95,"0000")&amp;"-"&amp;E95)</x:f>
      </x:c>
      <x:c r="B95" s="74" t="str">
        <x:v>M17</x:v>
      </x:c>
      <x:c r="C95" s="74"/>
      <x:c r="D95" s="79"/>
      <x:c r="E95" s="74" t="str">
        <x:v>V1.0</x:v>
      </x:c>
      <x:c r="F95" s="68"/>
      <x:c r="G95" s="82"/>
      <x:c r="H95" s="82"/>
      <x:c r="I95" s="82"/>
      <x:c r="J95" s="82"/>
      <x:c r="K95" s="68"/>
      <x:c r="L95" s="68"/>
      <x:c r="M95" s="68"/>
      <x:c r="N95" s="68"/>
      <x:c r="O95" s="68"/>
      <x:c r="P95" s="68"/>
      <x:c r="Q95" s="90"/>
      <x:c r="R95" s="68"/>
      <x:c r="S95" s="68"/>
      <x:c r="T95" s="68"/>
      <x:c r="U95" s="68"/>
      <x:c r="V95" s="84"/>
      <x:c r="W95" s="82"/>
      <x:c r="X95" s="82"/>
      <x:c r="Y95" s="68"/>
      <x:c r="Z95" s="84"/>
      <x:c r="AA95" s="84"/>
      <x:c r="AB95" s="82"/>
      <x:c r="AC95" s="82"/>
      <x:c r="AD95" s="68"/>
      <x:c r="AE95" s="68"/>
      <x:c r="AF95" s="90"/>
      <x:c r="AG95" s="82"/>
      <x:c r="AH95" s="82"/>
      <x:c r="AI95" s="87"/>
    </x:row>
    <x:row r="96">
      <x:c r="A96" s="72" t="str">
        <x:f>IF(OR(C96="",D96=""),"",B96&amp;"-"&amp;UPPER(C96)&amp;"-"&amp;TEXT(D96,"0000")&amp;"-"&amp;E96)</x:f>
      </x:c>
      <x:c r="B96" s="74" t="str">
        <x:v>M17</x:v>
      </x:c>
      <x:c r="C96" s="74"/>
      <x:c r="D96" s="79"/>
      <x:c r="E96" s="74" t="str">
        <x:v>V1.0</x:v>
      </x:c>
      <x:c r="F96" s="68"/>
      <x:c r="G96" s="82"/>
      <x:c r="H96" s="82"/>
      <x:c r="I96" s="82"/>
      <x:c r="J96" s="82"/>
      <x:c r="K96" s="68"/>
      <x:c r="L96" s="68"/>
      <x:c r="M96" s="68"/>
      <x:c r="N96" s="68"/>
      <x:c r="O96" s="68"/>
      <x:c r="P96" s="68"/>
      <x:c r="Q96" s="90"/>
      <x:c r="R96" s="68"/>
      <x:c r="S96" s="68"/>
      <x:c r="T96" s="68"/>
      <x:c r="U96" s="68"/>
      <x:c r="V96" s="84"/>
      <x:c r="W96" s="82"/>
      <x:c r="X96" s="82"/>
      <x:c r="Y96" s="68"/>
      <x:c r="Z96" s="84"/>
      <x:c r="AA96" s="84"/>
      <x:c r="AB96" s="82"/>
      <x:c r="AC96" s="82"/>
      <x:c r="AD96" s="68"/>
      <x:c r="AE96" s="68"/>
      <x:c r="AF96" s="90"/>
      <x:c r="AG96" s="82"/>
      <x:c r="AH96" s="82"/>
      <x:c r="AI96" s="87"/>
    </x:row>
    <x:row r="97">
      <x:c r="A97" s="72" t="str">
        <x:f>IF(OR(C97="",D97=""),"",B97&amp;"-"&amp;UPPER(C97)&amp;"-"&amp;TEXT(D97,"0000")&amp;"-"&amp;E97)</x:f>
      </x:c>
      <x:c r="B97" s="74" t="str">
        <x:v>M17</x:v>
      </x:c>
      <x:c r="C97" s="74"/>
      <x:c r="D97" s="79"/>
      <x:c r="E97" s="74" t="str">
        <x:v>V1.0</x:v>
      </x:c>
      <x:c r="F97" s="68"/>
      <x:c r="G97" s="82"/>
      <x:c r="H97" s="82"/>
      <x:c r="I97" s="82"/>
      <x:c r="J97" s="82"/>
      <x:c r="K97" s="68"/>
      <x:c r="L97" s="68"/>
      <x:c r="M97" s="68"/>
      <x:c r="N97" s="68"/>
      <x:c r="O97" s="68"/>
      <x:c r="P97" s="68"/>
      <x:c r="Q97" s="90"/>
      <x:c r="R97" s="68"/>
      <x:c r="S97" s="68"/>
      <x:c r="T97" s="68"/>
      <x:c r="U97" s="68"/>
      <x:c r="V97" s="84"/>
      <x:c r="W97" s="82"/>
      <x:c r="X97" s="82"/>
      <x:c r="Y97" s="68"/>
      <x:c r="Z97" s="84"/>
      <x:c r="AA97" s="84"/>
      <x:c r="AB97" s="82"/>
      <x:c r="AC97" s="82"/>
      <x:c r="AD97" s="68"/>
      <x:c r="AE97" s="68"/>
      <x:c r="AF97" s="90"/>
      <x:c r="AG97" s="82"/>
      <x:c r="AH97" s="82"/>
      <x:c r="AI97" s="87"/>
    </x:row>
    <x:row r="98">
      <x:c r="A98" s="72" t="str">
        <x:f>IF(OR(C98="",D98=""),"",B98&amp;"-"&amp;UPPER(C98)&amp;"-"&amp;TEXT(D98,"0000")&amp;"-"&amp;E98)</x:f>
      </x:c>
      <x:c r="B98" s="74" t="str">
        <x:v>M17</x:v>
      </x:c>
      <x:c r="C98" s="74"/>
      <x:c r="D98" s="79"/>
      <x:c r="E98" s="74" t="str">
        <x:v>V1.0</x:v>
      </x:c>
      <x:c r="F98" s="68"/>
      <x:c r="G98" s="82"/>
      <x:c r="H98" s="82"/>
      <x:c r="I98" s="82"/>
      <x:c r="J98" s="82"/>
      <x:c r="K98" s="68"/>
      <x:c r="L98" s="68"/>
      <x:c r="M98" s="68"/>
      <x:c r="N98" s="68"/>
      <x:c r="O98" s="68"/>
      <x:c r="P98" s="68"/>
      <x:c r="Q98" s="90"/>
      <x:c r="R98" s="68"/>
      <x:c r="S98" s="68"/>
      <x:c r="T98" s="68"/>
      <x:c r="U98" s="68"/>
      <x:c r="V98" s="84"/>
      <x:c r="W98" s="82"/>
      <x:c r="X98" s="82"/>
      <x:c r="Y98" s="68"/>
      <x:c r="Z98" s="84"/>
      <x:c r="AA98" s="84"/>
      <x:c r="AB98" s="82"/>
      <x:c r="AC98" s="82"/>
      <x:c r="AD98" s="68"/>
      <x:c r="AE98" s="68"/>
      <x:c r="AF98" s="90"/>
      <x:c r="AG98" s="82"/>
      <x:c r="AH98" s="82"/>
      <x:c r="AI98" s="87"/>
    </x:row>
    <x:row r="99">
      <x:c r="A99" s="72" t="str">
        <x:f>IF(OR(C99="",D99=""),"",B99&amp;"-"&amp;UPPER(C99)&amp;"-"&amp;TEXT(D99,"0000")&amp;"-"&amp;E99)</x:f>
      </x:c>
      <x:c r="B99" s="74" t="str">
        <x:v>M17</x:v>
      </x:c>
      <x:c r="C99" s="74"/>
      <x:c r="D99" s="79"/>
      <x:c r="E99" s="74" t="str">
        <x:v>V1.0</x:v>
      </x:c>
      <x:c r="F99" s="68"/>
      <x:c r="G99" s="82"/>
      <x:c r="H99" s="82"/>
      <x:c r="I99" s="82"/>
      <x:c r="J99" s="82"/>
      <x:c r="K99" s="68"/>
      <x:c r="L99" s="68"/>
      <x:c r="M99" s="68"/>
      <x:c r="N99" s="68"/>
      <x:c r="O99" s="68"/>
      <x:c r="P99" s="68"/>
      <x:c r="Q99" s="90"/>
      <x:c r="R99" s="68"/>
      <x:c r="S99" s="68"/>
      <x:c r="T99" s="68"/>
      <x:c r="U99" s="68"/>
      <x:c r="V99" s="84"/>
      <x:c r="W99" s="82"/>
      <x:c r="X99" s="82"/>
      <x:c r="Y99" s="68"/>
      <x:c r="Z99" s="84"/>
      <x:c r="AA99" s="84"/>
      <x:c r="AB99" s="82"/>
      <x:c r="AC99" s="82"/>
      <x:c r="AD99" s="68"/>
      <x:c r="AE99" s="68"/>
      <x:c r="AF99" s="90"/>
      <x:c r="AG99" s="82"/>
      <x:c r="AH99" s="82"/>
      <x:c r="AI99" s="87"/>
    </x:row>
    <x:row r="100">
      <x:c r="A100" s="72" t="str">
        <x:f>IF(OR(C100="",D100=""),"",B100&amp;"-"&amp;UPPER(C100)&amp;"-"&amp;TEXT(D100,"0000")&amp;"-"&amp;E100)</x:f>
      </x:c>
      <x:c r="B100" s="74" t="str">
        <x:v>M17</x:v>
      </x:c>
      <x:c r="C100" s="74"/>
      <x:c r="D100" s="79"/>
      <x:c r="E100" s="74" t="str">
        <x:v>V1.0</x:v>
      </x:c>
      <x:c r="F100" s="68"/>
      <x:c r="G100" s="82"/>
      <x:c r="H100" s="82"/>
      <x:c r="I100" s="82"/>
      <x:c r="J100" s="82"/>
      <x:c r="K100" s="68"/>
      <x:c r="L100" s="68"/>
      <x:c r="M100" s="68"/>
      <x:c r="N100" s="68"/>
      <x:c r="O100" s="68"/>
      <x:c r="P100" s="68"/>
      <x:c r="Q100" s="90"/>
      <x:c r="R100" s="68"/>
      <x:c r="S100" s="68"/>
      <x:c r="T100" s="68"/>
      <x:c r="U100" s="68"/>
      <x:c r="V100" s="84"/>
      <x:c r="W100" s="82"/>
      <x:c r="X100" s="82"/>
      <x:c r="Y100" s="68"/>
      <x:c r="Z100" s="84"/>
      <x:c r="AA100" s="84"/>
      <x:c r="AB100" s="82"/>
      <x:c r="AC100" s="82"/>
      <x:c r="AD100" s="68"/>
      <x:c r="AE100" s="68"/>
      <x:c r="AF100" s="90"/>
      <x:c r="AG100" s="82"/>
      <x:c r="AH100" s="82"/>
      <x:c r="AI100" s="87"/>
    </x:row>
    <x:row r="101">
      <x:c r="A101" s="72" t="str">
        <x:f>IF(OR(C101="",D101=""),"",B101&amp;"-"&amp;UPPER(C101)&amp;"-"&amp;TEXT(D101,"0000")&amp;"-"&amp;E101)</x:f>
      </x:c>
      <x:c r="B101" s="74" t="str">
        <x:v>M17</x:v>
      </x:c>
      <x:c r="C101" s="74"/>
      <x:c r="D101" s="79"/>
      <x:c r="E101" s="74" t="str">
        <x:v>V1.0</x:v>
      </x:c>
      <x:c r="F101" s="68"/>
      <x:c r="G101" s="82"/>
      <x:c r="H101" s="82"/>
      <x:c r="I101" s="82"/>
      <x:c r="J101" s="82"/>
      <x:c r="K101" s="68"/>
      <x:c r="L101" s="68"/>
      <x:c r="M101" s="68"/>
      <x:c r="N101" s="68"/>
      <x:c r="O101" s="68"/>
      <x:c r="P101" s="68"/>
      <x:c r="Q101" s="90"/>
      <x:c r="R101" s="68"/>
      <x:c r="S101" s="68"/>
      <x:c r="T101" s="68"/>
      <x:c r="U101" s="68"/>
      <x:c r="V101" s="84"/>
      <x:c r="W101" s="82"/>
      <x:c r="X101" s="82"/>
      <x:c r="Y101" s="68"/>
      <x:c r="Z101" s="84"/>
      <x:c r="AA101" s="84"/>
      <x:c r="AB101" s="82"/>
      <x:c r="AC101" s="82"/>
      <x:c r="AD101" s="68"/>
      <x:c r="AE101" s="68"/>
      <x:c r="AF101" s="90"/>
      <x:c r="AG101" s="82"/>
      <x:c r="AH101" s="82"/>
      <x:c r="AI101" s="87"/>
    </x:row>
    <x:row r="102">
      <x:c r="A102" s="72" t="str">
        <x:f>IF(OR(C102="",D102=""),"",B102&amp;"-"&amp;UPPER(C102)&amp;"-"&amp;TEXT(D102,"0000")&amp;"-"&amp;E102)</x:f>
      </x:c>
      <x:c r="B102" s="74" t="str">
        <x:v>M17</x:v>
      </x:c>
      <x:c r="C102" s="74"/>
      <x:c r="D102" s="79"/>
      <x:c r="E102" s="74" t="str">
        <x:v>V1.0</x:v>
      </x:c>
      <x:c r="F102" s="68"/>
      <x:c r="G102" s="82"/>
      <x:c r="H102" s="82"/>
      <x:c r="I102" s="82"/>
      <x:c r="J102" s="82"/>
      <x:c r="K102" s="68"/>
      <x:c r="L102" s="68"/>
      <x:c r="M102" s="68"/>
      <x:c r="N102" s="68"/>
      <x:c r="O102" s="68"/>
      <x:c r="P102" s="68"/>
      <x:c r="Q102" s="90"/>
      <x:c r="R102" s="68"/>
      <x:c r="S102" s="68"/>
      <x:c r="T102" s="68"/>
      <x:c r="U102" s="68"/>
      <x:c r="V102" s="84"/>
      <x:c r="W102" s="82"/>
      <x:c r="X102" s="82"/>
      <x:c r="Y102" s="68"/>
      <x:c r="Z102" s="84"/>
      <x:c r="AA102" s="84"/>
      <x:c r="AB102" s="82"/>
      <x:c r="AC102" s="82"/>
      <x:c r="AD102" s="68"/>
      <x:c r="AE102" s="68"/>
      <x:c r="AF102" s="90"/>
      <x:c r="AG102" s="82"/>
      <x:c r="AH102" s="82"/>
      <x:c r="AI102" s="87"/>
    </x:row>
    <x:row r="103">
      <x:c r="A103" s="72" t="str">
        <x:f>IF(OR(C103="",D103=""),"",B103&amp;"-"&amp;UPPER(C103)&amp;"-"&amp;TEXT(D103,"0000")&amp;"-"&amp;E103)</x:f>
      </x:c>
      <x:c r="B103" s="74" t="str">
        <x:v>M17</x:v>
      </x:c>
      <x:c r="C103" s="74"/>
      <x:c r="D103" s="79"/>
      <x:c r="E103" s="74" t="str">
        <x:v>V1.0</x:v>
      </x:c>
      <x:c r="F103" s="68"/>
      <x:c r="G103" s="82"/>
      <x:c r="H103" s="82"/>
      <x:c r="I103" s="82"/>
      <x:c r="J103" s="82"/>
      <x:c r="K103" s="68"/>
      <x:c r="L103" s="68"/>
      <x:c r="M103" s="68"/>
      <x:c r="N103" s="68"/>
      <x:c r="O103" s="68"/>
      <x:c r="P103" s="68"/>
      <x:c r="Q103" s="90"/>
      <x:c r="R103" s="68"/>
      <x:c r="S103" s="68"/>
      <x:c r="T103" s="68"/>
      <x:c r="U103" s="68"/>
      <x:c r="V103" s="84"/>
      <x:c r="W103" s="82"/>
      <x:c r="X103" s="82"/>
      <x:c r="Y103" s="68"/>
      <x:c r="Z103" s="84"/>
      <x:c r="AA103" s="84"/>
      <x:c r="AB103" s="82"/>
      <x:c r="AC103" s="82"/>
      <x:c r="AD103" s="68"/>
      <x:c r="AE103" s="68"/>
      <x:c r="AF103" s="90"/>
      <x:c r="AG103" s="82"/>
      <x:c r="AH103" s="82"/>
      <x:c r="AI103" s="87"/>
    </x:row>
    <x:row r="104">
      <x:c r="A104" s="72" t="str">
        <x:f>IF(OR(C104="",D104=""),"",B104&amp;"-"&amp;UPPER(C104)&amp;"-"&amp;TEXT(D104,"0000")&amp;"-"&amp;E104)</x:f>
      </x:c>
      <x:c r="B104" s="74" t="str">
        <x:v>M17</x:v>
      </x:c>
      <x:c r="C104" s="74"/>
      <x:c r="D104" s="79"/>
      <x:c r="E104" s="74" t="str">
        <x:v>V1.0</x:v>
      </x:c>
      <x:c r="F104" s="68"/>
      <x:c r="G104" s="82"/>
      <x:c r="H104" s="82"/>
      <x:c r="I104" s="82"/>
      <x:c r="J104" s="82"/>
      <x:c r="K104" s="68"/>
      <x:c r="L104" s="68"/>
      <x:c r="M104" s="68"/>
      <x:c r="N104" s="68"/>
      <x:c r="O104" s="68"/>
      <x:c r="P104" s="68"/>
      <x:c r="Q104" s="90"/>
      <x:c r="R104" s="68"/>
      <x:c r="S104" s="68"/>
      <x:c r="T104" s="68"/>
      <x:c r="U104" s="68"/>
      <x:c r="V104" s="84"/>
      <x:c r="W104" s="82"/>
      <x:c r="X104" s="82"/>
      <x:c r="Y104" s="68"/>
      <x:c r="Z104" s="84"/>
      <x:c r="AA104" s="84"/>
      <x:c r="AB104" s="82"/>
      <x:c r="AC104" s="82"/>
      <x:c r="AD104" s="68"/>
      <x:c r="AE104" s="68"/>
      <x:c r="AF104" s="90"/>
      <x:c r="AG104" s="82"/>
      <x:c r="AH104" s="82"/>
      <x:c r="AI104" s="87"/>
    </x:row>
    <x:row r="105">
      <x:c r="A105" s="72" t="str">
        <x:f>IF(OR(C105="",D105=""),"",B105&amp;"-"&amp;UPPER(C105)&amp;"-"&amp;TEXT(D105,"0000")&amp;"-"&amp;E105)</x:f>
      </x:c>
      <x:c r="B105" s="74" t="str">
        <x:v>M17</x:v>
      </x:c>
      <x:c r="C105" s="74"/>
      <x:c r="D105" s="79"/>
      <x:c r="E105" s="74" t="str">
        <x:v>V1.0</x:v>
      </x:c>
      <x:c r="F105" s="68"/>
      <x:c r="G105" s="82"/>
      <x:c r="H105" s="82"/>
      <x:c r="I105" s="82"/>
      <x:c r="J105" s="82"/>
      <x:c r="K105" s="68"/>
      <x:c r="L105" s="68"/>
      <x:c r="M105" s="68"/>
      <x:c r="N105" s="68"/>
      <x:c r="O105" s="68"/>
      <x:c r="P105" s="68"/>
      <x:c r="Q105" s="90"/>
      <x:c r="R105" s="68"/>
      <x:c r="S105" s="68"/>
      <x:c r="T105" s="68"/>
      <x:c r="U105" s="68"/>
      <x:c r="V105" s="84"/>
      <x:c r="W105" s="82"/>
      <x:c r="X105" s="82"/>
      <x:c r="Y105" s="68"/>
      <x:c r="Z105" s="84"/>
      <x:c r="AA105" s="84"/>
      <x:c r="AB105" s="82"/>
      <x:c r="AC105" s="82"/>
      <x:c r="AD105" s="68"/>
      <x:c r="AE105" s="68"/>
      <x:c r="AF105" s="90"/>
      <x:c r="AG105" s="82"/>
      <x:c r="AH105" s="82"/>
      <x:c r="AI105" s="87"/>
    </x:row>
  </x:sheetData>
  <x:mergeCells>
    <x:mergeCell ref="A1:O1"/>
    <x:mergeCell ref="A2:O2"/>
    <x:mergeCell ref="A3:O3"/>
    <x:mergeCell ref="A4:O4"/>
  </x:mergeCells>
  <x:conditionalFormatting sqref="A6:A105">
    <x:cfRule type="expression" dxfId="15"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'99_下拉选项'!$D$4:$D$8</x:formula1>
    </x:dataValidation>
    <x:dataValidation type="list" sqref="I6:I105">
      <x:formula1>'99_下拉选项'!$Y$4:$Y$13</x:formula1>
    </x:dataValidation>
    <x:dataValidation type="list" sqref="J6:J105">
      <x:formula1>'99_下拉选项'!$AR$4:$AR$9</x:formula1>
    </x:dataValidation>
    <x:dataValidation type="list" sqref="V6:V105">
      <x:formula1>'99_下拉选项'!$AB$4:$AB$12</x:formula1>
    </x:dataValidation>
    <x:dataValidation type="list" sqref="W6:W105">
      <x:formula1>'99_下拉选项'!$AS$4:$AS$9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'99_下拉选项'!$BG$4:$BG$16</x:formula1>
    </x:dataValidation>
  </x:dataValidations>
  <x:pageMargins left="0.7" right="0.7" top="0.75" bottom="0.75" header="0.3" footer="0.3"/>
  <x:tableParts count="1">
    <x:tablePart xmlns:r="http://schemas.openxmlformats.org/officeDocument/2006/relationships" r:id="R6e470eaa4bee4d29"/>
  </x:tableParts>
</x:worksheet>
</file>

<file path=xl/worksheets/sheet1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30" hidden="0" customWidth="1"/>
    <x:col min="11" max="11" width="16" hidden="0" customWidth="1"/>
    <x:col min="12" max="12" width="30" hidden="0" customWidth="1"/>
    <x:col min="13" max="13" width="30" hidden="0" customWidth="1"/>
    <x:col min="14" max="14" width="16"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13" hidden="0" customWidth="1"/>
  </x:cols>
  <x:sheetData>
    <x:row r="1" ht="28" customHeight="1">
      <x:c r="A1" s="32" t="str">
        <x:v>M18｜跨模块冲突裁决与优先级规则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处理扶抑、格局、调候、通关和病药结论冲突。记录硬约束、优先规则、降级规则、反向证据和副作用控制。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前置依赖：M14/M15/M16/M17　｜　主要输出：跨模块裁决、降级与条件性结论　｜　直接下游：M19/M20/M21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冲突主题</x:v>
      </x:c>
      <x:c r="I5" s="61" t="str">
        <x:v>规则A_ID</x:v>
      </x:c>
      <x:c r="J5" s="61" t="str">
        <x:v>规则A结论</x:v>
      </x:c>
      <x:c r="K5" s="61" t="str">
        <x:v>规则B_ID</x:v>
      </x:c>
      <x:c r="L5" s="61" t="str">
        <x:v>规则B结论</x:v>
      </x:c>
      <x:c r="M5" s="61" t="str">
        <x:v>冲突情境</x:v>
      </x:c>
      <x:c r="N5" s="61" t="str">
        <x:v>硬约束</x:v>
      </x:c>
      <x:c r="O5" s="61" t="str">
        <x:v>裁决原则</x:v>
      </x:c>
      <x:c r="P5" s="61" t="str">
        <x:v>优先规则</x:v>
      </x:c>
      <x:c r="Q5" s="61" t="str">
        <x:v>降级规则</x:v>
      </x:c>
      <x:c r="R5" s="61" t="str">
        <x:v>裁决结果</x:v>
      </x:c>
      <x:c r="S5" s="61" t="str">
        <x:v>适用条件</x:v>
      </x:c>
      <x:c r="T5" s="61" t="str">
        <x:v>不适用条件</x:v>
      </x:c>
      <x:c r="U5" s="61" t="str">
        <x:v>反向证据</x:v>
      </x:c>
      <x:c r="V5" s="61" t="str">
        <x:v>例外条件</x:v>
      </x:c>
      <x:c r="W5" s="61" t="str">
        <x:v>副作用控制</x:v>
      </x:c>
      <x:c r="X5" s="61" t="str">
        <x:v>结论标签</x:v>
      </x:c>
      <x:c r="Y5" s="61" t="str">
        <x:v>标准输出</x:v>
      </x:c>
      <x:c r="Z5" s="61" t="str">
        <x:v>置信等级</x:v>
      </x:c>
      <x:c r="AA5" s="61" t="str">
        <x:v>流派标签</x:v>
      </x:c>
      <x:c r="AB5" s="61" t="str">
        <x:v>依据说明</x:v>
      </x:c>
      <x:c r="AC5" s="61" t="str">
        <x:v>正例</x:v>
      </x:c>
      <x:c r="AD5" s="61" t="str">
        <x:v>反例</x:v>
      </x:c>
      <x:c r="AE5" s="61" t="str">
        <x:v>规则状态</x:v>
      </x:c>
      <x:c r="AF5" s="61" t="str">
        <x:v>审核状态</x:v>
      </x:c>
      <x:c r="AG5" s="61" t="str">
        <x:v>更新日期</x:v>
      </x:c>
    </x:row>
    <x:row r="6" ht="66" customHeight="1">
      <x:c r="A6" s="76" t="str">
        <x:f>IF(OR(C6="",D6=""),"",B6&amp;"-"&amp;UPPER(C6)&amp;"-"&amp;TEXT(D6,"0000")&amp;"-"&amp;E6)</x:f>
        <x:v>M18-DEMO-9999-V0.1</x:v>
      </x:c>
      <x:c r="B6" s="76" t="str">
        <x:v>M18</x:v>
      </x:c>
      <x:c r="C6" s="76" t="str">
        <x:v>DEMO</x:v>
      </x:c>
      <x:c r="D6" s="78" t="n">
        <x:v>9999</x:v>
      </x:c>
      <x:c r="E6" s="76" t="str">
        <x:v>V0.1</x:v>
      </x:c>
      <x:c r="F6" s="76" t="str">
        <x:v>严格特殊格局先作为硬约束审查</x:v>
      </x:c>
      <x:c r="G6" s="76" t="str">
        <x:v>综合层</x:v>
      </x:c>
      <x:c r="H6" s="76" t="str">
        <x:v>特殊格局与普通扶抑冲突</x:v>
      </x:c>
      <x:c r="I6" s="76" t="str">
        <x:v>M14-特殊格局规则</x:v>
      </x:c>
      <x:c r="J6" s="76" t="str">
        <x:v>特殊格局严格成立，宜维护其气势</x:v>
      </x:c>
      <x:c r="K6" s="76" t="str">
        <x:v>M09-普通扶抑规则</x:v>
      </x:c>
      <x:c r="L6" s="76" t="str">
        <x:v>按普通身弱逻辑宜扶身</x:v>
      </x:c>
      <x:c r="M6" s="76" t="str">
        <x:v>从格候选与普通身弱结论并存</x:v>
      </x:c>
      <x:c r="N6" s="76" t="str">
        <x:v>先验证特殊格局是否达到严格成立标准</x:v>
      </x:c>
      <x:c r="O6" s="76" t="str">
        <x:v>严格成立则格局优先；任一关键条件不满足则退回普通格局与扶抑</x:v>
      </x:c>
      <x:c r="P6" s="76" t="str">
        <x:v>特殊格局严格成立规则</x:v>
      </x:c>
      <x:c r="Q6" s="76" t="str">
        <x:v>普通旺衰扶抑与病药综合</x:v>
      </x:c>
      <x:c r="R6" s="76" t="str">
        <x:v>条件裁决</x:v>
      </x:c>
      <x:c r="S6" s="76" t="str">
        <x:v>从格/化气格关键条件完整且无实质逆势</x:v>
      </x:c>
      <x:c r="T6" s="76" t="str">
        <x:v>假从、杂气有根、逆势力量有效</x:v>
      </x:c>
      <x:c r="U6" s="76" t="str">
        <x:v>日主仍有有效根助或逆势十神可独立发挥</x:v>
      </x:c>
      <x:c r="V6" s="76" t="str">
        <x:v>调候若达到生化停顿的极端程度，仍需记录但不得无条件破格</x:v>
      </x:c>
      <x:c r="W6" s="76" t="str">
        <x:v>将冲突五行降为条件性用神并写明触发条件</x:v>
      </x:c>
      <x:c r="X6" s="76" t="str">
        <x:v>用神冲突裁决</x:v>
      </x:c>
      <x:c r="Y6" s="76" t="str">
        <x:v>先审特殊格局是否严格成立；成立则维护格局为硬约束，不成立则退回普通扶抑与病药逻辑。</x:v>
      </x:c>
      <x:c r="Z6" s="76" t="str">
        <x:v>较高</x:v>
      </x:c>
      <x:c r="AA6" s="76" t="str">
        <x:v>现代综合</x:v>
      </x:c>
      <x:c r="AB6" s="76" t="str">
        <x:v>优先级不是固定口诀，而是由严格成立条件决定。</x:v>
      </x:c>
      <x:c r="AC6" s="76" t="str">
        <x:v>真从格与普通身弱扶身冲突时，以真从硬约束优先。</x:v>
      </x:c>
      <x:c r="AD6" s="76" t="str">
        <x:v>未验证从格条件便一概排斥扶身。</x:v>
      </x:c>
      <x:c r="AE6" s="76" t="str">
        <x:v>示例</x:v>
      </x:c>
      <x:c r="AF6" s="76" t="str">
        <x:v>未审核</x:v>
      </x:c>
      <x:c r="AG6" s="86" t="n">
        <x:v>46254</x:v>
      </x:c>
    </x:row>
    <x:row r="7">
      <x:c r="A7" s="72" t="str">
        <x:f>IF(OR(C7="",D7=""),"",B7&amp;"-"&amp;UPPER(C7)&amp;"-"&amp;TEXT(D7,"0000")&amp;"-"&amp;E7)</x:f>
      </x:c>
      <x:c r="B7" s="74" t="str">
        <x:v>M18</x:v>
      </x:c>
      <x:c r="C7" s="74"/>
      <x:c r="D7" s="79"/>
      <x:c r="E7" s="74" t="str">
        <x:v>V1.0</x:v>
      </x:c>
      <x:c r="F7" s="68"/>
      <x:c r="G7" s="82"/>
      <x:c r="H7" s="68"/>
      <x:c r="I7" s="68"/>
      <x:c r="J7" s="68"/>
      <x:c r="K7" s="68"/>
      <x:c r="L7" s="68"/>
      <x:c r="M7" s="68"/>
      <x:c r="N7" s="68"/>
      <x:c r="O7" s="68"/>
      <x:c r="P7" s="68"/>
      <x:c r="Q7" s="68"/>
      <x:c r="R7" s="84"/>
      <x:c r="S7" s="68"/>
      <x:c r="T7" s="68"/>
      <x:c r="U7" s="68"/>
      <x:c r="V7" s="68"/>
      <x:c r="W7" s="90"/>
      <x:c r="X7" s="84"/>
      <x:c r="Y7" s="84"/>
      <x:c r="Z7" s="82"/>
      <x:c r="AA7" s="82"/>
      <x:c r="AB7" s="68"/>
      <x:c r="AC7" s="68"/>
      <x:c r="AD7" s="90"/>
      <x:c r="AE7" s="82"/>
      <x:c r="AF7" s="82"/>
      <x:c r="AG7" s="87"/>
    </x:row>
    <x:row r="8">
      <x:c r="A8" s="72" t="str">
        <x:f>IF(OR(C8="",D8=""),"",B8&amp;"-"&amp;UPPER(C8)&amp;"-"&amp;TEXT(D8,"0000")&amp;"-"&amp;E8)</x:f>
      </x:c>
      <x:c r="B8" s="74" t="str">
        <x:v>M18</x:v>
      </x:c>
      <x:c r="C8" s="74"/>
      <x:c r="D8" s="79"/>
      <x:c r="E8" s="74" t="str">
        <x:v>V1.0</x:v>
      </x:c>
      <x:c r="F8" s="68"/>
      <x:c r="G8" s="82"/>
      <x:c r="H8" s="68"/>
      <x:c r="I8" s="68"/>
      <x:c r="J8" s="68"/>
      <x:c r="K8" s="68"/>
      <x:c r="L8" s="68"/>
      <x:c r="M8" s="68"/>
      <x:c r="N8" s="68"/>
      <x:c r="O8" s="68"/>
      <x:c r="P8" s="68"/>
      <x:c r="Q8" s="68"/>
      <x:c r="R8" s="84"/>
      <x:c r="S8" s="68"/>
      <x:c r="T8" s="68"/>
      <x:c r="U8" s="68"/>
      <x:c r="V8" s="68"/>
      <x:c r="W8" s="90"/>
      <x:c r="X8" s="84"/>
      <x:c r="Y8" s="84"/>
      <x:c r="Z8" s="82"/>
      <x:c r="AA8" s="82"/>
      <x:c r="AB8" s="68"/>
      <x:c r="AC8" s="68"/>
      <x:c r="AD8" s="90"/>
      <x:c r="AE8" s="82"/>
      <x:c r="AF8" s="82"/>
      <x:c r="AG8" s="87"/>
    </x:row>
    <x:row r="9">
      <x:c r="A9" s="72" t="str">
        <x:f>IF(OR(C9="",D9=""),"",B9&amp;"-"&amp;UPPER(C9)&amp;"-"&amp;TEXT(D9,"0000")&amp;"-"&amp;E9)</x:f>
      </x:c>
      <x:c r="B9" s="74" t="str">
        <x:v>M18</x:v>
      </x:c>
      <x:c r="C9" s="74"/>
      <x:c r="D9" s="79"/>
      <x:c r="E9" s="74" t="str">
        <x:v>V1.0</x:v>
      </x:c>
      <x:c r="F9" s="68"/>
      <x:c r="G9" s="82"/>
      <x:c r="H9" s="68"/>
      <x:c r="I9" s="68"/>
      <x:c r="J9" s="68"/>
      <x:c r="K9" s="68"/>
      <x:c r="L9" s="68"/>
      <x:c r="M9" s="68"/>
      <x:c r="N9" s="68"/>
      <x:c r="O9" s="68"/>
      <x:c r="P9" s="68"/>
      <x:c r="Q9" s="68"/>
      <x:c r="R9" s="84"/>
      <x:c r="S9" s="68"/>
      <x:c r="T9" s="68"/>
      <x:c r="U9" s="68"/>
      <x:c r="V9" s="68"/>
      <x:c r="W9" s="90"/>
      <x:c r="X9" s="84"/>
      <x:c r="Y9" s="84"/>
      <x:c r="Z9" s="82"/>
      <x:c r="AA9" s="82"/>
      <x:c r="AB9" s="68"/>
      <x:c r="AC9" s="68"/>
      <x:c r="AD9" s="90"/>
      <x:c r="AE9" s="82"/>
      <x:c r="AF9" s="82"/>
      <x:c r="AG9" s="87"/>
    </x:row>
    <x:row r="10">
      <x:c r="A10" s="72" t="str">
        <x:f>IF(OR(C10="",D10=""),"",B10&amp;"-"&amp;UPPER(C10)&amp;"-"&amp;TEXT(D10,"0000")&amp;"-"&amp;E10)</x:f>
      </x:c>
      <x:c r="B10" s="74" t="str">
        <x:v>M18</x:v>
      </x:c>
      <x:c r="C10" s="74"/>
      <x:c r="D10" s="79"/>
      <x:c r="E10" s="74" t="str">
        <x:v>V1.0</x:v>
      </x:c>
      <x:c r="F10" s="68"/>
      <x:c r="G10" s="82"/>
      <x:c r="H10" s="68"/>
      <x:c r="I10" s="68"/>
      <x:c r="J10" s="68"/>
      <x:c r="K10" s="68"/>
      <x:c r="L10" s="68"/>
      <x:c r="M10" s="68"/>
      <x:c r="N10" s="68"/>
      <x:c r="O10" s="68"/>
      <x:c r="P10" s="68"/>
      <x:c r="Q10" s="68"/>
      <x:c r="R10" s="84"/>
      <x:c r="S10" s="68"/>
      <x:c r="T10" s="68"/>
      <x:c r="U10" s="68"/>
      <x:c r="V10" s="68"/>
      <x:c r="W10" s="90"/>
      <x:c r="X10" s="84"/>
      <x:c r="Y10" s="84"/>
      <x:c r="Z10" s="82"/>
      <x:c r="AA10" s="82"/>
      <x:c r="AB10" s="68"/>
      <x:c r="AC10" s="68"/>
      <x:c r="AD10" s="90"/>
      <x:c r="AE10" s="82"/>
      <x:c r="AF10" s="82"/>
      <x:c r="AG10" s="87"/>
    </x:row>
    <x:row r="11">
      <x:c r="A11" s="72" t="str">
        <x:f>IF(OR(C11="",D11=""),"",B11&amp;"-"&amp;UPPER(C11)&amp;"-"&amp;TEXT(D11,"0000")&amp;"-"&amp;E11)</x:f>
      </x:c>
      <x:c r="B11" s="74" t="str">
        <x:v>M18</x:v>
      </x:c>
      <x:c r="C11" s="74"/>
      <x:c r="D11" s="79"/>
      <x:c r="E11" s="74" t="str">
        <x:v>V1.0</x:v>
      </x:c>
      <x:c r="F11" s="68"/>
      <x:c r="G11" s="82"/>
      <x:c r="H11" s="68"/>
      <x:c r="I11" s="68"/>
      <x:c r="J11" s="68"/>
      <x:c r="K11" s="68"/>
      <x:c r="L11" s="68"/>
      <x:c r="M11" s="68"/>
      <x:c r="N11" s="68"/>
      <x:c r="O11" s="68"/>
      <x:c r="P11" s="68"/>
      <x:c r="Q11" s="68"/>
      <x:c r="R11" s="84"/>
      <x:c r="S11" s="68"/>
      <x:c r="T11" s="68"/>
      <x:c r="U11" s="68"/>
      <x:c r="V11" s="68"/>
      <x:c r="W11" s="90"/>
      <x:c r="X11" s="84"/>
      <x:c r="Y11" s="84"/>
      <x:c r="Z11" s="82"/>
      <x:c r="AA11" s="82"/>
      <x:c r="AB11" s="68"/>
      <x:c r="AC11" s="68"/>
      <x:c r="AD11" s="90"/>
      <x:c r="AE11" s="82"/>
      <x:c r="AF11" s="82"/>
      <x:c r="AG11" s="87"/>
    </x:row>
    <x:row r="12">
      <x:c r="A12" s="72" t="str">
        <x:f>IF(OR(C12="",D12=""),"",B12&amp;"-"&amp;UPPER(C12)&amp;"-"&amp;TEXT(D12,"0000")&amp;"-"&amp;E12)</x:f>
      </x:c>
      <x:c r="B12" s="74" t="str">
        <x:v>M18</x:v>
      </x:c>
      <x:c r="C12" s="74"/>
      <x:c r="D12" s="79"/>
      <x:c r="E12" s="74" t="str">
        <x:v>V1.0</x:v>
      </x:c>
      <x:c r="F12" s="68"/>
      <x:c r="G12" s="82"/>
      <x:c r="H12" s="68"/>
      <x:c r="I12" s="68"/>
      <x:c r="J12" s="68"/>
      <x:c r="K12" s="68"/>
      <x:c r="L12" s="68"/>
      <x:c r="M12" s="68"/>
      <x:c r="N12" s="68"/>
      <x:c r="O12" s="68"/>
      <x:c r="P12" s="68"/>
      <x:c r="Q12" s="68"/>
      <x:c r="R12" s="84"/>
      <x:c r="S12" s="68"/>
      <x:c r="T12" s="68"/>
      <x:c r="U12" s="68"/>
      <x:c r="V12" s="68"/>
      <x:c r="W12" s="90"/>
      <x:c r="X12" s="84"/>
      <x:c r="Y12" s="84"/>
      <x:c r="Z12" s="82"/>
      <x:c r="AA12" s="82"/>
      <x:c r="AB12" s="68"/>
      <x:c r="AC12" s="68"/>
      <x:c r="AD12" s="90"/>
      <x:c r="AE12" s="82"/>
      <x:c r="AF12" s="82"/>
      <x:c r="AG12" s="87"/>
    </x:row>
    <x:row r="13">
      <x:c r="A13" s="72" t="str">
        <x:f>IF(OR(C13="",D13=""),"",B13&amp;"-"&amp;UPPER(C13)&amp;"-"&amp;TEXT(D13,"0000")&amp;"-"&amp;E13)</x:f>
      </x:c>
      <x:c r="B13" s="74" t="str">
        <x:v>M18</x:v>
      </x:c>
      <x:c r="C13" s="74"/>
      <x:c r="D13" s="79"/>
      <x:c r="E13" s="74" t="str">
        <x:v>V1.0</x:v>
      </x:c>
      <x:c r="F13" s="68"/>
      <x:c r="G13" s="82"/>
      <x:c r="H13" s="68"/>
      <x:c r="I13" s="68"/>
      <x:c r="J13" s="68"/>
      <x:c r="K13" s="68"/>
      <x:c r="L13" s="68"/>
      <x:c r="M13" s="68"/>
      <x:c r="N13" s="68"/>
      <x:c r="O13" s="68"/>
      <x:c r="P13" s="68"/>
      <x:c r="Q13" s="68"/>
      <x:c r="R13" s="84"/>
      <x:c r="S13" s="68"/>
      <x:c r="T13" s="68"/>
      <x:c r="U13" s="68"/>
      <x:c r="V13" s="68"/>
      <x:c r="W13" s="90"/>
      <x:c r="X13" s="84"/>
      <x:c r="Y13" s="84"/>
      <x:c r="Z13" s="82"/>
      <x:c r="AA13" s="82"/>
      <x:c r="AB13" s="68"/>
      <x:c r="AC13" s="68"/>
      <x:c r="AD13" s="90"/>
      <x:c r="AE13" s="82"/>
      <x:c r="AF13" s="82"/>
      <x:c r="AG13" s="87"/>
    </x:row>
    <x:row r="14">
      <x:c r="A14" s="72" t="str">
        <x:f>IF(OR(C14="",D14=""),"",B14&amp;"-"&amp;UPPER(C14)&amp;"-"&amp;TEXT(D14,"0000")&amp;"-"&amp;E14)</x:f>
      </x:c>
      <x:c r="B14" s="74" t="str">
        <x:v>M18</x:v>
      </x:c>
      <x:c r="C14" s="74"/>
      <x:c r="D14" s="79"/>
      <x:c r="E14" s="74" t="str">
        <x:v>V1.0</x:v>
      </x:c>
      <x:c r="F14" s="68"/>
      <x:c r="G14" s="82"/>
      <x:c r="H14" s="68"/>
      <x:c r="I14" s="68"/>
      <x:c r="J14" s="68"/>
      <x:c r="K14" s="68"/>
      <x:c r="L14" s="68"/>
      <x:c r="M14" s="68"/>
      <x:c r="N14" s="68"/>
      <x:c r="O14" s="68"/>
      <x:c r="P14" s="68"/>
      <x:c r="Q14" s="68"/>
      <x:c r="R14" s="84"/>
      <x:c r="S14" s="68"/>
      <x:c r="T14" s="68"/>
      <x:c r="U14" s="68"/>
      <x:c r="V14" s="68"/>
      <x:c r="W14" s="90"/>
      <x:c r="X14" s="84"/>
      <x:c r="Y14" s="84"/>
      <x:c r="Z14" s="82"/>
      <x:c r="AA14" s="82"/>
      <x:c r="AB14" s="68"/>
      <x:c r="AC14" s="68"/>
      <x:c r="AD14" s="90"/>
      <x:c r="AE14" s="82"/>
      <x:c r="AF14" s="82"/>
      <x:c r="AG14" s="87"/>
    </x:row>
    <x:row r="15">
      <x:c r="A15" s="72" t="str">
        <x:f>IF(OR(C15="",D15=""),"",B15&amp;"-"&amp;UPPER(C15)&amp;"-"&amp;TEXT(D15,"0000")&amp;"-"&amp;E15)</x:f>
      </x:c>
      <x:c r="B15" s="74" t="str">
        <x:v>M18</x:v>
      </x:c>
      <x:c r="C15" s="74"/>
      <x:c r="D15" s="79"/>
      <x:c r="E15" s="74" t="str">
        <x:v>V1.0</x:v>
      </x:c>
      <x:c r="F15" s="68"/>
      <x:c r="G15" s="82"/>
      <x:c r="H15" s="68"/>
      <x:c r="I15" s="68"/>
      <x:c r="J15" s="68"/>
      <x:c r="K15" s="68"/>
      <x:c r="L15" s="68"/>
      <x:c r="M15" s="68"/>
      <x:c r="N15" s="68"/>
      <x:c r="O15" s="68"/>
      <x:c r="P15" s="68"/>
      <x:c r="Q15" s="68"/>
      <x:c r="R15" s="84"/>
      <x:c r="S15" s="68"/>
      <x:c r="T15" s="68"/>
      <x:c r="U15" s="68"/>
      <x:c r="V15" s="68"/>
      <x:c r="W15" s="90"/>
      <x:c r="X15" s="84"/>
      <x:c r="Y15" s="84"/>
      <x:c r="Z15" s="82"/>
      <x:c r="AA15" s="82"/>
      <x:c r="AB15" s="68"/>
      <x:c r="AC15" s="68"/>
      <x:c r="AD15" s="90"/>
      <x:c r="AE15" s="82"/>
      <x:c r="AF15" s="82"/>
      <x:c r="AG15" s="87"/>
    </x:row>
    <x:row r="16">
      <x:c r="A16" s="72" t="str">
        <x:f>IF(OR(C16="",D16=""),"",B16&amp;"-"&amp;UPPER(C16)&amp;"-"&amp;TEXT(D16,"0000")&amp;"-"&amp;E16)</x:f>
      </x:c>
      <x:c r="B16" s="74" t="str">
        <x:v>M18</x:v>
      </x:c>
      <x:c r="C16" s="74"/>
      <x:c r="D16" s="79"/>
      <x:c r="E16" s="74" t="str">
        <x:v>V1.0</x:v>
      </x:c>
      <x:c r="F16" s="68"/>
      <x:c r="G16" s="82"/>
      <x:c r="H16" s="68"/>
      <x:c r="I16" s="68"/>
      <x:c r="J16" s="68"/>
      <x:c r="K16" s="68"/>
      <x:c r="L16" s="68"/>
      <x:c r="M16" s="68"/>
      <x:c r="N16" s="68"/>
      <x:c r="O16" s="68"/>
      <x:c r="P16" s="68"/>
      <x:c r="Q16" s="68"/>
      <x:c r="R16" s="84"/>
      <x:c r="S16" s="68"/>
      <x:c r="T16" s="68"/>
      <x:c r="U16" s="68"/>
      <x:c r="V16" s="68"/>
      <x:c r="W16" s="90"/>
      <x:c r="X16" s="84"/>
      <x:c r="Y16" s="84"/>
      <x:c r="Z16" s="82"/>
      <x:c r="AA16" s="82"/>
      <x:c r="AB16" s="68"/>
      <x:c r="AC16" s="68"/>
      <x:c r="AD16" s="90"/>
      <x:c r="AE16" s="82"/>
      <x:c r="AF16" s="82"/>
      <x:c r="AG16" s="87"/>
    </x:row>
    <x:row r="17">
      <x:c r="A17" s="72" t="str">
        <x:f>IF(OR(C17="",D17=""),"",B17&amp;"-"&amp;UPPER(C17)&amp;"-"&amp;TEXT(D17,"0000")&amp;"-"&amp;E17)</x:f>
      </x:c>
      <x:c r="B17" s="74" t="str">
        <x:v>M18</x:v>
      </x:c>
      <x:c r="C17" s="74"/>
      <x:c r="D17" s="79"/>
      <x:c r="E17" s="74" t="str">
        <x:v>V1.0</x:v>
      </x:c>
      <x:c r="F17" s="68"/>
      <x:c r="G17" s="82"/>
      <x:c r="H17" s="68"/>
      <x:c r="I17" s="68"/>
      <x:c r="J17" s="68"/>
      <x:c r="K17" s="68"/>
      <x:c r="L17" s="68"/>
      <x:c r="M17" s="68"/>
      <x:c r="N17" s="68"/>
      <x:c r="O17" s="68"/>
      <x:c r="P17" s="68"/>
      <x:c r="Q17" s="68"/>
      <x:c r="R17" s="84"/>
      <x:c r="S17" s="68"/>
      <x:c r="T17" s="68"/>
      <x:c r="U17" s="68"/>
      <x:c r="V17" s="68"/>
      <x:c r="W17" s="90"/>
      <x:c r="X17" s="84"/>
      <x:c r="Y17" s="84"/>
      <x:c r="Z17" s="82"/>
      <x:c r="AA17" s="82"/>
      <x:c r="AB17" s="68"/>
      <x:c r="AC17" s="68"/>
      <x:c r="AD17" s="90"/>
      <x:c r="AE17" s="82"/>
      <x:c r="AF17" s="82"/>
      <x:c r="AG17" s="87"/>
    </x:row>
    <x:row r="18">
      <x:c r="A18" s="72" t="str">
        <x:f>IF(OR(C18="",D18=""),"",B18&amp;"-"&amp;UPPER(C18)&amp;"-"&amp;TEXT(D18,"0000")&amp;"-"&amp;E18)</x:f>
      </x:c>
      <x:c r="B18" s="74" t="str">
        <x:v>M18</x:v>
      </x:c>
      <x:c r="C18" s="74"/>
      <x:c r="D18" s="79"/>
      <x:c r="E18" s="74" t="str">
        <x:v>V1.0</x:v>
      </x:c>
      <x:c r="F18" s="68"/>
      <x:c r="G18" s="82"/>
      <x:c r="H18" s="68"/>
      <x:c r="I18" s="68"/>
      <x:c r="J18" s="68"/>
      <x:c r="K18" s="68"/>
      <x:c r="L18" s="68"/>
      <x:c r="M18" s="68"/>
      <x:c r="N18" s="68"/>
      <x:c r="O18" s="68"/>
      <x:c r="P18" s="68"/>
      <x:c r="Q18" s="68"/>
      <x:c r="R18" s="84"/>
      <x:c r="S18" s="68"/>
      <x:c r="T18" s="68"/>
      <x:c r="U18" s="68"/>
      <x:c r="V18" s="68"/>
      <x:c r="W18" s="90"/>
      <x:c r="X18" s="84"/>
      <x:c r="Y18" s="84"/>
      <x:c r="Z18" s="82"/>
      <x:c r="AA18" s="82"/>
      <x:c r="AB18" s="68"/>
      <x:c r="AC18" s="68"/>
      <x:c r="AD18" s="90"/>
      <x:c r="AE18" s="82"/>
      <x:c r="AF18" s="82"/>
      <x:c r="AG18" s="87"/>
    </x:row>
    <x:row r="19">
      <x:c r="A19" s="72" t="str">
        <x:f>IF(OR(C19="",D19=""),"",B19&amp;"-"&amp;UPPER(C19)&amp;"-"&amp;TEXT(D19,"0000")&amp;"-"&amp;E19)</x:f>
      </x:c>
      <x:c r="B19" s="74" t="str">
        <x:v>M18</x:v>
      </x:c>
      <x:c r="C19" s="74"/>
      <x:c r="D19" s="79"/>
      <x:c r="E19" s="74" t="str">
        <x:v>V1.0</x:v>
      </x:c>
      <x:c r="F19" s="68"/>
      <x:c r="G19" s="82"/>
      <x:c r="H19" s="68"/>
      <x:c r="I19" s="68"/>
      <x:c r="J19" s="68"/>
      <x:c r="K19" s="68"/>
      <x:c r="L19" s="68"/>
      <x:c r="M19" s="68"/>
      <x:c r="N19" s="68"/>
      <x:c r="O19" s="68"/>
      <x:c r="P19" s="68"/>
      <x:c r="Q19" s="68"/>
      <x:c r="R19" s="84"/>
      <x:c r="S19" s="68"/>
      <x:c r="T19" s="68"/>
      <x:c r="U19" s="68"/>
      <x:c r="V19" s="68"/>
      <x:c r="W19" s="90"/>
      <x:c r="X19" s="84"/>
      <x:c r="Y19" s="84"/>
      <x:c r="Z19" s="82"/>
      <x:c r="AA19" s="82"/>
      <x:c r="AB19" s="68"/>
      <x:c r="AC19" s="68"/>
      <x:c r="AD19" s="90"/>
      <x:c r="AE19" s="82"/>
      <x:c r="AF19" s="82"/>
      <x:c r="AG19" s="87"/>
    </x:row>
    <x:row r="20">
      <x:c r="A20" s="72" t="str">
        <x:f>IF(OR(C20="",D20=""),"",B20&amp;"-"&amp;UPPER(C20)&amp;"-"&amp;TEXT(D20,"0000")&amp;"-"&amp;E20)</x:f>
      </x:c>
      <x:c r="B20" s="74" t="str">
        <x:v>M18</x:v>
      </x:c>
      <x:c r="C20" s="74"/>
      <x:c r="D20" s="79"/>
      <x:c r="E20" s="74" t="str">
        <x:v>V1.0</x:v>
      </x:c>
      <x:c r="F20" s="68"/>
      <x:c r="G20" s="82"/>
      <x:c r="H20" s="68"/>
      <x:c r="I20" s="68"/>
      <x:c r="J20" s="68"/>
      <x:c r="K20" s="68"/>
      <x:c r="L20" s="68"/>
      <x:c r="M20" s="68"/>
      <x:c r="N20" s="68"/>
      <x:c r="O20" s="68"/>
      <x:c r="P20" s="68"/>
      <x:c r="Q20" s="68"/>
      <x:c r="R20" s="84"/>
      <x:c r="S20" s="68"/>
      <x:c r="T20" s="68"/>
      <x:c r="U20" s="68"/>
      <x:c r="V20" s="68"/>
      <x:c r="W20" s="90"/>
      <x:c r="X20" s="84"/>
      <x:c r="Y20" s="84"/>
      <x:c r="Z20" s="82"/>
      <x:c r="AA20" s="82"/>
      <x:c r="AB20" s="68"/>
      <x:c r="AC20" s="68"/>
      <x:c r="AD20" s="90"/>
      <x:c r="AE20" s="82"/>
      <x:c r="AF20" s="82"/>
      <x:c r="AG20" s="87"/>
    </x:row>
    <x:row r="21">
      <x:c r="A21" s="72" t="str">
        <x:f>IF(OR(C21="",D21=""),"",B21&amp;"-"&amp;UPPER(C21)&amp;"-"&amp;TEXT(D21,"0000")&amp;"-"&amp;E21)</x:f>
      </x:c>
      <x:c r="B21" s="74" t="str">
        <x:v>M18</x:v>
      </x:c>
      <x:c r="C21" s="74"/>
      <x:c r="D21" s="79"/>
      <x:c r="E21" s="74" t="str">
        <x:v>V1.0</x:v>
      </x:c>
      <x:c r="F21" s="68"/>
      <x:c r="G21" s="82"/>
      <x:c r="H21" s="68"/>
      <x:c r="I21" s="68"/>
      <x:c r="J21" s="68"/>
      <x:c r="K21" s="68"/>
      <x:c r="L21" s="68"/>
      <x:c r="M21" s="68"/>
      <x:c r="N21" s="68"/>
      <x:c r="O21" s="68"/>
      <x:c r="P21" s="68"/>
      <x:c r="Q21" s="68"/>
      <x:c r="R21" s="84"/>
      <x:c r="S21" s="68"/>
      <x:c r="T21" s="68"/>
      <x:c r="U21" s="68"/>
      <x:c r="V21" s="68"/>
      <x:c r="W21" s="90"/>
      <x:c r="X21" s="84"/>
      <x:c r="Y21" s="84"/>
      <x:c r="Z21" s="82"/>
      <x:c r="AA21" s="82"/>
      <x:c r="AB21" s="68"/>
      <x:c r="AC21" s="68"/>
      <x:c r="AD21" s="90"/>
      <x:c r="AE21" s="82"/>
      <x:c r="AF21" s="82"/>
      <x:c r="AG21" s="87"/>
    </x:row>
    <x:row r="22">
      <x:c r="A22" s="72" t="str">
        <x:f>IF(OR(C22="",D22=""),"",B22&amp;"-"&amp;UPPER(C22)&amp;"-"&amp;TEXT(D22,"0000")&amp;"-"&amp;E22)</x:f>
      </x:c>
      <x:c r="B22" s="74" t="str">
        <x:v>M18</x:v>
      </x:c>
      <x:c r="C22" s="74"/>
      <x:c r="D22" s="79"/>
      <x:c r="E22" s="74" t="str">
        <x:v>V1.0</x:v>
      </x:c>
      <x:c r="F22" s="68"/>
      <x:c r="G22" s="82"/>
      <x:c r="H22" s="68"/>
      <x:c r="I22" s="68"/>
      <x:c r="J22" s="68"/>
      <x:c r="K22" s="68"/>
      <x:c r="L22" s="68"/>
      <x:c r="M22" s="68"/>
      <x:c r="N22" s="68"/>
      <x:c r="O22" s="68"/>
      <x:c r="P22" s="68"/>
      <x:c r="Q22" s="68"/>
      <x:c r="R22" s="84"/>
      <x:c r="S22" s="68"/>
      <x:c r="T22" s="68"/>
      <x:c r="U22" s="68"/>
      <x:c r="V22" s="68"/>
      <x:c r="W22" s="90"/>
      <x:c r="X22" s="84"/>
      <x:c r="Y22" s="84"/>
      <x:c r="Z22" s="82"/>
      <x:c r="AA22" s="82"/>
      <x:c r="AB22" s="68"/>
      <x:c r="AC22" s="68"/>
      <x:c r="AD22" s="90"/>
      <x:c r="AE22" s="82"/>
      <x:c r="AF22" s="82"/>
      <x:c r="AG22" s="87"/>
    </x:row>
    <x:row r="23">
      <x:c r="A23" s="72" t="str">
        <x:f>IF(OR(C23="",D23=""),"",B23&amp;"-"&amp;UPPER(C23)&amp;"-"&amp;TEXT(D23,"0000")&amp;"-"&amp;E23)</x:f>
      </x:c>
      <x:c r="B23" s="74" t="str">
        <x:v>M18</x:v>
      </x:c>
      <x:c r="C23" s="74"/>
      <x:c r="D23" s="79"/>
      <x:c r="E23" s="74" t="str">
        <x:v>V1.0</x:v>
      </x:c>
      <x:c r="F23" s="68"/>
      <x:c r="G23" s="82"/>
      <x:c r="H23" s="68"/>
      <x:c r="I23" s="68"/>
      <x:c r="J23" s="68"/>
      <x:c r="K23" s="68"/>
      <x:c r="L23" s="68"/>
      <x:c r="M23" s="68"/>
      <x:c r="N23" s="68"/>
      <x:c r="O23" s="68"/>
      <x:c r="P23" s="68"/>
      <x:c r="Q23" s="68"/>
      <x:c r="R23" s="84"/>
      <x:c r="S23" s="68"/>
      <x:c r="T23" s="68"/>
      <x:c r="U23" s="68"/>
      <x:c r="V23" s="68"/>
      <x:c r="W23" s="90"/>
      <x:c r="X23" s="84"/>
      <x:c r="Y23" s="84"/>
      <x:c r="Z23" s="82"/>
      <x:c r="AA23" s="82"/>
      <x:c r="AB23" s="68"/>
      <x:c r="AC23" s="68"/>
      <x:c r="AD23" s="90"/>
      <x:c r="AE23" s="82"/>
      <x:c r="AF23" s="82"/>
      <x:c r="AG23" s="87"/>
    </x:row>
    <x:row r="24">
      <x:c r="A24" s="72" t="str">
        <x:f>IF(OR(C24="",D24=""),"",B24&amp;"-"&amp;UPPER(C24)&amp;"-"&amp;TEXT(D24,"0000")&amp;"-"&amp;E24)</x:f>
      </x:c>
      <x:c r="B24" s="74" t="str">
        <x:v>M18</x:v>
      </x:c>
      <x:c r="C24" s="74"/>
      <x:c r="D24" s="79"/>
      <x:c r="E24" s="74" t="str">
        <x:v>V1.0</x:v>
      </x:c>
      <x:c r="F24" s="68"/>
      <x:c r="G24" s="82"/>
      <x:c r="H24" s="68"/>
      <x:c r="I24" s="68"/>
      <x:c r="J24" s="68"/>
      <x:c r="K24" s="68"/>
      <x:c r="L24" s="68"/>
      <x:c r="M24" s="68"/>
      <x:c r="N24" s="68"/>
      <x:c r="O24" s="68"/>
      <x:c r="P24" s="68"/>
      <x:c r="Q24" s="68"/>
      <x:c r="R24" s="84"/>
      <x:c r="S24" s="68"/>
      <x:c r="T24" s="68"/>
      <x:c r="U24" s="68"/>
      <x:c r="V24" s="68"/>
      <x:c r="W24" s="90"/>
      <x:c r="X24" s="84"/>
      <x:c r="Y24" s="84"/>
      <x:c r="Z24" s="82"/>
      <x:c r="AA24" s="82"/>
      <x:c r="AB24" s="68"/>
      <x:c r="AC24" s="68"/>
      <x:c r="AD24" s="90"/>
      <x:c r="AE24" s="82"/>
      <x:c r="AF24" s="82"/>
      <x:c r="AG24" s="87"/>
    </x:row>
    <x:row r="25">
      <x:c r="A25" s="72" t="str">
        <x:f>IF(OR(C25="",D25=""),"",B25&amp;"-"&amp;UPPER(C25)&amp;"-"&amp;TEXT(D25,"0000")&amp;"-"&amp;E25)</x:f>
      </x:c>
      <x:c r="B25" s="74" t="str">
        <x:v>M18</x:v>
      </x:c>
      <x:c r="C25" s="74"/>
      <x:c r="D25" s="79"/>
      <x:c r="E25" s="74" t="str">
        <x:v>V1.0</x:v>
      </x:c>
      <x:c r="F25" s="68"/>
      <x:c r="G25" s="82"/>
      <x:c r="H25" s="68"/>
      <x:c r="I25" s="68"/>
      <x:c r="J25" s="68"/>
      <x:c r="K25" s="68"/>
      <x:c r="L25" s="68"/>
      <x:c r="M25" s="68"/>
      <x:c r="N25" s="68"/>
      <x:c r="O25" s="68"/>
      <x:c r="P25" s="68"/>
      <x:c r="Q25" s="68"/>
      <x:c r="R25" s="84"/>
      <x:c r="S25" s="68"/>
      <x:c r="T25" s="68"/>
      <x:c r="U25" s="68"/>
      <x:c r="V25" s="68"/>
      <x:c r="W25" s="90"/>
      <x:c r="X25" s="84"/>
      <x:c r="Y25" s="84"/>
      <x:c r="Z25" s="82"/>
      <x:c r="AA25" s="82"/>
      <x:c r="AB25" s="68"/>
      <x:c r="AC25" s="68"/>
      <x:c r="AD25" s="90"/>
      <x:c r="AE25" s="82"/>
      <x:c r="AF25" s="82"/>
      <x:c r="AG25" s="87"/>
    </x:row>
    <x:row r="26">
      <x:c r="A26" s="72" t="str">
        <x:f>IF(OR(C26="",D26=""),"",B26&amp;"-"&amp;UPPER(C26)&amp;"-"&amp;TEXT(D26,"0000")&amp;"-"&amp;E26)</x:f>
      </x:c>
      <x:c r="B26" s="74" t="str">
        <x:v>M18</x:v>
      </x:c>
      <x:c r="C26" s="74"/>
      <x:c r="D26" s="79"/>
      <x:c r="E26" s="74" t="str">
        <x:v>V1.0</x:v>
      </x:c>
      <x:c r="F26" s="68"/>
      <x:c r="G26" s="82"/>
      <x:c r="H26" s="68"/>
      <x:c r="I26" s="68"/>
      <x:c r="J26" s="68"/>
      <x:c r="K26" s="68"/>
      <x:c r="L26" s="68"/>
      <x:c r="M26" s="68"/>
      <x:c r="N26" s="68"/>
      <x:c r="O26" s="68"/>
      <x:c r="P26" s="68"/>
      <x:c r="Q26" s="68"/>
      <x:c r="R26" s="84"/>
      <x:c r="S26" s="68"/>
      <x:c r="T26" s="68"/>
      <x:c r="U26" s="68"/>
      <x:c r="V26" s="68"/>
      <x:c r="W26" s="90"/>
      <x:c r="X26" s="84"/>
      <x:c r="Y26" s="84"/>
      <x:c r="Z26" s="82"/>
      <x:c r="AA26" s="82"/>
      <x:c r="AB26" s="68"/>
      <x:c r="AC26" s="68"/>
      <x:c r="AD26" s="90"/>
      <x:c r="AE26" s="82"/>
      <x:c r="AF26" s="82"/>
      <x:c r="AG26" s="87"/>
    </x:row>
    <x:row r="27">
      <x:c r="A27" s="72" t="str">
        <x:f>IF(OR(C27="",D27=""),"",B27&amp;"-"&amp;UPPER(C27)&amp;"-"&amp;TEXT(D27,"0000")&amp;"-"&amp;E27)</x:f>
      </x:c>
      <x:c r="B27" s="74" t="str">
        <x:v>M18</x:v>
      </x:c>
      <x:c r="C27" s="74"/>
      <x:c r="D27" s="79"/>
      <x:c r="E27" s="74" t="str">
        <x:v>V1.0</x:v>
      </x:c>
      <x:c r="F27" s="68"/>
      <x:c r="G27" s="82"/>
      <x:c r="H27" s="68"/>
      <x:c r="I27" s="68"/>
      <x:c r="J27" s="68"/>
      <x:c r="K27" s="68"/>
      <x:c r="L27" s="68"/>
      <x:c r="M27" s="68"/>
      <x:c r="N27" s="68"/>
      <x:c r="O27" s="68"/>
      <x:c r="P27" s="68"/>
      <x:c r="Q27" s="68"/>
      <x:c r="R27" s="84"/>
      <x:c r="S27" s="68"/>
      <x:c r="T27" s="68"/>
      <x:c r="U27" s="68"/>
      <x:c r="V27" s="68"/>
      <x:c r="W27" s="90"/>
      <x:c r="X27" s="84"/>
      <x:c r="Y27" s="84"/>
      <x:c r="Z27" s="82"/>
      <x:c r="AA27" s="82"/>
      <x:c r="AB27" s="68"/>
      <x:c r="AC27" s="68"/>
      <x:c r="AD27" s="90"/>
      <x:c r="AE27" s="82"/>
      <x:c r="AF27" s="82"/>
      <x:c r="AG27" s="87"/>
    </x:row>
    <x:row r="28">
      <x:c r="A28" s="72" t="str">
        <x:f>IF(OR(C28="",D28=""),"",B28&amp;"-"&amp;UPPER(C28)&amp;"-"&amp;TEXT(D28,"0000")&amp;"-"&amp;E28)</x:f>
      </x:c>
      <x:c r="B28" s="74" t="str">
        <x:v>M18</x:v>
      </x:c>
      <x:c r="C28" s="74"/>
      <x:c r="D28" s="79"/>
      <x:c r="E28" s="74" t="str">
        <x:v>V1.0</x:v>
      </x:c>
      <x:c r="F28" s="68"/>
      <x:c r="G28" s="82"/>
      <x:c r="H28" s="68"/>
      <x:c r="I28" s="68"/>
      <x:c r="J28" s="68"/>
      <x:c r="K28" s="68"/>
      <x:c r="L28" s="68"/>
      <x:c r="M28" s="68"/>
      <x:c r="N28" s="68"/>
      <x:c r="O28" s="68"/>
      <x:c r="P28" s="68"/>
      <x:c r="Q28" s="68"/>
      <x:c r="R28" s="84"/>
      <x:c r="S28" s="68"/>
      <x:c r="T28" s="68"/>
      <x:c r="U28" s="68"/>
      <x:c r="V28" s="68"/>
      <x:c r="W28" s="90"/>
      <x:c r="X28" s="84"/>
      <x:c r="Y28" s="84"/>
      <x:c r="Z28" s="82"/>
      <x:c r="AA28" s="82"/>
      <x:c r="AB28" s="68"/>
      <x:c r="AC28" s="68"/>
      <x:c r="AD28" s="90"/>
      <x:c r="AE28" s="82"/>
      <x:c r="AF28" s="82"/>
      <x:c r="AG28" s="87"/>
    </x:row>
    <x:row r="29">
      <x:c r="A29" s="72" t="str">
        <x:f>IF(OR(C29="",D29=""),"",B29&amp;"-"&amp;UPPER(C29)&amp;"-"&amp;TEXT(D29,"0000")&amp;"-"&amp;E29)</x:f>
      </x:c>
      <x:c r="B29" s="74" t="str">
        <x:v>M18</x:v>
      </x:c>
      <x:c r="C29" s="74"/>
      <x:c r="D29" s="79"/>
      <x:c r="E29" s="74" t="str">
        <x:v>V1.0</x:v>
      </x:c>
      <x:c r="F29" s="68"/>
      <x:c r="G29" s="82"/>
      <x:c r="H29" s="68"/>
      <x:c r="I29" s="68"/>
      <x:c r="J29" s="68"/>
      <x:c r="K29" s="68"/>
      <x:c r="L29" s="68"/>
      <x:c r="M29" s="68"/>
      <x:c r="N29" s="68"/>
      <x:c r="O29" s="68"/>
      <x:c r="P29" s="68"/>
      <x:c r="Q29" s="68"/>
      <x:c r="R29" s="84"/>
      <x:c r="S29" s="68"/>
      <x:c r="T29" s="68"/>
      <x:c r="U29" s="68"/>
      <x:c r="V29" s="68"/>
      <x:c r="W29" s="90"/>
      <x:c r="X29" s="84"/>
      <x:c r="Y29" s="84"/>
      <x:c r="Z29" s="82"/>
      <x:c r="AA29" s="82"/>
      <x:c r="AB29" s="68"/>
      <x:c r="AC29" s="68"/>
      <x:c r="AD29" s="90"/>
      <x:c r="AE29" s="82"/>
      <x:c r="AF29" s="82"/>
      <x:c r="AG29" s="87"/>
    </x:row>
    <x:row r="30">
      <x:c r="A30" s="72" t="str">
        <x:f>IF(OR(C30="",D30=""),"",B30&amp;"-"&amp;UPPER(C30)&amp;"-"&amp;TEXT(D30,"0000")&amp;"-"&amp;E30)</x:f>
      </x:c>
      <x:c r="B30" s="74" t="str">
        <x:v>M18</x:v>
      </x:c>
      <x:c r="C30" s="74"/>
      <x:c r="D30" s="79"/>
      <x:c r="E30" s="74" t="str">
        <x:v>V1.0</x:v>
      </x:c>
      <x:c r="F30" s="68"/>
      <x:c r="G30" s="82"/>
      <x:c r="H30" s="68"/>
      <x:c r="I30" s="68"/>
      <x:c r="J30" s="68"/>
      <x:c r="K30" s="68"/>
      <x:c r="L30" s="68"/>
      <x:c r="M30" s="68"/>
      <x:c r="N30" s="68"/>
      <x:c r="O30" s="68"/>
      <x:c r="P30" s="68"/>
      <x:c r="Q30" s="68"/>
      <x:c r="R30" s="84"/>
      <x:c r="S30" s="68"/>
      <x:c r="T30" s="68"/>
      <x:c r="U30" s="68"/>
      <x:c r="V30" s="68"/>
      <x:c r="W30" s="90"/>
      <x:c r="X30" s="84"/>
      <x:c r="Y30" s="84"/>
      <x:c r="Z30" s="82"/>
      <x:c r="AA30" s="82"/>
      <x:c r="AB30" s="68"/>
      <x:c r="AC30" s="68"/>
      <x:c r="AD30" s="90"/>
      <x:c r="AE30" s="82"/>
      <x:c r="AF30" s="82"/>
      <x:c r="AG30" s="87"/>
    </x:row>
    <x:row r="31">
      <x:c r="A31" s="72" t="str">
        <x:f>IF(OR(C31="",D31=""),"",B31&amp;"-"&amp;UPPER(C31)&amp;"-"&amp;TEXT(D31,"0000")&amp;"-"&amp;E31)</x:f>
      </x:c>
      <x:c r="B31" s="74" t="str">
        <x:v>M18</x:v>
      </x:c>
      <x:c r="C31" s="74"/>
      <x:c r="D31" s="79"/>
      <x:c r="E31" s="74" t="str">
        <x:v>V1.0</x:v>
      </x:c>
      <x:c r="F31" s="68"/>
      <x:c r="G31" s="82"/>
      <x:c r="H31" s="68"/>
      <x:c r="I31" s="68"/>
      <x:c r="J31" s="68"/>
      <x:c r="K31" s="68"/>
      <x:c r="L31" s="68"/>
      <x:c r="M31" s="68"/>
      <x:c r="N31" s="68"/>
      <x:c r="O31" s="68"/>
      <x:c r="P31" s="68"/>
      <x:c r="Q31" s="68"/>
      <x:c r="R31" s="84"/>
      <x:c r="S31" s="68"/>
      <x:c r="T31" s="68"/>
      <x:c r="U31" s="68"/>
      <x:c r="V31" s="68"/>
      <x:c r="W31" s="90"/>
      <x:c r="X31" s="84"/>
      <x:c r="Y31" s="84"/>
      <x:c r="Z31" s="82"/>
      <x:c r="AA31" s="82"/>
      <x:c r="AB31" s="68"/>
      <x:c r="AC31" s="68"/>
      <x:c r="AD31" s="90"/>
      <x:c r="AE31" s="82"/>
      <x:c r="AF31" s="82"/>
      <x:c r="AG31" s="87"/>
    </x:row>
    <x:row r="32">
      <x:c r="A32" s="72" t="str">
        <x:f>IF(OR(C32="",D32=""),"",B32&amp;"-"&amp;UPPER(C32)&amp;"-"&amp;TEXT(D32,"0000")&amp;"-"&amp;E32)</x:f>
      </x:c>
      <x:c r="B32" s="74" t="str">
        <x:v>M18</x:v>
      </x:c>
      <x:c r="C32" s="74"/>
      <x:c r="D32" s="79"/>
      <x:c r="E32" s="74" t="str">
        <x:v>V1.0</x:v>
      </x:c>
      <x:c r="F32" s="68"/>
      <x:c r="G32" s="82"/>
      <x:c r="H32" s="68"/>
      <x:c r="I32" s="68"/>
      <x:c r="J32" s="68"/>
      <x:c r="K32" s="68"/>
      <x:c r="L32" s="68"/>
      <x:c r="M32" s="68"/>
      <x:c r="N32" s="68"/>
      <x:c r="O32" s="68"/>
      <x:c r="P32" s="68"/>
      <x:c r="Q32" s="68"/>
      <x:c r="R32" s="84"/>
      <x:c r="S32" s="68"/>
      <x:c r="T32" s="68"/>
      <x:c r="U32" s="68"/>
      <x:c r="V32" s="68"/>
      <x:c r="W32" s="90"/>
      <x:c r="X32" s="84"/>
      <x:c r="Y32" s="84"/>
      <x:c r="Z32" s="82"/>
      <x:c r="AA32" s="82"/>
      <x:c r="AB32" s="68"/>
      <x:c r="AC32" s="68"/>
      <x:c r="AD32" s="90"/>
      <x:c r="AE32" s="82"/>
      <x:c r="AF32" s="82"/>
      <x:c r="AG32" s="87"/>
    </x:row>
    <x:row r="33">
      <x:c r="A33" s="72" t="str">
        <x:f>IF(OR(C33="",D33=""),"",B33&amp;"-"&amp;UPPER(C33)&amp;"-"&amp;TEXT(D33,"0000")&amp;"-"&amp;E33)</x:f>
      </x:c>
      <x:c r="B33" s="74" t="str">
        <x:v>M18</x:v>
      </x:c>
      <x:c r="C33" s="74"/>
      <x:c r="D33" s="79"/>
      <x:c r="E33" s="74" t="str">
        <x:v>V1.0</x:v>
      </x:c>
      <x:c r="F33" s="68"/>
      <x:c r="G33" s="82"/>
      <x:c r="H33" s="68"/>
      <x:c r="I33" s="68"/>
      <x:c r="J33" s="68"/>
      <x:c r="K33" s="68"/>
      <x:c r="L33" s="68"/>
      <x:c r="M33" s="68"/>
      <x:c r="N33" s="68"/>
      <x:c r="O33" s="68"/>
      <x:c r="P33" s="68"/>
      <x:c r="Q33" s="68"/>
      <x:c r="R33" s="84"/>
      <x:c r="S33" s="68"/>
      <x:c r="T33" s="68"/>
      <x:c r="U33" s="68"/>
      <x:c r="V33" s="68"/>
      <x:c r="W33" s="90"/>
      <x:c r="X33" s="84"/>
      <x:c r="Y33" s="84"/>
      <x:c r="Z33" s="82"/>
      <x:c r="AA33" s="82"/>
      <x:c r="AB33" s="68"/>
      <x:c r="AC33" s="68"/>
      <x:c r="AD33" s="90"/>
      <x:c r="AE33" s="82"/>
      <x:c r="AF33" s="82"/>
      <x:c r="AG33" s="87"/>
    </x:row>
    <x:row r="34">
      <x:c r="A34" s="72" t="str">
        <x:f>IF(OR(C34="",D34=""),"",B34&amp;"-"&amp;UPPER(C34)&amp;"-"&amp;TEXT(D34,"0000")&amp;"-"&amp;E34)</x:f>
      </x:c>
      <x:c r="B34" s="74" t="str">
        <x:v>M18</x:v>
      </x:c>
      <x:c r="C34" s="74"/>
      <x:c r="D34" s="79"/>
      <x:c r="E34" s="74" t="str">
        <x:v>V1.0</x:v>
      </x:c>
      <x:c r="F34" s="68"/>
      <x:c r="G34" s="82"/>
      <x:c r="H34" s="68"/>
      <x:c r="I34" s="68"/>
      <x:c r="J34" s="68"/>
      <x:c r="K34" s="68"/>
      <x:c r="L34" s="68"/>
      <x:c r="M34" s="68"/>
      <x:c r="N34" s="68"/>
      <x:c r="O34" s="68"/>
      <x:c r="P34" s="68"/>
      <x:c r="Q34" s="68"/>
      <x:c r="R34" s="84"/>
      <x:c r="S34" s="68"/>
      <x:c r="T34" s="68"/>
      <x:c r="U34" s="68"/>
      <x:c r="V34" s="68"/>
      <x:c r="W34" s="90"/>
      <x:c r="X34" s="84"/>
      <x:c r="Y34" s="84"/>
      <x:c r="Z34" s="82"/>
      <x:c r="AA34" s="82"/>
      <x:c r="AB34" s="68"/>
      <x:c r="AC34" s="68"/>
      <x:c r="AD34" s="90"/>
      <x:c r="AE34" s="82"/>
      <x:c r="AF34" s="82"/>
      <x:c r="AG34" s="87"/>
    </x:row>
    <x:row r="35">
      <x:c r="A35" s="72" t="str">
        <x:f>IF(OR(C35="",D35=""),"",B35&amp;"-"&amp;UPPER(C35)&amp;"-"&amp;TEXT(D35,"0000")&amp;"-"&amp;E35)</x:f>
      </x:c>
      <x:c r="B35" s="74" t="str">
        <x:v>M18</x:v>
      </x:c>
      <x:c r="C35" s="74"/>
      <x:c r="D35" s="79"/>
      <x:c r="E35" s="74" t="str">
        <x:v>V1.0</x:v>
      </x:c>
      <x:c r="F35" s="68"/>
      <x:c r="G35" s="82"/>
      <x:c r="H35" s="68"/>
      <x:c r="I35" s="68"/>
      <x:c r="J35" s="68"/>
      <x:c r="K35" s="68"/>
      <x:c r="L35" s="68"/>
      <x:c r="M35" s="68"/>
      <x:c r="N35" s="68"/>
      <x:c r="O35" s="68"/>
      <x:c r="P35" s="68"/>
      <x:c r="Q35" s="68"/>
      <x:c r="R35" s="84"/>
      <x:c r="S35" s="68"/>
      <x:c r="T35" s="68"/>
      <x:c r="U35" s="68"/>
      <x:c r="V35" s="68"/>
      <x:c r="W35" s="90"/>
      <x:c r="X35" s="84"/>
      <x:c r="Y35" s="84"/>
      <x:c r="Z35" s="82"/>
      <x:c r="AA35" s="82"/>
      <x:c r="AB35" s="68"/>
      <x:c r="AC35" s="68"/>
      <x:c r="AD35" s="90"/>
      <x:c r="AE35" s="82"/>
      <x:c r="AF35" s="82"/>
      <x:c r="AG35" s="87"/>
    </x:row>
    <x:row r="36">
      <x:c r="A36" s="72" t="str">
        <x:f>IF(OR(C36="",D36=""),"",B36&amp;"-"&amp;UPPER(C36)&amp;"-"&amp;TEXT(D36,"0000")&amp;"-"&amp;E36)</x:f>
      </x:c>
      <x:c r="B36" s="74" t="str">
        <x:v>M18</x:v>
      </x:c>
      <x:c r="C36" s="74"/>
      <x:c r="D36" s="79"/>
      <x:c r="E36" s="74" t="str">
        <x:v>V1.0</x:v>
      </x:c>
      <x:c r="F36" s="68"/>
      <x:c r="G36" s="82"/>
      <x:c r="H36" s="68"/>
      <x:c r="I36" s="68"/>
      <x:c r="J36" s="68"/>
      <x:c r="K36" s="68"/>
      <x:c r="L36" s="68"/>
      <x:c r="M36" s="68"/>
      <x:c r="N36" s="68"/>
      <x:c r="O36" s="68"/>
      <x:c r="P36" s="68"/>
      <x:c r="Q36" s="68"/>
      <x:c r="R36" s="84"/>
      <x:c r="S36" s="68"/>
      <x:c r="T36" s="68"/>
      <x:c r="U36" s="68"/>
      <x:c r="V36" s="68"/>
      <x:c r="W36" s="90"/>
      <x:c r="X36" s="84"/>
      <x:c r="Y36" s="84"/>
      <x:c r="Z36" s="82"/>
      <x:c r="AA36" s="82"/>
      <x:c r="AB36" s="68"/>
      <x:c r="AC36" s="68"/>
      <x:c r="AD36" s="90"/>
      <x:c r="AE36" s="82"/>
      <x:c r="AF36" s="82"/>
      <x:c r="AG36" s="87"/>
    </x:row>
    <x:row r="37">
      <x:c r="A37" s="72" t="str">
        <x:f>IF(OR(C37="",D37=""),"",B37&amp;"-"&amp;UPPER(C37)&amp;"-"&amp;TEXT(D37,"0000")&amp;"-"&amp;E37)</x:f>
      </x:c>
      <x:c r="B37" s="74" t="str">
        <x:v>M18</x:v>
      </x:c>
      <x:c r="C37" s="74"/>
      <x:c r="D37" s="79"/>
      <x:c r="E37" s="74" t="str">
        <x:v>V1.0</x:v>
      </x:c>
      <x:c r="F37" s="68"/>
      <x:c r="G37" s="82"/>
      <x:c r="H37" s="68"/>
      <x:c r="I37" s="68"/>
      <x:c r="J37" s="68"/>
      <x:c r="K37" s="68"/>
      <x:c r="L37" s="68"/>
      <x:c r="M37" s="68"/>
      <x:c r="N37" s="68"/>
      <x:c r="O37" s="68"/>
      <x:c r="P37" s="68"/>
      <x:c r="Q37" s="68"/>
      <x:c r="R37" s="84"/>
      <x:c r="S37" s="68"/>
      <x:c r="T37" s="68"/>
      <x:c r="U37" s="68"/>
      <x:c r="V37" s="68"/>
      <x:c r="W37" s="90"/>
      <x:c r="X37" s="84"/>
      <x:c r="Y37" s="84"/>
      <x:c r="Z37" s="82"/>
      <x:c r="AA37" s="82"/>
      <x:c r="AB37" s="68"/>
      <x:c r="AC37" s="68"/>
      <x:c r="AD37" s="90"/>
      <x:c r="AE37" s="82"/>
      <x:c r="AF37" s="82"/>
      <x:c r="AG37" s="87"/>
    </x:row>
    <x:row r="38">
      <x:c r="A38" s="72" t="str">
        <x:f>IF(OR(C38="",D38=""),"",B38&amp;"-"&amp;UPPER(C38)&amp;"-"&amp;TEXT(D38,"0000")&amp;"-"&amp;E38)</x:f>
      </x:c>
      <x:c r="B38" s="74" t="str">
        <x:v>M18</x:v>
      </x:c>
      <x:c r="C38" s="74"/>
      <x:c r="D38" s="79"/>
      <x:c r="E38" s="74" t="str">
        <x:v>V1.0</x:v>
      </x:c>
      <x:c r="F38" s="68"/>
      <x:c r="G38" s="82"/>
      <x:c r="H38" s="68"/>
      <x:c r="I38" s="68"/>
      <x:c r="J38" s="68"/>
      <x:c r="K38" s="68"/>
      <x:c r="L38" s="68"/>
      <x:c r="M38" s="68"/>
      <x:c r="N38" s="68"/>
      <x:c r="O38" s="68"/>
      <x:c r="P38" s="68"/>
      <x:c r="Q38" s="68"/>
      <x:c r="R38" s="84"/>
      <x:c r="S38" s="68"/>
      <x:c r="T38" s="68"/>
      <x:c r="U38" s="68"/>
      <x:c r="V38" s="68"/>
      <x:c r="W38" s="90"/>
      <x:c r="X38" s="84"/>
      <x:c r="Y38" s="84"/>
      <x:c r="Z38" s="82"/>
      <x:c r="AA38" s="82"/>
      <x:c r="AB38" s="68"/>
      <x:c r="AC38" s="68"/>
      <x:c r="AD38" s="90"/>
      <x:c r="AE38" s="82"/>
      <x:c r="AF38" s="82"/>
      <x:c r="AG38" s="87"/>
    </x:row>
    <x:row r="39">
      <x:c r="A39" s="72" t="str">
        <x:f>IF(OR(C39="",D39=""),"",B39&amp;"-"&amp;UPPER(C39)&amp;"-"&amp;TEXT(D39,"0000")&amp;"-"&amp;E39)</x:f>
      </x:c>
      <x:c r="B39" s="74" t="str">
        <x:v>M18</x:v>
      </x:c>
      <x:c r="C39" s="74"/>
      <x:c r="D39" s="79"/>
      <x:c r="E39" s="74" t="str">
        <x:v>V1.0</x:v>
      </x:c>
      <x:c r="F39" s="68"/>
      <x:c r="G39" s="82"/>
      <x:c r="H39" s="68"/>
      <x:c r="I39" s="68"/>
      <x:c r="J39" s="68"/>
      <x:c r="K39" s="68"/>
      <x:c r="L39" s="68"/>
      <x:c r="M39" s="68"/>
      <x:c r="N39" s="68"/>
      <x:c r="O39" s="68"/>
      <x:c r="P39" s="68"/>
      <x:c r="Q39" s="68"/>
      <x:c r="R39" s="84"/>
      <x:c r="S39" s="68"/>
      <x:c r="T39" s="68"/>
      <x:c r="U39" s="68"/>
      <x:c r="V39" s="68"/>
      <x:c r="W39" s="90"/>
      <x:c r="X39" s="84"/>
      <x:c r="Y39" s="84"/>
      <x:c r="Z39" s="82"/>
      <x:c r="AA39" s="82"/>
      <x:c r="AB39" s="68"/>
      <x:c r="AC39" s="68"/>
      <x:c r="AD39" s="90"/>
      <x:c r="AE39" s="82"/>
      <x:c r="AF39" s="82"/>
      <x:c r="AG39" s="87"/>
    </x:row>
    <x:row r="40">
      <x:c r="A40" s="72" t="str">
        <x:f>IF(OR(C40="",D40=""),"",B40&amp;"-"&amp;UPPER(C40)&amp;"-"&amp;TEXT(D40,"0000")&amp;"-"&amp;E40)</x:f>
      </x:c>
      <x:c r="B40" s="74" t="str">
        <x:v>M18</x:v>
      </x:c>
      <x:c r="C40" s="74"/>
      <x:c r="D40" s="79"/>
      <x:c r="E40" s="74" t="str">
        <x:v>V1.0</x:v>
      </x:c>
      <x:c r="F40" s="68"/>
      <x:c r="G40" s="82"/>
      <x:c r="H40" s="68"/>
      <x:c r="I40" s="68"/>
      <x:c r="J40" s="68"/>
      <x:c r="K40" s="68"/>
      <x:c r="L40" s="68"/>
      <x:c r="M40" s="68"/>
      <x:c r="N40" s="68"/>
      <x:c r="O40" s="68"/>
      <x:c r="P40" s="68"/>
      <x:c r="Q40" s="68"/>
      <x:c r="R40" s="84"/>
      <x:c r="S40" s="68"/>
      <x:c r="T40" s="68"/>
      <x:c r="U40" s="68"/>
      <x:c r="V40" s="68"/>
      <x:c r="W40" s="90"/>
      <x:c r="X40" s="84"/>
      <x:c r="Y40" s="84"/>
      <x:c r="Z40" s="82"/>
      <x:c r="AA40" s="82"/>
      <x:c r="AB40" s="68"/>
      <x:c r="AC40" s="68"/>
      <x:c r="AD40" s="90"/>
      <x:c r="AE40" s="82"/>
      <x:c r="AF40" s="82"/>
      <x:c r="AG40" s="87"/>
    </x:row>
    <x:row r="41">
      <x:c r="A41" s="72" t="str">
        <x:f>IF(OR(C41="",D41=""),"",B41&amp;"-"&amp;UPPER(C41)&amp;"-"&amp;TEXT(D41,"0000")&amp;"-"&amp;E41)</x:f>
      </x:c>
      <x:c r="B41" s="74" t="str">
        <x:v>M18</x:v>
      </x:c>
      <x:c r="C41" s="74"/>
      <x:c r="D41" s="79"/>
      <x:c r="E41" s="74" t="str">
        <x:v>V1.0</x:v>
      </x:c>
      <x:c r="F41" s="68"/>
      <x:c r="G41" s="82"/>
      <x:c r="H41" s="68"/>
      <x:c r="I41" s="68"/>
      <x:c r="J41" s="68"/>
      <x:c r="K41" s="68"/>
      <x:c r="L41" s="68"/>
      <x:c r="M41" s="68"/>
      <x:c r="N41" s="68"/>
      <x:c r="O41" s="68"/>
      <x:c r="P41" s="68"/>
      <x:c r="Q41" s="68"/>
      <x:c r="R41" s="84"/>
      <x:c r="S41" s="68"/>
      <x:c r="T41" s="68"/>
      <x:c r="U41" s="68"/>
      <x:c r="V41" s="68"/>
      <x:c r="W41" s="90"/>
      <x:c r="X41" s="84"/>
      <x:c r="Y41" s="84"/>
      <x:c r="Z41" s="82"/>
      <x:c r="AA41" s="82"/>
      <x:c r="AB41" s="68"/>
      <x:c r="AC41" s="68"/>
      <x:c r="AD41" s="90"/>
      <x:c r="AE41" s="82"/>
      <x:c r="AF41" s="82"/>
      <x:c r="AG41" s="87"/>
    </x:row>
    <x:row r="42">
      <x:c r="A42" s="72" t="str">
        <x:f>IF(OR(C42="",D42=""),"",B42&amp;"-"&amp;UPPER(C42)&amp;"-"&amp;TEXT(D42,"0000")&amp;"-"&amp;E42)</x:f>
      </x:c>
      <x:c r="B42" s="74" t="str">
        <x:v>M18</x:v>
      </x:c>
      <x:c r="C42" s="74"/>
      <x:c r="D42" s="79"/>
      <x:c r="E42" s="74" t="str">
        <x:v>V1.0</x:v>
      </x:c>
      <x:c r="F42" s="68"/>
      <x:c r="G42" s="82"/>
      <x:c r="H42" s="68"/>
      <x:c r="I42" s="68"/>
      <x:c r="J42" s="68"/>
      <x:c r="K42" s="68"/>
      <x:c r="L42" s="68"/>
      <x:c r="M42" s="68"/>
      <x:c r="N42" s="68"/>
      <x:c r="O42" s="68"/>
      <x:c r="P42" s="68"/>
      <x:c r="Q42" s="68"/>
      <x:c r="R42" s="84"/>
      <x:c r="S42" s="68"/>
      <x:c r="T42" s="68"/>
      <x:c r="U42" s="68"/>
      <x:c r="V42" s="68"/>
      <x:c r="W42" s="90"/>
      <x:c r="X42" s="84"/>
      <x:c r="Y42" s="84"/>
      <x:c r="Z42" s="82"/>
      <x:c r="AA42" s="82"/>
      <x:c r="AB42" s="68"/>
      <x:c r="AC42" s="68"/>
      <x:c r="AD42" s="90"/>
      <x:c r="AE42" s="82"/>
      <x:c r="AF42" s="82"/>
      <x:c r="AG42" s="87"/>
    </x:row>
    <x:row r="43">
      <x:c r="A43" s="72" t="str">
        <x:f>IF(OR(C43="",D43=""),"",B43&amp;"-"&amp;UPPER(C43)&amp;"-"&amp;TEXT(D43,"0000")&amp;"-"&amp;E43)</x:f>
      </x:c>
      <x:c r="B43" s="74" t="str">
        <x:v>M18</x:v>
      </x:c>
      <x:c r="C43" s="74"/>
      <x:c r="D43" s="79"/>
      <x:c r="E43" s="74" t="str">
        <x:v>V1.0</x:v>
      </x:c>
      <x:c r="F43" s="68"/>
      <x:c r="G43" s="82"/>
      <x:c r="H43" s="68"/>
      <x:c r="I43" s="68"/>
      <x:c r="J43" s="68"/>
      <x:c r="K43" s="68"/>
      <x:c r="L43" s="68"/>
      <x:c r="M43" s="68"/>
      <x:c r="N43" s="68"/>
      <x:c r="O43" s="68"/>
      <x:c r="P43" s="68"/>
      <x:c r="Q43" s="68"/>
      <x:c r="R43" s="84"/>
      <x:c r="S43" s="68"/>
      <x:c r="T43" s="68"/>
      <x:c r="U43" s="68"/>
      <x:c r="V43" s="68"/>
      <x:c r="W43" s="90"/>
      <x:c r="X43" s="84"/>
      <x:c r="Y43" s="84"/>
      <x:c r="Z43" s="82"/>
      <x:c r="AA43" s="82"/>
      <x:c r="AB43" s="68"/>
      <x:c r="AC43" s="68"/>
      <x:c r="AD43" s="90"/>
      <x:c r="AE43" s="82"/>
      <x:c r="AF43" s="82"/>
      <x:c r="AG43" s="87"/>
    </x:row>
    <x:row r="44">
      <x:c r="A44" s="72" t="str">
        <x:f>IF(OR(C44="",D44=""),"",B44&amp;"-"&amp;UPPER(C44)&amp;"-"&amp;TEXT(D44,"0000")&amp;"-"&amp;E44)</x:f>
      </x:c>
      <x:c r="B44" s="74" t="str">
        <x:v>M18</x:v>
      </x:c>
      <x:c r="C44" s="74"/>
      <x:c r="D44" s="79"/>
      <x:c r="E44" s="74" t="str">
        <x:v>V1.0</x:v>
      </x:c>
      <x:c r="F44" s="68"/>
      <x:c r="G44" s="82"/>
      <x:c r="H44" s="68"/>
      <x:c r="I44" s="68"/>
      <x:c r="J44" s="68"/>
      <x:c r="K44" s="68"/>
      <x:c r="L44" s="68"/>
      <x:c r="M44" s="68"/>
      <x:c r="N44" s="68"/>
      <x:c r="O44" s="68"/>
      <x:c r="P44" s="68"/>
      <x:c r="Q44" s="68"/>
      <x:c r="R44" s="84"/>
      <x:c r="S44" s="68"/>
      <x:c r="T44" s="68"/>
      <x:c r="U44" s="68"/>
      <x:c r="V44" s="68"/>
      <x:c r="W44" s="90"/>
      <x:c r="X44" s="84"/>
      <x:c r="Y44" s="84"/>
      <x:c r="Z44" s="82"/>
      <x:c r="AA44" s="82"/>
      <x:c r="AB44" s="68"/>
      <x:c r="AC44" s="68"/>
      <x:c r="AD44" s="90"/>
      <x:c r="AE44" s="82"/>
      <x:c r="AF44" s="82"/>
      <x:c r="AG44" s="87"/>
    </x:row>
    <x:row r="45">
      <x:c r="A45" s="72" t="str">
        <x:f>IF(OR(C45="",D45=""),"",B45&amp;"-"&amp;UPPER(C45)&amp;"-"&amp;TEXT(D45,"0000")&amp;"-"&amp;E45)</x:f>
      </x:c>
      <x:c r="B45" s="74" t="str">
        <x:v>M18</x:v>
      </x:c>
      <x:c r="C45" s="74"/>
      <x:c r="D45" s="79"/>
      <x:c r="E45" s="74" t="str">
        <x:v>V1.0</x:v>
      </x:c>
      <x:c r="F45" s="68"/>
      <x:c r="G45" s="82"/>
      <x:c r="H45" s="68"/>
      <x:c r="I45" s="68"/>
      <x:c r="J45" s="68"/>
      <x:c r="K45" s="68"/>
      <x:c r="L45" s="68"/>
      <x:c r="M45" s="68"/>
      <x:c r="N45" s="68"/>
      <x:c r="O45" s="68"/>
      <x:c r="P45" s="68"/>
      <x:c r="Q45" s="68"/>
      <x:c r="R45" s="84"/>
      <x:c r="S45" s="68"/>
      <x:c r="T45" s="68"/>
      <x:c r="U45" s="68"/>
      <x:c r="V45" s="68"/>
      <x:c r="W45" s="90"/>
      <x:c r="X45" s="84"/>
      <x:c r="Y45" s="84"/>
      <x:c r="Z45" s="82"/>
      <x:c r="AA45" s="82"/>
      <x:c r="AB45" s="68"/>
      <x:c r="AC45" s="68"/>
      <x:c r="AD45" s="90"/>
      <x:c r="AE45" s="82"/>
      <x:c r="AF45" s="82"/>
      <x:c r="AG45" s="87"/>
    </x:row>
    <x:row r="46">
      <x:c r="A46" s="72" t="str">
        <x:f>IF(OR(C46="",D46=""),"",B46&amp;"-"&amp;UPPER(C46)&amp;"-"&amp;TEXT(D46,"0000")&amp;"-"&amp;E46)</x:f>
      </x:c>
      <x:c r="B46" s="74" t="str">
        <x:v>M18</x:v>
      </x:c>
      <x:c r="C46" s="74"/>
      <x:c r="D46" s="79"/>
      <x:c r="E46" s="74" t="str">
        <x:v>V1.0</x:v>
      </x:c>
      <x:c r="F46" s="68"/>
      <x:c r="G46" s="82"/>
      <x:c r="H46" s="68"/>
      <x:c r="I46" s="68"/>
      <x:c r="J46" s="68"/>
      <x:c r="K46" s="68"/>
      <x:c r="L46" s="68"/>
      <x:c r="M46" s="68"/>
      <x:c r="N46" s="68"/>
      <x:c r="O46" s="68"/>
      <x:c r="P46" s="68"/>
      <x:c r="Q46" s="68"/>
      <x:c r="R46" s="84"/>
      <x:c r="S46" s="68"/>
      <x:c r="T46" s="68"/>
      <x:c r="U46" s="68"/>
      <x:c r="V46" s="68"/>
      <x:c r="W46" s="90"/>
      <x:c r="X46" s="84"/>
      <x:c r="Y46" s="84"/>
      <x:c r="Z46" s="82"/>
      <x:c r="AA46" s="82"/>
      <x:c r="AB46" s="68"/>
      <x:c r="AC46" s="68"/>
      <x:c r="AD46" s="90"/>
      <x:c r="AE46" s="82"/>
      <x:c r="AF46" s="82"/>
      <x:c r="AG46" s="87"/>
    </x:row>
    <x:row r="47">
      <x:c r="A47" s="72" t="str">
        <x:f>IF(OR(C47="",D47=""),"",B47&amp;"-"&amp;UPPER(C47)&amp;"-"&amp;TEXT(D47,"0000")&amp;"-"&amp;E47)</x:f>
      </x:c>
      <x:c r="B47" s="74" t="str">
        <x:v>M18</x:v>
      </x:c>
      <x:c r="C47" s="74"/>
      <x:c r="D47" s="79"/>
      <x:c r="E47" s="74" t="str">
        <x:v>V1.0</x:v>
      </x:c>
      <x:c r="F47" s="68"/>
      <x:c r="G47" s="82"/>
      <x:c r="H47" s="68"/>
      <x:c r="I47" s="68"/>
      <x:c r="J47" s="68"/>
      <x:c r="K47" s="68"/>
      <x:c r="L47" s="68"/>
      <x:c r="M47" s="68"/>
      <x:c r="N47" s="68"/>
      <x:c r="O47" s="68"/>
      <x:c r="P47" s="68"/>
      <x:c r="Q47" s="68"/>
      <x:c r="R47" s="84"/>
      <x:c r="S47" s="68"/>
      <x:c r="T47" s="68"/>
      <x:c r="U47" s="68"/>
      <x:c r="V47" s="68"/>
      <x:c r="W47" s="90"/>
      <x:c r="X47" s="84"/>
      <x:c r="Y47" s="84"/>
      <x:c r="Z47" s="82"/>
      <x:c r="AA47" s="82"/>
      <x:c r="AB47" s="68"/>
      <x:c r="AC47" s="68"/>
      <x:c r="AD47" s="90"/>
      <x:c r="AE47" s="82"/>
      <x:c r="AF47" s="82"/>
      <x:c r="AG47" s="87"/>
    </x:row>
    <x:row r="48">
      <x:c r="A48" s="72" t="str">
        <x:f>IF(OR(C48="",D48=""),"",B48&amp;"-"&amp;UPPER(C48)&amp;"-"&amp;TEXT(D48,"0000")&amp;"-"&amp;E48)</x:f>
      </x:c>
      <x:c r="B48" s="74" t="str">
        <x:v>M18</x:v>
      </x:c>
      <x:c r="C48" s="74"/>
      <x:c r="D48" s="79"/>
      <x:c r="E48" s="74" t="str">
        <x:v>V1.0</x:v>
      </x:c>
      <x:c r="F48" s="68"/>
      <x:c r="G48" s="82"/>
      <x:c r="H48" s="68"/>
      <x:c r="I48" s="68"/>
      <x:c r="J48" s="68"/>
      <x:c r="K48" s="68"/>
      <x:c r="L48" s="68"/>
      <x:c r="M48" s="68"/>
      <x:c r="N48" s="68"/>
      <x:c r="O48" s="68"/>
      <x:c r="P48" s="68"/>
      <x:c r="Q48" s="68"/>
      <x:c r="R48" s="84"/>
      <x:c r="S48" s="68"/>
      <x:c r="T48" s="68"/>
      <x:c r="U48" s="68"/>
      <x:c r="V48" s="68"/>
      <x:c r="W48" s="90"/>
      <x:c r="X48" s="84"/>
      <x:c r="Y48" s="84"/>
      <x:c r="Z48" s="82"/>
      <x:c r="AA48" s="82"/>
      <x:c r="AB48" s="68"/>
      <x:c r="AC48" s="68"/>
      <x:c r="AD48" s="90"/>
      <x:c r="AE48" s="82"/>
      <x:c r="AF48" s="82"/>
      <x:c r="AG48" s="87"/>
    </x:row>
    <x:row r="49">
      <x:c r="A49" s="72" t="str">
        <x:f>IF(OR(C49="",D49=""),"",B49&amp;"-"&amp;UPPER(C49)&amp;"-"&amp;TEXT(D49,"0000")&amp;"-"&amp;E49)</x:f>
      </x:c>
      <x:c r="B49" s="74" t="str">
        <x:v>M18</x:v>
      </x:c>
      <x:c r="C49" s="74"/>
      <x:c r="D49" s="79"/>
      <x:c r="E49" s="74" t="str">
        <x:v>V1.0</x:v>
      </x:c>
      <x:c r="F49" s="68"/>
      <x:c r="G49" s="82"/>
      <x:c r="H49" s="68"/>
      <x:c r="I49" s="68"/>
      <x:c r="J49" s="68"/>
      <x:c r="K49" s="68"/>
      <x:c r="L49" s="68"/>
      <x:c r="M49" s="68"/>
      <x:c r="N49" s="68"/>
      <x:c r="O49" s="68"/>
      <x:c r="P49" s="68"/>
      <x:c r="Q49" s="68"/>
      <x:c r="R49" s="84"/>
      <x:c r="S49" s="68"/>
      <x:c r="T49" s="68"/>
      <x:c r="U49" s="68"/>
      <x:c r="V49" s="68"/>
      <x:c r="W49" s="90"/>
      <x:c r="X49" s="84"/>
      <x:c r="Y49" s="84"/>
      <x:c r="Z49" s="82"/>
      <x:c r="AA49" s="82"/>
      <x:c r="AB49" s="68"/>
      <x:c r="AC49" s="68"/>
      <x:c r="AD49" s="90"/>
      <x:c r="AE49" s="82"/>
      <x:c r="AF49" s="82"/>
      <x:c r="AG49" s="87"/>
    </x:row>
    <x:row r="50">
      <x:c r="A50" s="72" t="str">
        <x:f>IF(OR(C50="",D50=""),"",B50&amp;"-"&amp;UPPER(C50)&amp;"-"&amp;TEXT(D50,"0000")&amp;"-"&amp;E50)</x:f>
      </x:c>
      <x:c r="B50" s="74" t="str">
        <x:v>M18</x:v>
      </x:c>
      <x:c r="C50" s="74"/>
      <x:c r="D50" s="79"/>
      <x:c r="E50" s="74" t="str">
        <x:v>V1.0</x:v>
      </x:c>
      <x:c r="F50" s="68"/>
      <x:c r="G50" s="82"/>
      <x:c r="H50" s="68"/>
      <x:c r="I50" s="68"/>
      <x:c r="J50" s="68"/>
      <x:c r="K50" s="68"/>
      <x:c r="L50" s="68"/>
      <x:c r="M50" s="68"/>
      <x:c r="N50" s="68"/>
      <x:c r="O50" s="68"/>
      <x:c r="P50" s="68"/>
      <x:c r="Q50" s="68"/>
      <x:c r="R50" s="84"/>
      <x:c r="S50" s="68"/>
      <x:c r="T50" s="68"/>
      <x:c r="U50" s="68"/>
      <x:c r="V50" s="68"/>
      <x:c r="W50" s="90"/>
      <x:c r="X50" s="84"/>
      <x:c r="Y50" s="84"/>
      <x:c r="Z50" s="82"/>
      <x:c r="AA50" s="82"/>
      <x:c r="AB50" s="68"/>
      <x:c r="AC50" s="68"/>
      <x:c r="AD50" s="90"/>
      <x:c r="AE50" s="82"/>
      <x:c r="AF50" s="82"/>
      <x:c r="AG50" s="87"/>
    </x:row>
    <x:row r="51">
      <x:c r="A51" s="72" t="str">
        <x:f>IF(OR(C51="",D51=""),"",B51&amp;"-"&amp;UPPER(C51)&amp;"-"&amp;TEXT(D51,"0000")&amp;"-"&amp;E51)</x:f>
      </x:c>
      <x:c r="B51" s="74" t="str">
        <x:v>M18</x:v>
      </x:c>
      <x:c r="C51" s="74"/>
      <x:c r="D51" s="79"/>
      <x:c r="E51" s="74" t="str">
        <x:v>V1.0</x:v>
      </x:c>
      <x:c r="F51" s="68"/>
      <x:c r="G51" s="82"/>
      <x:c r="H51" s="68"/>
      <x:c r="I51" s="68"/>
      <x:c r="J51" s="68"/>
      <x:c r="K51" s="68"/>
      <x:c r="L51" s="68"/>
      <x:c r="M51" s="68"/>
      <x:c r="N51" s="68"/>
      <x:c r="O51" s="68"/>
      <x:c r="P51" s="68"/>
      <x:c r="Q51" s="68"/>
      <x:c r="R51" s="84"/>
      <x:c r="S51" s="68"/>
      <x:c r="T51" s="68"/>
      <x:c r="U51" s="68"/>
      <x:c r="V51" s="68"/>
      <x:c r="W51" s="90"/>
      <x:c r="X51" s="84"/>
      <x:c r="Y51" s="84"/>
      <x:c r="Z51" s="82"/>
      <x:c r="AA51" s="82"/>
      <x:c r="AB51" s="68"/>
      <x:c r="AC51" s="68"/>
      <x:c r="AD51" s="90"/>
      <x:c r="AE51" s="82"/>
      <x:c r="AF51" s="82"/>
      <x:c r="AG51" s="87"/>
    </x:row>
    <x:row r="52">
      <x:c r="A52" s="72" t="str">
        <x:f>IF(OR(C52="",D52=""),"",B52&amp;"-"&amp;UPPER(C52)&amp;"-"&amp;TEXT(D52,"0000")&amp;"-"&amp;E52)</x:f>
      </x:c>
      <x:c r="B52" s="74" t="str">
        <x:v>M18</x:v>
      </x:c>
      <x:c r="C52" s="74"/>
      <x:c r="D52" s="79"/>
      <x:c r="E52" s="74" t="str">
        <x:v>V1.0</x:v>
      </x:c>
      <x:c r="F52" s="68"/>
      <x:c r="G52" s="82"/>
      <x:c r="H52" s="68"/>
      <x:c r="I52" s="68"/>
      <x:c r="J52" s="68"/>
      <x:c r="K52" s="68"/>
      <x:c r="L52" s="68"/>
      <x:c r="M52" s="68"/>
      <x:c r="N52" s="68"/>
      <x:c r="O52" s="68"/>
      <x:c r="P52" s="68"/>
      <x:c r="Q52" s="68"/>
      <x:c r="R52" s="84"/>
      <x:c r="S52" s="68"/>
      <x:c r="T52" s="68"/>
      <x:c r="U52" s="68"/>
      <x:c r="V52" s="68"/>
      <x:c r="W52" s="90"/>
      <x:c r="X52" s="84"/>
      <x:c r="Y52" s="84"/>
      <x:c r="Z52" s="82"/>
      <x:c r="AA52" s="82"/>
      <x:c r="AB52" s="68"/>
      <x:c r="AC52" s="68"/>
      <x:c r="AD52" s="90"/>
      <x:c r="AE52" s="82"/>
      <x:c r="AF52" s="82"/>
      <x:c r="AG52" s="87"/>
    </x:row>
    <x:row r="53">
      <x:c r="A53" s="72" t="str">
        <x:f>IF(OR(C53="",D53=""),"",B53&amp;"-"&amp;UPPER(C53)&amp;"-"&amp;TEXT(D53,"0000")&amp;"-"&amp;E53)</x:f>
      </x:c>
      <x:c r="B53" s="74" t="str">
        <x:v>M18</x:v>
      </x:c>
      <x:c r="C53" s="74"/>
      <x:c r="D53" s="79"/>
      <x:c r="E53" s="74" t="str">
        <x:v>V1.0</x:v>
      </x:c>
      <x:c r="F53" s="68"/>
      <x:c r="G53" s="82"/>
      <x:c r="H53" s="68"/>
      <x:c r="I53" s="68"/>
      <x:c r="J53" s="68"/>
      <x:c r="K53" s="68"/>
      <x:c r="L53" s="68"/>
      <x:c r="M53" s="68"/>
      <x:c r="N53" s="68"/>
      <x:c r="O53" s="68"/>
      <x:c r="P53" s="68"/>
      <x:c r="Q53" s="68"/>
      <x:c r="R53" s="84"/>
      <x:c r="S53" s="68"/>
      <x:c r="T53" s="68"/>
      <x:c r="U53" s="68"/>
      <x:c r="V53" s="68"/>
      <x:c r="W53" s="90"/>
      <x:c r="X53" s="84"/>
      <x:c r="Y53" s="84"/>
      <x:c r="Z53" s="82"/>
      <x:c r="AA53" s="82"/>
      <x:c r="AB53" s="68"/>
      <x:c r="AC53" s="68"/>
      <x:c r="AD53" s="90"/>
      <x:c r="AE53" s="82"/>
      <x:c r="AF53" s="82"/>
      <x:c r="AG53" s="87"/>
    </x:row>
    <x:row r="54">
      <x:c r="A54" s="72" t="str">
        <x:f>IF(OR(C54="",D54=""),"",B54&amp;"-"&amp;UPPER(C54)&amp;"-"&amp;TEXT(D54,"0000")&amp;"-"&amp;E54)</x:f>
      </x:c>
      <x:c r="B54" s="74" t="str">
        <x:v>M18</x:v>
      </x:c>
      <x:c r="C54" s="74"/>
      <x:c r="D54" s="79"/>
      <x:c r="E54" s="74" t="str">
        <x:v>V1.0</x:v>
      </x:c>
      <x:c r="F54" s="68"/>
      <x:c r="G54" s="82"/>
      <x:c r="H54" s="68"/>
      <x:c r="I54" s="68"/>
      <x:c r="J54" s="68"/>
      <x:c r="K54" s="68"/>
      <x:c r="L54" s="68"/>
      <x:c r="M54" s="68"/>
      <x:c r="N54" s="68"/>
      <x:c r="O54" s="68"/>
      <x:c r="P54" s="68"/>
      <x:c r="Q54" s="68"/>
      <x:c r="R54" s="84"/>
      <x:c r="S54" s="68"/>
      <x:c r="T54" s="68"/>
      <x:c r="U54" s="68"/>
      <x:c r="V54" s="68"/>
      <x:c r="W54" s="90"/>
      <x:c r="X54" s="84"/>
      <x:c r="Y54" s="84"/>
      <x:c r="Z54" s="82"/>
      <x:c r="AA54" s="82"/>
      <x:c r="AB54" s="68"/>
      <x:c r="AC54" s="68"/>
      <x:c r="AD54" s="90"/>
      <x:c r="AE54" s="82"/>
      <x:c r="AF54" s="82"/>
      <x:c r="AG54" s="87"/>
    </x:row>
    <x:row r="55">
      <x:c r="A55" s="72" t="str">
        <x:f>IF(OR(C55="",D55=""),"",B55&amp;"-"&amp;UPPER(C55)&amp;"-"&amp;TEXT(D55,"0000")&amp;"-"&amp;E55)</x:f>
      </x:c>
      <x:c r="B55" s="74" t="str">
        <x:v>M18</x:v>
      </x:c>
      <x:c r="C55" s="74"/>
      <x:c r="D55" s="79"/>
      <x:c r="E55" s="74" t="str">
        <x:v>V1.0</x:v>
      </x:c>
      <x:c r="F55" s="68"/>
      <x:c r="G55" s="82"/>
      <x:c r="H55" s="68"/>
      <x:c r="I55" s="68"/>
      <x:c r="J55" s="68"/>
      <x:c r="K55" s="68"/>
      <x:c r="L55" s="68"/>
      <x:c r="M55" s="68"/>
      <x:c r="N55" s="68"/>
      <x:c r="O55" s="68"/>
      <x:c r="P55" s="68"/>
      <x:c r="Q55" s="68"/>
      <x:c r="R55" s="84"/>
      <x:c r="S55" s="68"/>
      <x:c r="T55" s="68"/>
      <x:c r="U55" s="68"/>
      <x:c r="V55" s="68"/>
      <x:c r="W55" s="90"/>
      <x:c r="X55" s="84"/>
      <x:c r="Y55" s="84"/>
      <x:c r="Z55" s="82"/>
      <x:c r="AA55" s="82"/>
      <x:c r="AB55" s="68"/>
      <x:c r="AC55" s="68"/>
      <x:c r="AD55" s="90"/>
      <x:c r="AE55" s="82"/>
      <x:c r="AF55" s="82"/>
      <x:c r="AG55" s="87"/>
    </x:row>
    <x:row r="56">
      <x:c r="A56" s="72" t="str">
        <x:f>IF(OR(C56="",D56=""),"",B56&amp;"-"&amp;UPPER(C56)&amp;"-"&amp;TEXT(D56,"0000")&amp;"-"&amp;E56)</x:f>
      </x:c>
      <x:c r="B56" s="74" t="str">
        <x:v>M18</x:v>
      </x:c>
      <x:c r="C56" s="74"/>
      <x:c r="D56" s="79"/>
      <x:c r="E56" s="74" t="str">
        <x:v>V1.0</x:v>
      </x:c>
      <x:c r="F56" s="68"/>
      <x:c r="G56" s="82"/>
      <x:c r="H56" s="68"/>
      <x:c r="I56" s="68"/>
      <x:c r="J56" s="68"/>
      <x:c r="K56" s="68"/>
      <x:c r="L56" s="68"/>
      <x:c r="M56" s="68"/>
      <x:c r="N56" s="68"/>
      <x:c r="O56" s="68"/>
      <x:c r="P56" s="68"/>
      <x:c r="Q56" s="68"/>
      <x:c r="R56" s="84"/>
      <x:c r="S56" s="68"/>
      <x:c r="T56" s="68"/>
      <x:c r="U56" s="68"/>
      <x:c r="V56" s="68"/>
      <x:c r="W56" s="90"/>
      <x:c r="X56" s="84"/>
      <x:c r="Y56" s="84"/>
      <x:c r="Z56" s="82"/>
      <x:c r="AA56" s="82"/>
      <x:c r="AB56" s="68"/>
      <x:c r="AC56" s="68"/>
      <x:c r="AD56" s="90"/>
      <x:c r="AE56" s="82"/>
      <x:c r="AF56" s="82"/>
      <x:c r="AG56" s="87"/>
    </x:row>
    <x:row r="57">
      <x:c r="A57" s="72" t="str">
        <x:f>IF(OR(C57="",D57=""),"",B57&amp;"-"&amp;UPPER(C57)&amp;"-"&amp;TEXT(D57,"0000")&amp;"-"&amp;E57)</x:f>
      </x:c>
      <x:c r="B57" s="74" t="str">
        <x:v>M18</x:v>
      </x:c>
      <x:c r="C57" s="74"/>
      <x:c r="D57" s="79"/>
      <x:c r="E57" s="74" t="str">
        <x:v>V1.0</x:v>
      </x:c>
      <x:c r="F57" s="68"/>
      <x:c r="G57" s="82"/>
      <x:c r="H57" s="68"/>
      <x:c r="I57" s="68"/>
      <x:c r="J57" s="68"/>
      <x:c r="K57" s="68"/>
      <x:c r="L57" s="68"/>
      <x:c r="M57" s="68"/>
      <x:c r="N57" s="68"/>
      <x:c r="O57" s="68"/>
      <x:c r="P57" s="68"/>
      <x:c r="Q57" s="68"/>
      <x:c r="R57" s="84"/>
      <x:c r="S57" s="68"/>
      <x:c r="T57" s="68"/>
      <x:c r="U57" s="68"/>
      <x:c r="V57" s="68"/>
      <x:c r="W57" s="90"/>
      <x:c r="X57" s="84"/>
      <x:c r="Y57" s="84"/>
      <x:c r="Z57" s="82"/>
      <x:c r="AA57" s="82"/>
      <x:c r="AB57" s="68"/>
      <x:c r="AC57" s="68"/>
      <x:c r="AD57" s="90"/>
      <x:c r="AE57" s="82"/>
      <x:c r="AF57" s="82"/>
      <x:c r="AG57" s="87"/>
    </x:row>
    <x:row r="58">
      <x:c r="A58" s="72" t="str">
        <x:f>IF(OR(C58="",D58=""),"",B58&amp;"-"&amp;UPPER(C58)&amp;"-"&amp;TEXT(D58,"0000")&amp;"-"&amp;E58)</x:f>
      </x:c>
      <x:c r="B58" s="74" t="str">
        <x:v>M18</x:v>
      </x:c>
      <x:c r="C58" s="74"/>
      <x:c r="D58" s="79"/>
      <x:c r="E58" s="74" t="str">
        <x:v>V1.0</x:v>
      </x:c>
      <x:c r="F58" s="68"/>
      <x:c r="G58" s="82"/>
      <x:c r="H58" s="68"/>
      <x:c r="I58" s="68"/>
      <x:c r="J58" s="68"/>
      <x:c r="K58" s="68"/>
      <x:c r="L58" s="68"/>
      <x:c r="M58" s="68"/>
      <x:c r="N58" s="68"/>
      <x:c r="O58" s="68"/>
      <x:c r="P58" s="68"/>
      <x:c r="Q58" s="68"/>
      <x:c r="R58" s="84"/>
      <x:c r="S58" s="68"/>
      <x:c r="T58" s="68"/>
      <x:c r="U58" s="68"/>
      <x:c r="V58" s="68"/>
      <x:c r="W58" s="90"/>
      <x:c r="X58" s="84"/>
      <x:c r="Y58" s="84"/>
      <x:c r="Z58" s="82"/>
      <x:c r="AA58" s="82"/>
      <x:c r="AB58" s="68"/>
      <x:c r="AC58" s="68"/>
      <x:c r="AD58" s="90"/>
      <x:c r="AE58" s="82"/>
      <x:c r="AF58" s="82"/>
      <x:c r="AG58" s="87"/>
    </x:row>
    <x:row r="59">
      <x:c r="A59" s="72" t="str">
        <x:f>IF(OR(C59="",D59=""),"",B59&amp;"-"&amp;UPPER(C59)&amp;"-"&amp;TEXT(D59,"0000")&amp;"-"&amp;E59)</x:f>
      </x:c>
      <x:c r="B59" s="74" t="str">
        <x:v>M18</x:v>
      </x:c>
      <x:c r="C59" s="74"/>
      <x:c r="D59" s="79"/>
      <x:c r="E59" s="74" t="str">
        <x:v>V1.0</x:v>
      </x:c>
      <x:c r="F59" s="68"/>
      <x:c r="G59" s="82"/>
      <x:c r="H59" s="68"/>
      <x:c r="I59" s="68"/>
      <x:c r="J59" s="68"/>
      <x:c r="K59" s="68"/>
      <x:c r="L59" s="68"/>
      <x:c r="M59" s="68"/>
      <x:c r="N59" s="68"/>
      <x:c r="O59" s="68"/>
      <x:c r="P59" s="68"/>
      <x:c r="Q59" s="68"/>
      <x:c r="R59" s="84"/>
      <x:c r="S59" s="68"/>
      <x:c r="T59" s="68"/>
      <x:c r="U59" s="68"/>
      <x:c r="V59" s="68"/>
      <x:c r="W59" s="90"/>
      <x:c r="X59" s="84"/>
      <x:c r="Y59" s="84"/>
      <x:c r="Z59" s="82"/>
      <x:c r="AA59" s="82"/>
      <x:c r="AB59" s="68"/>
      <x:c r="AC59" s="68"/>
      <x:c r="AD59" s="90"/>
      <x:c r="AE59" s="82"/>
      <x:c r="AF59" s="82"/>
      <x:c r="AG59" s="87"/>
    </x:row>
    <x:row r="60">
      <x:c r="A60" s="72" t="str">
        <x:f>IF(OR(C60="",D60=""),"",B60&amp;"-"&amp;UPPER(C60)&amp;"-"&amp;TEXT(D60,"0000")&amp;"-"&amp;E60)</x:f>
      </x:c>
      <x:c r="B60" s="74" t="str">
        <x:v>M18</x:v>
      </x:c>
      <x:c r="C60" s="74"/>
      <x:c r="D60" s="79"/>
      <x:c r="E60" s="74" t="str">
        <x:v>V1.0</x:v>
      </x:c>
      <x:c r="F60" s="68"/>
      <x:c r="G60" s="82"/>
      <x:c r="H60" s="68"/>
      <x:c r="I60" s="68"/>
      <x:c r="J60" s="68"/>
      <x:c r="K60" s="68"/>
      <x:c r="L60" s="68"/>
      <x:c r="M60" s="68"/>
      <x:c r="N60" s="68"/>
      <x:c r="O60" s="68"/>
      <x:c r="P60" s="68"/>
      <x:c r="Q60" s="68"/>
      <x:c r="R60" s="84"/>
      <x:c r="S60" s="68"/>
      <x:c r="T60" s="68"/>
      <x:c r="U60" s="68"/>
      <x:c r="V60" s="68"/>
      <x:c r="W60" s="90"/>
      <x:c r="X60" s="84"/>
      <x:c r="Y60" s="84"/>
      <x:c r="Z60" s="82"/>
      <x:c r="AA60" s="82"/>
      <x:c r="AB60" s="68"/>
      <x:c r="AC60" s="68"/>
      <x:c r="AD60" s="90"/>
      <x:c r="AE60" s="82"/>
      <x:c r="AF60" s="82"/>
      <x:c r="AG60" s="87"/>
    </x:row>
    <x:row r="61">
      <x:c r="A61" s="72" t="str">
        <x:f>IF(OR(C61="",D61=""),"",B61&amp;"-"&amp;UPPER(C61)&amp;"-"&amp;TEXT(D61,"0000")&amp;"-"&amp;E61)</x:f>
      </x:c>
      <x:c r="B61" s="74" t="str">
        <x:v>M18</x:v>
      </x:c>
      <x:c r="C61" s="74"/>
      <x:c r="D61" s="79"/>
      <x:c r="E61" s="74" t="str">
        <x:v>V1.0</x:v>
      </x:c>
      <x:c r="F61" s="68"/>
      <x:c r="G61" s="82"/>
      <x:c r="H61" s="68"/>
      <x:c r="I61" s="68"/>
      <x:c r="J61" s="68"/>
      <x:c r="K61" s="68"/>
      <x:c r="L61" s="68"/>
      <x:c r="M61" s="68"/>
      <x:c r="N61" s="68"/>
      <x:c r="O61" s="68"/>
      <x:c r="P61" s="68"/>
      <x:c r="Q61" s="68"/>
      <x:c r="R61" s="84"/>
      <x:c r="S61" s="68"/>
      <x:c r="T61" s="68"/>
      <x:c r="U61" s="68"/>
      <x:c r="V61" s="68"/>
      <x:c r="W61" s="90"/>
      <x:c r="X61" s="84"/>
      <x:c r="Y61" s="84"/>
      <x:c r="Z61" s="82"/>
      <x:c r="AA61" s="82"/>
      <x:c r="AB61" s="68"/>
      <x:c r="AC61" s="68"/>
      <x:c r="AD61" s="90"/>
      <x:c r="AE61" s="82"/>
      <x:c r="AF61" s="82"/>
      <x:c r="AG61" s="87"/>
    </x:row>
    <x:row r="62">
      <x:c r="A62" s="72" t="str">
        <x:f>IF(OR(C62="",D62=""),"",B62&amp;"-"&amp;UPPER(C62)&amp;"-"&amp;TEXT(D62,"0000")&amp;"-"&amp;E62)</x:f>
      </x:c>
      <x:c r="B62" s="74" t="str">
        <x:v>M18</x:v>
      </x:c>
      <x:c r="C62" s="74"/>
      <x:c r="D62" s="79"/>
      <x:c r="E62" s="74" t="str">
        <x:v>V1.0</x:v>
      </x:c>
      <x:c r="F62" s="68"/>
      <x:c r="G62" s="82"/>
      <x:c r="H62" s="68"/>
      <x:c r="I62" s="68"/>
      <x:c r="J62" s="68"/>
      <x:c r="K62" s="68"/>
      <x:c r="L62" s="68"/>
      <x:c r="M62" s="68"/>
      <x:c r="N62" s="68"/>
      <x:c r="O62" s="68"/>
      <x:c r="P62" s="68"/>
      <x:c r="Q62" s="68"/>
      <x:c r="R62" s="84"/>
      <x:c r="S62" s="68"/>
      <x:c r="T62" s="68"/>
      <x:c r="U62" s="68"/>
      <x:c r="V62" s="68"/>
      <x:c r="W62" s="90"/>
      <x:c r="X62" s="84"/>
      <x:c r="Y62" s="84"/>
      <x:c r="Z62" s="82"/>
      <x:c r="AA62" s="82"/>
      <x:c r="AB62" s="68"/>
      <x:c r="AC62" s="68"/>
      <x:c r="AD62" s="90"/>
      <x:c r="AE62" s="82"/>
      <x:c r="AF62" s="82"/>
      <x:c r="AG62" s="87"/>
    </x:row>
    <x:row r="63">
      <x:c r="A63" s="72" t="str">
        <x:f>IF(OR(C63="",D63=""),"",B63&amp;"-"&amp;UPPER(C63)&amp;"-"&amp;TEXT(D63,"0000")&amp;"-"&amp;E63)</x:f>
      </x:c>
      <x:c r="B63" s="74" t="str">
        <x:v>M18</x:v>
      </x:c>
      <x:c r="C63" s="74"/>
      <x:c r="D63" s="79"/>
      <x:c r="E63" s="74" t="str">
        <x:v>V1.0</x:v>
      </x:c>
      <x:c r="F63" s="68"/>
      <x:c r="G63" s="82"/>
      <x:c r="H63" s="68"/>
      <x:c r="I63" s="68"/>
      <x:c r="J63" s="68"/>
      <x:c r="K63" s="68"/>
      <x:c r="L63" s="68"/>
      <x:c r="M63" s="68"/>
      <x:c r="N63" s="68"/>
      <x:c r="O63" s="68"/>
      <x:c r="P63" s="68"/>
      <x:c r="Q63" s="68"/>
      <x:c r="R63" s="84"/>
      <x:c r="S63" s="68"/>
      <x:c r="T63" s="68"/>
      <x:c r="U63" s="68"/>
      <x:c r="V63" s="68"/>
      <x:c r="W63" s="90"/>
      <x:c r="X63" s="84"/>
      <x:c r="Y63" s="84"/>
      <x:c r="Z63" s="82"/>
      <x:c r="AA63" s="82"/>
      <x:c r="AB63" s="68"/>
      <x:c r="AC63" s="68"/>
      <x:c r="AD63" s="90"/>
      <x:c r="AE63" s="82"/>
      <x:c r="AF63" s="82"/>
      <x:c r="AG63" s="87"/>
    </x:row>
    <x:row r="64">
      <x:c r="A64" s="72" t="str">
        <x:f>IF(OR(C64="",D64=""),"",B64&amp;"-"&amp;UPPER(C64)&amp;"-"&amp;TEXT(D64,"0000")&amp;"-"&amp;E64)</x:f>
      </x:c>
      <x:c r="B64" s="74" t="str">
        <x:v>M18</x:v>
      </x:c>
      <x:c r="C64" s="74"/>
      <x:c r="D64" s="79"/>
      <x:c r="E64" s="74" t="str">
        <x:v>V1.0</x:v>
      </x:c>
      <x:c r="F64" s="68"/>
      <x:c r="G64" s="82"/>
      <x:c r="H64" s="68"/>
      <x:c r="I64" s="68"/>
      <x:c r="J64" s="68"/>
      <x:c r="K64" s="68"/>
      <x:c r="L64" s="68"/>
      <x:c r="M64" s="68"/>
      <x:c r="N64" s="68"/>
      <x:c r="O64" s="68"/>
      <x:c r="P64" s="68"/>
      <x:c r="Q64" s="68"/>
      <x:c r="R64" s="84"/>
      <x:c r="S64" s="68"/>
      <x:c r="T64" s="68"/>
      <x:c r="U64" s="68"/>
      <x:c r="V64" s="68"/>
      <x:c r="W64" s="90"/>
      <x:c r="X64" s="84"/>
      <x:c r="Y64" s="84"/>
      <x:c r="Z64" s="82"/>
      <x:c r="AA64" s="82"/>
      <x:c r="AB64" s="68"/>
      <x:c r="AC64" s="68"/>
      <x:c r="AD64" s="90"/>
      <x:c r="AE64" s="82"/>
      <x:c r="AF64" s="82"/>
      <x:c r="AG64" s="87"/>
    </x:row>
    <x:row r="65">
      <x:c r="A65" s="72" t="str">
        <x:f>IF(OR(C65="",D65=""),"",B65&amp;"-"&amp;UPPER(C65)&amp;"-"&amp;TEXT(D65,"0000")&amp;"-"&amp;E65)</x:f>
      </x:c>
      <x:c r="B65" s="74" t="str">
        <x:v>M18</x:v>
      </x:c>
      <x:c r="C65" s="74"/>
      <x:c r="D65" s="79"/>
      <x:c r="E65" s="74" t="str">
        <x:v>V1.0</x:v>
      </x:c>
      <x:c r="F65" s="68"/>
      <x:c r="G65" s="82"/>
      <x:c r="H65" s="68"/>
      <x:c r="I65" s="68"/>
      <x:c r="J65" s="68"/>
      <x:c r="K65" s="68"/>
      <x:c r="L65" s="68"/>
      <x:c r="M65" s="68"/>
      <x:c r="N65" s="68"/>
      <x:c r="O65" s="68"/>
      <x:c r="P65" s="68"/>
      <x:c r="Q65" s="68"/>
      <x:c r="R65" s="84"/>
      <x:c r="S65" s="68"/>
      <x:c r="T65" s="68"/>
      <x:c r="U65" s="68"/>
      <x:c r="V65" s="68"/>
      <x:c r="W65" s="90"/>
      <x:c r="X65" s="84"/>
      <x:c r="Y65" s="84"/>
      <x:c r="Z65" s="82"/>
      <x:c r="AA65" s="82"/>
      <x:c r="AB65" s="68"/>
      <x:c r="AC65" s="68"/>
      <x:c r="AD65" s="90"/>
      <x:c r="AE65" s="82"/>
      <x:c r="AF65" s="82"/>
      <x:c r="AG65" s="87"/>
    </x:row>
    <x:row r="66">
      <x:c r="A66" s="72" t="str">
        <x:f>IF(OR(C66="",D66=""),"",B66&amp;"-"&amp;UPPER(C66)&amp;"-"&amp;TEXT(D66,"0000")&amp;"-"&amp;E66)</x:f>
      </x:c>
      <x:c r="B66" s="74" t="str">
        <x:v>M18</x:v>
      </x:c>
      <x:c r="C66" s="74"/>
      <x:c r="D66" s="79"/>
      <x:c r="E66" s="74" t="str">
        <x:v>V1.0</x:v>
      </x:c>
      <x:c r="F66" s="68"/>
      <x:c r="G66" s="82"/>
      <x:c r="H66" s="68"/>
      <x:c r="I66" s="68"/>
      <x:c r="J66" s="68"/>
      <x:c r="K66" s="68"/>
      <x:c r="L66" s="68"/>
      <x:c r="M66" s="68"/>
      <x:c r="N66" s="68"/>
      <x:c r="O66" s="68"/>
      <x:c r="P66" s="68"/>
      <x:c r="Q66" s="68"/>
      <x:c r="R66" s="84"/>
      <x:c r="S66" s="68"/>
      <x:c r="T66" s="68"/>
      <x:c r="U66" s="68"/>
      <x:c r="V66" s="68"/>
      <x:c r="W66" s="90"/>
      <x:c r="X66" s="84"/>
      <x:c r="Y66" s="84"/>
      <x:c r="Z66" s="82"/>
      <x:c r="AA66" s="82"/>
      <x:c r="AB66" s="68"/>
      <x:c r="AC66" s="68"/>
      <x:c r="AD66" s="90"/>
      <x:c r="AE66" s="82"/>
      <x:c r="AF66" s="82"/>
      <x:c r="AG66" s="87"/>
    </x:row>
    <x:row r="67">
      <x:c r="A67" s="72" t="str">
        <x:f>IF(OR(C67="",D67=""),"",B67&amp;"-"&amp;UPPER(C67)&amp;"-"&amp;TEXT(D67,"0000")&amp;"-"&amp;E67)</x:f>
      </x:c>
      <x:c r="B67" s="74" t="str">
        <x:v>M18</x:v>
      </x:c>
      <x:c r="C67" s="74"/>
      <x:c r="D67" s="79"/>
      <x:c r="E67" s="74" t="str">
        <x:v>V1.0</x:v>
      </x:c>
      <x:c r="F67" s="68"/>
      <x:c r="G67" s="82"/>
      <x:c r="H67" s="68"/>
      <x:c r="I67" s="68"/>
      <x:c r="J67" s="68"/>
      <x:c r="K67" s="68"/>
      <x:c r="L67" s="68"/>
      <x:c r="M67" s="68"/>
      <x:c r="N67" s="68"/>
      <x:c r="O67" s="68"/>
      <x:c r="P67" s="68"/>
      <x:c r="Q67" s="68"/>
      <x:c r="R67" s="84"/>
      <x:c r="S67" s="68"/>
      <x:c r="T67" s="68"/>
      <x:c r="U67" s="68"/>
      <x:c r="V67" s="68"/>
      <x:c r="W67" s="90"/>
      <x:c r="X67" s="84"/>
      <x:c r="Y67" s="84"/>
      <x:c r="Z67" s="82"/>
      <x:c r="AA67" s="82"/>
      <x:c r="AB67" s="68"/>
      <x:c r="AC67" s="68"/>
      <x:c r="AD67" s="90"/>
      <x:c r="AE67" s="82"/>
      <x:c r="AF67" s="82"/>
      <x:c r="AG67" s="87"/>
    </x:row>
    <x:row r="68">
      <x:c r="A68" s="72" t="str">
        <x:f>IF(OR(C68="",D68=""),"",B68&amp;"-"&amp;UPPER(C68)&amp;"-"&amp;TEXT(D68,"0000")&amp;"-"&amp;E68)</x:f>
      </x:c>
      <x:c r="B68" s="74" t="str">
        <x:v>M18</x:v>
      </x:c>
      <x:c r="C68" s="74"/>
      <x:c r="D68" s="79"/>
      <x:c r="E68" s="74" t="str">
        <x:v>V1.0</x:v>
      </x:c>
      <x:c r="F68" s="68"/>
      <x:c r="G68" s="82"/>
      <x:c r="H68" s="68"/>
      <x:c r="I68" s="68"/>
      <x:c r="J68" s="68"/>
      <x:c r="K68" s="68"/>
      <x:c r="L68" s="68"/>
      <x:c r="M68" s="68"/>
      <x:c r="N68" s="68"/>
      <x:c r="O68" s="68"/>
      <x:c r="P68" s="68"/>
      <x:c r="Q68" s="68"/>
      <x:c r="R68" s="84"/>
      <x:c r="S68" s="68"/>
      <x:c r="T68" s="68"/>
      <x:c r="U68" s="68"/>
      <x:c r="V68" s="68"/>
      <x:c r="W68" s="90"/>
      <x:c r="X68" s="84"/>
      <x:c r="Y68" s="84"/>
      <x:c r="Z68" s="82"/>
      <x:c r="AA68" s="82"/>
      <x:c r="AB68" s="68"/>
      <x:c r="AC68" s="68"/>
      <x:c r="AD68" s="90"/>
      <x:c r="AE68" s="82"/>
      <x:c r="AF68" s="82"/>
      <x:c r="AG68" s="87"/>
    </x:row>
    <x:row r="69">
      <x:c r="A69" s="72" t="str">
        <x:f>IF(OR(C69="",D69=""),"",B69&amp;"-"&amp;UPPER(C69)&amp;"-"&amp;TEXT(D69,"0000")&amp;"-"&amp;E69)</x:f>
      </x:c>
      <x:c r="B69" s="74" t="str">
        <x:v>M18</x:v>
      </x:c>
      <x:c r="C69" s="74"/>
      <x:c r="D69" s="79"/>
      <x:c r="E69" s="74" t="str">
        <x:v>V1.0</x:v>
      </x:c>
      <x:c r="F69" s="68"/>
      <x:c r="G69" s="82"/>
      <x:c r="H69" s="68"/>
      <x:c r="I69" s="68"/>
      <x:c r="J69" s="68"/>
      <x:c r="K69" s="68"/>
      <x:c r="L69" s="68"/>
      <x:c r="M69" s="68"/>
      <x:c r="N69" s="68"/>
      <x:c r="O69" s="68"/>
      <x:c r="P69" s="68"/>
      <x:c r="Q69" s="68"/>
      <x:c r="R69" s="84"/>
      <x:c r="S69" s="68"/>
      <x:c r="T69" s="68"/>
      <x:c r="U69" s="68"/>
      <x:c r="V69" s="68"/>
      <x:c r="W69" s="90"/>
      <x:c r="X69" s="84"/>
      <x:c r="Y69" s="84"/>
      <x:c r="Z69" s="82"/>
      <x:c r="AA69" s="82"/>
      <x:c r="AB69" s="68"/>
      <x:c r="AC69" s="68"/>
      <x:c r="AD69" s="90"/>
      <x:c r="AE69" s="82"/>
      <x:c r="AF69" s="82"/>
      <x:c r="AG69" s="87"/>
    </x:row>
    <x:row r="70">
      <x:c r="A70" s="72" t="str">
        <x:f>IF(OR(C70="",D70=""),"",B70&amp;"-"&amp;UPPER(C70)&amp;"-"&amp;TEXT(D70,"0000")&amp;"-"&amp;E70)</x:f>
      </x:c>
      <x:c r="B70" s="74" t="str">
        <x:v>M18</x:v>
      </x:c>
      <x:c r="C70" s="74"/>
      <x:c r="D70" s="79"/>
      <x:c r="E70" s="74" t="str">
        <x:v>V1.0</x:v>
      </x:c>
      <x:c r="F70" s="68"/>
      <x:c r="G70" s="82"/>
      <x:c r="H70" s="68"/>
      <x:c r="I70" s="68"/>
      <x:c r="J70" s="68"/>
      <x:c r="K70" s="68"/>
      <x:c r="L70" s="68"/>
      <x:c r="M70" s="68"/>
      <x:c r="N70" s="68"/>
      <x:c r="O70" s="68"/>
      <x:c r="P70" s="68"/>
      <x:c r="Q70" s="68"/>
      <x:c r="R70" s="84"/>
      <x:c r="S70" s="68"/>
      <x:c r="T70" s="68"/>
      <x:c r="U70" s="68"/>
      <x:c r="V70" s="68"/>
      <x:c r="W70" s="90"/>
      <x:c r="X70" s="84"/>
      <x:c r="Y70" s="84"/>
      <x:c r="Z70" s="82"/>
      <x:c r="AA70" s="82"/>
      <x:c r="AB70" s="68"/>
      <x:c r="AC70" s="68"/>
      <x:c r="AD70" s="90"/>
      <x:c r="AE70" s="82"/>
      <x:c r="AF70" s="82"/>
      <x:c r="AG70" s="87"/>
    </x:row>
    <x:row r="71">
      <x:c r="A71" s="72" t="str">
        <x:f>IF(OR(C71="",D71=""),"",B71&amp;"-"&amp;UPPER(C71)&amp;"-"&amp;TEXT(D71,"0000")&amp;"-"&amp;E71)</x:f>
      </x:c>
      <x:c r="B71" s="74" t="str">
        <x:v>M18</x:v>
      </x:c>
      <x:c r="C71" s="74"/>
      <x:c r="D71" s="79"/>
      <x:c r="E71" s="74" t="str">
        <x:v>V1.0</x:v>
      </x:c>
      <x:c r="F71" s="68"/>
      <x:c r="G71" s="82"/>
      <x:c r="H71" s="68"/>
      <x:c r="I71" s="68"/>
      <x:c r="J71" s="68"/>
      <x:c r="K71" s="68"/>
      <x:c r="L71" s="68"/>
      <x:c r="M71" s="68"/>
      <x:c r="N71" s="68"/>
      <x:c r="O71" s="68"/>
      <x:c r="P71" s="68"/>
      <x:c r="Q71" s="68"/>
      <x:c r="R71" s="84"/>
      <x:c r="S71" s="68"/>
      <x:c r="T71" s="68"/>
      <x:c r="U71" s="68"/>
      <x:c r="V71" s="68"/>
      <x:c r="W71" s="90"/>
      <x:c r="X71" s="84"/>
      <x:c r="Y71" s="84"/>
      <x:c r="Z71" s="82"/>
      <x:c r="AA71" s="82"/>
      <x:c r="AB71" s="68"/>
      <x:c r="AC71" s="68"/>
      <x:c r="AD71" s="90"/>
      <x:c r="AE71" s="82"/>
      <x:c r="AF71" s="82"/>
      <x:c r="AG71" s="87"/>
    </x:row>
    <x:row r="72">
      <x:c r="A72" s="72" t="str">
        <x:f>IF(OR(C72="",D72=""),"",B72&amp;"-"&amp;UPPER(C72)&amp;"-"&amp;TEXT(D72,"0000")&amp;"-"&amp;E72)</x:f>
      </x:c>
      <x:c r="B72" s="74" t="str">
        <x:v>M18</x:v>
      </x:c>
      <x:c r="C72" s="74"/>
      <x:c r="D72" s="79"/>
      <x:c r="E72" s="74" t="str">
        <x:v>V1.0</x:v>
      </x:c>
      <x:c r="F72" s="68"/>
      <x:c r="G72" s="82"/>
      <x:c r="H72" s="68"/>
      <x:c r="I72" s="68"/>
      <x:c r="J72" s="68"/>
      <x:c r="K72" s="68"/>
      <x:c r="L72" s="68"/>
      <x:c r="M72" s="68"/>
      <x:c r="N72" s="68"/>
      <x:c r="O72" s="68"/>
      <x:c r="P72" s="68"/>
      <x:c r="Q72" s="68"/>
      <x:c r="R72" s="84"/>
      <x:c r="S72" s="68"/>
      <x:c r="T72" s="68"/>
      <x:c r="U72" s="68"/>
      <x:c r="V72" s="68"/>
      <x:c r="W72" s="90"/>
      <x:c r="X72" s="84"/>
      <x:c r="Y72" s="84"/>
      <x:c r="Z72" s="82"/>
      <x:c r="AA72" s="82"/>
      <x:c r="AB72" s="68"/>
      <x:c r="AC72" s="68"/>
      <x:c r="AD72" s="90"/>
      <x:c r="AE72" s="82"/>
      <x:c r="AF72" s="82"/>
      <x:c r="AG72" s="87"/>
    </x:row>
    <x:row r="73">
      <x:c r="A73" s="72" t="str">
        <x:f>IF(OR(C73="",D73=""),"",B73&amp;"-"&amp;UPPER(C73)&amp;"-"&amp;TEXT(D73,"0000")&amp;"-"&amp;E73)</x:f>
      </x:c>
      <x:c r="B73" s="74" t="str">
        <x:v>M18</x:v>
      </x:c>
      <x:c r="C73" s="74"/>
      <x:c r="D73" s="79"/>
      <x:c r="E73" s="74" t="str">
        <x:v>V1.0</x:v>
      </x:c>
      <x:c r="F73" s="68"/>
      <x:c r="G73" s="82"/>
      <x:c r="H73" s="68"/>
      <x:c r="I73" s="68"/>
      <x:c r="J73" s="68"/>
      <x:c r="K73" s="68"/>
      <x:c r="L73" s="68"/>
      <x:c r="M73" s="68"/>
      <x:c r="N73" s="68"/>
      <x:c r="O73" s="68"/>
      <x:c r="P73" s="68"/>
      <x:c r="Q73" s="68"/>
      <x:c r="R73" s="84"/>
      <x:c r="S73" s="68"/>
      <x:c r="T73" s="68"/>
      <x:c r="U73" s="68"/>
      <x:c r="V73" s="68"/>
      <x:c r="W73" s="90"/>
      <x:c r="X73" s="84"/>
      <x:c r="Y73" s="84"/>
      <x:c r="Z73" s="82"/>
      <x:c r="AA73" s="82"/>
      <x:c r="AB73" s="68"/>
      <x:c r="AC73" s="68"/>
      <x:c r="AD73" s="90"/>
      <x:c r="AE73" s="82"/>
      <x:c r="AF73" s="82"/>
      <x:c r="AG73" s="87"/>
    </x:row>
    <x:row r="74">
      <x:c r="A74" s="72" t="str">
        <x:f>IF(OR(C74="",D74=""),"",B74&amp;"-"&amp;UPPER(C74)&amp;"-"&amp;TEXT(D74,"0000")&amp;"-"&amp;E74)</x:f>
      </x:c>
      <x:c r="B74" s="74" t="str">
        <x:v>M18</x:v>
      </x:c>
      <x:c r="C74" s="74"/>
      <x:c r="D74" s="79"/>
      <x:c r="E74" s="74" t="str">
        <x:v>V1.0</x:v>
      </x:c>
      <x:c r="F74" s="68"/>
      <x:c r="G74" s="82"/>
      <x:c r="H74" s="68"/>
      <x:c r="I74" s="68"/>
      <x:c r="J74" s="68"/>
      <x:c r="K74" s="68"/>
      <x:c r="L74" s="68"/>
      <x:c r="M74" s="68"/>
      <x:c r="N74" s="68"/>
      <x:c r="O74" s="68"/>
      <x:c r="P74" s="68"/>
      <x:c r="Q74" s="68"/>
      <x:c r="R74" s="84"/>
      <x:c r="S74" s="68"/>
      <x:c r="T74" s="68"/>
      <x:c r="U74" s="68"/>
      <x:c r="V74" s="68"/>
      <x:c r="W74" s="90"/>
      <x:c r="X74" s="84"/>
      <x:c r="Y74" s="84"/>
      <x:c r="Z74" s="82"/>
      <x:c r="AA74" s="82"/>
      <x:c r="AB74" s="68"/>
      <x:c r="AC74" s="68"/>
      <x:c r="AD74" s="90"/>
      <x:c r="AE74" s="82"/>
      <x:c r="AF74" s="82"/>
      <x:c r="AG74" s="87"/>
    </x:row>
    <x:row r="75">
      <x:c r="A75" s="72" t="str">
        <x:f>IF(OR(C75="",D75=""),"",B75&amp;"-"&amp;UPPER(C75)&amp;"-"&amp;TEXT(D75,"0000")&amp;"-"&amp;E75)</x:f>
      </x:c>
      <x:c r="B75" s="74" t="str">
        <x:v>M18</x:v>
      </x:c>
      <x:c r="C75" s="74"/>
      <x:c r="D75" s="79"/>
      <x:c r="E75" s="74" t="str">
        <x:v>V1.0</x:v>
      </x:c>
      <x:c r="F75" s="68"/>
      <x:c r="G75" s="82"/>
      <x:c r="H75" s="68"/>
      <x:c r="I75" s="68"/>
      <x:c r="J75" s="68"/>
      <x:c r="K75" s="68"/>
      <x:c r="L75" s="68"/>
      <x:c r="M75" s="68"/>
      <x:c r="N75" s="68"/>
      <x:c r="O75" s="68"/>
      <x:c r="P75" s="68"/>
      <x:c r="Q75" s="68"/>
      <x:c r="R75" s="84"/>
      <x:c r="S75" s="68"/>
      <x:c r="T75" s="68"/>
      <x:c r="U75" s="68"/>
      <x:c r="V75" s="68"/>
      <x:c r="W75" s="90"/>
      <x:c r="X75" s="84"/>
      <x:c r="Y75" s="84"/>
      <x:c r="Z75" s="82"/>
      <x:c r="AA75" s="82"/>
      <x:c r="AB75" s="68"/>
      <x:c r="AC75" s="68"/>
      <x:c r="AD75" s="90"/>
      <x:c r="AE75" s="82"/>
      <x:c r="AF75" s="82"/>
      <x:c r="AG75" s="87"/>
    </x:row>
    <x:row r="76">
      <x:c r="A76" s="72" t="str">
        <x:f>IF(OR(C76="",D76=""),"",B76&amp;"-"&amp;UPPER(C76)&amp;"-"&amp;TEXT(D76,"0000")&amp;"-"&amp;E76)</x:f>
      </x:c>
      <x:c r="B76" s="74" t="str">
        <x:v>M18</x:v>
      </x:c>
      <x:c r="C76" s="74"/>
      <x:c r="D76" s="79"/>
      <x:c r="E76" s="74" t="str">
        <x:v>V1.0</x:v>
      </x:c>
      <x:c r="F76" s="68"/>
      <x:c r="G76" s="82"/>
      <x:c r="H76" s="68"/>
      <x:c r="I76" s="68"/>
      <x:c r="J76" s="68"/>
      <x:c r="K76" s="68"/>
      <x:c r="L76" s="68"/>
      <x:c r="M76" s="68"/>
      <x:c r="N76" s="68"/>
      <x:c r="O76" s="68"/>
      <x:c r="P76" s="68"/>
      <x:c r="Q76" s="68"/>
      <x:c r="R76" s="84"/>
      <x:c r="S76" s="68"/>
      <x:c r="T76" s="68"/>
      <x:c r="U76" s="68"/>
      <x:c r="V76" s="68"/>
      <x:c r="W76" s="90"/>
      <x:c r="X76" s="84"/>
      <x:c r="Y76" s="84"/>
      <x:c r="Z76" s="82"/>
      <x:c r="AA76" s="82"/>
      <x:c r="AB76" s="68"/>
      <x:c r="AC76" s="68"/>
      <x:c r="AD76" s="90"/>
      <x:c r="AE76" s="82"/>
      <x:c r="AF76" s="82"/>
      <x:c r="AG76" s="87"/>
    </x:row>
    <x:row r="77">
      <x:c r="A77" s="72" t="str">
        <x:f>IF(OR(C77="",D77=""),"",B77&amp;"-"&amp;UPPER(C77)&amp;"-"&amp;TEXT(D77,"0000")&amp;"-"&amp;E77)</x:f>
      </x:c>
      <x:c r="B77" s="74" t="str">
        <x:v>M18</x:v>
      </x:c>
      <x:c r="C77" s="74"/>
      <x:c r="D77" s="79"/>
      <x:c r="E77" s="74" t="str">
        <x:v>V1.0</x:v>
      </x:c>
      <x:c r="F77" s="68"/>
      <x:c r="G77" s="82"/>
      <x:c r="H77" s="68"/>
      <x:c r="I77" s="68"/>
      <x:c r="J77" s="68"/>
      <x:c r="K77" s="68"/>
      <x:c r="L77" s="68"/>
      <x:c r="M77" s="68"/>
      <x:c r="N77" s="68"/>
      <x:c r="O77" s="68"/>
      <x:c r="P77" s="68"/>
      <x:c r="Q77" s="68"/>
      <x:c r="R77" s="84"/>
      <x:c r="S77" s="68"/>
      <x:c r="T77" s="68"/>
      <x:c r="U77" s="68"/>
      <x:c r="V77" s="68"/>
      <x:c r="W77" s="90"/>
      <x:c r="X77" s="84"/>
      <x:c r="Y77" s="84"/>
      <x:c r="Z77" s="82"/>
      <x:c r="AA77" s="82"/>
      <x:c r="AB77" s="68"/>
      <x:c r="AC77" s="68"/>
      <x:c r="AD77" s="90"/>
      <x:c r="AE77" s="82"/>
      <x:c r="AF77" s="82"/>
      <x:c r="AG77" s="87"/>
    </x:row>
    <x:row r="78">
      <x:c r="A78" s="72" t="str">
        <x:f>IF(OR(C78="",D78=""),"",B78&amp;"-"&amp;UPPER(C78)&amp;"-"&amp;TEXT(D78,"0000")&amp;"-"&amp;E78)</x:f>
      </x:c>
      <x:c r="B78" s="74" t="str">
        <x:v>M18</x:v>
      </x:c>
      <x:c r="C78" s="74"/>
      <x:c r="D78" s="79"/>
      <x:c r="E78" s="74" t="str">
        <x:v>V1.0</x:v>
      </x:c>
      <x:c r="F78" s="68"/>
      <x:c r="G78" s="82"/>
      <x:c r="H78" s="68"/>
      <x:c r="I78" s="68"/>
      <x:c r="J78" s="68"/>
      <x:c r="K78" s="68"/>
      <x:c r="L78" s="68"/>
      <x:c r="M78" s="68"/>
      <x:c r="N78" s="68"/>
      <x:c r="O78" s="68"/>
      <x:c r="P78" s="68"/>
      <x:c r="Q78" s="68"/>
      <x:c r="R78" s="84"/>
      <x:c r="S78" s="68"/>
      <x:c r="T78" s="68"/>
      <x:c r="U78" s="68"/>
      <x:c r="V78" s="68"/>
      <x:c r="W78" s="90"/>
      <x:c r="X78" s="84"/>
      <x:c r="Y78" s="84"/>
      <x:c r="Z78" s="82"/>
      <x:c r="AA78" s="82"/>
      <x:c r="AB78" s="68"/>
      <x:c r="AC78" s="68"/>
      <x:c r="AD78" s="90"/>
      <x:c r="AE78" s="82"/>
      <x:c r="AF78" s="82"/>
      <x:c r="AG78" s="87"/>
    </x:row>
    <x:row r="79">
      <x:c r="A79" s="72" t="str">
        <x:f>IF(OR(C79="",D79=""),"",B79&amp;"-"&amp;UPPER(C79)&amp;"-"&amp;TEXT(D79,"0000")&amp;"-"&amp;E79)</x:f>
      </x:c>
      <x:c r="B79" s="74" t="str">
        <x:v>M18</x:v>
      </x:c>
      <x:c r="C79" s="74"/>
      <x:c r="D79" s="79"/>
      <x:c r="E79" s="74" t="str">
        <x:v>V1.0</x:v>
      </x:c>
      <x:c r="F79" s="68"/>
      <x:c r="G79" s="82"/>
      <x:c r="H79" s="68"/>
      <x:c r="I79" s="68"/>
      <x:c r="J79" s="68"/>
      <x:c r="K79" s="68"/>
      <x:c r="L79" s="68"/>
      <x:c r="M79" s="68"/>
      <x:c r="N79" s="68"/>
      <x:c r="O79" s="68"/>
      <x:c r="P79" s="68"/>
      <x:c r="Q79" s="68"/>
      <x:c r="R79" s="84"/>
      <x:c r="S79" s="68"/>
      <x:c r="T79" s="68"/>
      <x:c r="U79" s="68"/>
      <x:c r="V79" s="68"/>
      <x:c r="W79" s="90"/>
      <x:c r="X79" s="84"/>
      <x:c r="Y79" s="84"/>
      <x:c r="Z79" s="82"/>
      <x:c r="AA79" s="82"/>
      <x:c r="AB79" s="68"/>
      <x:c r="AC79" s="68"/>
      <x:c r="AD79" s="90"/>
      <x:c r="AE79" s="82"/>
      <x:c r="AF79" s="82"/>
      <x:c r="AG79" s="87"/>
    </x:row>
    <x:row r="80">
      <x:c r="A80" s="72" t="str">
        <x:f>IF(OR(C80="",D80=""),"",B80&amp;"-"&amp;UPPER(C80)&amp;"-"&amp;TEXT(D80,"0000")&amp;"-"&amp;E80)</x:f>
      </x:c>
      <x:c r="B80" s="74" t="str">
        <x:v>M18</x:v>
      </x:c>
      <x:c r="C80" s="74"/>
      <x:c r="D80" s="79"/>
      <x:c r="E80" s="74" t="str">
        <x:v>V1.0</x:v>
      </x:c>
      <x:c r="F80" s="68"/>
      <x:c r="G80" s="82"/>
      <x:c r="H80" s="68"/>
      <x:c r="I80" s="68"/>
      <x:c r="J80" s="68"/>
      <x:c r="K80" s="68"/>
      <x:c r="L80" s="68"/>
      <x:c r="M80" s="68"/>
      <x:c r="N80" s="68"/>
      <x:c r="O80" s="68"/>
      <x:c r="P80" s="68"/>
      <x:c r="Q80" s="68"/>
      <x:c r="R80" s="84"/>
      <x:c r="S80" s="68"/>
      <x:c r="T80" s="68"/>
      <x:c r="U80" s="68"/>
      <x:c r="V80" s="68"/>
      <x:c r="W80" s="90"/>
      <x:c r="X80" s="84"/>
      <x:c r="Y80" s="84"/>
      <x:c r="Z80" s="82"/>
      <x:c r="AA80" s="82"/>
      <x:c r="AB80" s="68"/>
      <x:c r="AC80" s="68"/>
      <x:c r="AD80" s="90"/>
      <x:c r="AE80" s="82"/>
      <x:c r="AF80" s="82"/>
      <x:c r="AG80" s="87"/>
    </x:row>
    <x:row r="81">
      <x:c r="A81" s="72" t="str">
        <x:f>IF(OR(C81="",D81=""),"",B81&amp;"-"&amp;UPPER(C81)&amp;"-"&amp;TEXT(D81,"0000")&amp;"-"&amp;E81)</x:f>
      </x:c>
      <x:c r="B81" s="74" t="str">
        <x:v>M18</x:v>
      </x:c>
      <x:c r="C81" s="74"/>
      <x:c r="D81" s="79"/>
      <x:c r="E81" s="74" t="str">
        <x:v>V1.0</x:v>
      </x:c>
      <x:c r="F81" s="68"/>
      <x:c r="G81" s="82"/>
      <x:c r="H81" s="68"/>
      <x:c r="I81" s="68"/>
      <x:c r="J81" s="68"/>
      <x:c r="K81" s="68"/>
      <x:c r="L81" s="68"/>
      <x:c r="M81" s="68"/>
      <x:c r="N81" s="68"/>
      <x:c r="O81" s="68"/>
      <x:c r="P81" s="68"/>
      <x:c r="Q81" s="68"/>
      <x:c r="R81" s="84"/>
      <x:c r="S81" s="68"/>
      <x:c r="T81" s="68"/>
      <x:c r="U81" s="68"/>
      <x:c r="V81" s="68"/>
      <x:c r="W81" s="90"/>
      <x:c r="X81" s="84"/>
      <x:c r="Y81" s="84"/>
      <x:c r="Z81" s="82"/>
      <x:c r="AA81" s="82"/>
      <x:c r="AB81" s="68"/>
      <x:c r="AC81" s="68"/>
      <x:c r="AD81" s="90"/>
      <x:c r="AE81" s="82"/>
      <x:c r="AF81" s="82"/>
      <x:c r="AG81" s="87"/>
    </x:row>
    <x:row r="82">
      <x:c r="A82" s="72" t="str">
        <x:f>IF(OR(C82="",D82=""),"",B82&amp;"-"&amp;UPPER(C82)&amp;"-"&amp;TEXT(D82,"0000")&amp;"-"&amp;E82)</x:f>
      </x:c>
      <x:c r="B82" s="74" t="str">
        <x:v>M18</x:v>
      </x:c>
      <x:c r="C82" s="74"/>
      <x:c r="D82" s="79"/>
      <x:c r="E82" s="74" t="str">
        <x:v>V1.0</x:v>
      </x:c>
      <x:c r="F82" s="68"/>
      <x:c r="G82" s="82"/>
      <x:c r="H82" s="68"/>
      <x:c r="I82" s="68"/>
      <x:c r="J82" s="68"/>
      <x:c r="K82" s="68"/>
      <x:c r="L82" s="68"/>
      <x:c r="M82" s="68"/>
      <x:c r="N82" s="68"/>
      <x:c r="O82" s="68"/>
      <x:c r="P82" s="68"/>
      <x:c r="Q82" s="68"/>
      <x:c r="R82" s="84"/>
      <x:c r="S82" s="68"/>
      <x:c r="T82" s="68"/>
      <x:c r="U82" s="68"/>
      <x:c r="V82" s="68"/>
      <x:c r="W82" s="90"/>
      <x:c r="X82" s="84"/>
      <x:c r="Y82" s="84"/>
      <x:c r="Z82" s="82"/>
      <x:c r="AA82" s="82"/>
      <x:c r="AB82" s="68"/>
      <x:c r="AC82" s="68"/>
      <x:c r="AD82" s="90"/>
      <x:c r="AE82" s="82"/>
      <x:c r="AF82" s="82"/>
      <x:c r="AG82" s="87"/>
    </x:row>
    <x:row r="83">
      <x:c r="A83" s="72" t="str">
        <x:f>IF(OR(C83="",D83=""),"",B83&amp;"-"&amp;UPPER(C83)&amp;"-"&amp;TEXT(D83,"0000")&amp;"-"&amp;E83)</x:f>
      </x:c>
      <x:c r="B83" s="74" t="str">
        <x:v>M18</x:v>
      </x:c>
      <x:c r="C83" s="74"/>
      <x:c r="D83" s="79"/>
      <x:c r="E83" s="74" t="str">
        <x:v>V1.0</x:v>
      </x:c>
      <x:c r="F83" s="68"/>
      <x:c r="G83" s="82"/>
      <x:c r="H83" s="68"/>
      <x:c r="I83" s="68"/>
      <x:c r="J83" s="68"/>
      <x:c r="K83" s="68"/>
      <x:c r="L83" s="68"/>
      <x:c r="M83" s="68"/>
      <x:c r="N83" s="68"/>
      <x:c r="O83" s="68"/>
      <x:c r="P83" s="68"/>
      <x:c r="Q83" s="68"/>
      <x:c r="R83" s="84"/>
      <x:c r="S83" s="68"/>
      <x:c r="T83" s="68"/>
      <x:c r="U83" s="68"/>
      <x:c r="V83" s="68"/>
      <x:c r="W83" s="90"/>
      <x:c r="X83" s="84"/>
      <x:c r="Y83" s="84"/>
      <x:c r="Z83" s="82"/>
      <x:c r="AA83" s="82"/>
      <x:c r="AB83" s="68"/>
      <x:c r="AC83" s="68"/>
      <x:c r="AD83" s="90"/>
      <x:c r="AE83" s="82"/>
      <x:c r="AF83" s="82"/>
      <x:c r="AG83" s="87"/>
    </x:row>
    <x:row r="84">
      <x:c r="A84" s="72" t="str">
        <x:f>IF(OR(C84="",D84=""),"",B84&amp;"-"&amp;UPPER(C84)&amp;"-"&amp;TEXT(D84,"0000")&amp;"-"&amp;E84)</x:f>
      </x:c>
      <x:c r="B84" s="74" t="str">
        <x:v>M18</x:v>
      </x:c>
      <x:c r="C84" s="74"/>
      <x:c r="D84" s="79"/>
      <x:c r="E84" s="74" t="str">
        <x:v>V1.0</x:v>
      </x:c>
      <x:c r="F84" s="68"/>
      <x:c r="G84" s="82"/>
      <x:c r="H84" s="68"/>
      <x:c r="I84" s="68"/>
      <x:c r="J84" s="68"/>
      <x:c r="K84" s="68"/>
      <x:c r="L84" s="68"/>
      <x:c r="M84" s="68"/>
      <x:c r="N84" s="68"/>
      <x:c r="O84" s="68"/>
      <x:c r="P84" s="68"/>
      <x:c r="Q84" s="68"/>
      <x:c r="R84" s="84"/>
      <x:c r="S84" s="68"/>
      <x:c r="T84" s="68"/>
      <x:c r="U84" s="68"/>
      <x:c r="V84" s="68"/>
      <x:c r="W84" s="90"/>
      <x:c r="X84" s="84"/>
      <x:c r="Y84" s="84"/>
      <x:c r="Z84" s="82"/>
      <x:c r="AA84" s="82"/>
      <x:c r="AB84" s="68"/>
      <x:c r="AC84" s="68"/>
      <x:c r="AD84" s="90"/>
      <x:c r="AE84" s="82"/>
      <x:c r="AF84" s="82"/>
      <x:c r="AG84" s="87"/>
    </x:row>
    <x:row r="85">
      <x:c r="A85" s="72" t="str">
        <x:f>IF(OR(C85="",D85=""),"",B85&amp;"-"&amp;UPPER(C85)&amp;"-"&amp;TEXT(D85,"0000")&amp;"-"&amp;E85)</x:f>
      </x:c>
      <x:c r="B85" s="74" t="str">
        <x:v>M18</x:v>
      </x:c>
      <x:c r="C85" s="74"/>
      <x:c r="D85" s="79"/>
      <x:c r="E85" s="74" t="str">
        <x:v>V1.0</x:v>
      </x:c>
      <x:c r="F85" s="68"/>
      <x:c r="G85" s="82"/>
      <x:c r="H85" s="68"/>
      <x:c r="I85" s="68"/>
      <x:c r="J85" s="68"/>
      <x:c r="K85" s="68"/>
      <x:c r="L85" s="68"/>
      <x:c r="M85" s="68"/>
      <x:c r="N85" s="68"/>
      <x:c r="O85" s="68"/>
      <x:c r="P85" s="68"/>
      <x:c r="Q85" s="68"/>
      <x:c r="R85" s="84"/>
      <x:c r="S85" s="68"/>
      <x:c r="T85" s="68"/>
      <x:c r="U85" s="68"/>
      <x:c r="V85" s="68"/>
      <x:c r="W85" s="90"/>
      <x:c r="X85" s="84"/>
      <x:c r="Y85" s="84"/>
      <x:c r="Z85" s="82"/>
      <x:c r="AA85" s="82"/>
      <x:c r="AB85" s="68"/>
      <x:c r="AC85" s="68"/>
      <x:c r="AD85" s="90"/>
      <x:c r="AE85" s="82"/>
      <x:c r="AF85" s="82"/>
      <x:c r="AG85" s="87"/>
    </x:row>
    <x:row r="86">
      <x:c r="A86" s="72" t="str">
        <x:f>IF(OR(C86="",D86=""),"",B86&amp;"-"&amp;UPPER(C86)&amp;"-"&amp;TEXT(D86,"0000")&amp;"-"&amp;E86)</x:f>
      </x:c>
      <x:c r="B86" s="74" t="str">
        <x:v>M18</x:v>
      </x:c>
      <x:c r="C86" s="74"/>
      <x:c r="D86" s="79"/>
      <x:c r="E86" s="74" t="str">
        <x:v>V1.0</x:v>
      </x:c>
      <x:c r="F86" s="68"/>
      <x:c r="G86" s="82"/>
      <x:c r="H86" s="68"/>
      <x:c r="I86" s="68"/>
      <x:c r="J86" s="68"/>
      <x:c r="K86" s="68"/>
      <x:c r="L86" s="68"/>
      <x:c r="M86" s="68"/>
      <x:c r="N86" s="68"/>
      <x:c r="O86" s="68"/>
      <x:c r="P86" s="68"/>
      <x:c r="Q86" s="68"/>
      <x:c r="R86" s="84"/>
      <x:c r="S86" s="68"/>
      <x:c r="T86" s="68"/>
      <x:c r="U86" s="68"/>
      <x:c r="V86" s="68"/>
      <x:c r="W86" s="90"/>
      <x:c r="X86" s="84"/>
      <x:c r="Y86" s="84"/>
      <x:c r="Z86" s="82"/>
      <x:c r="AA86" s="82"/>
      <x:c r="AB86" s="68"/>
      <x:c r="AC86" s="68"/>
      <x:c r="AD86" s="90"/>
      <x:c r="AE86" s="82"/>
      <x:c r="AF86" s="82"/>
      <x:c r="AG86" s="87"/>
    </x:row>
    <x:row r="87">
      <x:c r="A87" s="72" t="str">
        <x:f>IF(OR(C87="",D87=""),"",B87&amp;"-"&amp;UPPER(C87)&amp;"-"&amp;TEXT(D87,"0000")&amp;"-"&amp;E87)</x:f>
      </x:c>
      <x:c r="B87" s="74" t="str">
        <x:v>M18</x:v>
      </x:c>
      <x:c r="C87" s="74"/>
      <x:c r="D87" s="79"/>
      <x:c r="E87" s="74" t="str">
        <x:v>V1.0</x:v>
      </x:c>
      <x:c r="F87" s="68"/>
      <x:c r="G87" s="82"/>
      <x:c r="H87" s="68"/>
      <x:c r="I87" s="68"/>
      <x:c r="J87" s="68"/>
      <x:c r="K87" s="68"/>
      <x:c r="L87" s="68"/>
      <x:c r="M87" s="68"/>
      <x:c r="N87" s="68"/>
      <x:c r="O87" s="68"/>
      <x:c r="P87" s="68"/>
      <x:c r="Q87" s="68"/>
      <x:c r="R87" s="84"/>
      <x:c r="S87" s="68"/>
      <x:c r="T87" s="68"/>
      <x:c r="U87" s="68"/>
      <x:c r="V87" s="68"/>
      <x:c r="W87" s="90"/>
      <x:c r="X87" s="84"/>
      <x:c r="Y87" s="84"/>
      <x:c r="Z87" s="82"/>
      <x:c r="AA87" s="82"/>
      <x:c r="AB87" s="68"/>
      <x:c r="AC87" s="68"/>
      <x:c r="AD87" s="90"/>
      <x:c r="AE87" s="82"/>
      <x:c r="AF87" s="82"/>
      <x:c r="AG87" s="87"/>
    </x:row>
    <x:row r="88">
      <x:c r="A88" s="72" t="str">
        <x:f>IF(OR(C88="",D88=""),"",B88&amp;"-"&amp;UPPER(C88)&amp;"-"&amp;TEXT(D88,"0000")&amp;"-"&amp;E88)</x:f>
      </x:c>
      <x:c r="B88" s="74" t="str">
        <x:v>M18</x:v>
      </x:c>
      <x:c r="C88" s="74"/>
      <x:c r="D88" s="79"/>
      <x:c r="E88" s="74" t="str">
        <x:v>V1.0</x:v>
      </x:c>
      <x:c r="F88" s="68"/>
      <x:c r="G88" s="82"/>
      <x:c r="H88" s="68"/>
      <x:c r="I88" s="68"/>
      <x:c r="J88" s="68"/>
      <x:c r="K88" s="68"/>
      <x:c r="L88" s="68"/>
      <x:c r="M88" s="68"/>
      <x:c r="N88" s="68"/>
      <x:c r="O88" s="68"/>
      <x:c r="P88" s="68"/>
      <x:c r="Q88" s="68"/>
      <x:c r="R88" s="84"/>
      <x:c r="S88" s="68"/>
      <x:c r="T88" s="68"/>
      <x:c r="U88" s="68"/>
      <x:c r="V88" s="68"/>
      <x:c r="W88" s="90"/>
      <x:c r="X88" s="84"/>
      <x:c r="Y88" s="84"/>
      <x:c r="Z88" s="82"/>
      <x:c r="AA88" s="82"/>
      <x:c r="AB88" s="68"/>
      <x:c r="AC88" s="68"/>
      <x:c r="AD88" s="90"/>
      <x:c r="AE88" s="82"/>
      <x:c r="AF88" s="82"/>
      <x:c r="AG88" s="87"/>
    </x:row>
    <x:row r="89">
      <x:c r="A89" s="72" t="str">
        <x:f>IF(OR(C89="",D89=""),"",B89&amp;"-"&amp;UPPER(C89)&amp;"-"&amp;TEXT(D89,"0000")&amp;"-"&amp;E89)</x:f>
      </x:c>
      <x:c r="B89" s="74" t="str">
        <x:v>M18</x:v>
      </x:c>
      <x:c r="C89" s="74"/>
      <x:c r="D89" s="79"/>
      <x:c r="E89" s="74" t="str">
        <x:v>V1.0</x:v>
      </x:c>
      <x:c r="F89" s="68"/>
      <x:c r="G89" s="82"/>
      <x:c r="H89" s="68"/>
      <x:c r="I89" s="68"/>
      <x:c r="J89" s="68"/>
      <x:c r="K89" s="68"/>
      <x:c r="L89" s="68"/>
      <x:c r="M89" s="68"/>
      <x:c r="N89" s="68"/>
      <x:c r="O89" s="68"/>
      <x:c r="P89" s="68"/>
      <x:c r="Q89" s="68"/>
      <x:c r="R89" s="84"/>
      <x:c r="S89" s="68"/>
      <x:c r="T89" s="68"/>
      <x:c r="U89" s="68"/>
      <x:c r="V89" s="68"/>
      <x:c r="W89" s="90"/>
      <x:c r="X89" s="84"/>
      <x:c r="Y89" s="84"/>
      <x:c r="Z89" s="82"/>
      <x:c r="AA89" s="82"/>
      <x:c r="AB89" s="68"/>
      <x:c r="AC89" s="68"/>
      <x:c r="AD89" s="90"/>
      <x:c r="AE89" s="82"/>
      <x:c r="AF89" s="82"/>
      <x:c r="AG89" s="87"/>
    </x:row>
    <x:row r="90">
      <x:c r="A90" s="72" t="str">
        <x:f>IF(OR(C90="",D90=""),"",B90&amp;"-"&amp;UPPER(C90)&amp;"-"&amp;TEXT(D90,"0000")&amp;"-"&amp;E90)</x:f>
      </x:c>
      <x:c r="B90" s="74" t="str">
        <x:v>M18</x:v>
      </x:c>
      <x:c r="C90" s="74"/>
      <x:c r="D90" s="79"/>
      <x:c r="E90" s="74" t="str">
        <x:v>V1.0</x:v>
      </x:c>
      <x:c r="F90" s="68"/>
      <x:c r="G90" s="82"/>
      <x:c r="H90" s="68"/>
      <x:c r="I90" s="68"/>
      <x:c r="J90" s="68"/>
      <x:c r="K90" s="68"/>
      <x:c r="L90" s="68"/>
      <x:c r="M90" s="68"/>
      <x:c r="N90" s="68"/>
      <x:c r="O90" s="68"/>
      <x:c r="P90" s="68"/>
      <x:c r="Q90" s="68"/>
      <x:c r="R90" s="84"/>
      <x:c r="S90" s="68"/>
      <x:c r="T90" s="68"/>
      <x:c r="U90" s="68"/>
      <x:c r="V90" s="68"/>
      <x:c r="W90" s="90"/>
      <x:c r="X90" s="84"/>
      <x:c r="Y90" s="84"/>
      <x:c r="Z90" s="82"/>
      <x:c r="AA90" s="82"/>
      <x:c r="AB90" s="68"/>
      <x:c r="AC90" s="68"/>
      <x:c r="AD90" s="90"/>
      <x:c r="AE90" s="82"/>
      <x:c r="AF90" s="82"/>
      <x:c r="AG90" s="87"/>
    </x:row>
    <x:row r="91">
      <x:c r="A91" s="72" t="str">
        <x:f>IF(OR(C91="",D91=""),"",B91&amp;"-"&amp;UPPER(C91)&amp;"-"&amp;TEXT(D91,"0000")&amp;"-"&amp;E91)</x:f>
      </x:c>
      <x:c r="B91" s="74" t="str">
        <x:v>M18</x:v>
      </x:c>
      <x:c r="C91" s="74"/>
      <x:c r="D91" s="79"/>
      <x:c r="E91" s="74" t="str">
        <x:v>V1.0</x:v>
      </x:c>
      <x:c r="F91" s="68"/>
      <x:c r="G91" s="82"/>
      <x:c r="H91" s="68"/>
      <x:c r="I91" s="68"/>
      <x:c r="J91" s="68"/>
      <x:c r="K91" s="68"/>
      <x:c r="L91" s="68"/>
      <x:c r="M91" s="68"/>
      <x:c r="N91" s="68"/>
      <x:c r="O91" s="68"/>
      <x:c r="P91" s="68"/>
      <x:c r="Q91" s="68"/>
      <x:c r="R91" s="84"/>
      <x:c r="S91" s="68"/>
      <x:c r="T91" s="68"/>
      <x:c r="U91" s="68"/>
      <x:c r="V91" s="68"/>
      <x:c r="W91" s="90"/>
      <x:c r="X91" s="84"/>
      <x:c r="Y91" s="84"/>
      <x:c r="Z91" s="82"/>
      <x:c r="AA91" s="82"/>
      <x:c r="AB91" s="68"/>
      <x:c r="AC91" s="68"/>
      <x:c r="AD91" s="90"/>
      <x:c r="AE91" s="82"/>
      <x:c r="AF91" s="82"/>
      <x:c r="AG91" s="87"/>
    </x:row>
    <x:row r="92">
      <x:c r="A92" s="72" t="str">
        <x:f>IF(OR(C92="",D92=""),"",B92&amp;"-"&amp;UPPER(C92)&amp;"-"&amp;TEXT(D92,"0000")&amp;"-"&amp;E92)</x:f>
      </x:c>
      <x:c r="B92" s="74" t="str">
        <x:v>M18</x:v>
      </x:c>
      <x:c r="C92" s="74"/>
      <x:c r="D92" s="79"/>
      <x:c r="E92" s="74" t="str">
        <x:v>V1.0</x:v>
      </x:c>
      <x:c r="F92" s="68"/>
      <x:c r="G92" s="82"/>
      <x:c r="H92" s="68"/>
      <x:c r="I92" s="68"/>
      <x:c r="J92" s="68"/>
      <x:c r="K92" s="68"/>
      <x:c r="L92" s="68"/>
      <x:c r="M92" s="68"/>
      <x:c r="N92" s="68"/>
      <x:c r="O92" s="68"/>
      <x:c r="P92" s="68"/>
      <x:c r="Q92" s="68"/>
      <x:c r="R92" s="84"/>
      <x:c r="S92" s="68"/>
      <x:c r="T92" s="68"/>
      <x:c r="U92" s="68"/>
      <x:c r="V92" s="68"/>
      <x:c r="W92" s="90"/>
      <x:c r="X92" s="84"/>
      <x:c r="Y92" s="84"/>
      <x:c r="Z92" s="82"/>
      <x:c r="AA92" s="82"/>
      <x:c r="AB92" s="68"/>
      <x:c r="AC92" s="68"/>
      <x:c r="AD92" s="90"/>
      <x:c r="AE92" s="82"/>
      <x:c r="AF92" s="82"/>
      <x:c r="AG92" s="87"/>
    </x:row>
    <x:row r="93">
      <x:c r="A93" s="72" t="str">
        <x:f>IF(OR(C93="",D93=""),"",B93&amp;"-"&amp;UPPER(C93)&amp;"-"&amp;TEXT(D93,"0000")&amp;"-"&amp;E93)</x:f>
      </x:c>
      <x:c r="B93" s="74" t="str">
        <x:v>M18</x:v>
      </x:c>
      <x:c r="C93" s="74"/>
      <x:c r="D93" s="79"/>
      <x:c r="E93" s="74" t="str">
        <x:v>V1.0</x:v>
      </x:c>
      <x:c r="F93" s="68"/>
      <x:c r="G93" s="82"/>
      <x:c r="H93" s="68"/>
      <x:c r="I93" s="68"/>
      <x:c r="J93" s="68"/>
      <x:c r="K93" s="68"/>
      <x:c r="L93" s="68"/>
      <x:c r="M93" s="68"/>
      <x:c r="N93" s="68"/>
      <x:c r="O93" s="68"/>
      <x:c r="P93" s="68"/>
      <x:c r="Q93" s="68"/>
      <x:c r="R93" s="84"/>
      <x:c r="S93" s="68"/>
      <x:c r="T93" s="68"/>
      <x:c r="U93" s="68"/>
      <x:c r="V93" s="68"/>
      <x:c r="W93" s="90"/>
      <x:c r="X93" s="84"/>
      <x:c r="Y93" s="84"/>
      <x:c r="Z93" s="82"/>
      <x:c r="AA93" s="82"/>
      <x:c r="AB93" s="68"/>
      <x:c r="AC93" s="68"/>
      <x:c r="AD93" s="90"/>
      <x:c r="AE93" s="82"/>
      <x:c r="AF93" s="82"/>
      <x:c r="AG93" s="87"/>
    </x:row>
    <x:row r="94">
      <x:c r="A94" s="72" t="str">
        <x:f>IF(OR(C94="",D94=""),"",B94&amp;"-"&amp;UPPER(C94)&amp;"-"&amp;TEXT(D94,"0000")&amp;"-"&amp;E94)</x:f>
      </x:c>
      <x:c r="B94" s="74" t="str">
        <x:v>M18</x:v>
      </x:c>
      <x:c r="C94" s="74"/>
      <x:c r="D94" s="79"/>
      <x:c r="E94" s="74" t="str">
        <x:v>V1.0</x:v>
      </x:c>
      <x:c r="F94" s="68"/>
      <x:c r="G94" s="82"/>
      <x:c r="H94" s="68"/>
      <x:c r="I94" s="68"/>
      <x:c r="J94" s="68"/>
      <x:c r="K94" s="68"/>
      <x:c r="L94" s="68"/>
      <x:c r="M94" s="68"/>
      <x:c r="N94" s="68"/>
      <x:c r="O94" s="68"/>
      <x:c r="P94" s="68"/>
      <x:c r="Q94" s="68"/>
      <x:c r="R94" s="84"/>
      <x:c r="S94" s="68"/>
      <x:c r="T94" s="68"/>
      <x:c r="U94" s="68"/>
      <x:c r="V94" s="68"/>
      <x:c r="W94" s="90"/>
      <x:c r="X94" s="84"/>
      <x:c r="Y94" s="84"/>
      <x:c r="Z94" s="82"/>
      <x:c r="AA94" s="82"/>
      <x:c r="AB94" s="68"/>
      <x:c r="AC94" s="68"/>
      <x:c r="AD94" s="90"/>
      <x:c r="AE94" s="82"/>
      <x:c r="AF94" s="82"/>
      <x:c r="AG94" s="87"/>
    </x:row>
    <x:row r="95">
      <x:c r="A95" s="72" t="str">
        <x:f>IF(OR(C95="",D95=""),"",B95&amp;"-"&amp;UPPER(C95)&amp;"-"&amp;TEXT(D95,"0000")&amp;"-"&amp;E95)</x:f>
      </x:c>
      <x:c r="B95" s="74" t="str">
        <x:v>M18</x:v>
      </x:c>
      <x:c r="C95" s="74"/>
      <x:c r="D95" s="79"/>
      <x:c r="E95" s="74" t="str">
        <x:v>V1.0</x:v>
      </x:c>
      <x:c r="F95" s="68"/>
      <x:c r="G95" s="82"/>
      <x:c r="H95" s="68"/>
      <x:c r="I95" s="68"/>
      <x:c r="J95" s="68"/>
      <x:c r="K95" s="68"/>
      <x:c r="L95" s="68"/>
      <x:c r="M95" s="68"/>
      <x:c r="N95" s="68"/>
      <x:c r="O95" s="68"/>
      <x:c r="P95" s="68"/>
      <x:c r="Q95" s="68"/>
      <x:c r="R95" s="84"/>
      <x:c r="S95" s="68"/>
      <x:c r="T95" s="68"/>
      <x:c r="U95" s="68"/>
      <x:c r="V95" s="68"/>
      <x:c r="W95" s="90"/>
      <x:c r="X95" s="84"/>
      <x:c r="Y95" s="84"/>
      <x:c r="Z95" s="82"/>
      <x:c r="AA95" s="82"/>
      <x:c r="AB95" s="68"/>
      <x:c r="AC95" s="68"/>
      <x:c r="AD95" s="90"/>
      <x:c r="AE95" s="82"/>
      <x:c r="AF95" s="82"/>
      <x:c r="AG95" s="87"/>
    </x:row>
    <x:row r="96">
      <x:c r="A96" s="72" t="str">
        <x:f>IF(OR(C96="",D96=""),"",B96&amp;"-"&amp;UPPER(C96)&amp;"-"&amp;TEXT(D96,"0000")&amp;"-"&amp;E96)</x:f>
      </x:c>
      <x:c r="B96" s="74" t="str">
        <x:v>M18</x:v>
      </x:c>
      <x:c r="C96" s="74"/>
      <x:c r="D96" s="79"/>
      <x:c r="E96" s="74" t="str">
        <x:v>V1.0</x:v>
      </x:c>
      <x:c r="F96" s="68"/>
      <x:c r="G96" s="82"/>
      <x:c r="H96" s="68"/>
      <x:c r="I96" s="68"/>
      <x:c r="J96" s="68"/>
      <x:c r="K96" s="68"/>
      <x:c r="L96" s="68"/>
      <x:c r="M96" s="68"/>
      <x:c r="N96" s="68"/>
      <x:c r="O96" s="68"/>
      <x:c r="P96" s="68"/>
      <x:c r="Q96" s="68"/>
      <x:c r="R96" s="84"/>
      <x:c r="S96" s="68"/>
      <x:c r="T96" s="68"/>
      <x:c r="U96" s="68"/>
      <x:c r="V96" s="68"/>
      <x:c r="W96" s="90"/>
      <x:c r="X96" s="84"/>
      <x:c r="Y96" s="84"/>
      <x:c r="Z96" s="82"/>
      <x:c r="AA96" s="82"/>
      <x:c r="AB96" s="68"/>
      <x:c r="AC96" s="68"/>
      <x:c r="AD96" s="90"/>
      <x:c r="AE96" s="82"/>
      <x:c r="AF96" s="82"/>
      <x:c r="AG96" s="87"/>
    </x:row>
    <x:row r="97">
      <x:c r="A97" s="72" t="str">
        <x:f>IF(OR(C97="",D97=""),"",B97&amp;"-"&amp;UPPER(C97)&amp;"-"&amp;TEXT(D97,"0000")&amp;"-"&amp;E97)</x:f>
      </x:c>
      <x:c r="B97" s="74" t="str">
        <x:v>M18</x:v>
      </x:c>
      <x:c r="C97" s="74"/>
      <x:c r="D97" s="79"/>
      <x:c r="E97" s="74" t="str">
        <x:v>V1.0</x:v>
      </x:c>
      <x:c r="F97" s="68"/>
      <x:c r="G97" s="82"/>
      <x:c r="H97" s="68"/>
      <x:c r="I97" s="68"/>
      <x:c r="J97" s="68"/>
      <x:c r="K97" s="68"/>
      <x:c r="L97" s="68"/>
      <x:c r="M97" s="68"/>
      <x:c r="N97" s="68"/>
      <x:c r="O97" s="68"/>
      <x:c r="P97" s="68"/>
      <x:c r="Q97" s="68"/>
      <x:c r="R97" s="84"/>
      <x:c r="S97" s="68"/>
      <x:c r="T97" s="68"/>
      <x:c r="U97" s="68"/>
      <x:c r="V97" s="68"/>
      <x:c r="W97" s="90"/>
      <x:c r="X97" s="84"/>
      <x:c r="Y97" s="84"/>
      <x:c r="Z97" s="82"/>
      <x:c r="AA97" s="82"/>
      <x:c r="AB97" s="68"/>
      <x:c r="AC97" s="68"/>
      <x:c r="AD97" s="90"/>
      <x:c r="AE97" s="82"/>
      <x:c r="AF97" s="82"/>
      <x:c r="AG97" s="87"/>
    </x:row>
    <x:row r="98">
      <x:c r="A98" s="72" t="str">
        <x:f>IF(OR(C98="",D98=""),"",B98&amp;"-"&amp;UPPER(C98)&amp;"-"&amp;TEXT(D98,"0000")&amp;"-"&amp;E98)</x:f>
      </x:c>
      <x:c r="B98" s="74" t="str">
        <x:v>M18</x:v>
      </x:c>
      <x:c r="C98" s="74"/>
      <x:c r="D98" s="79"/>
      <x:c r="E98" s="74" t="str">
        <x:v>V1.0</x:v>
      </x:c>
      <x:c r="F98" s="68"/>
      <x:c r="G98" s="82"/>
      <x:c r="H98" s="68"/>
      <x:c r="I98" s="68"/>
      <x:c r="J98" s="68"/>
      <x:c r="K98" s="68"/>
      <x:c r="L98" s="68"/>
      <x:c r="M98" s="68"/>
      <x:c r="N98" s="68"/>
      <x:c r="O98" s="68"/>
      <x:c r="P98" s="68"/>
      <x:c r="Q98" s="68"/>
      <x:c r="R98" s="84"/>
      <x:c r="S98" s="68"/>
      <x:c r="T98" s="68"/>
      <x:c r="U98" s="68"/>
      <x:c r="V98" s="68"/>
      <x:c r="W98" s="90"/>
      <x:c r="X98" s="84"/>
      <x:c r="Y98" s="84"/>
      <x:c r="Z98" s="82"/>
      <x:c r="AA98" s="82"/>
      <x:c r="AB98" s="68"/>
      <x:c r="AC98" s="68"/>
      <x:c r="AD98" s="90"/>
      <x:c r="AE98" s="82"/>
      <x:c r="AF98" s="82"/>
      <x:c r="AG98" s="87"/>
    </x:row>
    <x:row r="99">
      <x:c r="A99" s="72" t="str">
        <x:f>IF(OR(C99="",D99=""),"",B99&amp;"-"&amp;UPPER(C99)&amp;"-"&amp;TEXT(D99,"0000")&amp;"-"&amp;E99)</x:f>
      </x:c>
      <x:c r="B99" s="74" t="str">
        <x:v>M18</x:v>
      </x:c>
      <x:c r="C99" s="74"/>
      <x:c r="D99" s="79"/>
      <x:c r="E99" s="74" t="str">
        <x:v>V1.0</x:v>
      </x:c>
      <x:c r="F99" s="68"/>
      <x:c r="G99" s="82"/>
      <x:c r="H99" s="68"/>
      <x:c r="I99" s="68"/>
      <x:c r="J99" s="68"/>
      <x:c r="K99" s="68"/>
      <x:c r="L99" s="68"/>
      <x:c r="M99" s="68"/>
      <x:c r="N99" s="68"/>
      <x:c r="O99" s="68"/>
      <x:c r="P99" s="68"/>
      <x:c r="Q99" s="68"/>
      <x:c r="R99" s="84"/>
      <x:c r="S99" s="68"/>
      <x:c r="T99" s="68"/>
      <x:c r="U99" s="68"/>
      <x:c r="V99" s="68"/>
      <x:c r="W99" s="90"/>
      <x:c r="X99" s="84"/>
      <x:c r="Y99" s="84"/>
      <x:c r="Z99" s="82"/>
      <x:c r="AA99" s="82"/>
      <x:c r="AB99" s="68"/>
      <x:c r="AC99" s="68"/>
      <x:c r="AD99" s="90"/>
      <x:c r="AE99" s="82"/>
      <x:c r="AF99" s="82"/>
      <x:c r="AG99" s="87"/>
    </x:row>
    <x:row r="100">
      <x:c r="A100" s="72" t="str">
        <x:f>IF(OR(C100="",D100=""),"",B100&amp;"-"&amp;UPPER(C100)&amp;"-"&amp;TEXT(D100,"0000")&amp;"-"&amp;E100)</x:f>
      </x:c>
      <x:c r="B100" s="74" t="str">
        <x:v>M18</x:v>
      </x:c>
      <x:c r="C100" s="74"/>
      <x:c r="D100" s="79"/>
      <x:c r="E100" s="74" t="str">
        <x:v>V1.0</x:v>
      </x:c>
      <x:c r="F100" s="68"/>
      <x:c r="G100" s="82"/>
      <x:c r="H100" s="68"/>
      <x:c r="I100" s="68"/>
      <x:c r="J100" s="68"/>
      <x:c r="K100" s="68"/>
      <x:c r="L100" s="68"/>
      <x:c r="M100" s="68"/>
      <x:c r="N100" s="68"/>
      <x:c r="O100" s="68"/>
      <x:c r="P100" s="68"/>
      <x:c r="Q100" s="68"/>
      <x:c r="R100" s="84"/>
      <x:c r="S100" s="68"/>
      <x:c r="T100" s="68"/>
      <x:c r="U100" s="68"/>
      <x:c r="V100" s="68"/>
      <x:c r="W100" s="90"/>
      <x:c r="X100" s="84"/>
      <x:c r="Y100" s="84"/>
      <x:c r="Z100" s="82"/>
      <x:c r="AA100" s="82"/>
      <x:c r="AB100" s="68"/>
      <x:c r="AC100" s="68"/>
      <x:c r="AD100" s="90"/>
      <x:c r="AE100" s="82"/>
      <x:c r="AF100" s="82"/>
      <x:c r="AG100" s="87"/>
    </x:row>
    <x:row r="101">
      <x:c r="A101" s="72" t="str">
        <x:f>IF(OR(C101="",D101=""),"",B101&amp;"-"&amp;UPPER(C101)&amp;"-"&amp;TEXT(D101,"0000")&amp;"-"&amp;E101)</x:f>
      </x:c>
      <x:c r="B101" s="74" t="str">
        <x:v>M18</x:v>
      </x:c>
      <x:c r="C101" s="74"/>
      <x:c r="D101" s="79"/>
      <x:c r="E101" s="74" t="str">
        <x:v>V1.0</x:v>
      </x:c>
      <x:c r="F101" s="68"/>
      <x:c r="G101" s="82"/>
      <x:c r="H101" s="68"/>
      <x:c r="I101" s="68"/>
      <x:c r="J101" s="68"/>
      <x:c r="K101" s="68"/>
      <x:c r="L101" s="68"/>
      <x:c r="M101" s="68"/>
      <x:c r="N101" s="68"/>
      <x:c r="O101" s="68"/>
      <x:c r="P101" s="68"/>
      <x:c r="Q101" s="68"/>
      <x:c r="R101" s="84"/>
      <x:c r="S101" s="68"/>
      <x:c r="T101" s="68"/>
      <x:c r="U101" s="68"/>
      <x:c r="V101" s="68"/>
      <x:c r="W101" s="90"/>
      <x:c r="X101" s="84"/>
      <x:c r="Y101" s="84"/>
      <x:c r="Z101" s="82"/>
      <x:c r="AA101" s="82"/>
      <x:c r="AB101" s="68"/>
      <x:c r="AC101" s="68"/>
      <x:c r="AD101" s="90"/>
      <x:c r="AE101" s="82"/>
      <x:c r="AF101" s="82"/>
      <x:c r="AG101" s="87"/>
    </x:row>
    <x:row r="102">
      <x:c r="A102" s="72" t="str">
        <x:f>IF(OR(C102="",D102=""),"",B102&amp;"-"&amp;UPPER(C102)&amp;"-"&amp;TEXT(D102,"0000")&amp;"-"&amp;E102)</x:f>
      </x:c>
      <x:c r="B102" s="74" t="str">
        <x:v>M18</x:v>
      </x:c>
      <x:c r="C102" s="74"/>
      <x:c r="D102" s="79"/>
      <x:c r="E102" s="74" t="str">
        <x:v>V1.0</x:v>
      </x:c>
      <x:c r="F102" s="68"/>
      <x:c r="G102" s="82"/>
      <x:c r="H102" s="68"/>
      <x:c r="I102" s="68"/>
      <x:c r="J102" s="68"/>
      <x:c r="K102" s="68"/>
      <x:c r="L102" s="68"/>
      <x:c r="M102" s="68"/>
      <x:c r="N102" s="68"/>
      <x:c r="O102" s="68"/>
      <x:c r="P102" s="68"/>
      <x:c r="Q102" s="68"/>
      <x:c r="R102" s="84"/>
      <x:c r="S102" s="68"/>
      <x:c r="T102" s="68"/>
      <x:c r="U102" s="68"/>
      <x:c r="V102" s="68"/>
      <x:c r="W102" s="90"/>
      <x:c r="X102" s="84"/>
      <x:c r="Y102" s="84"/>
      <x:c r="Z102" s="82"/>
      <x:c r="AA102" s="82"/>
      <x:c r="AB102" s="68"/>
      <x:c r="AC102" s="68"/>
      <x:c r="AD102" s="90"/>
      <x:c r="AE102" s="82"/>
      <x:c r="AF102" s="82"/>
      <x:c r="AG102" s="87"/>
    </x:row>
    <x:row r="103">
      <x:c r="A103" s="72" t="str">
        <x:f>IF(OR(C103="",D103=""),"",B103&amp;"-"&amp;UPPER(C103)&amp;"-"&amp;TEXT(D103,"0000")&amp;"-"&amp;E103)</x:f>
      </x:c>
      <x:c r="B103" s="74" t="str">
        <x:v>M18</x:v>
      </x:c>
      <x:c r="C103" s="74"/>
      <x:c r="D103" s="79"/>
      <x:c r="E103" s="74" t="str">
        <x:v>V1.0</x:v>
      </x:c>
      <x:c r="F103" s="68"/>
      <x:c r="G103" s="82"/>
      <x:c r="H103" s="68"/>
      <x:c r="I103" s="68"/>
      <x:c r="J103" s="68"/>
      <x:c r="K103" s="68"/>
      <x:c r="L103" s="68"/>
      <x:c r="M103" s="68"/>
      <x:c r="N103" s="68"/>
      <x:c r="O103" s="68"/>
      <x:c r="P103" s="68"/>
      <x:c r="Q103" s="68"/>
      <x:c r="R103" s="84"/>
      <x:c r="S103" s="68"/>
      <x:c r="T103" s="68"/>
      <x:c r="U103" s="68"/>
      <x:c r="V103" s="68"/>
      <x:c r="W103" s="90"/>
      <x:c r="X103" s="84"/>
      <x:c r="Y103" s="84"/>
      <x:c r="Z103" s="82"/>
      <x:c r="AA103" s="82"/>
      <x:c r="AB103" s="68"/>
      <x:c r="AC103" s="68"/>
      <x:c r="AD103" s="90"/>
      <x:c r="AE103" s="82"/>
      <x:c r="AF103" s="82"/>
      <x:c r="AG103" s="87"/>
    </x:row>
    <x:row r="104">
      <x:c r="A104" s="72" t="str">
        <x:f>IF(OR(C104="",D104=""),"",B104&amp;"-"&amp;UPPER(C104)&amp;"-"&amp;TEXT(D104,"0000")&amp;"-"&amp;E104)</x:f>
      </x:c>
      <x:c r="B104" s="74" t="str">
        <x:v>M18</x:v>
      </x:c>
      <x:c r="C104" s="74"/>
      <x:c r="D104" s="79"/>
      <x:c r="E104" s="74" t="str">
        <x:v>V1.0</x:v>
      </x:c>
      <x:c r="F104" s="68"/>
      <x:c r="G104" s="82"/>
      <x:c r="H104" s="68"/>
      <x:c r="I104" s="68"/>
      <x:c r="J104" s="68"/>
      <x:c r="K104" s="68"/>
      <x:c r="L104" s="68"/>
      <x:c r="M104" s="68"/>
      <x:c r="N104" s="68"/>
      <x:c r="O104" s="68"/>
      <x:c r="P104" s="68"/>
      <x:c r="Q104" s="68"/>
      <x:c r="R104" s="84"/>
      <x:c r="S104" s="68"/>
      <x:c r="T104" s="68"/>
      <x:c r="U104" s="68"/>
      <x:c r="V104" s="68"/>
      <x:c r="W104" s="90"/>
      <x:c r="X104" s="84"/>
      <x:c r="Y104" s="84"/>
      <x:c r="Z104" s="82"/>
      <x:c r="AA104" s="82"/>
      <x:c r="AB104" s="68"/>
      <x:c r="AC104" s="68"/>
      <x:c r="AD104" s="90"/>
      <x:c r="AE104" s="82"/>
      <x:c r="AF104" s="82"/>
      <x:c r="AG104" s="87"/>
    </x:row>
    <x:row r="105">
      <x:c r="A105" s="72" t="str">
        <x:f>IF(OR(C105="",D105=""),"",B105&amp;"-"&amp;UPPER(C105)&amp;"-"&amp;TEXT(D105,"0000")&amp;"-"&amp;E105)</x:f>
      </x:c>
      <x:c r="B105" s="74" t="str">
        <x:v>M18</x:v>
      </x:c>
      <x:c r="C105" s="74"/>
      <x:c r="D105" s="79"/>
      <x:c r="E105" s="74" t="str">
        <x:v>V1.0</x:v>
      </x:c>
      <x:c r="F105" s="68"/>
      <x:c r="G105" s="82"/>
      <x:c r="H105" s="68"/>
      <x:c r="I105" s="68"/>
      <x:c r="J105" s="68"/>
      <x:c r="K105" s="68"/>
      <x:c r="L105" s="68"/>
      <x:c r="M105" s="68"/>
      <x:c r="N105" s="68"/>
      <x:c r="O105" s="68"/>
      <x:c r="P105" s="68"/>
      <x:c r="Q105" s="68"/>
      <x:c r="R105" s="84"/>
      <x:c r="S105" s="68"/>
      <x:c r="T105" s="68"/>
      <x:c r="U105" s="68"/>
      <x:c r="V105" s="68"/>
      <x:c r="W105" s="90"/>
      <x:c r="X105" s="84"/>
      <x:c r="Y105" s="84"/>
      <x:c r="Z105" s="82"/>
      <x:c r="AA105" s="82"/>
      <x:c r="AB105" s="68"/>
      <x:c r="AC105" s="68"/>
      <x:c r="AD105" s="90"/>
      <x:c r="AE105" s="82"/>
      <x:c r="AF105" s="82"/>
      <x:c r="AG105" s="87"/>
    </x:row>
  </x:sheetData>
  <x:mergeCells>
    <x:mergeCell ref="A1:O1"/>
    <x:mergeCell ref="A2:O2"/>
    <x:mergeCell ref="A3:O3"/>
    <x:mergeCell ref="A4:O4"/>
  </x:mergeCells>
  <x:conditionalFormatting sqref="A6:A105">
    <x:cfRule type="expression" dxfId="16" priority="1">
      <x:formula>AND(A6&lt;&gt;"",COUNTIF($A$6:$A$105,A6)&gt;1)</x:formula>
    </x:cfRule>
  </x:conditionalFormatting>
  <x:dataValidations count="8">
    <x:dataValidation type="list" sqref="E6:E105">
      <x:formula1>'99_下拉选项'!$BG$4:$BG$12</x:formula1>
    </x:dataValidation>
    <x:dataValidation type="list" sqref="G6:G105">
      <x:formula1>'99_下拉选项'!$F$4:$F$7</x:formula1>
    </x:dataValidation>
    <x:dataValidation type="list" sqref="Z6:Z105">
      <x:formula1>'99_下拉选项'!$Q$4:$Q$8</x:formula1>
    </x:dataValidation>
    <x:dataValidation type="list" sqref="AA6:AA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'99_下拉选项'!$BG$4:$BG$16</x:formula1>
    </x:dataValidation>
  </x:dataValidations>
  <x:pageMargins left="0.7" right="0.7" top="0.75" bottom="0.75" header="0.3" footer="0.3"/>
  <x:tableParts count="1">
    <x:tablePart xmlns:r="http://schemas.openxmlformats.org/officeDocument/2006/relationships" r:id="R8f222119c7f74eda"/>
  </x:tableParts>
</x:worksheet>
</file>

<file path=xl/worksheets/sheet2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0" hidden="0" customWidth="1"/>
    <x:col min="8" max="8" width="22" hidden="0" customWidth="1"/>
    <x:col min="9" max="9" width="30" hidden="0" customWidth="1"/>
    <x:col min="10" max="10" width="30" hidden="0" customWidth="1"/>
    <x:col min="11" max="11" width="30" hidden="0" customWidth="1"/>
    <x:col min="12" max="12" width="16"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13" hidden="0" customWidth="1"/>
  </x:cols>
  <x:sheetData>
    <x:row r="1" ht="28" customHeight="1">
      <x:c r="A1" s="32" t="str">
        <x:v>M19｜结构化输出字段与表达模板</x:v>
      </x:c>
      <x:c r="B1" s="32"/>
      <x:c r="C1" s="32"/>
      <x:c r="D1" s="32"/>
      <x:c r="E1" s="32"/>
      <x:c r="F1" s="32"/>
      <x:c r="G1" s="32"/>
      <x:c r="H1" s="32"/>
      <x:c r="I1" s="32"/>
      <x:c r="J1" s="32"/>
      <x:c r="K1" s="32"/>
      <x:c r="L1" s="32"/>
      <x:c r="M1" s="32"/>
      <x:c r="N1" s="32"/>
      <x:c r="O1" s="32"/>
      <x:c r="P1" s="32"/>
      <x:c r="Q1" s="32"/>
      <x:c r="R1" s="32"/>
      <x:c r="S1" s="32"/>
      <x:c r="T1" s="32"/>
      <x:c r="U1" s="32"/>
      <x:c r="V1" s="32"/>
      <x:c r="W1" s="32"/>
      <x:c r="X1" s="32"/>
    </x:row>
    <x:row r="2" ht="36" customHeight="1">
      <x:c r="A2" s="39" t="str">
        <x:v>规定M0分析必须输出的章节、字段、数据来源、内部分析表达与用户表达。此表把底层结论转成稳定、可追溯的报告结构。</x:v>
      </x:c>
      <x:c r="B2" s="39"/>
      <x:c r="C2" s="39"/>
      <x:c r="D2" s="39"/>
      <x:c r="E2" s="39"/>
      <x:c r="F2" s="39"/>
      <x:c r="G2" s="39"/>
      <x:c r="H2" s="39"/>
      <x:c r="I2" s="39"/>
      <x:c r="J2" s="39"/>
      <x:c r="K2" s="39"/>
      <x:c r="L2" s="39"/>
      <x:c r="M2" s="39"/>
      <x:c r="N2" s="39"/>
      <x:c r="O2" s="39"/>
      <x:c r="P2" s="39"/>
      <x:c r="Q2" s="39"/>
      <x:c r="R2" s="39"/>
      <x:c r="S2" s="39"/>
      <x:c r="T2" s="39"/>
      <x:c r="U2" s="39"/>
      <x:c r="V2" s="39"/>
      <x:c r="W2" s="39"/>
      <x:c r="X2" s="39"/>
    </x:row>
    <x:row r="3" ht="30" customHeight="1">
      <x:c r="A3" s="47" t="str">
        <x:v>前置依赖：M02-M18　｜　主要输出：统一结构化输出字段与用户表达　｜　直接下游：上层婚恋/事业/财富/岁运模型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row>
    <x:row r="5" ht="38" customHeight="1">
      <x:c r="A5" s="61" t="str">
        <x:v>Field_ID</x:v>
      </x:c>
      <x:c r="B5" s="61" t="str">
        <x:v>模块代码</x:v>
      </x:c>
      <x:c r="C5" s="61" t="str">
        <x:v>子类代码</x:v>
      </x:c>
      <x:c r="D5" s="61" t="str">
        <x:v>序号</x:v>
      </x:c>
      <x:c r="E5" s="61" t="str">
        <x:v>版本号</x:v>
      </x:c>
      <x:c r="F5" s="61" t="str">
        <x:v>输出章节</x:v>
      </x:c>
      <x:c r="G5" s="61" t="str">
        <x:v>章节顺序</x:v>
      </x:c>
      <x:c r="H5" s="61" t="str">
        <x:v>字段名称</x:v>
      </x:c>
      <x:c r="I5" s="61" t="str">
        <x:v>字段定义</x:v>
      </x:c>
      <x:c r="J5" s="61" t="str">
        <x:v>来源模块</x:v>
      </x:c>
      <x:c r="K5" s="61" t="str">
        <x:v>来源字段/Rule_ID</x:v>
      </x:c>
      <x:c r="L5" s="61" t="str">
        <x:v>必填性</x:v>
      </x:c>
      <x:c r="M5" s="61" t="str">
        <x:v>输出层级</x:v>
      </x:c>
      <x:c r="N5" s="61" t="str">
        <x:v>数据类型</x:v>
      </x:c>
      <x:c r="O5" s="61" t="str">
        <x:v>推荐格式</x:v>
      </x:c>
      <x:c r="P5" s="61" t="str">
        <x:v>内部分析模板</x:v>
      </x:c>
      <x:c r="Q5" s="61" t="str">
        <x:v>用户表达模板</x:v>
      </x:c>
      <x:c r="R5" s="61" t="str">
        <x:v>空值处理</x:v>
      </x:c>
      <x:c r="S5" s="61" t="str">
        <x:v>冲突处理</x:v>
      </x:c>
      <x:c r="T5" s="61" t="str">
        <x:v>示例</x:v>
      </x:c>
      <x:c r="U5" s="61" t="str">
        <x:v>备注</x:v>
      </x:c>
      <x:c r="V5" s="61" t="str">
        <x:v>规则状态</x:v>
      </x:c>
      <x:c r="W5" s="61" t="str">
        <x:v>审核状态</x:v>
      </x:c>
      <x:c r="X5" s="61" t="str">
        <x:v>更新日期</x:v>
      </x:c>
    </x:row>
    <x:row r="6" ht="66" customHeight="1">
      <x:c r="A6" s="76" t="str">
        <x:f>IF(OR(C6="",D6=""),"",B6&amp;"-"&amp;UPPER(C6)&amp;"-"&amp;TEXT(D6,"0000")&amp;"-"&amp;E6)</x:f>
        <x:v>M19-DEMO-9999-V0.1</x:v>
      </x:c>
      <x:c r="B6" s="76" t="str">
        <x:v>M19</x:v>
      </x:c>
      <x:c r="C6" s="76" t="str">
        <x:v>DEMO</x:v>
      </x:c>
      <x:c r="D6" s="78" t="n">
        <x:v>9999</x:v>
      </x:c>
      <x:c r="E6" s="76" t="str">
        <x:v>V0.1</x:v>
      </x:c>
      <x:c r="F6" s="76" t="str">
        <x:v>日主状态</x:v>
      </x:c>
      <x:c r="G6" s="76" t="n">
        <x:v>4</x:v>
      </x:c>
      <x:c r="H6" s="76" t="str">
        <x:v>日主旺衰</x:v>
      </x:c>
      <x:c r="I6" s="76" t="str">
        <x:v>M09综合裁定的七级旺衰结论，必须附主要证据、反向证据和置信度。</x:v>
      </x:c>
      <x:c r="J6" s="76" t="str">
        <x:v>M09</x:v>
      </x:c>
      <x:c r="K6" s="76" t="str">
        <x:v>旺衰候选、反向证据、置信等级</x:v>
      </x:c>
      <x:c r="L6" s="76" t="str">
        <x:v>必填</x:v>
      </x:c>
      <x:c r="M6" s="76" t="str">
        <x:v>三层通用</x:v>
      </x:c>
      <x:c r="N6" s="76" t="str">
        <x:v>枚举</x:v>
      </x:c>
      <x:c r="O6" s="76" t="str">
        <x:v>旺衰等级＋主要证据＋反向证据＋置信度</x:v>
      </x:c>
      <x:c r="P6" s="76" t="str">
        <x:v>日主【旺衰等级】；支持证据：【…】；反向证据：【…】；置信度：【…】。</x:v>
      </x:c>
      <x:c r="Q6" s="76" t="str">
        <x:v>整体看，日主处于【旺衰等级】。主要因为【核心证据】，同时也有【反向因素】，所以不宜简单判成【被排除等级】。</x:v>
      </x:c>
      <x:c r="R6" s="76" t="str">
        <x:v>缺少M09结果时禁止输出最终喜忌</x:v>
      </x:c>
      <x:c r="S6" s="76" t="str">
        <x:v>调用M18裁决并保留双方证据</x:v>
      </x:c>
      <x:c r="T6" s="76" t="str">
        <x:v>日主中和偏弱；得令但根气受限，泄耗较多；置信度较高。</x:v>
      </x:c>
      <x:c r="U6" s="76" t="str">
        <x:v>示例字段，正式模板需逐项补齐</x:v>
      </x:c>
      <x:c r="V6" s="76" t="str">
        <x:v>示例</x:v>
      </x:c>
      <x:c r="W6" s="76" t="str">
        <x:v>未审核</x:v>
      </x:c>
      <x:c r="X6" s="86" t="n">
        <x:v>46254</x:v>
      </x:c>
    </x:row>
    <x:row r="7">
      <x:c r="A7" s="72" t="str">
        <x:f>IF(OR(C7="",D7=""),"",B7&amp;"-"&amp;UPPER(C7)&amp;"-"&amp;TEXT(D7,"0000")&amp;"-"&amp;E7)</x:f>
      </x:c>
      <x:c r="B7" s="74" t="str">
        <x:v>M19</x:v>
      </x:c>
      <x:c r="C7" s="74"/>
      <x:c r="D7" s="79"/>
      <x:c r="E7" s="74" t="str">
        <x:v>V1.0</x:v>
      </x:c>
      <x:c r="F7" s="68"/>
      <x:c r="G7" s="68"/>
      <x:c r="H7" s="68"/>
      <x:c r="I7" s="68"/>
      <x:c r="J7" s="68"/>
      <x:c r="K7" s="68"/>
      <x:c r="L7" s="82"/>
      <x:c r="M7" s="82"/>
      <x:c r="N7" s="82"/>
      <x:c r="O7" s="68"/>
      <x:c r="P7" s="68"/>
      <x:c r="Q7" s="68"/>
      <x:c r="R7" s="68"/>
      <x:c r="S7" s="68"/>
      <x:c r="T7" s="68"/>
      <x:c r="U7" s="68"/>
      <x:c r="V7" s="82"/>
      <x:c r="W7" s="82"/>
      <x:c r="X7" s="87"/>
    </x:row>
    <x:row r="8">
      <x:c r="A8" s="72" t="str">
        <x:f>IF(OR(C8="",D8=""),"",B8&amp;"-"&amp;UPPER(C8)&amp;"-"&amp;TEXT(D8,"0000")&amp;"-"&amp;E8)</x:f>
      </x:c>
      <x:c r="B8" s="74" t="str">
        <x:v>M19</x:v>
      </x:c>
      <x:c r="C8" s="74"/>
      <x:c r="D8" s="79"/>
      <x:c r="E8" s="74" t="str">
        <x:v>V1.0</x:v>
      </x:c>
      <x:c r="F8" s="68"/>
      <x:c r="G8" s="68"/>
      <x:c r="H8" s="68"/>
      <x:c r="I8" s="68"/>
      <x:c r="J8" s="68"/>
      <x:c r="K8" s="68"/>
      <x:c r="L8" s="82"/>
      <x:c r="M8" s="82"/>
      <x:c r="N8" s="82"/>
      <x:c r="O8" s="68"/>
      <x:c r="P8" s="68"/>
      <x:c r="Q8" s="68"/>
      <x:c r="R8" s="68"/>
      <x:c r="S8" s="68"/>
      <x:c r="T8" s="68"/>
      <x:c r="U8" s="68"/>
      <x:c r="V8" s="82"/>
      <x:c r="W8" s="82"/>
      <x:c r="X8" s="87"/>
    </x:row>
    <x:row r="9">
      <x:c r="A9" s="72" t="str">
        <x:f>IF(OR(C9="",D9=""),"",B9&amp;"-"&amp;UPPER(C9)&amp;"-"&amp;TEXT(D9,"0000")&amp;"-"&amp;E9)</x:f>
      </x:c>
      <x:c r="B9" s="74" t="str">
        <x:v>M19</x:v>
      </x:c>
      <x:c r="C9" s="74"/>
      <x:c r="D9" s="79"/>
      <x:c r="E9" s="74" t="str">
        <x:v>V1.0</x:v>
      </x:c>
      <x:c r="F9" s="68"/>
      <x:c r="G9" s="68"/>
      <x:c r="H9" s="68"/>
      <x:c r="I9" s="68"/>
      <x:c r="J9" s="68"/>
      <x:c r="K9" s="68"/>
      <x:c r="L9" s="82"/>
      <x:c r="M9" s="82"/>
      <x:c r="N9" s="82"/>
      <x:c r="O9" s="68"/>
      <x:c r="P9" s="68"/>
      <x:c r="Q9" s="68"/>
      <x:c r="R9" s="68"/>
      <x:c r="S9" s="68"/>
      <x:c r="T9" s="68"/>
      <x:c r="U9" s="68"/>
      <x:c r="V9" s="82"/>
      <x:c r="W9" s="82"/>
      <x:c r="X9" s="87"/>
    </x:row>
    <x:row r="10">
      <x:c r="A10" s="72" t="str">
        <x:f>IF(OR(C10="",D10=""),"",B10&amp;"-"&amp;UPPER(C10)&amp;"-"&amp;TEXT(D10,"0000")&amp;"-"&amp;E10)</x:f>
      </x:c>
      <x:c r="B10" s="74" t="str">
        <x:v>M19</x:v>
      </x:c>
      <x:c r="C10" s="74"/>
      <x:c r="D10" s="79"/>
      <x:c r="E10" s="74" t="str">
        <x:v>V1.0</x:v>
      </x:c>
      <x:c r="F10" s="68"/>
      <x:c r="G10" s="68"/>
      <x:c r="H10" s="68"/>
      <x:c r="I10" s="68"/>
      <x:c r="J10" s="68"/>
      <x:c r="K10" s="68"/>
      <x:c r="L10" s="82"/>
      <x:c r="M10" s="82"/>
      <x:c r="N10" s="82"/>
      <x:c r="O10" s="68"/>
      <x:c r="P10" s="68"/>
      <x:c r="Q10" s="68"/>
      <x:c r="R10" s="68"/>
      <x:c r="S10" s="68"/>
      <x:c r="T10" s="68"/>
      <x:c r="U10" s="68"/>
      <x:c r="V10" s="82"/>
      <x:c r="W10" s="82"/>
      <x:c r="X10" s="87"/>
    </x:row>
    <x:row r="11">
      <x:c r="A11" s="72" t="str">
        <x:f>IF(OR(C11="",D11=""),"",B11&amp;"-"&amp;UPPER(C11)&amp;"-"&amp;TEXT(D11,"0000")&amp;"-"&amp;E11)</x:f>
      </x:c>
      <x:c r="B11" s="74" t="str">
        <x:v>M19</x:v>
      </x:c>
      <x:c r="C11" s="74"/>
      <x:c r="D11" s="79"/>
      <x:c r="E11" s="74" t="str">
        <x:v>V1.0</x:v>
      </x:c>
      <x:c r="F11" s="68"/>
      <x:c r="G11" s="68"/>
      <x:c r="H11" s="68"/>
      <x:c r="I11" s="68"/>
      <x:c r="J11" s="68"/>
      <x:c r="K11" s="68"/>
      <x:c r="L11" s="82"/>
      <x:c r="M11" s="82"/>
      <x:c r="N11" s="82"/>
      <x:c r="O11" s="68"/>
      <x:c r="P11" s="68"/>
      <x:c r="Q11" s="68"/>
      <x:c r="R11" s="68"/>
      <x:c r="S11" s="68"/>
      <x:c r="T11" s="68"/>
      <x:c r="U11" s="68"/>
      <x:c r="V11" s="82"/>
      <x:c r="W11" s="82"/>
      <x:c r="X11" s="87"/>
    </x:row>
    <x:row r="12">
      <x:c r="A12" s="72" t="str">
        <x:f>IF(OR(C12="",D12=""),"",B12&amp;"-"&amp;UPPER(C12)&amp;"-"&amp;TEXT(D12,"0000")&amp;"-"&amp;E12)</x:f>
      </x:c>
      <x:c r="B12" s="74" t="str">
        <x:v>M19</x:v>
      </x:c>
      <x:c r="C12" s="74"/>
      <x:c r="D12" s="79"/>
      <x:c r="E12" s="74" t="str">
        <x:v>V1.0</x:v>
      </x:c>
      <x:c r="F12" s="68"/>
      <x:c r="G12" s="68"/>
      <x:c r="H12" s="68"/>
      <x:c r="I12" s="68"/>
      <x:c r="J12" s="68"/>
      <x:c r="K12" s="68"/>
      <x:c r="L12" s="82"/>
      <x:c r="M12" s="82"/>
      <x:c r="N12" s="82"/>
      <x:c r="O12" s="68"/>
      <x:c r="P12" s="68"/>
      <x:c r="Q12" s="68"/>
      <x:c r="R12" s="68"/>
      <x:c r="S12" s="68"/>
      <x:c r="T12" s="68"/>
      <x:c r="U12" s="68"/>
      <x:c r="V12" s="82"/>
      <x:c r="W12" s="82"/>
      <x:c r="X12" s="87"/>
    </x:row>
    <x:row r="13">
      <x:c r="A13" s="72" t="str">
        <x:f>IF(OR(C13="",D13=""),"",B13&amp;"-"&amp;UPPER(C13)&amp;"-"&amp;TEXT(D13,"0000")&amp;"-"&amp;E13)</x:f>
      </x:c>
      <x:c r="B13" s="74" t="str">
        <x:v>M19</x:v>
      </x:c>
      <x:c r="C13" s="74"/>
      <x:c r="D13" s="79"/>
      <x:c r="E13" s="74" t="str">
        <x:v>V1.0</x:v>
      </x:c>
      <x:c r="F13" s="68"/>
      <x:c r="G13" s="68"/>
      <x:c r="H13" s="68"/>
      <x:c r="I13" s="68"/>
      <x:c r="J13" s="68"/>
      <x:c r="K13" s="68"/>
      <x:c r="L13" s="82"/>
      <x:c r="M13" s="82"/>
      <x:c r="N13" s="82"/>
      <x:c r="O13" s="68"/>
      <x:c r="P13" s="68"/>
      <x:c r="Q13" s="68"/>
      <x:c r="R13" s="68"/>
      <x:c r="S13" s="68"/>
      <x:c r="T13" s="68"/>
      <x:c r="U13" s="68"/>
      <x:c r="V13" s="82"/>
      <x:c r="W13" s="82"/>
      <x:c r="X13" s="87"/>
    </x:row>
    <x:row r="14">
      <x:c r="A14" s="72" t="str">
        <x:f>IF(OR(C14="",D14=""),"",B14&amp;"-"&amp;UPPER(C14)&amp;"-"&amp;TEXT(D14,"0000")&amp;"-"&amp;E14)</x:f>
      </x:c>
      <x:c r="B14" s="74" t="str">
        <x:v>M19</x:v>
      </x:c>
      <x:c r="C14" s="74"/>
      <x:c r="D14" s="79"/>
      <x:c r="E14" s="74" t="str">
        <x:v>V1.0</x:v>
      </x:c>
      <x:c r="F14" s="68"/>
      <x:c r="G14" s="68"/>
      <x:c r="H14" s="68"/>
      <x:c r="I14" s="68"/>
      <x:c r="J14" s="68"/>
      <x:c r="K14" s="68"/>
      <x:c r="L14" s="82"/>
      <x:c r="M14" s="82"/>
      <x:c r="N14" s="82"/>
      <x:c r="O14" s="68"/>
      <x:c r="P14" s="68"/>
      <x:c r="Q14" s="68"/>
      <x:c r="R14" s="68"/>
      <x:c r="S14" s="68"/>
      <x:c r="T14" s="68"/>
      <x:c r="U14" s="68"/>
      <x:c r="V14" s="82"/>
      <x:c r="W14" s="82"/>
      <x:c r="X14" s="87"/>
    </x:row>
    <x:row r="15">
      <x:c r="A15" s="72" t="str">
        <x:f>IF(OR(C15="",D15=""),"",B15&amp;"-"&amp;UPPER(C15)&amp;"-"&amp;TEXT(D15,"0000")&amp;"-"&amp;E15)</x:f>
      </x:c>
      <x:c r="B15" s="74" t="str">
        <x:v>M19</x:v>
      </x:c>
      <x:c r="C15" s="74"/>
      <x:c r="D15" s="79"/>
      <x:c r="E15" s="74" t="str">
        <x:v>V1.0</x:v>
      </x:c>
      <x:c r="F15" s="68"/>
      <x:c r="G15" s="68"/>
      <x:c r="H15" s="68"/>
      <x:c r="I15" s="68"/>
      <x:c r="J15" s="68"/>
      <x:c r="K15" s="68"/>
      <x:c r="L15" s="82"/>
      <x:c r="M15" s="82"/>
      <x:c r="N15" s="82"/>
      <x:c r="O15" s="68"/>
      <x:c r="P15" s="68"/>
      <x:c r="Q15" s="68"/>
      <x:c r="R15" s="68"/>
      <x:c r="S15" s="68"/>
      <x:c r="T15" s="68"/>
      <x:c r="U15" s="68"/>
      <x:c r="V15" s="82"/>
      <x:c r="W15" s="82"/>
      <x:c r="X15" s="87"/>
    </x:row>
    <x:row r="16">
      <x:c r="A16" s="72" t="str">
        <x:f>IF(OR(C16="",D16=""),"",B16&amp;"-"&amp;UPPER(C16)&amp;"-"&amp;TEXT(D16,"0000")&amp;"-"&amp;E16)</x:f>
      </x:c>
      <x:c r="B16" s="74" t="str">
        <x:v>M19</x:v>
      </x:c>
      <x:c r="C16" s="74"/>
      <x:c r="D16" s="79"/>
      <x:c r="E16" s="74" t="str">
        <x:v>V1.0</x:v>
      </x:c>
      <x:c r="F16" s="68"/>
      <x:c r="G16" s="68"/>
      <x:c r="H16" s="68"/>
      <x:c r="I16" s="68"/>
      <x:c r="J16" s="68"/>
      <x:c r="K16" s="68"/>
      <x:c r="L16" s="82"/>
      <x:c r="M16" s="82"/>
      <x:c r="N16" s="82"/>
      <x:c r="O16" s="68"/>
      <x:c r="P16" s="68"/>
      <x:c r="Q16" s="68"/>
      <x:c r="R16" s="68"/>
      <x:c r="S16" s="68"/>
      <x:c r="T16" s="68"/>
      <x:c r="U16" s="68"/>
      <x:c r="V16" s="82"/>
      <x:c r="W16" s="82"/>
      <x:c r="X16" s="87"/>
    </x:row>
    <x:row r="17">
      <x:c r="A17" s="72" t="str">
        <x:f>IF(OR(C17="",D17=""),"",B17&amp;"-"&amp;UPPER(C17)&amp;"-"&amp;TEXT(D17,"0000")&amp;"-"&amp;E17)</x:f>
      </x:c>
      <x:c r="B17" s="74" t="str">
        <x:v>M19</x:v>
      </x:c>
      <x:c r="C17" s="74"/>
      <x:c r="D17" s="79"/>
      <x:c r="E17" s="74" t="str">
        <x:v>V1.0</x:v>
      </x:c>
      <x:c r="F17" s="68"/>
      <x:c r="G17" s="68"/>
      <x:c r="H17" s="68"/>
      <x:c r="I17" s="68"/>
      <x:c r="J17" s="68"/>
      <x:c r="K17" s="68"/>
      <x:c r="L17" s="82"/>
      <x:c r="M17" s="82"/>
      <x:c r="N17" s="82"/>
      <x:c r="O17" s="68"/>
      <x:c r="P17" s="68"/>
      <x:c r="Q17" s="68"/>
      <x:c r="R17" s="68"/>
      <x:c r="S17" s="68"/>
      <x:c r="T17" s="68"/>
      <x:c r="U17" s="68"/>
      <x:c r="V17" s="82"/>
      <x:c r="W17" s="82"/>
      <x:c r="X17" s="87"/>
    </x:row>
    <x:row r="18">
      <x:c r="A18" s="72" t="str">
        <x:f>IF(OR(C18="",D18=""),"",B18&amp;"-"&amp;UPPER(C18)&amp;"-"&amp;TEXT(D18,"0000")&amp;"-"&amp;E18)</x:f>
      </x:c>
      <x:c r="B18" s="74" t="str">
        <x:v>M19</x:v>
      </x:c>
      <x:c r="C18" s="74"/>
      <x:c r="D18" s="79"/>
      <x:c r="E18" s="74" t="str">
        <x:v>V1.0</x:v>
      </x:c>
      <x:c r="F18" s="68"/>
      <x:c r="G18" s="68"/>
      <x:c r="H18" s="68"/>
      <x:c r="I18" s="68"/>
      <x:c r="J18" s="68"/>
      <x:c r="K18" s="68"/>
      <x:c r="L18" s="82"/>
      <x:c r="M18" s="82"/>
      <x:c r="N18" s="82"/>
      <x:c r="O18" s="68"/>
      <x:c r="P18" s="68"/>
      <x:c r="Q18" s="68"/>
      <x:c r="R18" s="68"/>
      <x:c r="S18" s="68"/>
      <x:c r="T18" s="68"/>
      <x:c r="U18" s="68"/>
      <x:c r="V18" s="82"/>
      <x:c r="W18" s="82"/>
      <x:c r="X18" s="87"/>
    </x:row>
    <x:row r="19">
      <x:c r="A19" s="72" t="str">
        <x:f>IF(OR(C19="",D19=""),"",B19&amp;"-"&amp;UPPER(C19)&amp;"-"&amp;TEXT(D19,"0000")&amp;"-"&amp;E19)</x:f>
      </x:c>
      <x:c r="B19" s="74" t="str">
        <x:v>M19</x:v>
      </x:c>
      <x:c r="C19" s="74"/>
      <x:c r="D19" s="79"/>
      <x:c r="E19" s="74" t="str">
        <x:v>V1.0</x:v>
      </x:c>
      <x:c r="F19" s="68"/>
      <x:c r="G19" s="68"/>
      <x:c r="H19" s="68"/>
      <x:c r="I19" s="68"/>
      <x:c r="J19" s="68"/>
      <x:c r="K19" s="68"/>
      <x:c r="L19" s="82"/>
      <x:c r="M19" s="82"/>
      <x:c r="N19" s="82"/>
      <x:c r="O19" s="68"/>
      <x:c r="P19" s="68"/>
      <x:c r="Q19" s="68"/>
      <x:c r="R19" s="68"/>
      <x:c r="S19" s="68"/>
      <x:c r="T19" s="68"/>
      <x:c r="U19" s="68"/>
      <x:c r="V19" s="82"/>
      <x:c r="W19" s="82"/>
      <x:c r="X19" s="87"/>
    </x:row>
    <x:row r="20">
      <x:c r="A20" s="72" t="str">
        <x:f>IF(OR(C20="",D20=""),"",B20&amp;"-"&amp;UPPER(C20)&amp;"-"&amp;TEXT(D20,"0000")&amp;"-"&amp;E20)</x:f>
      </x:c>
      <x:c r="B20" s="74" t="str">
        <x:v>M19</x:v>
      </x:c>
      <x:c r="C20" s="74"/>
      <x:c r="D20" s="79"/>
      <x:c r="E20" s="74" t="str">
        <x:v>V1.0</x:v>
      </x:c>
      <x:c r="F20" s="68"/>
      <x:c r="G20" s="68"/>
      <x:c r="H20" s="68"/>
      <x:c r="I20" s="68"/>
      <x:c r="J20" s="68"/>
      <x:c r="K20" s="68"/>
      <x:c r="L20" s="82"/>
      <x:c r="M20" s="82"/>
      <x:c r="N20" s="82"/>
      <x:c r="O20" s="68"/>
      <x:c r="P20" s="68"/>
      <x:c r="Q20" s="68"/>
      <x:c r="R20" s="68"/>
      <x:c r="S20" s="68"/>
      <x:c r="T20" s="68"/>
      <x:c r="U20" s="68"/>
      <x:c r="V20" s="82"/>
      <x:c r="W20" s="82"/>
      <x:c r="X20" s="87"/>
    </x:row>
    <x:row r="21">
      <x:c r="A21" s="72" t="str">
        <x:f>IF(OR(C21="",D21=""),"",B21&amp;"-"&amp;UPPER(C21)&amp;"-"&amp;TEXT(D21,"0000")&amp;"-"&amp;E21)</x:f>
      </x:c>
      <x:c r="B21" s="74" t="str">
        <x:v>M19</x:v>
      </x:c>
      <x:c r="C21" s="74"/>
      <x:c r="D21" s="79"/>
      <x:c r="E21" s="74" t="str">
        <x:v>V1.0</x:v>
      </x:c>
      <x:c r="F21" s="68"/>
      <x:c r="G21" s="68"/>
      <x:c r="H21" s="68"/>
      <x:c r="I21" s="68"/>
      <x:c r="J21" s="68"/>
      <x:c r="K21" s="68"/>
      <x:c r="L21" s="82"/>
      <x:c r="M21" s="82"/>
      <x:c r="N21" s="82"/>
      <x:c r="O21" s="68"/>
      <x:c r="P21" s="68"/>
      <x:c r="Q21" s="68"/>
      <x:c r="R21" s="68"/>
      <x:c r="S21" s="68"/>
      <x:c r="T21" s="68"/>
      <x:c r="U21" s="68"/>
      <x:c r="V21" s="82"/>
      <x:c r="W21" s="82"/>
      <x:c r="X21" s="87"/>
    </x:row>
    <x:row r="22">
      <x:c r="A22" s="72" t="str">
        <x:f>IF(OR(C22="",D22=""),"",B22&amp;"-"&amp;UPPER(C22)&amp;"-"&amp;TEXT(D22,"0000")&amp;"-"&amp;E22)</x:f>
      </x:c>
      <x:c r="B22" s="74" t="str">
        <x:v>M19</x:v>
      </x:c>
      <x:c r="C22" s="74"/>
      <x:c r="D22" s="79"/>
      <x:c r="E22" s="74" t="str">
        <x:v>V1.0</x:v>
      </x:c>
      <x:c r="F22" s="68"/>
      <x:c r="G22" s="68"/>
      <x:c r="H22" s="68"/>
      <x:c r="I22" s="68"/>
      <x:c r="J22" s="68"/>
      <x:c r="K22" s="68"/>
      <x:c r="L22" s="82"/>
      <x:c r="M22" s="82"/>
      <x:c r="N22" s="82"/>
      <x:c r="O22" s="68"/>
      <x:c r="P22" s="68"/>
      <x:c r="Q22" s="68"/>
      <x:c r="R22" s="68"/>
      <x:c r="S22" s="68"/>
      <x:c r="T22" s="68"/>
      <x:c r="U22" s="68"/>
      <x:c r="V22" s="82"/>
      <x:c r="W22" s="82"/>
      <x:c r="X22" s="87"/>
    </x:row>
    <x:row r="23">
      <x:c r="A23" s="72" t="str">
        <x:f>IF(OR(C23="",D23=""),"",B23&amp;"-"&amp;UPPER(C23)&amp;"-"&amp;TEXT(D23,"0000")&amp;"-"&amp;E23)</x:f>
      </x:c>
      <x:c r="B23" s="74" t="str">
        <x:v>M19</x:v>
      </x:c>
      <x:c r="C23" s="74"/>
      <x:c r="D23" s="79"/>
      <x:c r="E23" s="74" t="str">
        <x:v>V1.0</x:v>
      </x:c>
      <x:c r="F23" s="68"/>
      <x:c r="G23" s="68"/>
      <x:c r="H23" s="68"/>
      <x:c r="I23" s="68"/>
      <x:c r="J23" s="68"/>
      <x:c r="K23" s="68"/>
      <x:c r="L23" s="82"/>
      <x:c r="M23" s="82"/>
      <x:c r="N23" s="82"/>
      <x:c r="O23" s="68"/>
      <x:c r="P23" s="68"/>
      <x:c r="Q23" s="68"/>
      <x:c r="R23" s="68"/>
      <x:c r="S23" s="68"/>
      <x:c r="T23" s="68"/>
      <x:c r="U23" s="68"/>
      <x:c r="V23" s="82"/>
      <x:c r="W23" s="82"/>
      <x:c r="X23" s="87"/>
    </x:row>
    <x:row r="24">
      <x:c r="A24" s="72" t="str">
        <x:f>IF(OR(C24="",D24=""),"",B24&amp;"-"&amp;UPPER(C24)&amp;"-"&amp;TEXT(D24,"0000")&amp;"-"&amp;E24)</x:f>
      </x:c>
      <x:c r="B24" s="74" t="str">
        <x:v>M19</x:v>
      </x:c>
      <x:c r="C24" s="74"/>
      <x:c r="D24" s="79"/>
      <x:c r="E24" s="74" t="str">
        <x:v>V1.0</x:v>
      </x:c>
      <x:c r="F24" s="68"/>
      <x:c r="G24" s="68"/>
      <x:c r="H24" s="68"/>
      <x:c r="I24" s="68"/>
      <x:c r="J24" s="68"/>
      <x:c r="K24" s="68"/>
      <x:c r="L24" s="82"/>
      <x:c r="M24" s="82"/>
      <x:c r="N24" s="82"/>
      <x:c r="O24" s="68"/>
      <x:c r="P24" s="68"/>
      <x:c r="Q24" s="68"/>
      <x:c r="R24" s="68"/>
      <x:c r="S24" s="68"/>
      <x:c r="T24" s="68"/>
      <x:c r="U24" s="68"/>
      <x:c r="V24" s="82"/>
      <x:c r="W24" s="82"/>
      <x:c r="X24" s="87"/>
    </x:row>
    <x:row r="25">
      <x:c r="A25" s="72" t="str">
        <x:f>IF(OR(C25="",D25=""),"",B25&amp;"-"&amp;UPPER(C25)&amp;"-"&amp;TEXT(D25,"0000")&amp;"-"&amp;E25)</x:f>
      </x:c>
      <x:c r="B25" s="74" t="str">
        <x:v>M19</x:v>
      </x:c>
      <x:c r="C25" s="74"/>
      <x:c r="D25" s="79"/>
      <x:c r="E25" s="74" t="str">
        <x:v>V1.0</x:v>
      </x:c>
      <x:c r="F25" s="68"/>
      <x:c r="G25" s="68"/>
      <x:c r="H25" s="68"/>
      <x:c r="I25" s="68"/>
      <x:c r="J25" s="68"/>
      <x:c r="K25" s="68"/>
      <x:c r="L25" s="82"/>
      <x:c r="M25" s="82"/>
      <x:c r="N25" s="82"/>
      <x:c r="O25" s="68"/>
      <x:c r="P25" s="68"/>
      <x:c r="Q25" s="68"/>
      <x:c r="R25" s="68"/>
      <x:c r="S25" s="68"/>
      <x:c r="T25" s="68"/>
      <x:c r="U25" s="68"/>
      <x:c r="V25" s="82"/>
      <x:c r="W25" s="82"/>
      <x:c r="X25" s="87"/>
    </x:row>
    <x:row r="26">
      <x:c r="A26" s="72" t="str">
        <x:f>IF(OR(C26="",D26=""),"",B26&amp;"-"&amp;UPPER(C26)&amp;"-"&amp;TEXT(D26,"0000")&amp;"-"&amp;E26)</x:f>
      </x:c>
      <x:c r="B26" s="74" t="str">
        <x:v>M19</x:v>
      </x:c>
      <x:c r="C26" s="74"/>
      <x:c r="D26" s="79"/>
      <x:c r="E26" s="74" t="str">
        <x:v>V1.0</x:v>
      </x:c>
      <x:c r="F26" s="68"/>
      <x:c r="G26" s="68"/>
      <x:c r="H26" s="68"/>
      <x:c r="I26" s="68"/>
      <x:c r="J26" s="68"/>
      <x:c r="K26" s="68"/>
      <x:c r="L26" s="82"/>
      <x:c r="M26" s="82"/>
      <x:c r="N26" s="82"/>
      <x:c r="O26" s="68"/>
      <x:c r="P26" s="68"/>
      <x:c r="Q26" s="68"/>
      <x:c r="R26" s="68"/>
      <x:c r="S26" s="68"/>
      <x:c r="T26" s="68"/>
      <x:c r="U26" s="68"/>
      <x:c r="V26" s="82"/>
      <x:c r="W26" s="82"/>
      <x:c r="X26" s="87"/>
    </x:row>
    <x:row r="27">
      <x:c r="A27" s="72" t="str">
        <x:f>IF(OR(C27="",D27=""),"",B27&amp;"-"&amp;UPPER(C27)&amp;"-"&amp;TEXT(D27,"0000")&amp;"-"&amp;E27)</x:f>
      </x:c>
      <x:c r="B27" s="74" t="str">
        <x:v>M19</x:v>
      </x:c>
      <x:c r="C27" s="74"/>
      <x:c r="D27" s="79"/>
      <x:c r="E27" s="74" t="str">
        <x:v>V1.0</x:v>
      </x:c>
      <x:c r="F27" s="68"/>
      <x:c r="G27" s="68"/>
      <x:c r="H27" s="68"/>
      <x:c r="I27" s="68"/>
      <x:c r="J27" s="68"/>
      <x:c r="K27" s="68"/>
      <x:c r="L27" s="82"/>
      <x:c r="M27" s="82"/>
      <x:c r="N27" s="82"/>
      <x:c r="O27" s="68"/>
      <x:c r="P27" s="68"/>
      <x:c r="Q27" s="68"/>
      <x:c r="R27" s="68"/>
      <x:c r="S27" s="68"/>
      <x:c r="T27" s="68"/>
      <x:c r="U27" s="68"/>
      <x:c r="V27" s="82"/>
      <x:c r="W27" s="82"/>
      <x:c r="X27" s="87"/>
    </x:row>
    <x:row r="28">
      <x:c r="A28" s="72" t="str">
        <x:f>IF(OR(C28="",D28=""),"",B28&amp;"-"&amp;UPPER(C28)&amp;"-"&amp;TEXT(D28,"0000")&amp;"-"&amp;E28)</x:f>
      </x:c>
      <x:c r="B28" s="74" t="str">
        <x:v>M19</x:v>
      </x:c>
      <x:c r="C28" s="74"/>
      <x:c r="D28" s="79"/>
      <x:c r="E28" s="74" t="str">
        <x:v>V1.0</x:v>
      </x:c>
      <x:c r="F28" s="68"/>
      <x:c r="G28" s="68"/>
      <x:c r="H28" s="68"/>
      <x:c r="I28" s="68"/>
      <x:c r="J28" s="68"/>
      <x:c r="K28" s="68"/>
      <x:c r="L28" s="82"/>
      <x:c r="M28" s="82"/>
      <x:c r="N28" s="82"/>
      <x:c r="O28" s="68"/>
      <x:c r="P28" s="68"/>
      <x:c r="Q28" s="68"/>
      <x:c r="R28" s="68"/>
      <x:c r="S28" s="68"/>
      <x:c r="T28" s="68"/>
      <x:c r="U28" s="68"/>
      <x:c r="V28" s="82"/>
      <x:c r="W28" s="82"/>
      <x:c r="X28" s="87"/>
    </x:row>
    <x:row r="29">
      <x:c r="A29" s="72" t="str">
        <x:f>IF(OR(C29="",D29=""),"",B29&amp;"-"&amp;UPPER(C29)&amp;"-"&amp;TEXT(D29,"0000")&amp;"-"&amp;E29)</x:f>
      </x:c>
      <x:c r="B29" s="74" t="str">
        <x:v>M19</x:v>
      </x:c>
      <x:c r="C29" s="74"/>
      <x:c r="D29" s="79"/>
      <x:c r="E29" s="74" t="str">
        <x:v>V1.0</x:v>
      </x:c>
      <x:c r="F29" s="68"/>
      <x:c r="G29" s="68"/>
      <x:c r="H29" s="68"/>
      <x:c r="I29" s="68"/>
      <x:c r="J29" s="68"/>
      <x:c r="K29" s="68"/>
      <x:c r="L29" s="82"/>
      <x:c r="M29" s="82"/>
      <x:c r="N29" s="82"/>
      <x:c r="O29" s="68"/>
      <x:c r="P29" s="68"/>
      <x:c r="Q29" s="68"/>
      <x:c r="R29" s="68"/>
      <x:c r="S29" s="68"/>
      <x:c r="T29" s="68"/>
      <x:c r="U29" s="68"/>
      <x:c r="V29" s="82"/>
      <x:c r="W29" s="82"/>
      <x:c r="X29" s="87"/>
    </x:row>
    <x:row r="30">
      <x:c r="A30" s="72" t="str">
        <x:f>IF(OR(C30="",D30=""),"",B30&amp;"-"&amp;UPPER(C30)&amp;"-"&amp;TEXT(D30,"0000")&amp;"-"&amp;E30)</x:f>
      </x:c>
      <x:c r="B30" s="74" t="str">
        <x:v>M19</x:v>
      </x:c>
      <x:c r="C30" s="74"/>
      <x:c r="D30" s="79"/>
      <x:c r="E30" s="74" t="str">
        <x:v>V1.0</x:v>
      </x:c>
      <x:c r="F30" s="68"/>
      <x:c r="G30" s="68"/>
      <x:c r="H30" s="68"/>
      <x:c r="I30" s="68"/>
      <x:c r="J30" s="68"/>
      <x:c r="K30" s="68"/>
      <x:c r="L30" s="82"/>
      <x:c r="M30" s="82"/>
      <x:c r="N30" s="82"/>
      <x:c r="O30" s="68"/>
      <x:c r="P30" s="68"/>
      <x:c r="Q30" s="68"/>
      <x:c r="R30" s="68"/>
      <x:c r="S30" s="68"/>
      <x:c r="T30" s="68"/>
      <x:c r="U30" s="68"/>
      <x:c r="V30" s="82"/>
      <x:c r="W30" s="82"/>
      <x:c r="X30" s="87"/>
    </x:row>
    <x:row r="31">
      <x:c r="A31" s="72" t="str">
        <x:f>IF(OR(C31="",D31=""),"",B31&amp;"-"&amp;UPPER(C31)&amp;"-"&amp;TEXT(D31,"0000")&amp;"-"&amp;E31)</x:f>
      </x:c>
      <x:c r="B31" s="74" t="str">
        <x:v>M19</x:v>
      </x:c>
      <x:c r="C31" s="74"/>
      <x:c r="D31" s="79"/>
      <x:c r="E31" s="74" t="str">
        <x:v>V1.0</x:v>
      </x:c>
      <x:c r="F31" s="68"/>
      <x:c r="G31" s="68"/>
      <x:c r="H31" s="68"/>
      <x:c r="I31" s="68"/>
      <x:c r="J31" s="68"/>
      <x:c r="K31" s="68"/>
      <x:c r="L31" s="82"/>
      <x:c r="M31" s="82"/>
      <x:c r="N31" s="82"/>
      <x:c r="O31" s="68"/>
      <x:c r="P31" s="68"/>
      <x:c r="Q31" s="68"/>
      <x:c r="R31" s="68"/>
      <x:c r="S31" s="68"/>
      <x:c r="T31" s="68"/>
      <x:c r="U31" s="68"/>
      <x:c r="V31" s="82"/>
      <x:c r="W31" s="82"/>
      <x:c r="X31" s="87"/>
    </x:row>
    <x:row r="32">
      <x:c r="A32" s="72" t="str">
        <x:f>IF(OR(C32="",D32=""),"",B32&amp;"-"&amp;UPPER(C32)&amp;"-"&amp;TEXT(D32,"0000")&amp;"-"&amp;E32)</x:f>
      </x:c>
      <x:c r="B32" s="74" t="str">
        <x:v>M19</x:v>
      </x:c>
      <x:c r="C32" s="74"/>
      <x:c r="D32" s="79"/>
      <x:c r="E32" s="74" t="str">
        <x:v>V1.0</x:v>
      </x:c>
      <x:c r="F32" s="68"/>
      <x:c r="G32" s="68"/>
      <x:c r="H32" s="68"/>
      <x:c r="I32" s="68"/>
      <x:c r="J32" s="68"/>
      <x:c r="K32" s="68"/>
      <x:c r="L32" s="82"/>
      <x:c r="M32" s="82"/>
      <x:c r="N32" s="82"/>
      <x:c r="O32" s="68"/>
      <x:c r="P32" s="68"/>
      <x:c r="Q32" s="68"/>
      <x:c r="R32" s="68"/>
      <x:c r="S32" s="68"/>
      <x:c r="T32" s="68"/>
      <x:c r="U32" s="68"/>
      <x:c r="V32" s="82"/>
      <x:c r="W32" s="82"/>
      <x:c r="X32" s="87"/>
    </x:row>
    <x:row r="33">
      <x:c r="A33" s="72" t="str">
        <x:f>IF(OR(C33="",D33=""),"",B33&amp;"-"&amp;UPPER(C33)&amp;"-"&amp;TEXT(D33,"0000")&amp;"-"&amp;E33)</x:f>
      </x:c>
      <x:c r="B33" s="74" t="str">
        <x:v>M19</x:v>
      </x:c>
      <x:c r="C33" s="74"/>
      <x:c r="D33" s="79"/>
      <x:c r="E33" s="74" t="str">
        <x:v>V1.0</x:v>
      </x:c>
      <x:c r="F33" s="68"/>
      <x:c r="G33" s="68"/>
      <x:c r="H33" s="68"/>
      <x:c r="I33" s="68"/>
      <x:c r="J33" s="68"/>
      <x:c r="K33" s="68"/>
      <x:c r="L33" s="82"/>
      <x:c r="M33" s="82"/>
      <x:c r="N33" s="82"/>
      <x:c r="O33" s="68"/>
      <x:c r="P33" s="68"/>
      <x:c r="Q33" s="68"/>
      <x:c r="R33" s="68"/>
      <x:c r="S33" s="68"/>
      <x:c r="T33" s="68"/>
      <x:c r="U33" s="68"/>
      <x:c r="V33" s="82"/>
      <x:c r="W33" s="82"/>
      <x:c r="X33" s="87"/>
    </x:row>
    <x:row r="34">
      <x:c r="A34" s="72" t="str">
        <x:f>IF(OR(C34="",D34=""),"",B34&amp;"-"&amp;UPPER(C34)&amp;"-"&amp;TEXT(D34,"0000")&amp;"-"&amp;E34)</x:f>
      </x:c>
      <x:c r="B34" s="74" t="str">
        <x:v>M19</x:v>
      </x:c>
      <x:c r="C34" s="74"/>
      <x:c r="D34" s="79"/>
      <x:c r="E34" s="74" t="str">
        <x:v>V1.0</x:v>
      </x:c>
      <x:c r="F34" s="68"/>
      <x:c r="G34" s="68"/>
      <x:c r="H34" s="68"/>
      <x:c r="I34" s="68"/>
      <x:c r="J34" s="68"/>
      <x:c r="K34" s="68"/>
      <x:c r="L34" s="82"/>
      <x:c r="M34" s="82"/>
      <x:c r="N34" s="82"/>
      <x:c r="O34" s="68"/>
      <x:c r="P34" s="68"/>
      <x:c r="Q34" s="68"/>
      <x:c r="R34" s="68"/>
      <x:c r="S34" s="68"/>
      <x:c r="T34" s="68"/>
      <x:c r="U34" s="68"/>
      <x:c r="V34" s="82"/>
      <x:c r="W34" s="82"/>
      <x:c r="X34" s="87"/>
    </x:row>
    <x:row r="35">
      <x:c r="A35" s="72" t="str">
        <x:f>IF(OR(C35="",D35=""),"",B35&amp;"-"&amp;UPPER(C35)&amp;"-"&amp;TEXT(D35,"0000")&amp;"-"&amp;E35)</x:f>
      </x:c>
      <x:c r="B35" s="74" t="str">
        <x:v>M19</x:v>
      </x:c>
      <x:c r="C35" s="74"/>
      <x:c r="D35" s="79"/>
      <x:c r="E35" s="74" t="str">
        <x:v>V1.0</x:v>
      </x:c>
      <x:c r="F35" s="68"/>
      <x:c r="G35" s="68"/>
      <x:c r="H35" s="68"/>
      <x:c r="I35" s="68"/>
      <x:c r="J35" s="68"/>
      <x:c r="K35" s="68"/>
      <x:c r="L35" s="82"/>
      <x:c r="M35" s="82"/>
      <x:c r="N35" s="82"/>
      <x:c r="O35" s="68"/>
      <x:c r="P35" s="68"/>
      <x:c r="Q35" s="68"/>
      <x:c r="R35" s="68"/>
      <x:c r="S35" s="68"/>
      <x:c r="T35" s="68"/>
      <x:c r="U35" s="68"/>
      <x:c r="V35" s="82"/>
      <x:c r="W35" s="82"/>
      <x:c r="X35" s="87"/>
    </x:row>
    <x:row r="36">
      <x:c r="A36" s="72" t="str">
        <x:f>IF(OR(C36="",D36=""),"",B36&amp;"-"&amp;UPPER(C36)&amp;"-"&amp;TEXT(D36,"0000")&amp;"-"&amp;E36)</x:f>
      </x:c>
      <x:c r="B36" s="74" t="str">
        <x:v>M19</x:v>
      </x:c>
      <x:c r="C36" s="74"/>
      <x:c r="D36" s="79"/>
      <x:c r="E36" s="74" t="str">
        <x:v>V1.0</x:v>
      </x:c>
      <x:c r="F36" s="68"/>
      <x:c r="G36" s="68"/>
      <x:c r="H36" s="68"/>
      <x:c r="I36" s="68"/>
      <x:c r="J36" s="68"/>
      <x:c r="K36" s="68"/>
      <x:c r="L36" s="82"/>
      <x:c r="M36" s="82"/>
      <x:c r="N36" s="82"/>
      <x:c r="O36" s="68"/>
      <x:c r="P36" s="68"/>
      <x:c r="Q36" s="68"/>
      <x:c r="R36" s="68"/>
      <x:c r="S36" s="68"/>
      <x:c r="T36" s="68"/>
      <x:c r="U36" s="68"/>
      <x:c r="V36" s="82"/>
      <x:c r="W36" s="82"/>
      <x:c r="X36" s="87"/>
    </x:row>
    <x:row r="37">
      <x:c r="A37" s="72" t="str">
        <x:f>IF(OR(C37="",D37=""),"",B37&amp;"-"&amp;UPPER(C37)&amp;"-"&amp;TEXT(D37,"0000")&amp;"-"&amp;E37)</x:f>
      </x:c>
      <x:c r="B37" s="74" t="str">
        <x:v>M19</x:v>
      </x:c>
      <x:c r="C37" s="74"/>
      <x:c r="D37" s="79"/>
      <x:c r="E37" s="74" t="str">
        <x:v>V1.0</x:v>
      </x:c>
      <x:c r="F37" s="68"/>
      <x:c r="G37" s="68"/>
      <x:c r="H37" s="68"/>
      <x:c r="I37" s="68"/>
      <x:c r="J37" s="68"/>
      <x:c r="K37" s="68"/>
      <x:c r="L37" s="82"/>
      <x:c r="M37" s="82"/>
      <x:c r="N37" s="82"/>
      <x:c r="O37" s="68"/>
      <x:c r="P37" s="68"/>
      <x:c r="Q37" s="68"/>
      <x:c r="R37" s="68"/>
      <x:c r="S37" s="68"/>
      <x:c r="T37" s="68"/>
      <x:c r="U37" s="68"/>
      <x:c r="V37" s="82"/>
      <x:c r="W37" s="82"/>
      <x:c r="X37" s="87"/>
    </x:row>
    <x:row r="38">
      <x:c r="A38" s="72" t="str">
        <x:f>IF(OR(C38="",D38=""),"",B38&amp;"-"&amp;UPPER(C38)&amp;"-"&amp;TEXT(D38,"0000")&amp;"-"&amp;E38)</x:f>
      </x:c>
      <x:c r="B38" s="74" t="str">
        <x:v>M19</x:v>
      </x:c>
      <x:c r="C38" s="74"/>
      <x:c r="D38" s="79"/>
      <x:c r="E38" s="74" t="str">
        <x:v>V1.0</x:v>
      </x:c>
      <x:c r="F38" s="68"/>
      <x:c r="G38" s="68"/>
      <x:c r="H38" s="68"/>
      <x:c r="I38" s="68"/>
      <x:c r="J38" s="68"/>
      <x:c r="K38" s="68"/>
      <x:c r="L38" s="82"/>
      <x:c r="M38" s="82"/>
      <x:c r="N38" s="82"/>
      <x:c r="O38" s="68"/>
      <x:c r="P38" s="68"/>
      <x:c r="Q38" s="68"/>
      <x:c r="R38" s="68"/>
      <x:c r="S38" s="68"/>
      <x:c r="T38" s="68"/>
      <x:c r="U38" s="68"/>
      <x:c r="V38" s="82"/>
      <x:c r="W38" s="82"/>
      <x:c r="X38" s="87"/>
    </x:row>
    <x:row r="39">
      <x:c r="A39" s="72" t="str">
        <x:f>IF(OR(C39="",D39=""),"",B39&amp;"-"&amp;UPPER(C39)&amp;"-"&amp;TEXT(D39,"0000")&amp;"-"&amp;E39)</x:f>
      </x:c>
      <x:c r="B39" s="74" t="str">
        <x:v>M19</x:v>
      </x:c>
      <x:c r="C39" s="74"/>
      <x:c r="D39" s="79"/>
      <x:c r="E39" s="74" t="str">
        <x:v>V1.0</x:v>
      </x:c>
      <x:c r="F39" s="68"/>
      <x:c r="G39" s="68"/>
      <x:c r="H39" s="68"/>
      <x:c r="I39" s="68"/>
      <x:c r="J39" s="68"/>
      <x:c r="K39" s="68"/>
      <x:c r="L39" s="82"/>
      <x:c r="M39" s="82"/>
      <x:c r="N39" s="82"/>
      <x:c r="O39" s="68"/>
      <x:c r="P39" s="68"/>
      <x:c r="Q39" s="68"/>
      <x:c r="R39" s="68"/>
      <x:c r="S39" s="68"/>
      <x:c r="T39" s="68"/>
      <x:c r="U39" s="68"/>
      <x:c r="V39" s="82"/>
      <x:c r="W39" s="82"/>
      <x:c r="X39" s="87"/>
    </x:row>
    <x:row r="40">
      <x:c r="A40" s="72" t="str">
        <x:f>IF(OR(C40="",D40=""),"",B40&amp;"-"&amp;UPPER(C40)&amp;"-"&amp;TEXT(D40,"0000")&amp;"-"&amp;E40)</x:f>
      </x:c>
      <x:c r="B40" s="74" t="str">
        <x:v>M19</x:v>
      </x:c>
      <x:c r="C40" s="74"/>
      <x:c r="D40" s="79"/>
      <x:c r="E40" s="74" t="str">
        <x:v>V1.0</x:v>
      </x:c>
      <x:c r="F40" s="68"/>
      <x:c r="G40" s="68"/>
      <x:c r="H40" s="68"/>
      <x:c r="I40" s="68"/>
      <x:c r="J40" s="68"/>
      <x:c r="K40" s="68"/>
      <x:c r="L40" s="82"/>
      <x:c r="M40" s="82"/>
      <x:c r="N40" s="82"/>
      <x:c r="O40" s="68"/>
      <x:c r="P40" s="68"/>
      <x:c r="Q40" s="68"/>
      <x:c r="R40" s="68"/>
      <x:c r="S40" s="68"/>
      <x:c r="T40" s="68"/>
      <x:c r="U40" s="68"/>
      <x:c r="V40" s="82"/>
      <x:c r="W40" s="82"/>
      <x:c r="X40" s="87"/>
    </x:row>
    <x:row r="41">
      <x:c r="A41" s="72" t="str">
        <x:f>IF(OR(C41="",D41=""),"",B41&amp;"-"&amp;UPPER(C41)&amp;"-"&amp;TEXT(D41,"0000")&amp;"-"&amp;E41)</x:f>
      </x:c>
      <x:c r="B41" s="74" t="str">
        <x:v>M19</x:v>
      </x:c>
      <x:c r="C41" s="74"/>
      <x:c r="D41" s="79"/>
      <x:c r="E41" s="74" t="str">
        <x:v>V1.0</x:v>
      </x:c>
      <x:c r="F41" s="68"/>
      <x:c r="G41" s="68"/>
      <x:c r="H41" s="68"/>
      <x:c r="I41" s="68"/>
      <x:c r="J41" s="68"/>
      <x:c r="K41" s="68"/>
      <x:c r="L41" s="82"/>
      <x:c r="M41" s="82"/>
      <x:c r="N41" s="82"/>
      <x:c r="O41" s="68"/>
      <x:c r="P41" s="68"/>
      <x:c r="Q41" s="68"/>
      <x:c r="R41" s="68"/>
      <x:c r="S41" s="68"/>
      <x:c r="T41" s="68"/>
      <x:c r="U41" s="68"/>
      <x:c r="V41" s="82"/>
      <x:c r="W41" s="82"/>
      <x:c r="X41" s="87"/>
    </x:row>
    <x:row r="42">
      <x:c r="A42" s="72" t="str">
        <x:f>IF(OR(C42="",D42=""),"",B42&amp;"-"&amp;UPPER(C42)&amp;"-"&amp;TEXT(D42,"0000")&amp;"-"&amp;E42)</x:f>
      </x:c>
      <x:c r="B42" s="74" t="str">
        <x:v>M19</x:v>
      </x:c>
      <x:c r="C42" s="74"/>
      <x:c r="D42" s="79"/>
      <x:c r="E42" s="74" t="str">
        <x:v>V1.0</x:v>
      </x:c>
      <x:c r="F42" s="68"/>
      <x:c r="G42" s="68"/>
      <x:c r="H42" s="68"/>
      <x:c r="I42" s="68"/>
      <x:c r="J42" s="68"/>
      <x:c r="K42" s="68"/>
      <x:c r="L42" s="82"/>
      <x:c r="M42" s="82"/>
      <x:c r="N42" s="82"/>
      <x:c r="O42" s="68"/>
      <x:c r="P42" s="68"/>
      <x:c r="Q42" s="68"/>
      <x:c r="R42" s="68"/>
      <x:c r="S42" s="68"/>
      <x:c r="T42" s="68"/>
      <x:c r="U42" s="68"/>
      <x:c r="V42" s="82"/>
      <x:c r="W42" s="82"/>
      <x:c r="X42" s="87"/>
    </x:row>
    <x:row r="43">
      <x:c r="A43" s="72" t="str">
        <x:f>IF(OR(C43="",D43=""),"",B43&amp;"-"&amp;UPPER(C43)&amp;"-"&amp;TEXT(D43,"0000")&amp;"-"&amp;E43)</x:f>
      </x:c>
      <x:c r="B43" s="74" t="str">
        <x:v>M19</x:v>
      </x:c>
      <x:c r="C43" s="74"/>
      <x:c r="D43" s="79"/>
      <x:c r="E43" s="74" t="str">
        <x:v>V1.0</x:v>
      </x:c>
      <x:c r="F43" s="68"/>
      <x:c r="G43" s="68"/>
      <x:c r="H43" s="68"/>
      <x:c r="I43" s="68"/>
      <x:c r="J43" s="68"/>
      <x:c r="K43" s="68"/>
      <x:c r="L43" s="82"/>
      <x:c r="M43" s="82"/>
      <x:c r="N43" s="82"/>
      <x:c r="O43" s="68"/>
      <x:c r="P43" s="68"/>
      <x:c r="Q43" s="68"/>
      <x:c r="R43" s="68"/>
      <x:c r="S43" s="68"/>
      <x:c r="T43" s="68"/>
      <x:c r="U43" s="68"/>
      <x:c r="V43" s="82"/>
      <x:c r="W43" s="82"/>
      <x:c r="X43" s="87"/>
    </x:row>
    <x:row r="44">
      <x:c r="A44" s="72" t="str">
        <x:f>IF(OR(C44="",D44=""),"",B44&amp;"-"&amp;UPPER(C44)&amp;"-"&amp;TEXT(D44,"0000")&amp;"-"&amp;E44)</x:f>
      </x:c>
      <x:c r="B44" s="74" t="str">
        <x:v>M19</x:v>
      </x:c>
      <x:c r="C44" s="74"/>
      <x:c r="D44" s="79"/>
      <x:c r="E44" s="74" t="str">
        <x:v>V1.0</x:v>
      </x:c>
      <x:c r="F44" s="68"/>
      <x:c r="G44" s="68"/>
      <x:c r="H44" s="68"/>
      <x:c r="I44" s="68"/>
      <x:c r="J44" s="68"/>
      <x:c r="K44" s="68"/>
      <x:c r="L44" s="82"/>
      <x:c r="M44" s="82"/>
      <x:c r="N44" s="82"/>
      <x:c r="O44" s="68"/>
      <x:c r="P44" s="68"/>
      <x:c r="Q44" s="68"/>
      <x:c r="R44" s="68"/>
      <x:c r="S44" s="68"/>
      <x:c r="T44" s="68"/>
      <x:c r="U44" s="68"/>
      <x:c r="V44" s="82"/>
      <x:c r="W44" s="82"/>
      <x:c r="X44" s="87"/>
    </x:row>
    <x:row r="45">
      <x:c r="A45" s="72" t="str">
        <x:f>IF(OR(C45="",D45=""),"",B45&amp;"-"&amp;UPPER(C45)&amp;"-"&amp;TEXT(D45,"0000")&amp;"-"&amp;E45)</x:f>
      </x:c>
      <x:c r="B45" s="74" t="str">
        <x:v>M19</x:v>
      </x:c>
      <x:c r="C45" s="74"/>
      <x:c r="D45" s="79"/>
      <x:c r="E45" s="74" t="str">
        <x:v>V1.0</x:v>
      </x:c>
      <x:c r="F45" s="68"/>
      <x:c r="G45" s="68"/>
      <x:c r="H45" s="68"/>
      <x:c r="I45" s="68"/>
      <x:c r="J45" s="68"/>
      <x:c r="K45" s="68"/>
      <x:c r="L45" s="82"/>
      <x:c r="M45" s="82"/>
      <x:c r="N45" s="82"/>
      <x:c r="O45" s="68"/>
      <x:c r="P45" s="68"/>
      <x:c r="Q45" s="68"/>
      <x:c r="R45" s="68"/>
      <x:c r="S45" s="68"/>
      <x:c r="T45" s="68"/>
      <x:c r="U45" s="68"/>
      <x:c r="V45" s="82"/>
      <x:c r="W45" s="82"/>
      <x:c r="X45" s="87"/>
    </x:row>
    <x:row r="46">
      <x:c r="A46" s="72" t="str">
        <x:f>IF(OR(C46="",D46=""),"",B46&amp;"-"&amp;UPPER(C46)&amp;"-"&amp;TEXT(D46,"0000")&amp;"-"&amp;E46)</x:f>
      </x:c>
      <x:c r="B46" s="74" t="str">
        <x:v>M19</x:v>
      </x:c>
      <x:c r="C46" s="74"/>
      <x:c r="D46" s="79"/>
      <x:c r="E46" s="74" t="str">
        <x:v>V1.0</x:v>
      </x:c>
      <x:c r="F46" s="68"/>
      <x:c r="G46" s="68"/>
      <x:c r="H46" s="68"/>
      <x:c r="I46" s="68"/>
      <x:c r="J46" s="68"/>
      <x:c r="K46" s="68"/>
      <x:c r="L46" s="82"/>
      <x:c r="M46" s="82"/>
      <x:c r="N46" s="82"/>
      <x:c r="O46" s="68"/>
      <x:c r="P46" s="68"/>
      <x:c r="Q46" s="68"/>
      <x:c r="R46" s="68"/>
      <x:c r="S46" s="68"/>
      <x:c r="T46" s="68"/>
      <x:c r="U46" s="68"/>
      <x:c r="V46" s="82"/>
      <x:c r="W46" s="82"/>
      <x:c r="X46" s="87"/>
    </x:row>
    <x:row r="47">
      <x:c r="A47" s="72" t="str">
        <x:f>IF(OR(C47="",D47=""),"",B47&amp;"-"&amp;UPPER(C47)&amp;"-"&amp;TEXT(D47,"0000")&amp;"-"&amp;E47)</x:f>
      </x:c>
      <x:c r="B47" s="74" t="str">
        <x:v>M19</x:v>
      </x:c>
      <x:c r="C47" s="74"/>
      <x:c r="D47" s="79"/>
      <x:c r="E47" s="74" t="str">
        <x:v>V1.0</x:v>
      </x:c>
      <x:c r="F47" s="68"/>
      <x:c r="G47" s="68"/>
      <x:c r="H47" s="68"/>
      <x:c r="I47" s="68"/>
      <x:c r="J47" s="68"/>
      <x:c r="K47" s="68"/>
      <x:c r="L47" s="82"/>
      <x:c r="M47" s="82"/>
      <x:c r="N47" s="82"/>
      <x:c r="O47" s="68"/>
      <x:c r="P47" s="68"/>
      <x:c r="Q47" s="68"/>
      <x:c r="R47" s="68"/>
      <x:c r="S47" s="68"/>
      <x:c r="T47" s="68"/>
      <x:c r="U47" s="68"/>
      <x:c r="V47" s="82"/>
      <x:c r="W47" s="82"/>
      <x:c r="X47" s="87"/>
    </x:row>
    <x:row r="48">
      <x:c r="A48" s="72" t="str">
        <x:f>IF(OR(C48="",D48=""),"",B48&amp;"-"&amp;UPPER(C48)&amp;"-"&amp;TEXT(D48,"0000")&amp;"-"&amp;E48)</x:f>
      </x:c>
      <x:c r="B48" s="74" t="str">
        <x:v>M19</x:v>
      </x:c>
      <x:c r="C48" s="74"/>
      <x:c r="D48" s="79"/>
      <x:c r="E48" s="74" t="str">
        <x:v>V1.0</x:v>
      </x:c>
      <x:c r="F48" s="68"/>
      <x:c r="G48" s="68"/>
      <x:c r="H48" s="68"/>
      <x:c r="I48" s="68"/>
      <x:c r="J48" s="68"/>
      <x:c r="K48" s="68"/>
      <x:c r="L48" s="82"/>
      <x:c r="M48" s="82"/>
      <x:c r="N48" s="82"/>
      <x:c r="O48" s="68"/>
      <x:c r="P48" s="68"/>
      <x:c r="Q48" s="68"/>
      <x:c r="R48" s="68"/>
      <x:c r="S48" s="68"/>
      <x:c r="T48" s="68"/>
      <x:c r="U48" s="68"/>
      <x:c r="V48" s="82"/>
      <x:c r="W48" s="82"/>
      <x:c r="X48" s="87"/>
    </x:row>
    <x:row r="49">
      <x:c r="A49" s="72" t="str">
        <x:f>IF(OR(C49="",D49=""),"",B49&amp;"-"&amp;UPPER(C49)&amp;"-"&amp;TEXT(D49,"0000")&amp;"-"&amp;E49)</x:f>
      </x:c>
      <x:c r="B49" s="74" t="str">
        <x:v>M19</x:v>
      </x:c>
      <x:c r="C49" s="74"/>
      <x:c r="D49" s="79"/>
      <x:c r="E49" s="74" t="str">
        <x:v>V1.0</x:v>
      </x:c>
      <x:c r="F49" s="68"/>
      <x:c r="G49" s="68"/>
      <x:c r="H49" s="68"/>
      <x:c r="I49" s="68"/>
      <x:c r="J49" s="68"/>
      <x:c r="K49" s="68"/>
      <x:c r="L49" s="82"/>
      <x:c r="M49" s="82"/>
      <x:c r="N49" s="82"/>
      <x:c r="O49" s="68"/>
      <x:c r="P49" s="68"/>
      <x:c r="Q49" s="68"/>
      <x:c r="R49" s="68"/>
      <x:c r="S49" s="68"/>
      <x:c r="T49" s="68"/>
      <x:c r="U49" s="68"/>
      <x:c r="V49" s="82"/>
      <x:c r="W49" s="82"/>
      <x:c r="X49" s="87"/>
    </x:row>
    <x:row r="50">
      <x:c r="A50" s="72" t="str">
        <x:f>IF(OR(C50="",D50=""),"",B50&amp;"-"&amp;UPPER(C50)&amp;"-"&amp;TEXT(D50,"0000")&amp;"-"&amp;E50)</x:f>
      </x:c>
      <x:c r="B50" s="74" t="str">
        <x:v>M19</x:v>
      </x:c>
      <x:c r="C50" s="74"/>
      <x:c r="D50" s="79"/>
      <x:c r="E50" s="74" t="str">
        <x:v>V1.0</x:v>
      </x:c>
      <x:c r="F50" s="68"/>
      <x:c r="G50" s="68"/>
      <x:c r="H50" s="68"/>
      <x:c r="I50" s="68"/>
      <x:c r="J50" s="68"/>
      <x:c r="K50" s="68"/>
      <x:c r="L50" s="82"/>
      <x:c r="M50" s="82"/>
      <x:c r="N50" s="82"/>
      <x:c r="O50" s="68"/>
      <x:c r="P50" s="68"/>
      <x:c r="Q50" s="68"/>
      <x:c r="R50" s="68"/>
      <x:c r="S50" s="68"/>
      <x:c r="T50" s="68"/>
      <x:c r="U50" s="68"/>
      <x:c r="V50" s="82"/>
      <x:c r="W50" s="82"/>
      <x:c r="X50" s="87"/>
    </x:row>
    <x:row r="51">
      <x:c r="A51" s="72" t="str">
        <x:f>IF(OR(C51="",D51=""),"",B51&amp;"-"&amp;UPPER(C51)&amp;"-"&amp;TEXT(D51,"0000")&amp;"-"&amp;E51)</x:f>
      </x:c>
      <x:c r="B51" s="74" t="str">
        <x:v>M19</x:v>
      </x:c>
      <x:c r="C51" s="74"/>
      <x:c r="D51" s="79"/>
      <x:c r="E51" s="74" t="str">
        <x:v>V1.0</x:v>
      </x:c>
      <x:c r="F51" s="68"/>
      <x:c r="G51" s="68"/>
      <x:c r="H51" s="68"/>
      <x:c r="I51" s="68"/>
      <x:c r="J51" s="68"/>
      <x:c r="K51" s="68"/>
      <x:c r="L51" s="82"/>
      <x:c r="M51" s="82"/>
      <x:c r="N51" s="82"/>
      <x:c r="O51" s="68"/>
      <x:c r="P51" s="68"/>
      <x:c r="Q51" s="68"/>
      <x:c r="R51" s="68"/>
      <x:c r="S51" s="68"/>
      <x:c r="T51" s="68"/>
      <x:c r="U51" s="68"/>
      <x:c r="V51" s="82"/>
      <x:c r="W51" s="82"/>
      <x:c r="X51" s="87"/>
    </x:row>
    <x:row r="52">
      <x:c r="A52" s="72" t="str">
        <x:f>IF(OR(C52="",D52=""),"",B52&amp;"-"&amp;UPPER(C52)&amp;"-"&amp;TEXT(D52,"0000")&amp;"-"&amp;E52)</x:f>
      </x:c>
      <x:c r="B52" s="74" t="str">
        <x:v>M19</x:v>
      </x:c>
      <x:c r="C52" s="74"/>
      <x:c r="D52" s="79"/>
      <x:c r="E52" s="74" t="str">
        <x:v>V1.0</x:v>
      </x:c>
      <x:c r="F52" s="68"/>
      <x:c r="G52" s="68"/>
      <x:c r="H52" s="68"/>
      <x:c r="I52" s="68"/>
      <x:c r="J52" s="68"/>
      <x:c r="K52" s="68"/>
      <x:c r="L52" s="82"/>
      <x:c r="M52" s="82"/>
      <x:c r="N52" s="82"/>
      <x:c r="O52" s="68"/>
      <x:c r="P52" s="68"/>
      <x:c r="Q52" s="68"/>
      <x:c r="R52" s="68"/>
      <x:c r="S52" s="68"/>
      <x:c r="T52" s="68"/>
      <x:c r="U52" s="68"/>
      <x:c r="V52" s="82"/>
      <x:c r="W52" s="82"/>
      <x:c r="X52" s="87"/>
    </x:row>
    <x:row r="53">
      <x:c r="A53" s="72" t="str">
        <x:f>IF(OR(C53="",D53=""),"",B53&amp;"-"&amp;UPPER(C53)&amp;"-"&amp;TEXT(D53,"0000")&amp;"-"&amp;E53)</x:f>
      </x:c>
      <x:c r="B53" s="74" t="str">
        <x:v>M19</x:v>
      </x:c>
      <x:c r="C53" s="74"/>
      <x:c r="D53" s="79"/>
      <x:c r="E53" s="74" t="str">
        <x:v>V1.0</x:v>
      </x:c>
      <x:c r="F53" s="68"/>
      <x:c r="G53" s="68"/>
      <x:c r="H53" s="68"/>
      <x:c r="I53" s="68"/>
      <x:c r="J53" s="68"/>
      <x:c r="K53" s="68"/>
      <x:c r="L53" s="82"/>
      <x:c r="M53" s="82"/>
      <x:c r="N53" s="82"/>
      <x:c r="O53" s="68"/>
      <x:c r="P53" s="68"/>
      <x:c r="Q53" s="68"/>
      <x:c r="R53" s="68"/>
      <x:c r="S53" s="68"/>
      <x:c r="T53" s="68"/>
      <x:c r="U53" s="68"/>
      <x:c r="V53" s="82"/>
      <x:c r="W53" s="82"/>
      <x:c r="X53" s="87"/>
    </x:row>
    <x:row r="54">
      <x:c r="A54" s="72" t="str">
        <x:f>IF(OR(C54="",D54=""),"",B54&amp;"-"&amp;UPPER(C54)&amp;"-"&amp;TEXT(D54,"0000")&amp;"-"&amp;E54)</x:f>
      </x:c>
      <x:c r="B54" s="74" t="str">
        <x:v>M19</x:v>
      </x:c>
      <x:c r="C54" s="74"/>
      <x:c r="D54" s="79"/>
      <x:c r="E54" s="74" t="str">
        <x:v>V1.0</x:v>
      </x:c>
      <x:c r="F54" s="68"/>
      <x:c r="G54" s="68"/>
      <x:c r="H54" s="68"/>
      <x:c r="I54" s="68"/>
      <x:c r="J54" s="68"/>
      <x:c r="K54" s="68"/>
      <x:c r="L54" s="82"/>
      <x:c r="M54" s="82"/>
      <x:c r="N54" s="82"/>
      <x:c r="O54" s="68"/>
      <x:c r="P54" s="68"/>
      <x:c r="Q54" s="68"/>
      <x:c r="R54" s="68"/>
      <x:c r="S54" s="68"/>
      <x:c r="T54" s="68"/>
      <x:c r="U54" s="68"/>
      <x:c r="V54" s="82"/>
      <x:c r="W54" s="82"/>
      <x:c r="X54" s="87"/>
    </x:row>
    <x:row r="55">
      <x:c r="A55" s="72" t="str">
        <x:f>IF(OR(C55="",D55=""),"",B55&amp;"-"&amp;UPPER(C55)&amp;"-"&amp;TEXT(D55,"0000")&amp;"-"&amp;E55)</x:f>
      </x:c>
      <x:c r="B55" s="74" t="str">
        <x:v>M19</x:v>
      </x:c>
      <x:c r="C55" s="74"/>
      <x:c r="D55" s="79"/>
      <x:c r="E55" s="74" t="str">
        <x:v>V1.0</x:v>
      </x:c>
      <x:c r="F55" s="68"/>
      <x:c r="G55" s="68"/>
      <x:c r="H55" s="68"/>
      <x:c r="I55" s="68"/>
      <x:c r="J55" s="68"/>
      <x:c r="K55" s="68"/>
      <x:c r="L55" s="82"/>
      <x:c r="M55" s="82"/>
      <x:c r="N55" s="82"/>
      <x:c r="O55" s="68"/>
      <x:c r="P55" s="68"/>
      <x:c r="Q55" s="68"/>
      <x:c r="R55" s="68"/>
      <x:c r="S55" s="68"/>
      <x:c r="T55" s="68"/>
      <x:c r="U55" s="68"/>
      <x:c r="V55" s="82"/>
      <x:c r="W55" s="82"/>
      <x:c r="X55" s="87"/>
    </x:row>
    <x:row r="56">
      <x:c r="A56" s="72" t="str">
        <x:f>IF(OR(C56="",D56=""),"",B56&amp;"-"&amp;UPPER(C56)&amp;"-"&amp;TEXT(D56,"0000")&amp;"-"&amp;E56)</x:f>
      </x:c>
      <x:c r="B56" s="74" t="str">
        <x:v>M19</x:v>
      </x:c>
      <x:c r="C56" s="74"/>
      <x:c r="D56" s="79"/>
      <x:c r="E56" s="74" t="str">
        <x:v>V1.0</x:v>
      </x:c>
      <x:c r="F56" s="68"/>
      <x:c r="G56" s="68"/>
      <x:c r="H56" s="68"/>
      <x:c r="I56" s="68"/>
      <x:c r="J56" s="68"/>
      <x:c r="K56" s="68"/>
      <x:c r="L56" s="82"/>
      <x:c r="M56" s="82"/>
      <x:c r="N56" s="82"/>
      <x:c r="O56" s="68"/>
      <x:c r="P56" s="68"/>
      <x:c r="Q56" s="68"/>
      <x:c r="R56" s="68"/>
      <x:c r="S56" s="68"/>
      <x:c r="T56" s="68"/>
      <x:c r="U56" s="68"/>
      <x:c r="V56" s="82"/>
      <x:c r="W56" s="82"/>
      <x:c r="X56" s="87"/>
    </x:row>
    <x:row r="57">
      <x:c r="A57" s="72" t="str">
        <x:f>IF(OR(C57="",D57=""),"",B57&amp;"-"&amp;UPPER(C57)&amp;"-"&amp;TEXT(D57,"0000")&amp;"-"&amp;E57)</x:f>
      </x:c>
      <x:c r="B57" s="74" t="str">
        <x:v>M19</x:v>
      </x:c>
      <x:c r="C57" s="74"/>
      <x:c r="D57" s="79"/>
      <x:c r="E57" s="74" t="str">
        <x:v>V1.0</x:v>
      </x:c>
      <x:c r="F57" s="68"/>
      <x:c r="G57" s="68"/>
      <x:c r="H57" s="68"/>
      <x:c r="I57" s="68"/>
      <x:c r="J57" s="68"/>
      <x:c r="K57" s="68"/>
      <x:c r="L57" s="82"/>
      <x:c r="M57" s="82"/>
      <x:c r="N57" s="82"/>
      <x:c r="O57" s="68"/>
      <x:c r="P57" s="68"/>
      <x:c r="Q57" s="68"/>
      <x:c r="R57" s="68"/>
      <x:c r="S57" s="68"/>
      <x:c r="T57" s="68"/>
      <x:c r="U57" s="68"/>
      <x:c r="V57" s="82"/>
      <x:c r="W57" s="82"/>
      <x:c r="X57" s="87"/>
    </x:row>
    <x:row r="58">
      <x:c r="A58" s="72" t="str">
        <x:f>IF(OR(C58="",D58=""),"",B58&amp;"-"&amp;UPPER(C58)&amp;"-"&amp;TEXT(D58,"0000")&amp;"-"&amp;E58)</x:f>
      </x:c>
      <x:c r="B58" s="74" t="str">
        <x:v>M19</x:v>
      </x:c>
      <x:c r="C58" s="74"/>
      <x:c r="D58" s="79"/>
      <x:c r="E58" s="74" t="str">
        <x:v>V1.0</x:v>
      </x:c>
      <x:c r="F58" s="68"/>
      <x:c r="G58" s="68"/>
      <x:c r="H58" s="68"/>
      <x:c r="I58" s="68"/>
      <x:c r="J58" s="68"/>
      <x:c r="K58" s="68"/>
      <x:c r="L58" s="82"/>
      <x:c r="M58" s="82"/>
      <x:c r="N58" s="82"/>
      <x:c r="O58" s="68"/>
      <x:c r="P58" s="68"/>
      <x:c r="Q58" s="68"/>
      <x:c r="R58" s="68"/>
      <x:c r="S58" s="68"/>
      <x:c r="T58" s="68"/>
      <x:c r="U58" s="68"/>
      <x:c r="V58" s="82"/>
      <x:c r="W58" s="82"/>
      <x:c r="X58" s="87"/>
    </x:row>
    <x:row r="59">
      <x:c r="A59" s="72" t="str">
        <x:f>IF(OR(C59="",D59=""),"",B59&amp;"-"&amp;UPPER(C59)&amp;"-"&amp;TEXT(D59,"0000")&amp;"-"&amp;E59)</x:f>
      </x:c>
      <x:c r="B59" s="74" t="str">
        <x:v>M19</x:v>
      </x:c>
      <x:c r="C59" s="74"/>
      <x:c r="D59" s="79"/>
      <x:c r="E59" s="74" t="str">
        <x:v>V1.0</x:v>
      </x:c>
      <x:c r="F59" s="68"/>
      <x:c r="G59" s="68"/>
      <x:c r="H59" s="68"/>
      <x:c r="I59" s="68"/>
      <x:c r="J59" s="68"/>
      <x:c r="K59" s="68"/>
      <x:c r="L59" s="82"/>
      <x:c r="M59" s="82"/>
      <x:c r="N59" s="82"/>
      <x:c r="O59" s="68"/>
      <x:c r="P59" s="68"/>
      <x:c r="Q59" s="68"/>
      <x:c r="R59" s="68"/>
      <x:c r="S59" s="68"/>
      <x:c r="T59" s="68"/>
      <x:c r="U59" s="68"/>
      <x:c r="V59" s="82"/>
      <x:c r="W59" s="82"/>
      <x:c r="X59" s="87"/>
    </x:row>
    <x:row r="60">
      <x:c r="A60" s="72" t="str">
        <x:f>IF(OR(C60="",D60=""),"",B60&amp;"-"&amp;UPPER(C60)&amp;"-"&amp;TEXT(D60,"0000")&amp;"-"&amp;E60)</x:f>
      </x:c>
      <x:c r="B60" s="74" t="str">
        <x:v>M19</x:v>
      </x:c>
      <x:c r="C60" s="74"/>
      <x:c r="D60" s="79"/>
      <x:c r="E60" s="74" t="str">
        <x:v>V1.0</x:v>
      </x:c>
      <x:c r="F60" s="68"/>
      <x:c r="G60" s="68"/>
      <x:c r="H60" s="68"/>
      <x:c r="I60" s="68"/>
      <x:c r="J60" s="68"/>
      <x:c r="K60" s="68"/>
      <x:c r="L60" s="82"/>
      <x:c r="M60" s="82"/>
      <x:c r="N60" s="82"/>
      <x:c r="O60" s="68"/>
      <x:c r="P60" s="68"/>
      <x:c r="Q60" s="68"/>
      <x:c r="R60" s="68"/>
      <x:c r="S60" s="68"/>
      <x:c r="T60" s="68"/>
      <x:c r="U60" s="68"/>
      <x:c r="V60" s="82"/>
      <x:c r="W60" s="82"/>
      <x:c r="X60" s="87"/>
    </x:row>
    <x:row r="61">
      <x:c r="A61" s="72" t="str">
        <x:f>IF(OR(C61="",D61=""),"",B61&amp;"-"&amp;UPPER(C61)&amp;"-"&amp;TEXT(D61,"0000")&amp;"-"&amp;E61)</x:f>
      </x:c>
      <x:c r="B61" s="74" t="str">
        <x:v>M19</x:v>
      </x:c>
      <x:c r="C61" s="74"/>
      <x:c r="D61" s="79"/>
      <x:c r="E61" s="74" t="str">
        <x:v>V1.0</x:v>
      </x:c>
      <x:c r="F61" s="68"/>
      <x:c r="G61" s="68"/>
      <x:c r="H61" s="68"/>
      <x:c r="I61" s="68"/>
      <x:c r="J61" s="68"/>
      <x:c r="K61" s="68"/>
      <x:c r="L61" s="82"/>
      <x:c r="M61" s="82"/>
      <x:c r="N61" s="82"/>
      <x:c r="O61" s="68"/>
      <x:c r="P61" s="68"/>
      <x:c r="Q61" s="68"/>
      <x:c r="R61" s="68"/>
      <x:c r="S61" s="68"/>
      <x:c r="T61" s="68"/>
      <x:c r="U61" s="68"/>
      <x:c r="V61" s="82"/>
      <x:c r="W61" s="82"/>
      <x:c r="X61" s="87"/>
    </x:row>
    <x:row r="62">
      <x:c r="A62" s="72" t="str">
        <x:f>IF(OR(C62="",D62=""),"",B62&amp;"-"&amp;UPPER(C62)&amp;"-"&amp;TEXT(D62,"0000")&amp;"-"&amp;E62)</x:f>
      </x:c>
      <x:c r="B62" s="74" t="str">
        <x:v>M19</x:v>
      </x:c>
      <x:c r="C62" s="74"/>
      <x:c r="D62" s="79"/>
      <x:c r="E62" s="74" t="str">
        <x:v>V1.0</x:v>
      </x:c>
      <x:c r="F62" s="68"/>
      <x:c r="G62" s="68"/>
      <x:c r="H62" s="68"/>
      <x:c r="I62" s="68"/>
      <x:c r="J62" s="68"/>
      <x:c r="K62" s="68"/>
      <x:c r="L62" s="82"/>
      <x:c r="M62" s="82"/>
      <x:c r="N62" s="82"/>
      <x:c r="O62" s="68"/>
      <x:c r="P62" s="68"/>
      <x:c r="Q62" s="68"/>
      <x:c r="R62" s="68"/>
      <x:c r="S62" s="68"/>
      <x:c r="T62" s="68"/>
      <x:c r="U62" s="68"/>
      <x:c r="V62" s="82"/>
      <x:c r="W62" s="82"/>
      <x:c r="X62" s="87"/>
    </x:row>
    <x:row r="63">
      <x:c r="A63" s="72" t="str">
        <x:f>IF(OR(C63="",D63=""),"",B63&amp;"-"&amp;UPPER(C63)&amp;"-"&amp;TEXT(D63,"0000")&amp;"-"&amp;E63)</x:f>
      </x:c>
      <x:c r="B63" s="74" t="str">
        <x:v>M19</x:v>
      </x:c>
      <x:c r="C63" s="74"/>
      <x:c r="D63" s="79"/>
      <x:c r="E63" s="74" t="str">
        <x:v>V1.0</x:v>
      </x:c>
      <x:c r="F63" s="68"/>
      <x:c r="G63" s="68"/>
      <x:c r="H63" s="68"/>
      <x:c r="I63" s="68"/>
      <x:c r="J63" s="68"/>
      <x:c r="K63" s="68"/>
      <x:c r="L63" s="82"/>
      <x:c r="M63" s="82"/>
      <x:c r="N63" s="82"/>
      <x:c r="O63" s="68"/>
      <x:c r="P63" s="68"/>
      <x:c r="Q63" s="68"/>
      <x:c r="R63" s="68"/>
      <x:c r="S63" s="68"/>
      <x:c r="T63" s="68"/>
      <x:c r="U63" s="68"/>
      <x:c r="V63" s="82"/>
      <x:c r="W63" s="82"/>
      <x:c r="X63" s="87"/>
    </x:row>
    <x:row r="64">
      <x:c r="A64" s="72" t="str">
        <x:f>IF(OR(C64="",D64=""),"",B64&amp;"-"&amp;UPPER(C64)&amp;"-"&amp;TEXT(D64,"0000")&amp;"-"&amp;E64)</x:f>
      </x:c>
      <x:c r="B64" s="74" t="str">
        <x:v>M19</x:v>
      </x:c>
      <x:c r="C64" s="74"/>
      <x:c r="D64" s="79"/>
      <x:c r="E64" s="74" t="str">
        <x:v>V1.0</x:v>
      </x:c>
      <x:c r="F64" s="68"/>
      <x:c r="G64" s="68"/>
      <x:c r="H64" s="68"/>
      <x:c r="I64" s="68"/>
      <x:c r="J64" s="68"/>
      <x:c r="K64" s="68"/>
      <x:c r="L64" s="82"/>
      <x:c r="M64" s="82"/>
      <x:c r="N64" s="82"/>
      <x:c r="O64" s="68"/>
      <x:c r="P64" s="68"/>
      <x:c r="Q64" s="68"/>
      <x:c r="R64" s="68"/>
      <x:c r="S64" s="68"/>
      <x:c r="T64" s="68"/>
      <x:c r="U64" s="68"/>
      <x:c r="V64" s="82"/>
      <x:c r="W64" s="82"/>
      <x:c r="X64" s="87"/>
    </x:row>
    <x:row r="65">
      <x:c r="A65" s="72" t="str">
        <x:f>IF(OR(C65="",D65=""),"",B65&amp;"-"&amp;UPPER(C65)&amp;"-"&amp;TEXT(D65,"0000")&amp;"-"&amp;E65)</x:f>
      </x:c>
      <x:c r="B65" s="74" t="str">
        <x:v>M19</x:v>
      </x:c>
      <x:c r="C65" s="74"/>
      <x:c r="D65" s="79"/>
      <x:c r="E65" s="74" t="str">
        <x:v>V1.0</x:v>
      </x:c>
      <x:c r="F65" s="68"/>
      <x:c r="G65" s="68"/>
      <x:c r="H65" s="68"/>
      <x:c r="I65" s="68"/>
      <x:c r="J65" s="68"/>
      <x:c r="K65" s="68"/>
      <x:c r="L65" s="82"/>
      <x:c r="M65" s="82"/>
      <x:c r="N65" s="82"/>
      <x:c r="O65" s="68"/>
      <x:c r="P65" s="68"/>
      <x:c r="Q65" s="68"/>
      <x:c r="R65" s="68"/>
      <x:c r="S65" s="68"/>
      <x:c r="T65" s="68"/>
      <x:c r="U65" s="68"/>
      <x:c r="V65" s="82"/>
      <x:c r="W65" s="82"/>
      <x:c r="X65" s="87"/>
    </x:row>
    <x:row r="66">
      <x:c r="A66" s="72" t="str">
        <x:f>IF(OR(C66="",D66=""),"",B66&amp;"-"&amp;UPPER(C66)&amp;"-"&amp;TEXT(D66,"0000")&amp;"-"&amp;E66)</x:f>
      </x:c>
      <x:c r="B66" s="74" t="str">
        <x:v>M19</x:v>
      </x:c>
      <x:c r="C66" s="74"/>
      <x:c r="D66" s="79"/>
      <x:c r="E66" s="74" t="str">
        <x:v>V1.0</x:v>
      </x:c>
      <x:c r="F66" s="68"/>
      <x:c r="G66" s="68"/>
      <x:c r="H66" s="68"/>
      <x:c r="I66" s="68"/>
      <x:c r="J66" s="68"/>
      <x:c r="K66" s="68"/>
      <x:c r="L66" s="82"/>
      <x:c r="M66" s="82"/>
      <x:c r="N66" s="82"/>
      <x:c r="O66" s="68"/>
      <x:c r="P66" s="68"/>
      <x:c r="Q66" s="68"/>
      <x:c r="R66" s="68"/>
      <x:c r="S66" s="68"/>
      <x:c r="T66" s="68"/>
      <x:c r="U66" s="68"/>
      <x:c r="V66" s="82"/>
      <x:c r="W66" s="82"/>
      <x:c r="X66" s="87"/>
    </x:row>
    <x:row r="67">
      <x:c r="A67" s="72" t="str">
        <x:f>IF(OR(C67="",D67=""),"",B67&amp;"-"&amp;UPPER(C67)&amp;"-"&amp;TEXT(D67,"0000")&amp;"-"&amp;E67)</x:f>
      </x:c>
      <x:c r="B67" s="74" t="str">
        <x:v>M19</x:v>
      </x:c>
      <x:c r="C67" s="74"/>
      <x:c r="D67" s="79"/>
      <x:c r="E67" s="74" t="str">
        <x:v>V1.0</x:v>
      </x:c>
      <x:c r="F67" s="68"/>
      <x:c r="G67" s="68"/>
      <x:c r="H67" s="68"/>
      <x:c r="I67" s="68"/>
      <x:c r="J67" s="68"/>
      <x:c r="K67" s="68"/>
      <x:c r="L67" s="82"/>
      <x:c r="M67" s="82"/>
      <x:c r="N67" s="82"/>
      <x:c r="O67" s="68"/>
      <x:c r="P67" s="68"/>
      <x:c r="Q67" s="68"/>
      <x:c r="R67" s="68"/>
      <x:c r="S67" s="68"/>
      <x:c r="T67" s="68"/>
      <x:c r="U67" s="68"/>
      <x:c r="V67" s="82"/>
      <x:c r="W67" s="82"/>
      <x:c r="X67" s="87"/>
    </x:row>
    <x:row r="68">
      <x:c r="A68" s="72" t="str">
        <x:f>IF(OR(C68="",D68=""),"",B68&amp;"-"&amp;UPPER(C68)&amp;"-"&amp;TEXT(D68,"0000")&amp;"-"&amp;E68)</x:f>
      </x:c>
      <x:c r="B68" s="74" t="str">
        <x:v>M19</x:v>
      </x:c>
      <x:c r="C68" s="74"/>
      <x:c r="D68" s="79"/>
      <x:c r="E68" s="74" t="str">
        <x:v>V1.0</x:v>
      </x:c>
      <x:c r="F68" s="68"/>
      <x:c r="G68" s="68"/>
      <x:c r="H68" s="68"/>
      <x:c r="I68" s="68"/>
      <x:c r="J68" s="68"/>
      <x:c r="K68" s="68"/>
      <x:c r="L68" s="82"/>
      <x:c r="M68" s="82"/>
      <x:c r="N68" s="82"/>
      <x:c r="O68" s="68"/>
      <x:c r="P68" s="68"/>
      <x:c r="Q68" s="68"/>
      <x:c r="R68" s="68"/>
      <x:c r="S68" s="68"/>
      <x:c r="T68" s="68"/>
      <x:c r="U68" s="68"/>
      <x:c r="V68" s="82"/>
      <x:c r="W68" s="82"/>
      <x:c r="X68" s="87"/>
    </x:row>
    <x:row r="69">
      <x:c r="A69" s="72" t="str">
        <x:f>IF(OR(C69="",D69=""),"",B69&amp;"-"&amp;UPPER(C69)&amp;"-"&amp;TEXT(D69,"0000")&amp;"-"&amp;E69)</x:f>
      </x:c>
      <x:c r="B69" s="74" t="str">
        <x:v>M19</x:v>
      </x:c>
      <x:c r="C69" s="74"/>
      <x:c r="D69" s="79"/>
      <x:c r="E69" s="74" t="str">
        <x:v>V1.0</x:v>
      </x:c>
      <x:c r="F69" s="68"/>
      <x:c r="G69" s="68"/>
      <x:c r="H69" s="68"/>
      <x:c r="I69" s="68"/>
      <x:c r="J69" s="68"/>
      <x:c r="K69" s="68"/>
      <x:c r="L69" s="82"/>
      <x:c r="M69" s="82"/>
      <x:c r="N69" s="82"/>
      <x:c r="O69" s="68"/>
      <x:c r="P69" s="68"/>
      <x:c r="Q69" s="68"/>
      <x:c r="R69" s="68"/>
      <x:c r="S69" s="68"/>
      <x:c r="T69" s="68"/>
      <x:c r="U69" s="68"/>
      <x:c r="V69" s="82"/>
      <x:c r="W69" s="82"/>
      <x:c r="X69" s="87"/>
    </x:row>
    <x:row r="70">
      <x:c r="A70" s="72" t="str">
        <x:f>IF(OR(C70="",D70=""),"",B70&amp;"-"&amp;UPPER(C70)&amp;"-"&amp;TEXT(D70,"0000")&amp;"-"&amp;E70)</x:f>
      </x:c>
      <x:c r="B70" s="74" t="str">
        <x:v>M19</x:v>
      </x:c>
      <x:c r="C70" s="74"/>
      <x:c r="D70" s="79"/>
      <x:c r="E70" s="74" t="str">
        <x:v>V1.0</x:v>
      </x:c>
      <x:c r="F70" s="68"/>
      <x:c r="G70" s="68"/>
      <x:c r="H70" s="68"/>
      <x:c r="I70" s="68"/>
      <x:c r="J70" s="68"/>
      <x:c r="K70" s="68"/>
      <x:c r="L70" s="82"/>
      <x:c r="M70" s="82"/>
      <x:c r="N70" s="82"/>
      <x:c r="O70" s="68"/>
      <x:c r="P70" s="68"/>
      <x:c r="Q70" s="68"/>
      <x:c r="R70" s="68"/>
      <x:c r="S70" s="68"/>
      <x:c r="T70" s="68"/>
      <x:c r="U70" s="68"/>
      <x:c r="V70" s="82"/>
      <x:c r="W70" s="82"/>
      <x:c r="X70" s="87"/>
    </x:row>
    <x:row r="71">
      <x:c r="A71" s="72" t="str">
        <x:f>IF(OR(C71="",D71=""),"",B71&amp;"-"&amp;UPPER(C71)&amp;"-"&amp;TEXT(D71,"0000")&amp;"-"&amp;E71)</x:f>
      </x:c>
      <x:c r="B71" s="74" t="str">
        <x:v>M19</x:v>
      </x:c>
      <x:c r="C71" s="74"/>
      <x:c r="D71" s="79"/>
      <x:c r="E71" s="74" t="str">
        <x:v>V1.0</x:v>
      </x:c>
      <x:c r="F71" s="68"/>
      <x:c r="G71" s="68"/>
      <x:c r="H71" s="68"/>
      <x:c r="I71" s="68"/>
      <x:c r="J71" s="68"/>
      <x:c r="K71" s="68"/>
      <x:c r="L71" s="82"/>
      <x:c r="M71" s="82"/>
      <x:c r="N71" s="82"/>
      <x:c r="O71" s="68"/>
      <x:c r="P71" s="68"/>
      <x:c r="Q71" s="68"/>
      <x:c r="R71" s="68"/>
      <x:c r="S71" s="68"/>
      <x:c r="T71" s="68"/>
      <x:c r="U71" s="68"/>
      <x:c r="V71" s="82"/>
      <x:c r="W71" s="82"/>
      <x:c r="X71" s="87"/>
    </x:row>
    <x:row r="72">
      <x:c r="A72" s="72" t="str">
        <x:f>IF(OR(C72="",D72=""),"",B72&amp;"-"&amp;UPPER(C72)&amp;"-"&amp;TEXT(D72,"0000")&amp;"-"&amp;E72)</x:f>
      </x:c>
      <x:c r="B72" s="74" t="str">
        <x:v>M19</x:v>
      </x:c>
      <x:c r="C72" s="74"/>
      <x:c r="D72" s="79"/>
      <x:c r="E72" s="74" t="str">
        <x:v>V1.0</x:v>
      </x:c>
      <x:c r="F72" s="68"/>
      <x:c r="G72" s="68"/>
      <x:c r="H72" s="68"/>
      <x:c r="I72" s="68"/>
      <x:c r="J72" s="68"/>
      <x:c r="K72" s="68"/>
      <x:c r="L72" s="82"/>
      <x:c r="M72" s="82"/>
      <x:c r="N72" s="82"/>
      <x:c r="O72" s="68"/>
      <x:c r="P72" s="68"/>
      <x:c r="Q72" s="68"/>
      <x:c r="R72" s="68"/>
      <x:c r="S72" s="68"/>
      <x:c r="T72" s="68"/>
      <x:c r="U72" s="68"/>
      <x:c r="V72" s="82"/>
      <x:c r="W72" s="82"/>
      <x:c r="X72" s="87"/>
    </x:row>
    <x:row r="73">
      <x:c r="A73" s="72" t="str">
        <x:f>IF(OR(C73="",D73=""),"",B73&amp;"-"&amp;UPPER(C73)&amp;"-"&amp;TEXT(D73,"0000")&amp;"-"&amp;E73)</x:f>
      </x:c>
      <x:c r="B73" s="74" t="str">
        <x:v>M19</x:v>
      </x:c>
      <x:c r="C73" s="74"/>
      <x:c r="D73" s="79"/>
      <x:c r="E73" s="74" t="str">
        <x:v>V1.0</x:v>
      </x:c>
      <x:c r="F73" s="68"/>
      <x:c r="G73" s="68"/>
      <x:c r="H73" s="68"/>
      <x:c r="I73" s="68"/>
      <x:c r="J73" s="68"/>
      <x:c r="K73" s="68"/>
      <x:c r="L73" s="82"/>
      <x:c r="M73" s="82"/>
      <x:c r="N73" s="82"/>
      <x:c r="O73" s="68"/>
      <x:c r="P73" s="68"/>
      <x:c r="Q73" s="68"/>
      <x:c r="R73" s="68"/>
      <x:c r="S73" s="68"/>
      <x:c r="T73" s="68"/>
      <x:c r="U73" s="68"/>
      <x:c r="V73" s="82"/>
      <x:c r="W73" s="82"/>
      <x:c r="X73" s="87"/>
    </x:row>
    <x:row r="74">
      <x:c r="A74" s="72" t="str">
        <x:f>IF(OR(C74="",D74=""),"",B74&amp;"-"&amp;UPPER(C74)&amp;"-"&amp;TEXT(D74,"0000")&amp;"-"&amp;E74)</x:f>
      </x:c>
      <x:c r="B74" s="74" t="str">
        <x:v>M19</x:v>
      </x:c>
      <x:c r="C74" s="74"/>
      <x:c r="D74" s="79"/>
      <x:c r="E74" s="74" t="str">
        <x:v>V1.0</x:v>
      </x:c>
      <x:c r="F74" s="68"/>
      <x:c r="G74" s="68"/>
      <x:c r="H74" s="68"/>
      <x:c r="I74" s="68"/>
      <x:c r="J74" s="68"/>
      <x:c r="K74" s="68"/>
      <x:c r="L74" s="82"/>
      <x:c r="M74" s="82"/>
      <x:c r="N74" s="82"/>
      <x:c r="O74" s="68"/>
      <x:c r="P74" s="68"/>
      <x:c r="Q74" s="68"/>
      <x:c r="R74" s="68"/>
      <x:c r="S74" s="68"/>
      <x:c r="T74" s="68"/>
      <x:c r="U74" s="68"/>
      <x:c r="V74" s="82"/>
      <x:c r="W74" s="82"/>
      <x:c r="X74" s="87"/>
    </x:row>
    <x:row r="75">
      <x:c r="A75" s="72" t="str">
        <x:f>IF(OR(C75="",D75=""),"",B75&amp;"-"&amp;UPPER(C75)&amp;"-"&amp;TEXT(D75,"0000")&amp;"-"&amp;E75)</x:f>
      </x:c>
      <x:c r="B75" s="74" t="str">
        <x:v>M19</x:v>
      </x:c>
      <x:c r="C75" s="74"/>
      <x:c r="D75" s="79"/>
      <x:c r="E75" s="74" t="str">
        <x:v>V1.0</x:v>
      </x:c>
      <x:c r="F75" s="68"/>
      <x:c r="G75" s="68"/>
      <x:c r="H75" s="68"/>
      <x:c r="I75" s="68"/>
      <x:c r="J75" s="68"/>
      <x:c r="K75" s="68"/>
      <x:c r="L75" s="82"/>
      <x:c r="M75" s="82"/>
      <x:c r="N75" s="82"/>
      <x:c r="O75" s="68"/>
      <x:c r="P75" s="68"/>
      <x:c r="Q75" s="68"/>
      <x:c r="R75" s="68"/>
      <x:c r="S75" s="68"/>
      <x:c r="T75" s="68"/>
      <x:c r="U75" s="68"/>
      <x:c r="V75" s="82"/>
      <x:c r="W75" s="82"/>
      <x:c r="X75" s="87"/>
    </x:row>
    <x:row r="76">
      <x:c r="A76" s="72" t="str">
        <x:f>IF(OR(C76="",D76=""),"",B76&amp;"-"&amp;UPPER(C76)&amp;"-"&amp;TEXT(D76,"0000")&amp;"-"&amp;E76)</x:f>
      </x:c>
      <x:c r="B76" s="74" t="str">
        <x:v>M19</x:v>
      </x:c>
      <x:c r="C76" s="74"/>
      <x:c r="D76" s="79"/>
      <x:c r="E76" s="74" t="str">
        <x:v>V1.0</x:v>
      </x:c>
      <x:c r="F76" s="68"/>
      <x:c r="G76" s="68"/>
      <x:c r="H76" s="68"/>
      <x:c r="I76" s="68"/>
      <x:c r="J76" s="68"/>
      <x:c r="K76" s="68"/>
      <x:c r="L76" s="82"/>
      <x:c r="M76" s="82"/>
      <x:c r="N76" s="82"/>
      <x:c r="O76" s="68"/>
      <x:c r="P76" s="68"/>
      <x:c r="Q76" s="68"/>
      <x:c r="R76" s="68"/>
      <x:c r="S76" s="68"/>
      <x:c r="T76" s="68"/>
      <x:c r="U76" s="68"/>
      <x:c r="V76" s="82"/>
      <x:c r="W76" s="82"/>
      <x:c r="X76" s="87"/>
    </x:row>
    <x:row r="77">
      <x:c r="A77" s="72" t="str">
        <x:f>IF(OR(C77="",D77=""),"",B77&amp;"-"&amp;UPPER(C77)&amp;"-"&amp;TEXT(D77,"0000")&amp;"-"&amp;E77)</x:f>
      </x:c>
      <x:c r="B77" s="74" t="str">
        <x:v>M19</x:v>
      </x:c>
      <x:c r="C77" s="74"/>
      <x:c r="D77" s="79"/>
      <x:c r="E77" s="74" t="str">
        <x:v>V1.0</x:v>
      </x:c>
      <x:c r="F77" s="68"/>
      <x:c r="G77" s="68"/>
      <x:c r="H77" s="68"/>
      <x:c r="I77" s="68"/>
      <x:c r="J77" s="68"/>
      <x:c r="K77" s="68"/>
      <x:c r="L77" s="82"/>
      <x:c r="M77" s="82"/>
      <x:c r="N77" s="82"/>
      <x:c r="O77" s="68"/>
      <x:c r="P77" s="68"/>
      <x:c r="Q77" s="68"/>
      <x:c r="R77" s="68"/>
      <x:c r="S77" s="68"/>
      <x:c r="T77" s="68"/>
      <x:c r="U77" s="68"/>
      <x:c r="V77" s="82"/>
      <x:c r="W77" s="82"/>
      <x:c r="X77" s="87"/>
    </x:row>
    <x:row r="78">
      <x:c r="A78" s="72" t="str">
        <x:f>IF(OR(C78="",D78=""),"",B78&amp;"-"&amp;UPPER(C78)&amp;"-"&amp;TEXT(D78,"0000")&amp;"-"&amp;E78)</x:f>
      </x:c>
      <x:c r="B78" s="74" t="str">
        <x:v>M19</x:v>
      </x:c>
      <x:c r="C78" s="74"/>
      <x:c r="D78" s="79"/>
      <x:c r="E78" s="74" t="str">
        <x:v>V1.0</x:v>
      </x:c>
      <x:c r="F78" s="68"/>
      <x:c r="G78" s="68"/>
      <x:c r="H78" s="68"/>
      <x:c r="I78" s="68"/>
      <x:c r="J78" s="68"/>
      <x:c r="K78" s="68"/>
      <x:c r="L78" s="82"/>
      <x:c r="M78" s="82"/>
      <x:c r="N78" s="82"/>
      <x:c r="O78" s="68"/>
      <x:c r="P78" s="68"/>
      <x:c r="Q78" s="68"/>
      <x:c r="R78" s="68"/>
      <x:c r="S78" s="68"/>
      <x:c r="T78" s="68"/>
      <x:c r="U78" s="68"/>
      <x:c r="V78" s="82"/>
      <x:c r="W78" s="82"/>
      <x:c r="X78" s="87"/>
    </x:row>
    <x:row r="79">
      <x:c r="A79" s="72" t="str">
        <x:f>IF(OR(C79="",D79=""),"",B79&amp;"-"&amp;UPPER(C79)&amp;"-"&amp;TEXT(D79,"0000")&amp;"-"&amp;E79)</x:f>
      </x:c>
      <x:c r="B79" s="74" t="str">
        <x:v>M19</x:v>
      </x:c>
      <x:c r="C79" s="74"/>
      <x:c r="D79" s="79"/>
      <x:c r="E79" s="74" t="str">
        <x:v>V1.0</x:v>
      </x:c>
      <x:c r="F79" s="68"/>
      <x:c r="G79" s="68"/>
      <x:c r="H79" s="68"/>
      <x:c r="I79" s="68"/>
      <x:c r="J79" s="68"/>
      <x:c r="K79" s="68"/>
      <x:c r="L79" s="82"/>
      <x:c r="M79" s="82"/>
      <x:c r="N79" s="82"/>
      <x:c r="O79" s="68"/>
      <x:c r="P79" s="68"/>
      <x:c r="Q79" s="68"/>
      <x:c r="R79" s="68"/>
      <x:c r="S79" s="68"/>
      <x:c r="T79" s="68"/>
      <x:c r="U79" s="68"/>
      <x:c r="V79" s="82"/>
      <x:c r="W79" s="82"/>
      <x:c r="X79" s="87"/>
    </x:row>
    <x:row r="80">
      <x:c r="A80" s="72" t="str">
        <x:f>IF(OR(C80="",D80=""),"",B80&amp;"-"&amp;UPPER(C80)&amp;"-"&amp;TEXT(D80,"0000")&amp;"-"&amp;E80)</x:f>
      </x:c>
      <x:c r="B80" s="74" t="str">
        <x:v>M19</x:v>
      </x:c>
      <x:c r="C80" s="74"/>
      <x:c r="D80" s="79"/>
      <x:c r="E80" s="74" t="str">
        <x:v>V1.0</x:v>
      </x:c>
      <x:c r="F80" s="68"/>
      <x:c r="G80" s="68"/>
      <x:c r="H80" s="68"/>
      <x:c r="I80" s="68"/>
      <x:c r="J80" s="68"/>
      <x:c r="K80" s="68"/>
      <x:c r="L80" s="82"/>
      <x:c r="M80" s="82"/>
      <x:c r="N80" s="82"/>
      <x:c r="O80" s="68"/>
      <x:c r="P80" s="68"/>
      <x:c r="Q80" s="68"/>
      <x:c r="R80" s="68"/>
      <x:c r="S80" s="68"/>
      <x:c r="T80" s="68"/>
      <x:c r="U80" s="68"/>
      <x:c r="V80" s="82"/>
      <x:c r="W80" s="82"/>
      <x:c r="X80" s="87"/>
    </x:row>
    <x:row r="81">
      <x:c r="A81" s="72" t="str">
        <x:f>IF(OR(C81="",D81=""),"",B81&amp;"-"&amp;UPPER(C81)&amp;"-"&amp;TEXT(D81,"0000")&amp;"-"&amp;E81)</x:f>
      </x:c>
      <x:c r="B81" s="74" t="str">
        <x:v>M19</x:v>
      </x:c>
      <x:c r="C81" s="74"/>
      <x:c r="D81" s="79"/>
      <x:c r="E81" s="74" t="str">
        <x:v>V1.0</x:v>
      </x:c>
      <x:c r="F81" s="68"/>
      <x:c r="G81" s="68"/>
      <x:c r="H81" s="68"/>
      <x:c r="I81" s="68"/>
      <x:c r="J81" s="68"/>
      <x:c r="K81" s="68"/>
      <x:c r="L81" s="82"/>
      <x:c r="M81" s="82"/>
      <x:c r="N81" s="82"/>
      <x:c r="O81" s="68"/>
      <x:c r="P81" s="68"/>
      <x:c r="Q81" s="68"/>
      <x:c r="R81" s="68"/>
      <x:c r="S81" s="68"/>
      <x:c r="T81" s="68"/>
      <x:c r="U81" s="68"/>
      <x:c r="V81" s="82"/>
      <x:c r="W81" s="82"/>
      <x:c r="X81" s="87"/>
    </x:row>
    <x:row r="82">
      <x:c r="A82" s="72" t="str">
        <x:f>IF(OR(C82="",D82=""),"",B82&amp;"-"&amp;UPPER(C82)&amp;"-"&amp;TEXT(D82,"0000")&amp;"-"&amp;E82)</x:f>
      </x:c>
      <x:c r="B82" s="74" t="str">
        <x:v>M19</x:v>
      </x:c>
      <x:c r="C82" s="74"/>
      <x:c r="D82" s="79"/>
      <x:c r="E82" s="74" t="str">
        <x:v>V1.0</x:v>
      </x:c>
      <x:c r="F82" s="68"/>
      <x:c r="G82" s="68"/>
      <x:c r="H82" s="68"/>
      <x:c r="I82" s="68"/>
      <x:c r="J82" s="68"/>
      <x:c r="K82" s="68"/>
      <x:c r="L82" s="82"/>
      <x:c r="M82" s="82"/>
      <x:c r="N82" s="82"/>
      <x:c r="O82" s="68"/>
      <x:c r="P82" s="68"/>
      <x:c r="Q82" s="68"/>
      <x:c r="R82" s="68"/>
      <x:c r="S82" s="68"/>
      <x:c r="T82" s="68"/>
      <x:c r="U82" s="68"/>
      <x:c r="V82" s="82"/>
      <x:c r="W82" s="82"/>
      <x:c r="X82" s="87"/>
    </x:row>
    <x:row r="83">
      <x:c r="A83" s="72" t="str">
        <x:f>IF(OR(C83="",D83=""),"",B83&amp;"-"&amp;UPPER(C83)&amp;"-"&amp;TEXT(D83,"0000")&amp;"-"&amp;E83)</x:f>
      </x:c>
      <x:c r="B83" s="74" t="str">
        <x:v>M19</x:v>
      </x:c>
      <x:c r="C83" s="74"/>
      <x:c r="D83" s="79"/>
      <x:c r="E83" s="74" t="str">
        <x:v>V1.0</x:v>
      </x:c>
      <x:c r="F83" s="68"/>
      <x:c r="G83" s="68"/>
      <x:c r="H83" s="68"/>
      <x:c r="I83" s="68"/>
      <x:c r="J83" s="68"/>
      <x:c r="K83" s="68"/>
      <x:c r="L83" s="82"/>
      <x:c r="M83" s="82"/>
      <x:c r="N83" s="82"/>
      <x:c r="O83" s="68"/>
      <x:c r="P83" s="68"/>
      <x:c r="Q83" s="68"/>
      <x:c r="R83" s="68"/>
      <x:c r="S83" s="68"/>
      <x:c r="T83" s="68"/>
      <x:c r="U83" s="68"/>
      <x:c r="V83" s="82"/>
      <x:c r="W83" s="82"/>
      <x:c r="X83" s="87"/>
    </x:row>
    <x:row r="84">
      <x:c r="A84" s="72" t="str">
        <x:f>IF(OR(C84="",D84=""),"",B84&amp;"-"&amp;UPPER(C84)&amp;"-"&amp;TEXT(D84,"0000")&amp;"-"&amp;E84)</x:f>
      </x:c>
      <x:c r="B84" s="74" t="str">
        <x:v>M19</x:v>
      </x:c>
      <x:c r="C84" s="74"/>
      <x:c r="D84" s="79"/>
      <x:c r="E84" s="74" t="str">
        <x:v>V1.0</x:v>
      </x:c>
      <x:c r="F84" s="68"/>
      <x:c r="G84" s="68"/>
      <x:c r="H84" s="68"/>
      <x:c r="I84" s="68"/>
      <x:c r="J84" s="68"/>
      <x:c r="K84" s="68"/>
      <x:c r="L84" s="82"/>
      <x:c r="M84" s="82"/>
      <x:c r="N84" s="82"/>
      <x:c r="O84" s="68"/>
      <x:c r="P84" s="68"/>
      <x:c r="Q84" s="68"/>
      <x:c r="R84" s="68"/>
      <x:c r="S84" s="68"/>
      <x:c r="T84" s="68"/>
      <x:c r="U84" s="68"/>
      <x:c r="V84" s="82"/>
      <x:c r="W84" s="82"/>
      <x:c r="X84" s="87"/>
    </x:row>
    <x:row r="85">
      <x:c r="A85" s="72" t="str">
        <x:f>IF(OR(C85="",D85=""),"",B85&amp;"-"&amp;UPPER(C85)&amp;"-"&amp;TEXT(D85,"0000")&amp;"-"&amp;E85)</x:f>
      </x:c>
      <x:c r="B85" s="74" t="str">
        <x:v>M19</x:v>
      </x:c>
      <x:c r="C85" s="74"/>
      <x:c r="D85" s="79"/>
      <x:c r="E85" s="74" t="str">
        <x:v>V1.0</x:v>
      </x:c>
      <x:c r="F85" s="68"/>
      <x:c r="G85" s="68"/>
      <x:c r="H85" s="68"/>
      <x:c r="I85" s="68"/>
      <x:c r="J85" s="68"/>
      <x:c r="K85" s="68"/>
      <x:c r="L85" s="82"/>
      <x:c r="M85" s="82"/>
      <x:c r="N85" s="82"/>
      <x:c r="O85" s="68"/>
      <x:c r="P85" s="68"/>
      <x:c r="Q85" s="68"/>
      <x:c r="R85" s="68"/>
      <x:c r="S85" s="68"/>
      <x:c r="T85" s="68"/>
      <x:c r="U85" s="68"/>
      <x:c r="V85" s="82"/>
      <x:c r="W85" s="82"/>
      <x:c r="X85" s="87"/>
    </x:row>
    <x:row r="86">
      <x:c r="A86" s="72" t="str">
        <x:f>IF(OR(C86="",D86=""),"",B86&amp;"-"&amp;UPPER(C86)&amp;"-"&amp;TEXT(D86,"0000")&amp;"-"&amp;E86)</x:f>
      </x:c>
      <x:c r="B86" s="74" t="str">
        <x:v>M19</x:v>
      </x:c>
      <x:c r="C86" s="74"/>
      <x:c r="D86" s="79"/>
      <x:c r="E86" s="74" t="str">
        <x:v>V1.0</x:v>
      </x:c>
      <x:c r="F86" s="68"/>
      <x:c r="G86" s="68"/>
      <x:c r="H86" s="68"/>
      <x:c r="I86" s="68"/>
      <x:c r="J86" s="68"/>
      <x:c r="K86" s="68"/>
      <x:c r="L86" s="82"/>
      <x:c r="M86" s="82"/>
      <x:c r="N86" s="82"/>
      <x:c r="O86" s="68"/>
      <x:c r="P86" s="68"/>
      <x:c r="Q86" s="68"/>
      <x:c r="R86" s="68"/>
      <x:c r="S86" s="68"/>
      <x:c r="T86" s="68"/>
      <x:c r="U86" s="68"/>
      <x:c r="V86" s="82"/>
      <x:c r="W86" s="82"/>
      <x:c r="X86" s="87"/>
    </x:row>
    <x:row r="87">
      <x:c r="A87" s="72" t="str">
        <x:f>IF(OR(C87="",D87=""),"",B87&amp;"-"&amp;UPPER(C87)&amp;"-"&amp;TEXT(D87,"0000")&amp;"-"&amp;E87)</x:f>
      </x:c>
      <x:c r="B87" s="74" t="str">
        <x:v>M19</x:v>
      </x:c>
      <x:c r="C87" s="74"/>
      <x:c r="D87" s="79"/>
      <x:c r="E87" s="74" t="str">
        <x:v>V1.0</x:v>
      </x:c>
      <x:c r="F87" s="68"/>
      <x:c r="G87" s="68"/>
      <x:c r="H87" s="68"/>
      <x:c r="I87" s="68"/>
      <x:c r="J87" s="68"/>
      <x:c r="K87" s="68"/>
      <x:c r="L87" s="82"/>
      <x:c r="M87" s="82"/>
      <x:c r="N87" s="82"/>
      <x:c r="O87" s="68"/>
      <x:c r="P87" s="68"/>
      <x:c r="Q87" s="68"/>
      <x:c r="R87" s="68"/>
      <x:c r="S87" s="68"/>
      <x:c r="T87" s="68"/>
      <x:c r="U87" s="68"/>
      <x:c r="V87" s="82"/>
      <x:c r="W87" s="82"/>
      <x:c r="X87" s="87"/>
    </x:row>
    <x:row r="88">
      <x:c r="A88" s="72" t="str">
        <x:f>IF(OR(C88="",D88=""),"",B88&amp;"-"&amp;UPPER(C88)&amp;"-"&amp;TEXT(D88,"0000")&amp;"-"&amp;E88)</x:f>
      </x:c>
      <x:c r="B88" s="74" t="str">
        <x:v>M19</x:v>
      </x:c>
      <x:c r="C88" s="74"/>
      <x:c r="D88" s="79"/>
      <x:c r="E88" s="74" t="str">
        <x:v>V1.0</x:v>
      </x:c>
      <x:c r="F88" s="68"/>
      <x:c r="G88" s="68"/>
      <x:c r="H88" s="68"/>
      <x:c r="I88" s="68"/>
      <x:c r="J88" s="68"/>
      <x:c r="K88" s="68"/>
      <x:c r="L88" s="82"/>
      <x:c r="M88" s="82"/>
      <x:c r="N88" s="82"/>
      <x:c r="O88" s="68"/>
      <x:c r="P88" s="68"/>
      <x:c r="Q88" s="68"/>
      <x:c r="R88" s="68"/>
      <x:c r="S88" s="68"/>
      <x:c r="T88" s="68"/>
      <x:c r="U88" s="68"/>
      <x:c r="V88" s="82"/>
      <x:c r="W88" s="82"/>
      <x:c r="X88" s="87"/>
    </x:row>
    <x:row r="89">
      <x:c r="A89" s="72" t="str">
        <x:f>IF(OR(C89="",D89=""),"",B89&amp;"-"&amp;UPPER(C89)&amp;"-"&amp;TEXT(D89,"0000")&amp;"-"&amp;E89)</x:f>
      </x:c>
      <x:c r="B89" s="74" t="str">
        <x:v>M19</x:v>
      </x:c>
      <x:c r="C89" s="74"/>
      <x:c r="D89" s="79"/>
      <x:c r="E89" s="74" t="str">
        <x:v>V1.0</x:v>
      </x:c>
      <x:c r="F89" s="68"/>
      <x:c r="G89" s="68"/>
      <x:c r="H89" s="68"/>
      <x:c r="I89" s="68"/>
      <x:c r="J89" s="68"/>
      <x:c r="K89" s="68"/>
      <x:c r="L89" s="82"/>
      <x:c r="M89" s="82"/>
      <x:c r="N89" s="82"/>
      <x:c r="O89" s="68"/>
      <x:c r="P89" s="68"/>
      <x:c r="Q89" s="68"/>
      <x:c r="R89" s="68"/>
      <x:c r="S89" s="68"/>
      <x:c r="T89" s="68"/>
      <x:c r="U89" s="68"/>
      <x:c r="V89" s="82"/>
      <x:c r="W89" s="82"/>
      <x:c r="X89" s="87"/>
    </x:row>
    <x:row r="90">
      <x:c r="A90" s="72" t="str">
        <x:f>IF(OR(C90="",D90=""),"",B90&amp;"-"&amp;UPPER(C90)&amp;"-"&amp;TEXT(D90,"0000")&amp;"-"&amp;E90)</x:f>
      </x:c>
      <x:c r="B90" s="74" t="str">
        <x:v>M19</x:v>
      </x:c>
      <x:c r="C90" s="74"/>
      <x:c r="D90" s="79"/>
      <x:c r="E90" s="74" t="str">
        <x:v>V1.0</x:v>
      </x:c>
      <x:c r="F90" s="68"/>
      <x:c r="G90" s="68"/>
      <x:c r="H90" s="68"/>
      <x:c r="I90" s="68"/>
      <x:c r="J90" s="68"/>
      <x:c r="K90" s="68"/>
      <x:c r="L90" s="82"/>
      <x:c r="M90" s="82"/>
      <x:c r="N90" s="82"/>
      <x:c r="O90" s="68"/>
      <x:c r="P90" s="68"/>
      <x:c r="Q90" s="68"/>
      <x:c r="R90" s="68"/>
      <x:c r="S90" s="68"/>
      <x:c r="T90" s="68"/>
      <x:c r="U90" s="68"/>
      <x:c r="V90" s="82"/>
      <x:c r="W90" s="82"/>
      <x:c r="X90" s="87"/>
    </x:row>
    <x:row r="91">
      <x:c r="A91" s="72" t="str">
        <x:f>IF(OR(C91="",D91=""),"",B91&amp;"-"&amp;UPPER(C91)&amp;"-"&amp;TEXT(D91,"0000")&amp;"-"&amp;E91)</x:f>
      </x:c>
      <x:c r="B91" s="74" t="str">
        <x:v>M19</x:v>
      </x:c>
      <x:c r="C91" s="74"/>
      <x:c r="D91" s="79"/>
      <x:c r="E91" s="74" t="str">
        <x:v>V1.0</x:v>
      </x:c>
      <x:c r="F91" s="68"/>
      <x:c r="G91" s="68"/>
      <x:c r="H91" s="68"/>
      <x:c r="I91" s="68"/>
      <x:c r="J91" s="68"/>
      <x:c r="K91" s="68"/>
      <x:c r="L91" s="82"/>
      <x:c r="M91" s="82"/>
      <x:c r="N91" s="82"/>
      <x:c r="O91" s="68"/>
      <x:c r="P91" s="68"/>
      <x:c r="Q91" s="68"/>
      <x:c r="R91" s="68"/>
      <x:c r="S91" s="68"/>
      <x:c r="T91" s="68"/>
      <x:c r="U91" s="68"/>
      <x:c r="V91" s="82"/>
      <x:c r="W91" s="82"/>
      <x:c r="X91" s="87"/>
    </x:row>
    <x:row r="92">
      <x:c r="A92" s="72" t="str">
        <x:f>IF(OR(C92="",D92=""),"",B92&amp;"-"&amp;UPPER(C92)&amp;"-"&amp;TEXT(D92,"0000")&amp;"-"&amp;E92)</x:f>
      </x:c>
      <x:c r="B92" s="74" t="str">
        <x:v>M19</x:v>
      </x:c>
      <x:c r="C92" s="74"/>
      <x:c r="D92" s="79"/>
      <x:c r="E92" s="74" t="str">
        <x:v>V1.0</x:v>
      </x:c>
      <x:c r="F92" s="68"/>
      <x:c r="G92" s="68"/>
      <x:c r="H92" s="68"/>
      <x:c r="I92" s="68"/>
      <x:c r="J92" s="68"/>
      <x:c r="K92" s="68"/>
      <x:c r="L92" s="82"/>
      <x:c r="M92" s="82"/>
      <x:c r="N92" s="82"/>
      <x:c r="O92" s="68"/>
      <x:c r="P92" s="68"/>
      <x:c r="Q92" s="68"/>
      <x:c r="R92" s="68"/>
      <x:c r="S92" s="68"/>
      <x:c r="T92" s="68"/>
      <x:c r="U92" s="68"/>
      <x:c r="V92" s="82"/>
      <x:c r="W92" s="82"/>
      <x:c r="X92" s="87"/>
    </x:row>
    <x:row r="93">
      <x:c r="A93" s="72" t="str">
        <x:f>IF(OR(C93="",D93=""),"",B93&amp;"-"&amp;UPPER(C93)&amp;"-"&amp;TEXT(D93,"0000")&amp;"-"&amp;E93)</x:f>
      </x:c>
      <x:c r="B93" s="74" t="str">
        <x:v>M19</x:v>
      </x:c>
      <x:c r="C93" s="74"/>
      <x:c r="D93" s="79"/>
      <x:c r="E93" s="74" t="str">
        <x:v>V1.0</x:v>
      </x:c>
      <x:c r="F93" s="68"/>
      <x:c r="G93" s="68"/>
      <x:c r="H93" s="68"/>
      <x:c r="I93" s="68"/>
      <x:c r="J93" s="68"/>
      <x:c r="K93" s="68"/>
      <x:c r="L93" s="82"/>
      <x:c r="M93" s="82"/>
      <x:c r="N93" s="82"/>
      <x:c r="O93" s="68"/>
      <x:c r="P93" s="68"/>
      <x:c r="Q93" s="68"/>
      <x:c r="R93" s="68"/>
      <x:c r="S93" s="68"/>
      <x:c r="T93" s="68"/>
      <x:c r="U93" s="68"/>
      <x:c r="V93" s="82"/>
      <x:c r="W93" s="82"/>
      <x:c r="X93" s="87"/>
    </x:row>
    <x:row r="94">
      <x:c r="A94" s="72" t="str">
        <x:f>IF(OR(C94="",D94=""),"",B94&amp;"-"&amp;UPPER(C94)&amp;"-"&amp;TEXT(D94,"0000")&amp;"-"&amp;E94)</x:f>
      </x:c>
      <x:c r="B94" s="74" t="str">
        <x:v>M19</x:v>
      </x:c>
      <x:c r="C94" s="74"/>
      <x:c r="D94" s="79"/>
      <x:c r="E94" s="74" t="str">
        <x:v>V1.0</x:v>
      </x:c>
      <x:c r="F94" s="68"/>
      <x:c r="G94" s="68"/>
      <x:c r="H94" s="68"/>
      <x:c r="I94" s="68"/>
      <x:c r="J94" s="68"/>
      <x:c r="K94" s="68"/>
      <x:c r="L94" s="82"/>
      <x:c r="M94" s="82"/>
      <x:c r="N94" s="82"/>
      <x:c r="O94" s="68"/>
      <x:c r="P94" s="68"/>
      <x:c r="Q94" s="68"/>
      <x:c r="R94" s="68"/>
      <x:c r="S94" s="68"/>
      <x:c r="T94" s="68"/>
      <x:c r="U94" s="68"/>
      <x:c r="V94" s="82"/>
      <x:c r="W94" s="82"/>
      <x:c r="X94" s="87"/>
    </x:row>
    <x:row r="95">
      <x:c r="A95" s="72" t="str">
        <x:f>IF(OR(C95="",D95=""),"",B95&amp;"-"&amp;UPPER(C95)&amp;"-"&amp;TEXT(D95,"0000")&amp;"-"&amp;E95)</x:f>
      </x:c>
      <x:c r="B95" s="74" t="str">
        <x:v>M19</x:v>
      </x:c>
      <x:c r="C95" s="74"/>
      <x:c r="D95" s="79"/>
      <x:c r="E95" s="74" t="str">
        <x:v>V1.0</x:v>
      </x:c>
      <x:c r="F95" s="68"/>
      <x:c r="G95" s="68"/>
      <x:c r="H95" s="68"/>
      <x:c r="I95" s="68"/>
      <x:c r="J95" s="68"/>
      <x:c r="K95" s="68"/>
      <x:c r="L95" s="82"/>
      <x:c r="M95" s="82"/>
      <x:c r="N95" s="82"/>
      <x:c r="O95" s="68"/>
      <x:c r="P95" s="68"/>
      <x:c r="Q95" s="68"/>
      <x:c r="R95" s="68"/>
      <x:c r="S95" s="68"/>
      <x:c r="T95" s="68"/>
      <x:c r="U95" s="68"/>
      <x:c r="V95" s="82"/>
      <x:c r="W95" s="82"/>
      <x:c r="X95" s="87"/>
    </x:row>
    <x:row r="96">
      <x:c r="A96" s="72" t="str">
        <x:f>IF(OR(C96="",D96=""),"",B96&amp;"-"&amp;UPPER(C96)&amp;"-"&amp;TEXT(D96,"0000")&amp;"-"&amp;E96)</x:f>
      </x:c>
      <x:c r="B96" s="74" t="str">
        <x:v>M19</x:v>
      </x:c>
      <x:c r="C96" s="74"/>
      <x:c r="D96" s="79"/>
      <x:c r="E96" s="74" t="str">
        <x:v>V1.0</x:v>
      </x:c>
      <x:c r="F96" s="68"/>
      <x:c r="G96" s="68"/>
      <x:c r="H96" s="68"/>
      <x:c r="I96" s="68"/>
      <x:c r="J96" s="68"/>
      <x:c r="K96" s="68"/>
      <x:c r="L96" s="82"/>
      <x:c r="M96" s="82"/>
      <x:c r="N96" s="82"/>
      <x:c r="O96" s="68"/>
      <x:c r="P96" s="68"/>
      <x:c r="Q96" s="68"/>
      <x:c r="R96" s="68"/>
      <x:c r="S96" s="68"/>
      <x:c r="T96" s="68"/>
      <x:c r="U96" s="68"/>
      <x:c r="V96" s="82"/>
      <x:c r="W96" s="82"/>
      <x:c r="X96" s="87"/>
    </x:row>
    <x:row r="97">
      <x:c r="A97" s="72" t="str">
        <x:f>IF(OR(C97="",D97=""),"",B97&amp;"-"&amp;UPPER(C97)&amp;"-"&amp;TEXT(D97,"0000")&amp;"-"&amp;E97)</x:f>
      </x:c>
      <x:c r="B97" s="74" t="str">
        <x:v>M19</x:v>
      </x:c>
      <x:c r="C97" s="74"/>
      <x:c r="D97" s="79"/>
      <x:c r="E97" s="74" t="str">
        <x:v>V1.0</x:v>
      </x:c>
      <x:c r="F97" s="68"/>
      <x:c r="G97" s="68"/>
      <x:c r="H97" s="68"/>
      <x:c r="I97" s="68"/>
      <x:c r="J97" s="68"/>
      <x:c r="K97" s="68"/>
      <x:c r="L97" s="82"/>
      <x:c r="M97" s="82"/>
      <x:c r="N97" s="82"/>
      <x:c r="O97" s="68"/>
      <x:c r="P97" s="68"/>
      <x:c r="Q97" s="68"/>
      <x:c r="R97" s="68"/>
      <x:c r="S97" s="68"/>
      <x:c r="T97" s="68"/>
      <x:c r="U97" s="68"/>
      <x:c r="V97" s="82"/>
      <x:c r="W97" s="82"/>
      <x:c r="X97" s="87"/>
    </x:row>
    <x:row r="98">
      <x:c r="A98" s="72" t="str">
        <x:f>IF(OR(C98="",D98=""),"",B98&amp;"-"&amp;UPPER(C98)&amp;"-"&amp;TEXT(D98,"0000")&amp;"-"&amp;E98)</x:f>
      </x:c>
      <x:c r="B98" s="74" t="str">
        <x:v>M19</x:v>
      </x:c>
      <x:c r="C98" s="74"/>
      <x:c r="D98" s="79"/>
      <x:c r="E98" s="74" t="str">
        <x:v>V1.0</x:v>
      </x:c>
      <x:c r="F98" s="68"/>
      <x:c r="G98" s="68"/>
      <x:c r="H98" s="68"/>
      <x:c r="I98" s="68"/>
      <x:c r="J98" s="68"/>
      <x:c r="K98" s="68"/>
      <x:c r="L98" s="82"/>
      <x:c r="M98" s="82"/>
      <x:c r="N98" s="82"/>
      <x:c r="O98" s="68"/>
      <x:c r="P98" s="68"/>
      <x:c r="Q98" s="68"/>
      <x:c r="R98" s="68"/>
      <x:c r="S98" s="68"/>
      <x:c r="T98" s="68"/>
      <x:c r="U98" s="68"/>
      <x:c r="V98" s="82"/>
      <x:c r="W98" s="82"/>
      <x:c r="X98" s="87"/>
    </x:row>
    <x:row r="99">
      <x:c r="A99" s="72" t="str">
        <x:f>IF(OR(C99="",D99=""),"",B99&amp;"-"&amp;UPPER(C99)&amp;"-"&amp;TEXT(D99,"0000")&amp;"-"&amp;E99)</x:f>
      </x:c>
      <x:c r="B99" s="74" t="str">
        <x:v>M19</x:v>
      </x:c>
      <x:c r="C99" s="74"/>
      <x:c r="D99" s="79"/>
      <x:c r="E99" s="74" t="str">
        <x:v>V1.0</x:v>
      </x:c>
      <x:c r="F99" s="68"/>
      <x:c r="G99" s="68"/>
      <x:c r="H99" s="68"/>
      <x:c r="I99" s="68"/>
      <x:c r="J99" s="68"/>
      <x:c r="K99" s="68"/>
      <x:c r="L99" s="82"/>
      <x:c r="M99" s="82"/>
      <x:c r="N99" s="82"/>
      <x:c r="O99" s="68"/>
      <x:c r="P99" s="68"/>
      <x:c r="Q99" s="68"/>
      <x:c r="R99" s="68"/>
      <x:c r="S99" s="68"/>
      <x:c r="T99" s="68"/>
      <x:c r="U99" s="68"/>
      <x:c r="V99" s="82"/>
      <x:c r="W99" s="82"/>
      <x:c r="X99" s="87"/>
    </x:row>
    <x:row r="100">
      <x:c r="A100" s="72" t="str">
        <x:f>IF(OR(C100="",D100=""),"",B100&amp;"-"&amp;UPPER(C100)&amp;"-"&amp;TEXT(D100,"0000")&amp;"-"&amp;E100)</x:f>
      </x:c>
      <x:c r="B100" s="74" t="str">
        <x:v>M19</x:v>
      </x:c>
      <x:c r="C100" s="74"/>
      <x:c r="D100" s="79"/>
      <x:c r="E100" s="74" t="str">
        <x:v>V1.0</x:v>
      </x:c>
      <x:c r="F100" s="68"/>
      <x:c r="G100" s="68"/>
      <x:c r="H100" s="68"/>
      <x:c r="I100" s="68"/>
      <x:c r="J100" s="68"/>
      <x:c r="K100" s="68"/>
      <x:c r="L100" s="82"/>
      <x:c r="M100" s="82"/>
      <x:c r="N100" s="82"/>
      <x:c r="O100" s="68"/>
      <x:c r="P100" s="68"/>
      <x:c r="Q100" s="68"/>
      <x:c r="R100" s="68"/>
      <x:c r="S100" s="68"/>
      <x:c r="T100" s="68"/>
      <x:c r="U100" s="68"/>
      <x:c r="V100" s="82"/>
      <x:c r="W100" s="82"/>
      <x:c r="X100" s="87"/>
    </x:row>
    <x:row r="101">
      <x:c r="A101" s="72" t="str">
        <x:f>IF(OR(C101="",D101=""),"",B101&amp;"-"&amp;UPPER(C101)&amp;"-"&amp;TEXT(D101,"0000")&amp;"-"&amp;E101)</x:f>
      </x:c>
      <x:c r="B101" s="74" t="str">
        <x:v>M19</x:v>
      </x:c>
      <x:c r="C101" s="74"/>
      <x:c r="D101" s="79"/>
      <x:c r="E101" s="74" t="str">
        <x:v>V1.0</x:v>
      </x:c>
      <x:c r="F101" s="68"/>
      <x:c r="G101" s="68"/>
      <x:c r="H101" s="68"/>
      <x:c r="I101" s="68"/>
      <x:c r="J101" s="68"/>
      <x:c r="K101" s="68"/>
      <x:c r="L101" s="82"/>
      <x:c r="M101" s="82"/>
      <x:c r="N101" s="82"/>
      <x:c r="O101" s="68"/>
      <x:c r="P101" s="68"/>
      <x:c r="Q101" s="68"/>
      <x:c r="R101" s="68"/>
      <x:c r="S101" s="68"/>
      <x:c r="T101" s="68"/>
      <x:c r="U101" s="68"/>
      <x:c r="V101" s="82"/>
      <x:c r="W101" s="82"/>
      <x:c r="X101" s="87"/>
    </x:row>
    <x:row r="102">
      <x:c r="A102" s="72" t="str">
        <x:f>IF(OR(C102="",D102=""),"",B102&amp;"-"&amp;UPPER(C102)&amp;"-"&amp;TEXT(D102,"0000")&amp;"-"&amp;E102)</x:f>
      </x:c>
      <x:c r="B102" s="74" t="str">
        <x:v>M19</x:v>
      </x:c>
      <x:c r="C102" s="74"/>
      <x:c r="D102" s="79"/>
      <x:c r="E102" s="74" t="str">
        <x:v>V1.0</x:v>
      </x:c>
      <x:c r="F102" s="68"/>
      <x:c r="G102" s="68"/>
      <x:c r="H102" s="68"/>
      <x:c r="I102" s="68"/>
      <x:c r="J102" s="68"/>
      <x:c r="K102" s="68"/>
      <x:c r="L102" s="82"/>
      <x:c r="M102" s="82"/>
      <x:c r="N102" s="82"/>
      <x:c r="O102" s="68"/>
      <x:c r="P102" s="68"/>
      <x:c r="Q102" s="68"/>
      <x:c r="R102" s="68"/>
      <x:c r="S102" s="68"/>
      <x:c r="T102" s="68"/>
      <x:c r="U102" s="68"/>
      <x:c r="V102" s="82"/>
      <x:c r="W102" s="82"/>
      <x:c r="X102" s="87"/>
    </x:row>
    <x:row r="103">
      <x:c r="A103" s="72" t="str">
        <x:f>IF(OR(C103="",D103=""),"",B103&amp;"-"&amp;UPPER(C103)&amp;"-"&amp;TEXT(D103,"0000")&amp;"-"&amp;E103)</x:f>
      </x:c>
      <x:c r="B103" s="74" t="str">
        <x:v>M19</x:v>
      </x:c>
      <x:c r="C103" s="74"/>
      <x:c r="D103" s="79"/>
      <x:c r="E103" s="74" t="str">
        <x:v>V1.0</x:v>
      </x:c>
      <x:c r="F103" s="68"/>
      <x:c r="G103" s="68"/>
      <x:c r="H103" s="68"/>
      <x:c r="I103" s="68"/>
      <x:c r="J103" s="68"/>
      <x:c r="K103" s="68"/>
      <x:c r="L103" s="82"/>
      <x:c r="M103" s="82"/>
      <x:c r="N103" s="82"/>
      <x:c r="O103" s="68"/>
      <x:c r="P103" s="68"/>
      <x:c r="Q103" s="68"/>
      <x:c r="R103" s="68"/>
      <x:c r="S103" s="68"/>
      <x:c r="T103" s="68"/>
      <x:c r="U103" s="68"/>
      <x:c r="V103" s="82"/>
      <x:c r="W103" s="82"/>
      <x:c r="X103" s="87"/>
    </x:row>
    <x:row r="104">
      <x:c r="A104" s="72" t="str">
        <x:f>IF(OR(C104="",D104=""),"",B104&amp;"-"&amp;UPPER(C104)&amp;"-"&amp;TEXT(D104,"0000")&amp;"-"&amp;E104)</x:f>
      </x:c>
      <x:c r="B104" s="74" t="str">
        <x:v>M19</x:v>
      </x:c>
      <x:c r="C104" s="74"/>
      <x:c r="D104" s="79"/>
      <x:c r="E104" s="74" t="str">
        <x:v>V1.0</x:v>
      </x:c>
      <x:c r="F104" s="68"/>
      <x:c r="G104" s="68"/>
      <x:c r="H104" s="68"/>
      <x:c r="I104" s="68"/>
      <x:c r="J104" s="68"/>
      <x:c r="K104" s="68"/>
      <x:c r="L104" s="82"/>
      <x:c r="M104" s="82"/>
      <x:c r="N104" s="82"/>
      <x:c r="O104" s="68"/>
      <x:c r="P104" s="68"/>
      <x:c r="Q104" s="68"/>
      <x:c r="R104" s="68"/>
      <x:c r="S104" s="68"/>
      <x:c r="T104" s="68"/>
      <x:c r="U104" s="68"/>
      <x:c r="V104" s="82"/>
      <x:c r="W104" s="82"/>
      <x:c r="X104" s="87"/>
    </x:row>
    <x:row r="105">
      <x:c r="A105" s="72" t="str">
        <x:f>IF(OR(C105="",D105=""),"",B105&amp;"-"&amp;UPPER(C105)&amp;"-"&amp;TEXT(D105,"0000")&amp;"-"&amp;E105)</x:f>
      </x:c>
      <x:c r="B105" s="74" t="str">
        <x:v>M19</x:v>
      </x:c>
      <x:c r="C105" s="74"/>
      <x:c r="D105" s="79"/>
      <x:c r="E105" s="74" t="str">
        <x:v>V1.0</x:v>
      </x:c>
      <x:c r="F105" s="68"/>
      <x:c r="G105" s="68"/>
      <x:c r="H105" s="68"/>
      <x:c r="I105" s="68"/>
      <x:c r="J105" s="68"/>
      <x:c r="K105" s="68"/>
      <x:c r="L105" s="82"/>
      <x:c r="M105" s="82"/>
      <x:c r="N105" s="82"/>
      <x:c r="O105" s="68"/>
      <x:c r="P105" s="68"/>
      <x:c r="Q105" s="68"/>
      <x:c r="R105" s="68"/>
      <x:c r="S105" s="68"/>
      <x:c r="T105" s="68"/>
      <x:c r="U105" s="68"/>
      <x:c r="V105" s="82"/>
      <x:c r="W105" s="82"/>
      <x:c r="X105" s="87"/>
    </x:row>
  </x:sheetData>
  <x:mergeCells>
    <x:mergeCell ref="A1:O1"/>
    <x:mergeCell ref="A2:O2"/>
    <x:mergeCell ref="A3:O3"/>
    <x:mergeCell ref="A4:O4"/>
  </x:mergeCells>
  <x:conditionalFormatting sqref="A6:A105">
    <x:cfRule type="expression" dxfId="17" priority="1">
      <x:formula>AND(A6&lt;&gt;"",COUNTIF($A$6:$A$105,A6)&gt;1)</x:formula>
    </x:cfRule>
  </x:conditionalFormatting>
  <x:dataValidations count="8">
    <x:dataValidation type="list" sqref="E6:E105">
      <x:formula1>'99_下拉选项'!$BG$4:$BG$12</x:formula1>
    </x:dataValidation>
    <x:dataValidation type="list" sqref="L6:L105">
      <x:formula1>'99_下拉选项'!$AT$4:$AT$7</x:formula1>
    </x:dataValidation>
    <x:dataValidation type="list" sqref="M6:M105">
      <x:formula1>'99_下拉选项'!$AU$4:$AU$7</x:formula1>
    </x:dataValidation>
    <x:dataValidation type="list" sqref="N6:N105">
      <x:formula1>'99_下拉选项'!$AV$4:$AV$12</x:formula1>
    </x:dataValidation>
    <x:dataValidation type="list" sqref="V6:V105">
      <x:formula1>'99_下拉选项'!$S$4:$S$9</x:formula1>
    </x:dataValidation>
    <x:dataValidation type="list" sqref="W6:W105">
      <x:formula1>'99_下拉选项'!$T$4:$T$8</x:formula1>
    </x:dataValidation>
    <x:dataValidation type="list" sqref="E6:E130">
      <x:formula1>'99_下拉选项'!$BG$4:$BG$14</x:formula1>
    </x:dataValidation>
    <x:dataValidation type="list" sqref="E7:E105">
      <x:formula1>'99_下拉选项'!$BG$4:$BG$16</x:formula1>
    </x:dataValidation>
  </x:dataValidations>
  <x:pageMargins left="0.7" right="0.7" top="0.75" bottom="0.75" header="0.3" footer="0.3"/>
  <x:tableParts count="1">
    <x:tablePart xmlns:r="http://schemas.openxmlformats.org/officeDocument/2006/relationships" r:id="Ra9656d2ef7c140b2"/>
  </x:tableParts>
</x:worksheet>
</file>

<file path=xl/worksheets/sheet2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16" hidden="0" customWidth="1"/>
    <x:col min="26" max="26" width="16" hidden="0" customWidth="1"/>
    <x:col min="27" max="27" width="13" hidden="0" customWidth="1"/>
    <x:col min="28" max="28" width="16" hidden="0" customWidth="1"/>
    <x:col min="29" max="29" width="30" hidden="0" customWidth="1"/>
  </x:cols>
  <x:sheetData>
    <x:row r="1" ht="28" customHeight="1">
      <x:c r="A1" s="32" t="str">
        <x:v>M20｜规则正例、反例与边界案例测试集</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row>
    <x:row r="2" ht="36" customHeight="1">
      <x:c r="A2" s="39" t="str">
        <x:v>保存案例输入、中间识别、效应、结构与综合预期结果，对目标Rule_ID做正例、反例、边界与回归测试。不得只保存最终喜忌。</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row>
    <x:row r="3" ht="30" customHeight="1">
      <x:c r="A3" s="47" t="str">
        <x:v>前置依赖：M02-M19　｜　主要输出：规则通过率、反例与修订线索　｜　直接下游：M21及所有模块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row>
    <x:row r="5" ht="38" customHeight="1">
      <x:c r="A5" s="61" t="str">
        <x:v>Case_ID</x:v>
      </x:c>
      <x:c r="B5" s="61" t="str">
        <x:v>模块代码</x:v>
      </x:c>
      <x:c r="C5" s="61" t="str">
        <x:v>子类代码</x:v>
      </x:c>
      <x:c r="D5" s="61" t="str">
        <x:v>序号</x:v>
      </x:c>
      <x:c r="E5" s="61" t="str">
        <x:v>版本号</x:v>
      </x:c>
      <x:c r="F5" s="61" t="str">
        <x:v>案例名称</x:v>
      </x:c>
      <x:c r="G5" s="61" t="str">
        <x:v>四柱</x:v>
      </x:c>
      <x:c r="H5" s="61" t="str">
        <x:v>性别</x:v>
      </x:c>
      <x:c r="I5" s="61" t="str">
        <x:v>历法/时区</x:v>
      </x:c>
      <x:c r="J5" s="61" t="str">
        <x:v>案例来源</x:v>
      </x:c>
      <x:c r="K5" s="61" t="str">
        <x:v>测试类型</x:v>
      </x:c>
      <x:c r="L5" s="61" t="str">
        <x:v>目标模块</x:v>
      </x:c>
      <x:c r="M5" s="61" t="str">
        <x:v>目标Rule_ID</x:v>
      </x:c>
      <x:c r="N5" s="61" t="str">
        <x:v>输入事实</x:v>
      </x:c>
      <x:c r="O5" s="61" t="str">
        <x:v>预期识别结果</x:v>
      </x:c>
      <x:c r="P5" s="61" t="str">
        <x:v>预期效应结果</x:v>
      </x:c>
      <x:c r="Q5" s="61" t="str">
        <x:v>预期结构结果</x:v>
      </x:c>
      <x:c r="R5" s="61" t="str">
        <x:v>预期综合结果</x:v>
      </x:c>
      <x:c r="S5" s="61" t="str">
        <x:v>实际结果</x:v>
      </x:c>
      <x:c r="T5" s="61" t="str">
        <x:v>测试结果</x:v>
      </x:c>
      <x:c r="U5" s="61" t="str">
        <x:v>差异说明</x:v>
      </x:c>
      <x:c r="V5" s="61" t="str">
        <x:v>根因定位</x:v>
      </x:c>
      <x:c r="W5" s="61" t="str">
        <x:v>规则修订建议</x:v>
      </x:c>
      <x:c r="X5" s="61" t="str">
        <x:v>复测结果</x:v>
      </x:c>
      <x:c r="Y5" s="61" t="str">
        <x:v>测试人</x:v>
      </x:c>
      <x:c r="Z5" s="61" t="str">
        <x:v>复核人</x:v>
      </x:c>
      <x:c r="AA5" s="61" t="str">
        <x:v>测试日期</x:v>
      </x:c>
      <x:c r="AB5" s="61" t="str">
        <x:v>适用版本</x:v>
      </x:c>
      <x:c r="AC5" s="61" t="str">
        <x:v>备注</x:v>
      </x:c>
    </x:row>
    <x:row r="6" ht="66" customHeight="1">
      <x:c r="A6" s="76" t="str">
        <x:f>IF(OR(C6="",D6=""),"",B6&amp;"-"&amp;UPPER(C6)&amp;"-"&amp;TEXT(D6,"0000")&amp;"-"&amp;E6)</x:f>
        <x:v>M20-DEMO-9999-V0.1</x:v>
      </x:c>
      <x:c r="B6" s="76" t="str">
        <x:v>M20</x:v>
      </x:c>
      <x:c r="C6" s="76" t="str">
        <x:v>DEMO</x:v>
      </x:c>
      <x:c r="D6" s="78" t="n">
        <x:v>9999</x:v>
      </x:c>
      <x:c r="E6" s="76" t="str">
        <x:v>V0.1</x:v>
      </x:c>
      <x:c r="F6" s="76" t="str">
        <x:v>寅巳申三刑不等于巳火自动减力</x:v>
      </x:c>
      <x:c r="G6" s="76" t="str">
        <x:v>示例占位，不作为真实命例</x:v>
      </x:c>
      <x:c r="H6" s="76" t="str">
        <x:v>未知/不适用</x:v>
      </x:c>
      <x:c r="I6" s="76" t="str">
        <x:v>不适用</x:v>
      </x:c>
      <x:c r="J6" s="76" t="str">
        <x:v>内部规则测试</x:v>
      </x:c>
      <x:c r="K6" s="76" t="str">
        <x:v>边界案例</x:v>
      </x:c>
      <x:c r="L6" s="76" t="str">
        <x:v>M05/M06/M08</x:v>
      </x:c>
      <x:c r="M6" s="76" t="str">
        <x:v>M05-DEMO-9999-V0.1；M06-DEMO-9999-V0.1</x:v>
      </x:c>
      <x:c r="N6" s="76" t="str">
        <x:v>原局具寅、巳、申；另需分别补充月令、透干、根气和叠加关系。</x:v>
      </x:c>
      <x:c r="O6" s="76" t="str">
        <x:v>三刑结构完整</x:v>
      </x:c>
      <x:c r="P6" s="76" t="str">
        <x:v>逐支判断，不预设巳火必减</x:v>
      </x:c>
      <x:c r="Q6" s="76" t="str">
        <x:v>只有在效应层证据支持时才修正巳火有效力量</x:v>
      </x:c>
      <x:c r="R6" s="76" t="str">
        <x:v>禁止由三刑直接跳到日主旺衰或喜忌结论</x:v>
      </x:c>
      <x:c r="S6" s="76" t="str">
        <x:v>待测试</x:v>
      </x:c>
      <x:c r="T6" s="76" t="str">
        <x:v>未测试</x:v>
      </x:c>
      <x:c r="U6" s="76" t="str"/>
      <x:c r="V6" s="76" t="str"/>
      <x:c r="W6" s="76" t="str"/>
      <x:c r="X6" s="76" t="str">
        <x:v>未测试</x:v>
      </x:c>
      <x:c r="Y6" s="76" t="str"/>
      <x:c r="Z6" s="76" t="str"/>
      <x:c r="AA6" s="86" t="n">
        <x:v>46254</x:v>
      </x:c>
      <x:c r="AB6" s="76" t="str">
        <x:v>V0.1</x:v>
      </x:c>
      <x:c r="AC6" s="76" t="str">
        <x:v>示例案例；正式测试需填写完整四柱及全部中间证据</x:v>
      </x:c>
    </x:row>
    <x:row r="7">
      <x:c r="A7" s="72" t="str">
        <x:f>IF(OR(C7="",D7=""),"",B7&amp;"-"&amp;UPPER(C7)&amp;"-"&amp;TEXT(D7,"0000")&amp;"-"&amp;E7)</x:f>
      </x:c>
      <x:c r="B7" s="74" t="str">
        <x:v>M20</x:v>
      </x:c>
      <x:c r="C7" s="74"/>
      <x:c r="D7" s="79"/>
      <x:c r="E7" s="74" t="str">
        <x:v>V1.0</x:v>
      </x:c>
      <x:c r="F7" s="68"/>
      <x:c r="G7" s="68"/>
      <x:c r="H7" s="82"/>
      <x:c r="I7" s="68"/>
      <x:c r="J7" s="68"/>
      <x:c r="K7" s="82"/>
      <x:c r="L7" s="68"/>
      <x:c r="M7" s="68"/>
      <x:c r="N7" s="68"/>
      <x:c r="O7" s="68"/>
      <x:c r="P7" s="68"/>
      <x:c r="Q7" s="68"/>
      <x:c r="R7" s="68"/>
      <x:c r="S7" s="68"/>
      <x:c r="T7" s="82"/>
      <x:c r="U7" s="68"/>
      <x:c r="V7" s="68"/>
      <x:c r="W7" s="68"/>
      <x:c r="X7" s="82"/>
      <x:c r="Y7" s="68"/>
      <x:c r="Z7" s="68"/>
      <x:c r="AA7" s="87"/>
      <x:c r="AB7" s="68"/>
      <x:c r="AC7" s="68"/>
    </x:row>
    <x:row r="8">
      <x:c r="A8" s="72" t="str">
        <x:f>IF(OR(C8="",D8=""),"",B8&amp;"-"&amp;UPPER(C8)&amp;"-"&amp;TEXT(D8,"0000")&amp;"-"&amp;E8)</x:f>
      </x:c>
      <x:c r="B8" s="74" t="str">
        <x:v>M20</x:v>
      </x:c>
      <x:c r="C8" s="74"/>
      <x:c r="D8" s="79"/>
      <x:c r="E8" s="74" t="str">
        <x:v>V1.0</x:v>
      </x:c>
      <x:c r="F8" s="68"/>
      <x:c r="G8" s="68"/>
      <x:c r="H8" s="82"/>
      <x:c r="I8" s="68"/>
      <x:c r="J8" s="68"/>
      <x:c r="K8" s="82"/>
      <x:c r="L8" s="68"/>
      <x:c r="M8" s="68"/>
      <x:c r="N8" s="68"/>
      <x:c r="O8" s="68"/>
      <x:c r="P8" s="68"/>
      <x:c r="Q8" s="68"/>
      <x:c r="R8" s="68"/>
      <x:c r="S8" s="68"/>
      <x:c r="T8" s="82"/>
      <x:c r="U8" s="68"/>
      <x:c r="V8" s="68"/>
      <x:c r="W8" s="68"/>
      <x:c r="X8" s="82"/>
      <x:c r="Y8" s="68"/>
      <x:c r="Z8" s="68"/>
      <x:c r="AA8" s="87"/>
      <x:c r="AB8" s="68"/>
      <x:c r="AC8" s="68"/>
    </x:row>
    <x:row r="9">
      <x:c r="A9" s="72" t="str">
        <x:f>IF(OR(C9="",D9=""),"",B9&amp;"-"&amp;UPPER(C9)&amp;"-"&amp;TEXT(D9,"0000")&amp;"-"&amp;E9)</x:f>
      </x:c>
      <x:c r="B9" s="74" t="str">
        <x:v>M20</x:v>
      </x:c>
      <x:c r="C9" s="74"/>
      <x:c r="D9" s="79"/>
      <x:c r="E9" s="74" t="str">
        <x:v>V1.0</x:v>
      </x:c>
      <x:c r="F9" s="68"/>
      <x:c r="G9" s="68"/>
      <x:c r="H9" s="82"/>
      <x:c r="I9" s="68"/>
      <x:c r="J9" s="68"/>
      <x:c r="K9" s="82"/>
      <x:c r="L9" s="68"/>
      <x:c r="M9" s="68"/>
      <x:c r="N9" s="68"/>
      <x:c r="O9" s="68"/>
      <x:c r="P9" s="68"/>
      <x:c r="Q9" s="68"/>
      <x:c r="R9" s="68"/>
      <x:c r="S9" s="68"/>
      <x:c r="T9" s="82"/>
      <x:c r="U9" s="68"/>
      <x:c r="V9" s="68"/>
      <x:c r="W9" s="68"/>
      <x:c r="X9" s="82"/>
      <x:c r="Y9" s="68"/>
      <x:c r="Z9" s="68"/>
      <x:c r="AA9" s="87"/>
      <x:c r="AB9" s="68"/>
      <x:c r="AC9" s="68"/>
    </x:row>
    <x:row r="10">
      <x:c r="A10" s="72" t="str">
        <x:f>IF(OR(C10="",D10=""),"",B10&amp;"-"&amp;UPPER(C10)&amp;"-"&amp;TEXT(D10,"0000")&amp;"-"&amp;E10)</x:f>
      </x:c>
      <x:c r="B10" s="74" t="str">
        <x:v>M20</x:v>
      </x:c>
      <x:c r="C10" s="74"/>
      <x:c r="D10" s="79"/>
      <x:c r="E10" s="74" t="str">
        <x:v>V1.0</x:v>
      </x:c>
      <x:c r="F10" s="68"/>
      <x:c r="G10" s="68"/>
      <x:c r="H10" s="82"/>
      <x:c r="I10" s="68"/>
      <x:c r="J10" s="68"/>
      <x:c r="K10" s="82"/>
      <x:c r="L10" s="68"/>
      <x:c r="M10" s="68"/>
      <x:c r="N10" s="68"/>
      <x:c r="O10" s="68"/>
      <x:c r="P10" s="68"/>
      <x:c r="Q10" s="68"/>
      <x:c r="R10" s="68"/>
      <x:c r="S10" s="68"/>
      <x:c r="T10" s="82"/>
      <x:c r="U10" s="68"/>
      <x:c r="V10" s="68"/>
      <x:c r="W10" s="68"/>
      <x:c r="X10" s="82"/>
      <x:c r="Y10" s="68"/>
      <x:c r="Z10" s="68"/>
      <x:c r="AA10" s="87"/>
      <x:c r="AB10" s="68"/>
      <x:c r="AC10" s="68"/>
    </x:row>
    <x:row r="11">
      <x:c r="A11" s="72" t="str">
        <x:f>IF(OR(C11="",D11=""),"",B11&amp;"-"&amp;UPPER(C11)&amp;"-"&amp;TEXT(D11,"0000")&amp;"-"&amp;E11)</x:f>
      </x:c>
      <x:c r="B11" s="74" t="str">
        <x:v>M20</x:v>
      </x:c>
      <x:c r="C11" s="74"/>
      <x:c r="D11" s="79"/>
      <x:c r="E11" s="74" t="str">
        <x:v>V1.0</x:v>
      </x:c>
      <x:c r="F11" s="68"/>
      <x:c r="G11" s="68"/>
      <x:c r="H11" s="82"/>
      <x:c r="I11" s="68"/>
      <x:c r="J11" s="68"/>
      <x:c r="K11" s="82"/>
      <x:c r="L11" s="68"/>
      <x:c r="M11" s="68"/>
      <x:c r="N11" s="68"/>
      <x:c r="O11" s="68"/>
      <x:c r="P11" s="68"/>
      <x:c r="Q11" s="68"/>
      <x:c r="R11" s="68"/>
      <x:c r="S11" s="68"/>
      <x:c r="T11" s="82"/>
      <x:c r="U11" s="68"/>
      <x:c r="V11" s="68"/>
      <x:c r="W11" s="68"/>
      <x:c r="X11" s="82"/>
      <x:c r="Y11" s="68"/>
      <x:c r="Z11" s="68"/>
      <x:c r="AA11" s="87"/>
      <x:c r="AB11" s="68"/>
      <x:c r="AC11" s="68"/>
    </x:row>
    <x:row r="12">
      <x:c r="A12" s="72" t="str">
        <x:f>IF(OR(C12="",D12=""),"",B12&amp;"-"&amp;UPPER(C12)&amp;"-"&amp;TEXT(D12,"0000")&amp;"-"&amp;E12)</x:f>
      </x:c>
      <x:c r="B12" s="74" t="str">
        <x:v>M20</x:v>
      </x:c>
      <x:c r="C12" s="74"/>
      <x:c r="D12" s="79"/>
      <x:c r="E12" s="74" t="str">
        <x:v>V1.0</x:v>
      </x:c>
      <x:c r="F12" s="68"/>
      <x:c r="G12" s="68"/>
      <x:c r="H12" s="82"/>
      <x:c r="I12" s="68"/>
      <x:c r="J12" s="68"/>
      <x:c r="K12" s="82"/>
      <x:c r="L12" s="68"/>
      <x:c r="M12" s="68"/>
      <x:c r="N12" s="68"/>
      <x:c r="O12" s="68"/>
      <x:c r="P12" s="68"/>
      <x:c r="Q12" s="68"/>
      <x:c r="R12" s="68"/>
      <x:c r="S12" s="68"/>
      <x:c r="T12" s="82"/>
      <x:c r="U12" s="68"/>
      <x:c r="V12" s="68"/>
      <x:c r="W12" s="68"/>
      <x:c r="X12" s="82"/>
      <x:c r="Y12" s="68"/>
      <x:c r="Z12" s="68"/>
      <x:c r="AA12" s="87"/>
      <x:c r="AB12" s="68"/>
      <x:c r="AC12" s="68"/>
    </x:row>
    <x:row r="13">
      <x:c r="A13" s="72" t="str">
        <x:f>IF(OR(C13="",D13=""),"",B13&amp;"-"&amp;UPPER(C13)&amp;"-"&amp;TEXT(D13,"0000")&amp;"-"&amp;E13)</x:f>
      </x:c>
      <x:c r="B13" s="74" t="str">
        <x:v>M20</x:v>
      </x:c>
      <x:c r="C13" s="74"/>
      <x:c r="D13" s="79"/>
      <x:c r="E13" s="74" t="str">
        <x:v>V1.0</x:v>
      </x:c>
      <x:c r="F13" s="68"/>
      <x:c r="G13" s="68"/>
      <x:c r="H13" s="82"/>
      <x:c r="I13" s="68"/>
      <x:c r="J13" s="68"/>
      <x:c r="K13" s="82"/>
      <x:c r="L13" s="68"/>
      <x:c r="M13" s="68"/>
      <x:c r="N13" s="68"/>
      <x:c r="O13" s="68"/>
      <x:c r="P13" s="68"/>
      <x:c r="Q13" s="68"/>
      <x:c r="R13" s="68"/>
      <x:c r="S13" s="68"/>
      <x:c r="T13" s="82"/>
      <x:c r="U13" s="68"/>
      <x:c r="V13" s="68"/>
      <x:c r="W13" s="68"/>
      <x:c r="X13" s="82"/>
      <x:c r="Y13" s="68"/>
      <x:c r="Z13" s="68"/>
      <x:c r="AA13" s="87"/>
      <x:c r="AB13" s="68"/>
      <x:c r="AC13" s="68"/>
    </x:row>
    <x:row r="14">
      <x:c r="A14" s="72" t="str">
        <x:f>IF(OR(C14="",D14=""),"",B14&amp;"-"&amp;UPPER(C14)&amp;"-"&amp;TEXT(D14,"0000")&amp;"-"&amp;E14)</x:f>
      </x:c>
      <x:c r="B14" s="74" t="str">
        <x:v>M20</x:v>
      </x:c>
      <x:c r="C14" s="74"/>
      <x:c r="D14" s="79"/>
      <x:c r="E14" s="74" t="str">
        <x:v>V1.0</x:v>
      </x:c>
      <x:c r="F14" s="68"/>
      <x:c r="G14" s="68"/>
      <x:c r="H14" s="82"/>
      <x:c r="I14" s="68"/>
      <x:c r="J14" s="68"/>
      <x:c r="K14" s="82"/>
      <x:c r="L14" s="68"/>
      <x:c r="M14" s="68"/>
      <x:c r="N14" s="68"/>
      <x:c r="O14" s="68"/>
      <x:c r="P14" s="68"/>
      <x:c r="Q14" s="68"/>
      <x:c r="R14" s="68"/>
      <x:c r="S14" s="68"/>
      <x:c r="T14" s="82"/>
      <x:c r="U14" s="68"/>
      <x:c r="V14" s="68"/>
      <x:c r="W14" s="68"/>
      <x:c r="X14" s="82"/>
      <x:c r="Y14" s="68"/>
      <x:c r="Z14" s="68"/>
      <x:c r="AA14" s="87"/>
      <x:c r="AB14" s="68"/>
      <x:c r="AC14" s="68"/>
    </x:row>
    <x:row r="15">
      <x:c r="A15" s="72" t="str">
        <x:f>IF(OR(C15="",D15=""),"",B15&amp;"-"&amp;UPPER(C15)&amp;"-"&amp;TEXT(D15,"0000")&amp;"-"&amp;E15)</x:f>
      </x:c>
      <x:c r="B15" s="74" t="str">
        <x:v>M20</x:v>
      </x:c>
      <x:c r="C15" s="74"/>
      <x:c r="D15" s="79"/>
      <x:c r="E15" s="74" t="str">
        <x:v>V1.0</x:v>
      </x:c>
      <x:c r="F15" s="68"/>
      <x:c r="G15" s="68"/>
      <x:c r="H15" s="82"/>
      <x:c r="I15" s="68"/>
      <x:c r="J15" s="68"/>
      <x:c r="K15" s="82"/>
      <x:c r="L15" s="68"/>
      <x:c r="M15" s="68"/>
      <x:c r="N15" s="68"/>
      <x:c r="O15" s="68"/>
      <x:c r="P15" s="68"/>
      <x:c r="Q15" s="68"/>
      <x:c r="R15" s="68"/>
      <x:c r="S15" s="68"/>
      <x:c r="T15" s="82"/>
      <x:c r="U15" s="68"/>
      <x:c r="V15" s="68"/>
      <x:c r="W15" s="68"/>
      <x:c r="X15" s="82"/>
      <x:c r="Y15" s="68"/>
      <x:c r="Z15" s="68"/>
      <x:c r="AA15" s="87"/>
      <x:c r="AB15" s="68"/>
      <x:c r="AC15" s="68"/>
    </x:row>
    <x:row r="16">
      <x:c r="A16" s="72" t="str">
        <x:f>IF(OR(C16="",D16=""),"",B16&amp;"-"&amp;UPPER(C16)&amp;"-"&amp;TEXT(D16,"0000")&amp;"-"&amp;E16)</x:f>
      </x:c>
      <x:c r="B16" s="74" t="str">
        <x:v>M20</x:v>
      </x:c>
      <x:c r="C16" s="74"/>
      <x:c r="D16" s="79"/>
      <x:c r="E16" s="74" t="str">
        <x:v>V1.0</x:v>
      </x:c>
      <x:c r="F16" s="68"/>
      <x:c r="G16" s="68"/>
      <x:c r="H16" s="82"/>
      <x:c r="I16" s="68"/>
      <x:c r="J16" s="68"/>
      <x:c r="K16" s="82"/>
      <x:c r="L16" s="68"/>
      <x:c r="M16" s="68"/>
      <x:c r="N16" s="68"/>
      <x:c r="O16" s="68"/>
      <x:c r="P16" s="68"/>
      <x:c r="Q16" s="68"/>
      <x:c r="R16" s="68"/>
      <x:c r="S16" s="68"/>
      <x:c r="T16" s="82"/>
      <x:c r="U16" s="68"/>
      <x:c r="V16" s="68"/>
      <x:c r="W16" s="68"/>
      <x:c r="X16" s="82"/>
      <x:c r="Y16" s="68"/>
      <x:c r="Z16" s="68"/>
      <x:c r="AA16" s="87"/>
      <x:c r="AB16" s="68"/>
      <x:c r="AC16" s="68"/>
    </x:row>
    <x:row r="17">
      <x:c r="A17" s="72" t="str">
        <x:f>IF(OR(C17="",D17=""),"",B17&amp;"-"&amp;UPPER(C17)&amp;"-"&amp;TEXT(D17,"0000")&amp;"-"&amp;E17)</x:f>
      </x:c>
      <x:c r="B17" s="74" t="str">
        <x:v>M20</x:v>
      </x:c>
      <x:c r="C17" s="74"/>
      <x:c r="D17" s="79"/>
      <x:c r="E17" s="74" t="str">
        <x:v>V1.0</x:v>
      </x:c>
      <x:c r="F17" s="68"/>
      <x:c r="G17" s="68"/>
      <x:c r="H17" s="82"/>
      <x:c r="I17" s="68"/>
      <x:c r="J17" s="68"/>
      <x:c r="K17" s="82"/>
      <x:c r="L17" s="68"/>
      <x:c r="M17" s="68"/>
      <x:c r="N17" s="68"/>
      <x:c r="O17" s="68"/>
      <x:c r="P17" s="68"/>
      <x:c r="Q17" s="68"/>
      <x:c r="R17" s="68"/>
      <x:c r="S17" s="68"/>
      <x:c r="T17" s="82"/>
      <x:c r="U17" s="68"/>
      <x:c r="V17" s="68"/>
      <x:c r="W17" s="68"/>
      <x:c r="X17" s="82"/>
      <x:c r="Y17" s="68"/>
      <x:c r="Z17" s="68"/>
      <x:c r="AA17" s="87"/>
      <x:c r="AB17" s="68"/>
      <x:c r="AC17" s="68"/>
    </x:row>
    <x:row r="18">
      <x:c r="A18" s="72" t="str">
        <x:f>IF(OR(C18="",D18=""),"",B18&amp;"-"&amp;UPPER(C18)&amp;"-"&amp;TEXT(D18,"0000")&amp;"-"&amp;E18)</x:f>
      </x:c>
      <x:c r="B18" s="74" t="str">
        <x:v>M20</x:v>
      </x:c>
      <x:c r="C18" s="74"/>
      <x:c r="D18" s="79"/>
      <x:c r="E18" s="74" t="str">
        <x:v>V1.0</x:v>
      </x:c>
      <x:c r="F18" s="68"/>
      <x:c r="G18" s="68"/>
      <x:c r="H18" s="82"/>
      <x:c r="I18" s="68"/>
      <x:c r="J18" s="68"/>
      <x:c r="K18" s="82"/>
      <x:c r="L18" s="68"/>
      <x:c r="M18" s="68"/>
      <x:c r="N18" s="68"/>
      <x:c r="O18" s="68"/>
      <x:c r="P18" s="68"/>
      <x:c r="Q18" s="68"/>
      <x:c r="R18" s="68"/>
      <x:c r="S18" s="68"/>
      <x:c r="T18" s="82"/>
      <x:c r="U18" s="68"/>
      <x:c r="V18" s="68"/>
      <x:c r="W18" s="68"/>
      <x:c r="X18" s="82"/>
      <x:c r="Y18" s="68"/>
      <x:c r="Z18" s="68"/>
      <x:c r="AA18" s="87"/>
      <x:c r="AB18" s="68"/>
      <x:c r="AC18" s="68"/>
    </x:row>
    <x:row r="19">
      <x:c r="A19" s="72" t="str">
        <x:f>IF(OR(C19="",D19=""),"",B19&amp;"-"&amp;UPPER(C19)&amp;"-"&amp;TEXT(D19,"0000")&amp;"-"&amp;E19)</x:f>
      </x:c>
      <x:c r="B19" s="74" t="str">
        <x:v>M20</x:v>
      </x:c>
      <x:c r="C19" s="74"/>
      <x:c r="D19" s="79"/>
      <x:c r="E19" s="74" t="str">
        <x:v>V1.0</x:v>
      </x:c>
      <x:c r="F19" s="68"/>
      <x:c r="G19" s="68"/>
      <x:c r="H19" s="82"/>
      <x:c r="I19" s="68"/>
      <x:c r="J19" s="68"/>
      <x:c r="K19" s="82"/>
      <x:c r="L19" s="68"/>
      <x:c r="M19" s="68"/>
      <x:c r="N19" s="68"/>
      <x:c r="O19" s="68"/>
      <x:c r="P19" s="68"/>
      <x:c r="Q19" s="68"/>
      <x:c r="R19" s="68"/>
      <x:c r="S19" s="68"/>
      <x:c r="T19" s="82"/>
      <x:c r="U19" s="68"/>
      <x:c r="V19" s="68"/>
      <x:c r="W19" s="68"/>
      <x:c r="X19" s="82"/>
      <x:c r="Y19" s="68"/>
      <x:c r="Z19" s="68"/>
      <x:c r="AA19" s="87"/>
      <x:c r="AB19" s="68"/>
      <x:c r="AC19" s="68"/>
    </x:row>
    <x:row r="20">
      <x:c r="A20" s="72" t="str">
        <x:f>IF(OR(C20="",D20=""),"",B20&amp;"-"&amp;UPPER(C20)&amp;"-"&amp;TEXT(D20,"0000")&amp;"-"&amp;E20)</x:f>
      </x:c>
      <x:c r="B20" s="74" t="str">
        <x:v>M20</x:v>
      </x:c>
      <x:c r="C20" s="74"/>
      <x:c r="D20" s="79"/>
      <x:c r="E20" s="74" t="str">
        <x:v>V1.0</x:v>
      </x:c>
      <x:c r="F20" s="68"/>
      <x:c r="G20" s="68"/>
      <x:c r="H20" s="82"/>
      <x:c r="I20" s="68"/>
      <x:c r="J20" s="68"/>
      <x:c r="K20" s="82"/>
      <x:c r="L20" s="68"/>
      <x:c r="M20" s="68"/>
      <x:c r="N20" s="68"/>
      <x:c r="O20" s="68"/>
      <x:c r="P20" s="68"/>
      <x:c r="Q20" s="68"/>
      <x:c r="R20" s="68"/>
      <x:c r="S20" s="68"/>
      <x:c r="T20" s="82"/>
      <x:c r="U20" s="68"/>
      <x:c r="V20" s="68"/>
      <x:c r="W20" s="68"/>
      <x:c r="X20" s="82"/>
      <x:c r="Y20" s="68"/>
      <x:c r="Z20" s="68"/>
      <x:c r="AA20" s="87"/>
      <x:c r="AB20" s="68"/>
      <x:c r="AC20" s="68"/>
    </x:row>
    <x:row r="21">
      <x:c r="A21" s="72" t="str">
        <x:f>IF(OR(C21="",D21=""),"",B21&amp;"-"&amp;UPPER(C21)&amp;"-"&amp;TEXT(D21,"0000")&amp;"-"&amp;E21)</x:f>
      </x:c>
      <x:c r="B21" s="74" t="str">
        <x:v>M20</x:v>
      </x:c>
      <x:c r="C21" s="74"/>
      <x:c r="D21" s="79"/>
      <x:c r="E21" s="74" t="str">
        <x:v>V1.0</x:v>
      </x:c>
      <x:c r="F21" s="68"/>
      <x:c r="G21" s="68"/>
      <x:c r="H21" s="82"/>
      <x:c r="I21" s="68"/>
      <x:c r="J21" s="68"/>
      <x:c r="K21" s="82"/>
      <x:c r="L21" s="68"/>
      <x:c r="M21" s="68"/>
      <x:c r="N21" s="68"/>
      <x:c r="O21" s="68"/>
      <x:c r="P21" s="68"/>
      <x:c r="Q21" s="68"/>
      <x:c r="R21" s="68"/>
      <x:c r="S21" s="68"/>
      <x:c r="T21" s="82"/>
      <x:c r="U21" s="68"/>
      <x:c r="V21" s="68"/>
      <x:c r="W21" s="68"/>
      <x:c r="X21" s="82"/>
      <x:c r="Y21" s="68"/>
      <x:c r="Z21" s="68"/>
      <x:c r="AA21" s="87"/>
      <x:c r="AB21" s="68"/>
      <x:c r="AC21" s="68"/>
    </x:row>
    <x:row r="22">
      <x:c r="A22" s="72" t="str">
        <x:f>IF(OR(C22="",D22=""),"",B22&amp;"-"&amp;UPPER(C22)&amp;"-"&amp;TEXT(D22,"0000")&amp;"-"&amp;E22)</x:f>
      </x:c>
      <x:c r="B22" s="74" t="str">
        <x:v>M20</x:v>
      </x:c>
      <x:c r="C22" s="74"/>
      <x:c r="D22" s="79"/>
      <x:c r="E22" s="74" t="str">
        <x:v>V1.0</x:v>
      </x:c>
      <x:c r="F22" s="68"/>
      <x:c r="G22" s="68"/>
      <x:c r="H22" s="82"/>
      <x:c r="I22" s="68"/>
      <x:c r="J22" s="68"/>
      <x:c r="K22" s="82"/>
      <x:c r="L22" s="68"/>
      <x:c r="M22" s="68"/>
      <x:c r="N22" s="68"/>
      <x:c r="O22" s="68"/>
      <x:c r="P22" s="68"/>
      <x:c r="Q22" s="68"/>
      <x:c r="R22" s="68"/>
      <x:c r="S22" s="68"/>
      <x:c r="T22" s="82"/>
      <x:c r="U22" s="68"/>
      <x:c r="V22" s="68"/>
      <x:c r="W22" s="68"/>
      <x:c r="X22" s="82"/>
      <x:c r="Y22" s="68"/>
      <x:c r="Z22" s="68"/>
      <x:c r="AA22" s="87"/>
      <x:c r="AB22" s="68"/>
      <x:c r="AC22" s="68"/>
    </x:row>
    <x:row r="23">
      <x:c r="A23" s="72" t="str">
        <x:f>IF(OR(C23="",D23=""),"",B23&amp;"-"&amp;UPPER(C23)&amp;"-"&amp;TEXT(D23,"0000")&amp;"-"&amp;E23)</x:f>
      </x:c>
      <x:c r="B23" s="74" t="str">
        <x:v>M20</x:v>
      </x:c>
      <x:c r="C23" s="74"/>
      <x:c r="D23" s="79"/>
      <x:c r="E23" s="74" t="str">
        <x:v>V1.0</x:v>
      </x:c>
      <x:c r="F23" s="68"/>
      <x:c r="G23" s="68"/>
      <x:c r="H23" s="82"/>
      <x:c r="I23" s="68"/>
      <x:c r="J23" s="68"/>
      <x:c r="K23" s="82"/>
      <x:c r="L23" s="68"/>
      <x:c r="M23" s="68"/>
      <x:c r="N23" s="68"/>
      <x:c r="O23" s="68"/>
      <x:c r="P23" s="68"/>
      <x:c r="Q23" s="68"/>
      <x:c r="R23" s="68"/>
      <x:c r="S23" s="68"/>
      <x:c r="T23" s="82"/>
      <x:c r="U23" s="68"/>
      <x:c r="V23" s="68"/>
      <x:c r="W23" s="68"/>
      <x:c r="X23" s="82"/>
      <x:c r="Y23" s="68"/>
      <x:c r="Z23" s="68"/>
      <x:c r="AA23" s="87"/>
      <x:c r="AB23" s="68"/>
      <x:c r="AC23" s="68"/>
    </x:row>
    <x:row r="24">
      <x:c r="A24" s="72" t="str">
        <x:f>IF(OR(C24="",D24=""),"",B24&amp;"-"&amp;UPPER(C24)&amp;"-"&amp;TEXT(D24,"0000")&amp;"-"&amp;E24)</x:f>
      </x:c>
      <x:c r="B24" s="74" t="str">
        <x:v>M20</x:v>
      </x:c>
      <x:c r="C24" s="74"/>
      <x:c r="D24" s="79"/>
      <x:c r="E24" s="74" t="str">
        <x:v>V1.0</x:v>
      </x:c>
      <x:c r="F24" s="68"/>
      <x:c r="G24" s="68"/>
      <x:c r="H24" s="82"/>
      <x:c r="I24" s="68"/>
      <x:c r="J24" s="68"/>
      <x:c r="K24" s="82"/>
      <x:c r="L24" s="68"/>
      <x:c r="M24" s="68"/>
      <x:c r="N24" s="68"/>
      <x:c r="O24" s="68"/>
      <x:c r="P24" s="68"/>
      <x:c r="Q24" s="68"/>
      <x:c r="R24" s="68"/>
      <x:c r="S24" s="68"/>
      <x:c r="T24" s="82"/>
      <x:c r="U24" s="68"/>
      <x:c r="V24" s="68"/>
      <x:c r="W24" s="68"/>
      <x:c r="X24" s="82"/>
      <x:c r="Y24" s="68"/>
      <x:c r="Z24" s="68"/>
      <x:c r="AA24" s="87"/>
      <x:c r="AB24" s="68"/>
      <x:c r="AC24" s="68"/>
    </x:row>
    <x:row r="25">
      <x:c r="A25" s="72" t="str">
        <x:f>IF(OR(C25="",D25=""),"",B25&amp;"-"&amp;UPPER(C25)&amp;"-"&amp;TEXT(D25,"0000")&amp;"-"&amp;E25)</x:f>
      </x:c>
      <x:c r="B25" s="74" t="str">
        <x:v>M20</x:v>
      </x:c>
      <x:c r="C25" s="74"/>
      <x:c r="D25" s="79"/>
      <x:c r="E25" s="74" t="str">
        <x:v>V1.0</x:v>
      </x:c>
      <x:c r="F25" s="68"/>
      <x:c r="G25" s="68"/>
      <x:c r="H25" s="82"/>
      <x:c r="I25" s="68"/>
      <x:c r="J25" s="68"/>
      <x:c r="K25" s="82"/>
      <x:c r="L25" s="68"/>
      <x:c r="M25" s="68"/>
      <x:c r="N25" s="68"/>
      <x:c r="O25" s="68"/>
      <x:c r="P25" s="68"/>
      <x:c r="Q25" s="68"/>
      <x:c r="R25" s="68"/>
      <x:c r="S25" s="68"/>
      <x:c r="T25" s="82"/>
      <x:c r="U25" s="68"/>
      <x:c r="V25" s="68"/>
      <x:c r="W25" s="68"/>
      <x:c r="X25" s="82"/>
      <x:c r="Y25" s="68"/>
      <x:c r="Z25" s="68"/>
      <x:c r="AA25" s="87"/>
      <x:c r="AB25" s="68"/>
      <x:c r="AC25" s="68"/>
    </x:row>
    <x:row r="26">
      <x:c r="A26" s="72" t="str">
        <x:f>IF(OR(C26="",D26=""),"",B26&amp;"-"&amp;UPPER(C26)&amp;"-"&amp;TEXT(D26,"0000")&amp;"-"&amp;E26)</x:f>
      </x:c>
      <x:c r="B26" s="74" t="str">
        <x:v>M20</x:v>
      </x:c>
      <x:c r="C26" s="74"/>
      <x:c r="D26" s="79"/>
      <x:c r="E26" s="74" t="str">
        <x:v>V1.0</x:v>
      </x:c>
      <x:c r="F26" s="68"/>
      <x:c r="G26" s="68"/>
      <x:c r="H26" s="82"/>
      <x:c r="I26" s="68"/>
      <x:c r="J26" s="68"/>
      <x:c r="K26" s="82"/>
      <x:c r="L26" s="68"/>
      <x:c r="M26" s="68"/>
      <x:c r="N26" s="68"/>
      <x:c r="O26" s="68"/>
      <x:c r="P26" s="68"/>
      <x:c r="Q26" s="68"/>
      <x:c r="R26" s="68"/>
      <x:c r="S26" s="68"/>
      <x:c r="T26" s="82"/>
      <x:c r="U26" s="68"/>
      <x:c r="V26" s="68"/>
      <x:c r="W26" s="68"/>
      <x:c r="X26" s="82"/>
      <x:c r="Y26" s="68"/>
      <x:c r="Z26" s="68"/>
      <x:c r="AA26" s="87"/>
      <x:c r="AB26" s="68"/>
      <x:c r="AC26" s="68"/>
    </x:row>
    <x:row r="27">
      <x:c r="A27" s="72" t="str">
        <x:f>IF(OR(C27="",D27=""),"",B27&amp;"-"&amp;UPPER(C27)&amp;"-"&amp;TEXT(D27,"0000")&amp;"-"&amp;E27)</x:f>
      </x:c>
      <x:c r="B27" s="74" t="str">
        <x:v>M20</x:v>
      </x:c>
      <x:c r="C27" s="74"/>
      <x:c r="D27" s="79"/>
      <x:c r="E27" s="74" t="str">
        <x:v>V1.0</x:v>
      </x:c>
      <x:c r="F27" s="68"/>
      <x:c r="G27" s="68"/>
      <x:c r="H27" s="82"/>
      <x:c r="I27" s="68"/>
      <x:c r="J27" s="68"/>
      <x:c r="K27" s="82"/>
      <x:c r="L27" s="68"/>
      <x:c r="M27" s="68"/>
      <x:c r="N27" s="68"/>
      <x:c r="O27" s="68"/>
      <x:c r="P27" s="68"/>
      <x:c r="Q27" s="68"/>
      <x:c r="R27" s="68"/>
      <x:c r="S27" s="68"/>
      <x:c r="T27" s="82"/>
      <x:c r="U27" s="68"/>
      <x:c r="V27" s="68"/>
      <x:c r="W27" s="68"/>
      <x:c r="X27" s="82"/>
      <x:c r="Y27" s="68"/>
      <x:c r="Z27" s="68"/>
      <x:c r="AA27" s="87"/>
      <x:c r="AB27" s="68"/>
      <x:c r="AC27" s="68"/>
    </x:row>
    <x:row r="28">
      <x:c r="A28" s="72" t="str">
        <x:f>IF(OR(C28="",D28=""),"",B28&amp;"-"&amp;UPPER(C28)&amp;"-"&amp;TEXT(D28,"0000")&amp;"-"&amp;E28)</x:f>
      </x:c>
      <x:c r="B28" s="74" t="str">
        <x:v>M20</x:v>
      </x:c>
      <x:c r="C28" s="74"/>
      <x:c r="D28" s="79"/>
      <x:c r="E28" s="74" t="str">
        <x:v>V1.0</x:v>
      </x:c>
      <x:c r="F28" s="68"/>
      <x:c r="G28" s="68"/>
      <x:c r="H28" s="82"/>
      <x:c r="I28" s="68"/>
      <x:c r="J28" s="68"/>
      <x:c r="K28" s="82"/>
      <x:c r="L28" s="68"/>
      <x:c r="M28" s="68"/>
      <x:c r="N28" s="68"/>
      <x:c r="O28" s="68"/>
      <x:c r="P28" s="68"/>
      <x:c r="Q28" s="68"/>
      <x:c r="R28" s="68"/>
      <x:c r="S28" s="68"/>
      <x:c r="T28" s="82"/>
      <x:c r="U28" s="68"/>
      <x:c r="V28" s="68"/>
      <x:c r="W28" s="68"/>
      <x:c r="X28" s="82"/>
      <x:c r="Y28" s="68"/>
      <x:c r="Z28" s="68"/>
      <x:c r="AA28" s="87"/>
      <x:c r="AB28" s="68"/>
      <x:c r="AC28" s="68"/>
    </x:row>
    <x:row r="29">
      <x:c r="A29" s="72" t="str">
        <x:f>IF(OR(C29="",D29=""),"",B29&amp;"-"&amp;UPPER(C29)&amp;"-"&amp;TEXT(D29,"0000")&amp;"-"&amp;E29)</x:f>
      </x:c>
      <x:c r="B29" s="74" t="str">
        <x:v>M20</x:v>
      </x:c>
      <x:c r="C29" s="74"/>
      <x:c r="D29" s="79"/>
      <x:c r="E29" s="74" t="str">
        <x:v>V1.0</x:v>
      </x:c>
      <x:c r="F29" s="68"/>
      <x:c r="G29" s="68"/>
      <x:c r="H29" s="82"/>
      <x:c r="I29" s="68"/>
      <x:c r="J29" s="68"/>
      <x:c r="K29" s="82"/>
      <x:c r="L29" s="68"/>
      <x:c r="M29" s="68"/>
      <x:c r="N29" s="68"/>
      <x:c r="O29" s="68"/>
      <x:c r="P29" s="68"/>
      <x:c r="Q29" s="68"/>
      <x:c r="R29" s="68"/>
      <x:c r="S29" s="68"/>
      <x:c r="T29" s="82"/>
      <x:c r="U29" s="68"/>
      <x:c r="V29" s="68"/>
      <x:c r="W29" s="68"/>
      <x:c r="X29" s="82"/>
      <x:c r="Y29" s="68"/>
      <x:c r="Z29" s="68"/>
      <x:c r="AA29" s="87"/>
      <x:c r="AB29" s="68"/>
      <x:c r="AC29" s="68"/>
    </x:row>
    <x:row r="30">
      <x:c r="A30" s="72" t="str">
        <x:f>IF(OR(C30="",D30=""),"",B30&amp;"-"&amp;UPPER(C30)&amp;"-"&amp;TEXT(D30,"0000")&amp;"-"&amp;E30)</x:f>
      </x:c>
      <x:c r="B30" s="74" t="str">
        <x:v>M20</x:v>
      </x:c>
      <x:c r="C30" s="74"/>
      <x:c r="D30" s="79"/>
      <x:c r="E30" s="74" t="str">
        <x:v>V1.0</x:v>
      </x:c>
      <x:c r="F30" s="68"/>
      <x:c r="G30" s="68"/>
      <x:c r="H30" s="82"/>
      <x:c r="I30" s="68"/>
      <x:c r="J30" s="68"/>
      <x:c r="K30" s="82"/>
      <x:c r="L30" s="68"/>
      <x:c r="M30" s="68"/>
      <x:c r="N30" s="68"/>
      <x:c r="O30" s="68"/>
      <x:c r="P30" s="68"/>
      <x:c r="Q30" s="68"/>
      <x:c r="R30" s="68"/>
      <x:c r="S30" s="68"/>
      <x:c r="T30" s="82"/>
      <x:c r="U30" s="68"/>
      <x:c r="V30" s="68"/>
      <x:c r="W30" s="68"/>
      <x:c r="X30" s="82"/>
      <x:c r="Y30" s="68"/>
      <x:c r="Z30" s="68"/>
      <x:c r="AA30" s="87"/>
      <x:c r="AB30" s="68"/>
      <x:c r="AC30" s="68"/>
    </x:row>
    <x:row r="31">
      <x:c r="A31" s="72" t="str">
        <x:f>IF(OR(C31="",D31=""),"",B31&amp;"-"&amp;UPPER(C31)&amp;"-"&amp;TEXT(D31,"0000")&amp;"-"&amp;E31)</x:f>
      </x:c>
      <x:c r="B31" s="74" t="str">
        <x:v>M20</x:v>
      </x:c>
      <x:c r="C31" s="74"/>
      <x:c r="D31" s="79"/>
      <x:c r="E31" s="74" t="str">
        <x:v>V1.0</x:v>
      </x:c>
      <x:c r="F31" s="68"/>
      <x:c r="G31" s="68"/>
      <x:c r="H31" s="82"/>
      <x:c r="I31" s="68"/>
      <x:c r="J31" s="68"/>
      <x:c r="K31" s="82"/>
      <x:c r="L31" s="68"/>
      <x:c r="M31" s="68"/>
      <x:c r="N31" s="68"/>
      <x:c r="O31" s="68"/>
      <x:c r="P31" s="68"/>
      <x:c r="Q31" s="68"/>
      <x:c r="R31" s="68"/>
      <x:c r="S31" s="68"/>
      <x:c r="T31" s="82"/>
      <x:c r="U31" s="68"/>
      <x:c r="V31" s="68"/>
      <x:c r="W31" s="68"/>
      <x:c r="X31" s="82"/>
      <x:c r="Y31" s="68"/>
      <x:c r="Z31" s="68"/>
      <x:c r="AA31" s="87"/>
      <x:c r="AB31" s="68"/>
      <x:c r="AC31" s="68"/>
    </x:row>
    <x:row r="32">
      <x:c r="A32" s="72" t="str">
        <x:f>IF(OR(C32="",D32=""),"",B32&amp;"-"&amp;UPPER(C32)&amp;"-"&amp;TEXT(D32,"0000")&amp;"-"&amp;E32)</x:f>
      </x:c>
      <x:c r="B32" s="74" t="str">
        <x:v>M20</x:v>
      </x:c>
      <x:c r="C32" s="74"/>
      <x:c r="D32" s="79"/>
      <x:c r="E32" s="74" t="str">
        <x:v>V1.0</x:v>
      </x:c>
      <x:c r="F32" s="68"/>
      <x:c r="G32" s="68"/>
      <x:c r="H32" s="82"/>
      <x:c r="I32" s="68"/>
      <x:c r="J32" s="68"/>
      <x:c r="K32" s="82"/>
      <x:c r="L32" s="68"/>
      <x:c r="M32" s="68"/>
      <x:c r="N32" s="68"/>
      <x:c r="O32" s="68"/>
      <x:c r="P32" s="68"/>
      <x:c r="Q32" s="68"/>
      <x:c r="R32" s="68"/>
      <x:c r="S32" s="68"/>
      <x:c r="T32" s="82"/>
      <x:c r="U32" s="68"/>
      <x:c r="V32" s="68"/>
      <x:c r="W32" s="68"/>
      <x:c r="X32" s="82"/>
      <x:c r="Y32" s="68"/>
      <x:c r="Z32" s="68"/>
      <x:c r="AA32" s="87"/>
      <x:c r="AB32" s="68"/>
      <x:c r="AC32" s="68"/>
    </x:row>
    <x:row r="33">
      <x:c r="A33" s="72" t="str">
        <x:f>IF(OR(C33="",D33=""),"",B33&amp;"-"&amp;UPPER(C33)&amp;"-"&amp;TEXT(D33,"0000")&amp;"-"&amp;E33)</x:f>
      </x:c>
      <x:c r="B33" s="74" t="str">
        <x:v>M20</x:v>
      </x:c>
      <x:c r="C33" s="74"/>
      <x:c r="D33" s="79"/>
      <x:c r="E33" s="74" t="str">
        <x:v>V1.0</x:v>
      </x:c>
      <x:c r="F33" s="68"/>
      <x:c r="G33" s="68"/>
      <x:c r="H33" s="82"/>
      <x:c r="I33" s="68"/>
      <x:c r="J33" s="68"/>
      <x:c r="K33" s="82"/>
      <x:c r="L33" s="68"/>
      <x:c r="M33" s="68"/>
      <x:c r="N33" s="68"/>
      <x:c r="O33" s="68"/>
      <x:c r="P33" s="68"/>
      <x:c r="Q33" s="68"/>
      <x:c r="R33" s="68"/>
      <x:c r="S33" s="68"/>
      <x:c r="T33" s="82"/>
      <x:c r="U33" s="68"/>
      <x:c r="V33" s="68"/>
      <x:c r="W33" s="68"/>
      <x:c r="X33" s="82"/>
      <x:c r="Y33" s="68"/>
      <x:c r="Z33" s="68"/>
      <x:c r="AA33" s="87"/>
      <x:c r="AB33" s="68"/>
      <x:c r="AC33" s="68"/>
    </x:row>
    <x:row r="34">
      <x:c r="A34" s="72" t="str">
        <x:f>IF(OR(C34="",D34=""),"",B34&amp;"-"&amp;UPPER(C34)&amp;"-"&amp;TEXT(D34,"0000")&amp;"-"&amp;E34)</x:f>
      </x:c>
      <x:c r="B34" s="74" t="str">
        <x:v>M20</x:v>
      </x:c>
      <x:c r="C34" s="74"/>
      <x:c r="D34" s="79"/>
      <x:c r="E34" s="74" t="str">
        <x:v>V1.0</x:v>
      </x:c>
      <x:c r="F34" s="68"/>
      <x:c r="G34" s="68"/>
      <x:c r="H34" s="82"/>
      <x:c r="I34" s="68"/>
      <x:c r="J34" s="68"/>
      <x:c r="K34" s="82"/>
      <x:c r="L34" s="68"/>
      <x:c r="M34" s="68"/>
      <x:c r="N34" s="68"/>
      <x:c r="O34" s="68"/>
      <x:c r="P34" s="68"/>
      <x:c r="Q34" s="68"/>
      <x:c r="R34" s="68"/>
      <x:c r="S34" s="68"/>
      <x:c r="T34" s="82"/>
      <x:c r="U34" s="68"/>
      <x:c r="V34" s="68"/>
      <x:c r="W34" s="68"/>
      <x:c r="X34" s="82"/>
      <x:c r="Y34" s="68"/>
      <x:c r="Z34" s="68"/>
      <x:c r="AA34" s="87"/>
      <x:c r="AB34" s="68"/>
      <x:c r="AC34" s="68"/>
    </x:row>
    <x:row r="35">
      <x:c r="A35" s="72" t="str">
        <x:f>IF(OR(C35="",D35=""),"",B35&amp;"-"&amp;UPPER(C35)&amp;"-"&amp;TEXT(D35,"0000")&amp;"-"&amp;E35)</x:f>
      </x:c>
      <x:c r="B35" s="74" t="str">
        <x:v>M20</x:v>
      </x:c>
      <x:c r="C35" s="74"/>
      <x:c r="D35" s="79"/>
      <x:c r="E35" s="74" t="str">
        <x:v>V1.0</x:v>
      </x:c>
      <x:c r="F35" s="68"/>
      <x:c r="G35" s="68"/>
      <x:c r="H35" s="82"/>
      <x:c r="I35" s="68"/>
      <x:c r="J35" s="68"/>
      <x:c r="K35" s="82"/>
      <x:c r="L35" s="68"/>
      <x:c r="M35" s="68"/>
      <x:c r="N35" s="68"/>
      <x:c r="O35" s="68"/>
      <x:c r="P35" s="68"/>
      <x:c r="Q35" s="68"/>
      <x:c r="R35" s="68"/>
      <x:c r="S35" s="68"/>
      <x:c r="T35" s="82"/>
      <x:c r="U35" s="68"/>
      <x:c r="V35" s="68"/>
      <x:c r="W35" s="68"/>
      <x:c r="X35" s="82"/>
      <x:c r="Y35" s="68"/>
      <x:c r="Z35" s="68"/>
      <x:c r="AA35" s="87"/>
      <x:c r="AB35" s="68"/>
      <x:c r="AC35" s="68"/>
    </x:row>
    <x:row r="36">
      <x:c r="A36" s="72" t="str">
        <x:f>IF(OR(C36="",D36=""),"",B36&amp;"-"&amp;UPPER(C36)&amp;"-"&amp;TEXT(D36,"0000")&amp;"-"&amp;E36)</x:f>
      </x:c>
      <x:c r="B36" s="74" t="str">
        <x:v>M20</x:v>
      </x:c>
      <x:c r="C36" s="74"/>
      <x:c r="D36" s="79"/>
      <x:c r="E36" s="74" t="str">
        <x:v>V1.0</x:v>
      </x:c>
      <x:c r="F36" s="68"/>
      <x:c r="G36" s="68"/>
      <x:c r="H36" s="82"/>
      <x:c r="I36" s="68"/>
      <x:c r="J36" s="68"/>
      <x:c r="K36" s="82"/>
      <x:c r="L36" s="68"/>
      <x:c r="M36" s="68"/>
      <x:c r="N36" s="68"/>
      <x:c r="O36" s="68"/>
      <x:c r="P36" s="68"/>
      <x:c r="Q36" s="68"/>
      <x:c r="R36" s="68"/>
      <x:c r="S36" s="68"/>
      <x:c r="T36" s="82"/>
      <x:c r="U36" s="68"/>
      <x:c r="V36" s="68"/>
      <x:c r="W36" s="68"/>
      <x:c r="X36" s="82"/>
      <x:c r="Y36" s="68"/>
      <x:c r="Z36" s="68"/>
      <x:c r="AA36" s="87"/>
      <x:c r="AB36" s="68"/>
      <x:c r="AC36" s="68"/>
    </x:row>
    <x:row r="37">
      <x:c r="A37" s="72" t="str">
        <x:f>IF(OR(C37="",D37=""),"",B37&amp;"-"&amp;UPPER(C37)&amp;"-"&amp;TEXT(D37,"0000")&amp;"-"&amp;E37)</x:f>
      </x:c>
      <x:c r="B37" s="74" t="str">
        <x:v>M20</x:v>
      </x:c>
      <x:c r="C37" s="74"/>
      <x:c r="D37" s="79"/>
      <x:c r="E37" s="74" t="str">
        <x:v>V1.0</x:v>
      </x:c>
      <x:c r="F37" s="68"/>
      <x:c r="G37" s="68"/>
      <x:c r="H37" s="82"/>
      <x:c r="I37" s="68"/>
      <x:c r="J37" s="68"/>
      <x:c r="K37" s="82"/>
      <x:c r="L37" s="68"/>
      <x:c r="M37" s="68"/>
      <x:c r="N37" s="68"/>
      <x:c r="O37" s="68"/>
      <x:c r="P37" s="68"/>
      <x:c r="Q37" s="68"/>
      <x:c r="R37" s="68"/>
      <x:c r="S37" s="68"/>
      <x:c r="T37" s="82"/>
      <x:c r="U37" s="68"/>
      <x:c r="V37" s="68"/>
      <x:c r="W37" s="68"/>
      <x:c r="X37" s="82"/>
      <x:c r="Y37" s="68"/>
      <x:c r="Z37" s="68"/>
      <x:c r="AA37" s="87"/>
      <x:c r="AB37" s="68"/>
      <x:c r="AC37" s="68"/>
    </x:row>
    <x:row r="38">
      <x:c r="A38" s="72" t="str">
        <x:f>IF(OR(C38="",D38=""),"",B38&amp;"-"&amp;UPPER(C38)&amp;"-"&amp;TEXT(D38,"0000")&amp;"-"&amp;E38)</x:f>
      </x:c>
      <x:c r="B38" s="74" t="str">
        <x:v>M20</x:v>
      </x:c>
      <x:c r="C38" s="74"/>
      <x:c r="D38" s="79"/>
      <x:c r="E38" s="74" t="str">
        <x:v>V1.0</x:v>
      </x:c>
      <x:c r="F38" s="68"/>
      <x:c r="G38" s="68"/>
      <x:c r="H38" s="82"/>
      <x:c r="I38" s="68"/>
      <x:c r="J38" s="68"/>
      <x:c r="K38" s="82"/>
      <x:c r="L38" s="68"/>
      <x:c r="M38" s="68"/>
      <x:c r="N38" s="68"/>
      <x:c r="O38" s="68"/>
      <x:c r="P38" s="68"/>
      <x:c r="Q38" s="68"/>
      <x:c r="R38" s="68"/>
      <x:c r="S38" s="68"/>
      <x:c r="T38" s="82"/>
      <x:c r="U38" s="68"/>
      <x:c r="V38" s="68"/>
      <x:c r="W38" s="68"/>
      <x:c r="X38" s="82"/>
      <x:c r="Y38" s="68"/>
      <x:c r="Z38" s="68"/>
      <x:c r="AA38" s="87"/>
      <x:c r="AB38" s="68"/>
      <x:c r="AC38" s="68"/>
    </x:row>
    <x:row r="39">
      <x:c r="A39" s="72" t="str">
        <x:f>IF(OR(C39="",D39=""),"",B39&amp;"-"&amp;UPPER(C39)&amp;"-"&amp;TEXT(D39,"0000")&amp;"-"&amp;E39)</x:f>
      </x:c>
      <x:c r="B39" s="74" t="str">
        <x:v>M20</x:v>
      </x:c>
      <x:c r="C39" s="74"/>
      <x:c r="D39" s="79"/>
      <x:c r="E39" s="74" t="str">
        <x:v>V1.0</x:v>
      </x:c>
      <x:c r="F39" s="68"/>
      <x:c r="G39" s="68"/>
      <x:c r="H39" s="82"/>
      <x:c r="I39" s="68"/>
      <x:c r="J39" s="68"/>
      <x:c r="K39" s="82"/>
      <x:c r="L39" s="68"/>
      <x:c r="M39" s="68"/>
      <x:c r="N39" s="68"/>
      <x:c r="O39" s="68"/>
      <x:c r="P39" s="68"/>
      <x:c r="Q39" s="68"/>
      <x:c r="R39" s="68"/>
      <x:c r="S39" s="68"/>
      <x:c r="T39" s="82"/>
      <x:c r="U39" s="68"/>
      <x:c r="V39" s="68"/>
      <x:c r="W39" s="68"/>
      <x:c r="X39" s="82"/>
      <x:c r="Y39" s="68"/>
      <x:c r="Z39" s="68"/>
      <x:c r="AA39" s="87"/>
      <x:c r="AB39" s="68"/>
      <x:c r="AC39" s="68"/>
    </x:row>
    <x:row r="40">
      <x:c r="A40" s="72" t="str">
        <x:f>IF(OR(C40="",D40=""),"",B40&amp;"-"&amp;UPPER(C40)&amp;"-"&amp;TEXT(D40,"0000")&amp;"-"&amp;E40)</x:f>
      </x:c>
      <x:c r="B40" s="74" t="str">
        <x:v>M20</x:v>
      </x:c>
      <x:c r="C40" s="74"/>
      <x:c r="D40" s="79"/>
      <x:c r="E40" s="74" t="str">
        <x:v>V1.0</x:v>
      </x:c>
      <x:c r="F40" s="68"/>
      <x:c r="G40" s="68"/>
      <x:c r="H40" s="82"/>
      <x:c r="I40" s="68"/>
      <x:c r="J40" s="68"/>
      <x:c r="K40" s="82"/>
      <x:c r="L40" s="68"/>
      <x:c r="M40" s="68"/>
      <x:c r="N40" s="68"/>
      <x:c r="O40" s="68"/>
      <x:c r="P40" s="68"/>
      <x:c r="Q40" s="68"/>
      <x:c r="R40" s="68"/>
      <x:c r="S40" s="68"/>
      <x:c r="T40" s="82"/>
      <x:c r="U40" s="68"/>
      <x:c r="V40" s="68"/>
      <x:c r="W40" s="68"/>
      <x:c r="X40" s="82"/>
      <x:c r="Y40" s="68"/>
      <x:c r="Z40" s="68"/>
      <x:c r="AA40" s="87"/>
      <x:c r="AB40" s="68"/>
      <x:c r="AC40" s="68"/>
    </x:row>
    <x:row r="41">
      <x:c r="A41" s="72" t="str">
        <x:f>IF(OR(C41="",D41=""),"",B41&amp;"-"&amp;UPPER(C41)&amp;"-"&amp;TEXT(D41,"0000")&amp;"-"&amp;E41)</x:f>
      </x:c>
      <x:c r="B41" s="74" t="str">
        <x:v>M20</x:v>
      </x:c>
      <x:c r="C41" s="74"/>
      <x:c r="D41" s="79"/>
      <x:c r="E41" s="74" t="str">
        <x:v>V1.0</x:v>
      </x:c>
      <x:c r="F41" s="68"/>
      <x:c r="G41" s="68"/>
      <x:c r="H41" s="82"/>
      <x:c r="I41" s="68"/>
      <x:c r="J41" s="68"/>
      <x:c r="K41" s="82"/>
      <x:c r="L41" s="68"/>
      <x:c r="M41" s="68"/>
      <x:c r="N41" s="68"/>
      <x:c r="O41" s="68"/>
      <x:c r="P41" s="68"/>
      <x:c r="Q41" s="68"/>
      <x:c r="R41" s="68"/>
      <x:c r="S41" s="68"/>
      <x:c r="T41" s="82"/>
      <x:c r="U41" s="68"/>
      <x:c r="V41" s="68"/>
      <x:c r="W41" s="68"/>
      <x:c r="X41" s="82"/>
      <x:c r="Y41" s="68"/>
      <x:c r="Z41" s="68"/>
      <x:c r="AA41" s="87"/>
      <x:c r="AB41" s="68"/>
      <x:c r="AC41" s="68"/>
    </x:row>
    <x:row r="42">
      <x:c r="A42" s="72" t="str">
        <x:f>IF(OR(C42="",D42=""),"",B42&amp;"-"&amp;UPPER(C42)&amp;"-"&amp;TEXT(D42,"0000")&amp;"-"&amp;E42)</x:f>
      </x:c>
      <x:c r="B42" s="74" t="str">
        <x:v>M20</x:v>
      </x:c>
      <x:c r="C42" s="74"/>
      <x:c r="D42" s="79"/>
      <x:c r="E42" s="74" t="str">
        <x:v>V1.0</x:v>
      </x:c>
      <x:c r="F42" s="68"/>
      <x:c r="G42" s="68"/>
      <x:c r="H42" s="82"/>
      <x:c r="I42" s="68"/>
      <x:c r="J42" s="68"/>
      <x:c r="K42" s="82"/>
      <x:c r="L42" s="68"/>
      <x:c r="M42" s="68"/>
      <x:c r="N42" s="68"/>
      <x:c r="O42" s="68"/>
      <x:c r="P42" s="68"/>
      <x:c r="Q42" s="68"/>
      <x:c r="R42" s="68"/>
      <x:c r="S42" s="68"/>
      <x:c r="T42" s="82"/>
      <x:c r="U42" s="68"/>
      <x:c r="V42" s="68"/>
      <x:c r="W42" s="68"/>
      <x:c r="X42" s="82"/>
      <x:c r="Y42" s="68"/>
      <x:c r="Z42" s="68"/>
      <x:c r="AA42" s="87"/>
      <x:c r="AB42" s="68"/>
      <x:c r="AC42" s="68"/>
    </x:row>
    <x:row r="43">
      <x:c r="A43" s="72" t="str">
        <x:f>IF(OR(C43="",D43=""),"",B43&amp;"-"&amp;UPPER(C43)&amp;"-"&amp;TEXT(D43,"0000")&amp;"-"&amp;E43)</x:f>
      </x:c>
      <x:c r="B43" s="74" t="str">
        <x:v>M20</x:v>
      </x:c>
      <x:c r="C43" s="74"/>
      <x:c r="D43" s="79"/>
      <x:c r="E43" s="74" t="str">
        <x:v>V1.0</x:v>
      </x:c>
      <x:c r="F43" s="68"/>
      <x:c r="G43" s="68"/>
      <x:c r="H43" s="82"/>
      <x:c r="I43" s="68"/>
      <x:c r="J43" s="68"/>
      <x:c r="K43" s="82"/>
      <x:c r="L43" s="68"/>
      <x:c r="M43" s="68"/>
      <x:c r="N43" s="68"/>
      <x:c r="O43" s="68"/>
      <x:c r="P43" s="68"/>
      <x:c r="Q43" s="68"/>
      <x:c r="R43" s="68"/>
      <x:c r="S43" s="68"/>
      <x:c r="T43" s="82"/>
      <x:c r="U43" s="68"/>
      <x:c r="V43" s="68"/>
      <x:c r="W43" s="68"/>
      <x:c r="X43" s="82"/>
      <x:c r="Y43" s="68"/>
      <x:c r="Z43" s="68"/>
      <x:c r="AA43" s="87"/>
      <x:c r="AB43" s="68"/>
      <x:c r="AC43" s="68"/>
    </x:row>
    <x:row r="44">
      <x:c r="A44" s="72" t="str">
        <x:f>IF(OR(C44="",D44=""),"",B44&amp;"-"&amp;UPPER(C44)&amp;"-"&amp;TEXT(D44,"0000")&amp;"-"&amp;E44)</x:f>
      </x:c>
      <x:c r="B44" s="74" t="str">
        <x:v>M20</x:v>
      </x:c>
      <x:c r="C44" s="74"/>
      <x:c r="D44" s="79"/>
      <x:c r="E44" s="74" t="str">
        <x:v>V1.0</x:v>
      </x:c>
      <x:c r="F44" s="68"/>
      <x:c r="G44" s="68"/>
      <x:c r="H44" s="82"/>
      <x:c r="I44" s="68"/>
      <x:c r="J44" s="68"/>
      <x:c r="K44" s="82"/>
      <x:c r="L44" s="68"/>
      <x:c r="M44" s="68"/>
      <x:c r="N44" s="68"/>
      <x:c r="O44" s="68"/>
      <x:c r="P44" s="68"/>
      <x:c r="Q44" s="68"/>
      <x:c r="R44" s="68"/>
      <x:c r="S44" s="68"/>
      <x:c r="T44" s="82"/>
      <x:c r="U44" s="68"/>
      <x:c r="V44" s="68"/>
      <x:c r="W44" s="68"/>
      <x:c r="X44" s="82"/>
      <x:c r="Y44" s="68"/>
      <x:c r="Z44" s="68"/>
      <x:c r="AA44" s="87"/>
      <x:c r="AB44" s="68"/>
      <x:c r="AC44" s="68"/>
    </x:row>
    <x:row r="45">
      <x:c r="A45" s="72" t="str">
        <x:f>IF(OR(C45="",D45=""),"",B45&amp;"-"&amp;UPPER(C45)&amp;"-"&amp;TEXT(D45,"0000")&amp;"-"&amp;E45)</x:f>
      </x:c>
      <x:c r="B45" s="74" t="str">
        <x:v>M20</x:v>
      </x:c>
      <x:c r="C45" s="74"/>
      <x:c r="D45" s="79"/>
      <x:c r="E45" s="74" t="str">
        <x:v>V1.0</x:v>
      </x:c>
      <x:c r="F45" s="68"/>
      <x:c r="G45" s="68"/>
      <x:c r="H45" s="82"/>
      <x:c r="I45" s="68"/>
      <x:c r="J45" s="68"/>
      <x:c r="K45" s="82"/>
      <x:c r="L45" s="68"/>
      <x:c r="M45" s="68"/>
      <x:c r="N45" s="68"/>
      <x:c r="O45" s="68"/>
      <x:c r="P45" s="68"/>
      <x:c r="Q45" s="68"/>
      <x:c r="R45" s="68"/>
      <x:c r="S45" s="68"/>
      <x:c r="T45" s="82"/>
      <x:c r="U45" s="68"/>
      <x:c r="V45" s="68"/>
      <x:c r="W45" s="68"/>
      <x:c r="X45" s="82"/>
      <x:c r="Y45" s="68"/>
      <x:c r="Z45" s="68"/>
      <x:c r="AA45" s="87"/>
      <x:c r="AB45" s="68"/>
      <x:c r="AC45" s="68"/>
    </x:row>
    <x:row r="46">
      <x:c r="A46" s="72" t="str">
        <x:f>IF(OR(C46="",D46=""),"",B46&amp;"-"&amp;UPPER(C46)&amp;"-"&amp;TEXT(D46,"0000")&amp;"-"&amp;E46)</x:f>
      </x:c>
      <x:c r="B46" s="74" t="str">
        <x:v>M20</x:v>
      </x:c>
      <x:c r="C46" s="74"/>
      <x:c r="D46" s="79"/>
      <x:c r="E46" s="74" t="str">
        <x:v>V1.0</x:v>
      </x:c>
      <x:c r="F46" s="68"/>
      <x:c r="G46" s="68"/>
      <x:c r="H46" s="82"/>
      <x:c r="I46" s="68"/>
      <x:c r="J46" s="68"/>
      <x:c r="K46" s="82"/>
      <x:c r="L46" s="68"/>
      <x:c r="M46" s="68"/>
      <x:c r="N46" s="68"/>
      <x:c r="O46" s="68"/>
      <x:c r="P46" s="68"/>
      <x:c r="Q46" s="68"/>
      <x:c r="R46" s="68"/>
      <x:c r="S46" s="68"/>
      <x:c r="T46" s="82"/>
      <x:c r="U46" s="68"/>
      <x:c r="V46" s="68"/>
      <x:c r="W46" s="68"/>
      <x:c r="X46" s="82"/>
      <x:c r="Y46" s="68"/>
      <x:c r="Z46" s="68"/>
      <x:c r="AA46" s="87"/>
      <x:c r="AB46" s="68"/>
      <x:c r="AC46" s="68"/>
    </x:row>
    <x:row r="47">
      <x:c r="A47" s="72" t="str">
        <x:f>IF(OR(C47="",D47=""),"",B47&amp;"-"&amp;UPPER(C47)&amp;"-"&amp;TEXT(D47,"0000")&amp;"-"&amp;E47)</x:f>
      </x:c>
      <x:c r="B47" s="74" t="str">
        <x:v>M20</x:v>
      </x:c>
      <x:c r="C47" s="74"/>
      <x:c r="D47" s="79"/>
      <x:c r="E47" s="74" t="str">
        <x:v>V1.0</x:v>
      </x:c>
      <x:c r="F47" s="68"/>
      <x:c r="G47" s="68"/>
      <x:c r="H47" s="82"/>
      <x:c r="I47" s="68"/>
      <x:c r="J47" s="68"/>
      <x:c r="K47" s="82"/>
      <x:c r="L47" s="68"/>
      <x:c r="M47" s="68"/>
      <x:c r="N47" s="68"/>
      <x:c r="O47" s="68"/>
      <x:c r="P47" s="68"/>
      <x:c r="Q47" s="68"/>
      <x:c r="R47" s="68"/>
      <x:c r="S47" s="68"/>
      <x:c r="T47" s="82"/>
      <x:c r="U47" s="68"/>
      <x:c r="V47" s="68"/>
      <x:c r="W47" s="68"/>
      <x:c r="X47" s="82"/>
      <x:c r="Y47" s="68"/>
      <x:c r="Z47" s="68"/>
      <x:c r="AA47" s="87"/>
      <x:c r="AB47" s="68"/>
      <x:c r="AC47" s="68"/>
    </x:row>
    <x:row r="48">
      <x:c r="A48" s="72" t="str">
        <x:f>IF(OR(C48="",D48=""),"",B48&amp;"-"&amp;UPPER(C48)&amp;"-"&amp;TEXT(D48,"0000")&amp;"-"&amp;E48)</x:f>
      </x:c>
      <x:c r="B48" s="74" t="str">
        <x:v>M20</x:v>
      </x:c>
      <x:c r="C48" s="74"/>
      <x:c r="D48" s="79"/>
      <x:c r="E48" s="74" t="str">
        <x:v>V1.0</x:v>
      </x:c>
      <x:c r="F48" s="68"/>
      <x:c r="G48" s="68"/>
      <x:c r="H48" s="82"/>
      <x:c r="I48" s="68"/>
      <x:c r="J48" s="68"/>
      <x:c r="K48" s="82"/>
      <x:c r="L48" s="68"/>
      <x:c r="M48" s="68"/>
      <x:c r="N48" s="68"/>
      <x:c r="O48" s="68"/>
      <x:c r="P48" s="68"/>
      <x:c r="Q48" s="68"/>
      <x:c r="R48" s="68"/>
      <x:c r="S48" s="68"/>
      <x:c r="T48" s="82"/>
      <x:c r="U48" s="68"/>
      <x:c r="V48" s="68"/>
      <x:c r="W48" s="68"/>
      <x:c r="X48" s="82"/>
      <x:c r="Y48" s="68"/>
      <x:c r="Z48" s="68"/>
      <x:c r="AA48" s="87"/>
      <x:c r="AB48" s="68"/>
      <x:c r="AC48" s="68"/>
    </x:row>
    <x:row r="49">
      <x:c r="A49" s="72" t="str">
        <x:f>IF(OR(C49="",D49=""),"",B49&amp;"-"&amp;UPPER(C49)&amp;"-"&amp;TEXT(D49,"0000")&amp;"-"&amp;E49)</x:f>
      </x:c>
      <x:c r="B49" s="74" t="str">
        <x:v>M20</x:v>
      </x:c>
      <x:c r="C49" s="74"/>
      <x:c r="D49" s="79"/>
      <x:c r="E49" s="74" t="str">
        <x:v>V1.0</x:v>
      </x:c>
      <x:c r="F49" s="68"/>
      <x:c r="G49" s="68"/>
      <x:c r="H49" s="82"/>
      <x:c r="I49" s="68"/>
      <x:c r="J49" s="68"/>
      <x:c r="K49" s="82"/>
      <x:c r="L49" s="68"/>
      <x:c r="M49" s="68"/>
      <x:c r="N49" s="68"/>
      <x:c r="O49" s="68"/>
      <x:c r="P49" s="68"/>
      <x:c r="Q49" s="68"/>
      <x:c r="R49" s="68"/>
      <x:c r="S49" s="68"/>
      <x:c r="T49" s="82"/>
      <x:c r="U49" s="68"/>
      <x:c r="V49" s="68"/>
      <x:c r="W49" s="68"/>
      <x:c r="X49" s="82"/>
      <x:c r="Y49" s="68"/>
      <x:c r="Z49" s="68"/>
      <x:c r="AA49" s="87"/>
      <x:c r="AB49" s="68"/>
      <x:c r="AC49" s="68"/>
    </x:row>
    <x:row r="50">
      <x:c r="A50" s="72" t="str">
        <x:f>IF(OR(C50="",D50=""),"",B50&amp;"-"&amp;UPPER(C50)&amp;"-"&amp;TEXT(D50,"0000")&amp;"-"&amp;E50)</x:f>
      </x:c>
      <x:c r="B50" s="74" t="str">
        <x:v>M20</x:v>
      </x:c>
      <x:c r="C50" s="74"/>
      <x:c r="D50" s="79"/>
      <x:c r="E50" s="74" t="str">
        <x:v>V1.0</x:v>
      </x:c>
      <x:c r="F50" s="68"/>
      <x:c r="G50" s="68"/>
      <x:c r="H50" s="82"/>
      <x:c r="I50" s="68"/>
      <x:c r="J50" s="68"/>
      <x:c r="K50" s="82"/>
      <x:c r="L50" s="68"/>
      <x:c r="M50" s="68"/>
      <x:c r="N50" s="68"/>
      <x:c r="O50" s="68"/>
      <x:c r="P50" s="68"/>
      <x:c r="Q50" s="68"/>
      <x:c r="R50" s="68"/>
      <x:c r="S50" s="68"/>
      <x:c r="T50" s="82"/>
      <x:c r="U50" s="68"/>
      <x:c r="V50" s="68"/>
      <x:c r="W50" s="68"/>
      <x:c r="X50" s="82"/>
      <x:c r="Y50" s="68"/>
      <x:c r="Z50" s="68"/>
      <x:c r="AA50" s="87"/>
      <x:c r="AB50" s="68"/>
      <x:c r="AC50" s="68"/>
    </x:row>
    <x:row r="51">
      <x:c r="A51" s="72" t="str">
        <x:f>IF(OR(C51="",D51=""),"",B51&amp;"-"&amp;UPPER(C51)&amp;"-"&amp;TEXT(D51,"0000")&amp;"-"&amp;E51)</x:f>
      </x:c>
      <x:c r="B51" s="74" t="str">
        <x:v>M20</x:v>
      </x:c>
      <x:c r="C51" s="74"/>
      <x:c r="D51" s="79"/>
      <x:c r="E51" s="74" t="str">
        <x:v>V1.0</x:v>
      </x:c>
      <x:c r="F51" s="68"/>
      <x:c r="G51" s="68"/>
      <x:c r="H51" s="82"/>
      <x:c r="I51" s="68"/>
      <x:c r="J51" s="68"/>
      <x:c r="K51" s="82"/>
      <x:c r="L51" s="68"/>
      <x:c r="M51" s="68"/>
      <x:c r="N51" s="68"/>
      <x:c r="O51" s="68"/>
      <x:c r="P51" s="68"/>
      <x:c r="Q51" s="68"/>
      <x:c r="R51" s="68"/>
      <x:c r="S51" s="68"/>
      <x:c r="T51" s="82"/>
      <x:c r="U51" s="68"/>
      <x:c r="V51" s="68"/>
      <x:c r="W51" s="68"/>
      <x:c r="X51" s="82"/>
      <x:c r="Y51" s="68"/>
      <x:c r="Z51" s="68"/>
      <x:c r="AA51" s="87"/>
      <x:c r="AB51" s="68"/>
      <x:c r="AC51" s="68"/>
    </x:row>
    <x:row r="52">
      <x:c r="A52" s="72" t="str">
        <x:f>IF(OR(C52="",D52=""),"",B52&amp;"-"&amp;UPPER(C52)&amp;"-"&amp;TEXT(D52,"0000")&amp;"-"&amp;E52)</x:f>
      </x:c>
      <x:c r="B52" s="74" t="str">
        <x:v>M20</x:v>
      </x:c>
      <x:c r="C52" s="74"/>
      <x:c r="D52" s="79"/>
      <x:c r="E52" s="74" t="str">
        <x:v>V1.0</x:v>
      </x:c>
      <x:c r="F52" s="68"/>
      <x:c r="G52" s="68"/>
      <x:c r="H52" s="82"/>
      <x:c r="I52" s="68"/>
      <x:c r="J52" s="68"/>
      <x:c r="K52" s="82"/>
      <x:c r="L52" s="68"/>
      <x:c r="M52" s="68"/>
      <x:c r="N52" s="68"/>
      <x:c r="O52" s="68"/>
      <x:c r="P52" s="68"/>
      <x:c r="Q52" s="68"/>
      <x:c r="R52" s="68"/>
      <x:c r="S52" s="68"/>
      <x:c r="T52" s="82"/>
      <x:c r="U52" s="68"/>
      <x:c r="V52" s="68"/>
      <x:c r="W52" s="68"/>
      <x:c r="X52" s="82"/>
      <x:c r="Y52" s="68"/>
      <x:c r="Z52" s="68"/>
      <x:c r="AA52" s="87"/>
      <x:c r="AB52" s="68"/>
      <x:c r="AC52" s="68"/>
    </x:row>
    <x:row r="53">
      <x:c r="A53" s="72" t="str">
        <x:f>IF(OR(C53="",D53=""),"",B53&amp;"-"&amp;UPPER(C53)&amp;"-"&amp;TEXT(D53,"0000")&amp;"-"&amp;E53)</x:f>
      </x:c>
      <x:c r="B53" s="74" t="str">
        <x:v>M20</x:v>
      </x:c>
      <x:c r="C53" s="74"/>
      <x:c r="D53" s="79"/>
      <x:c r="E53" s="74" t="str">
        <x:v>V1.0</x:v>
      </x:c>
      <x:c r="F53" s="68"/>
      <x:c r="G53" s="68"/>
      <x:c r="H53" s="82"/>
      <x:c r="I53" s="68"/>
      <x:c r="J53" s="68"/>
      <x:c r="K53" s="82"/>
      <x:c r="L53" s="68"/>
      <x:c r="M53" s="68"/>
      <x:c r="N53" s="68"/>
      <x:c r="O53" s="68"/>
      <x:c r="P53" s="68"/>
      <x:c r="Q53" s="68"/>
      <x:c r="R53" s="68"/>
      <x:c r="S53" s="68"/>
      <x:c r="T53" s="82"/>
      <x:c r="U53" s="68"/>
      <x:c r="V53" s="68"/>
      <x:c r="W53" s="68"/>
      <x:c r="X53" s="82"/>
      <x:c r="Y53" s="68"/>
      <x:c r="Z53" s="68"/>
      <x:c r="AA53" s="87"/>
      <x:c r="AB53" s="68"/>
      <x:c r="AC53" s="68"/>
    </x:row>
    <x:row r="54">
      <x:c r="A54" s="72" t="str">
        <x:f>IF(OR(C54="",D54=""),"",B54&amp;"-"&amp;UPPER(C54)&amp;"-"&amp;TEXT(D54,"0000")&amp;"-"&amp;E54)</x:f>
      </x:c>
      <x:c r="B54" s="74" t="str">
        <x:v>M20</x:v>
      </x:c>
      <x:c r="C54" s="74"/>
      <x:c r="D54" s="79"/>
      <x:c r="E54" s="74" t="str">
        <x:v>V1.0</x:v>
      </x:c>
      <x:c r="F54" s="68"/>
      <x:c r="G54" s="68"/>
      <x:c r="H54" s="82"/>
      <x:c r="I54" s="68"/>
      <x:c r="J54" s="68"/>
      <x:c r="K54" s="82"/>
      <x:c r="L54" s="68"/>
      <x:c r="M54" s="68"/>
      <x:c r="N54" s="68"/>
      <x:c r="O54" s="68"/>
      <x:c r="P54" s="68"/>
      <x:c r="Q54" s="68"/>
      <x:c r="R54" s="68"/>
      <x:c r="S54" s="68"/>
      <x:c r="T54" s="82"/>
      <x:c r="U54" s="68"/>
      <x:c r="V54" s="68"/>
      <x:c r="W54" s="68"/>
      <x:c r="X54" s="82"/>
      <x:c r="Y54" s="68"/>
      <x:c r="Z54" s="68"/>
      <x:c r="AA54" s="87"/>
      <x:c r="AB54" s="68"/>
      <x:c r="AC54" s="68"/>
    </x:row>
    <x:row r="55">
      <x:c r="A55" s="72" t="str">
        <x:f>IF(OR(C55="",D55=""),"",B55&amp;"-"&amp;UPPER(C55)&amp;"-"&amp;TEXT(D55,"0000")&amp;"-"&amp;E55)</x:f>
      </x:c>
      <x:c r="B55" s="74" t="str">
        <x:v>M20</x:v>
      </x:c>
      <x:c r="C55" s="74"/>
      <x:c r="D55" s="79"/>
      <x:c r="E55" s="74" t="str">
        <x:v>V1.0</x:v>
      </x:c>
      <x:c r="F55" s="68"/>
      <x:c r="G55" s="68"/>
      <x:c r="H55" s="82"/>
      <x:c r="I55" s="68"/>
      <x:c r="J55" s="68"/>
      <x:c r="K55" s="82"/>
      <x:c r="L55" s="68"/>
      <x:c r="M55" s="68"/>
      <x:c r="N55" s="68"/>
      <x:c r="O55" s="68"/>
      <x:c r="P55" s="68"/>
      <x:c r="Q55" s="68"/>
      <x:c r="R55" s="68"/>
      <x:c r="S55" s="68"/>
      <x:c r="T55" s="82"/>
      <x:c r="U55" s="68"/>
      <x:c r="V55" s="68"/>
      <x:c r="W55" s="68"/>
      <x:c r="X55" s="82"/>
      <x:c r="Y55" s="68"/>
      <x:c r="Z55" s="68"/>
      <x:c r="AA55" s="87"/>
      <x:c r="AB55" s="68"/>
      <x:c r="AC55" s="68"/>
    </x:row>
    <x:row r="56">
      <x:c r="A56" s="72" t="str">
        <x:f>IF(OR(C56="",D56=""),"",B56&amp;"-"&amp;UPPER(C56)&amp;"-"&amp;TEXT(D56,"0000")&amp;"-"&amp;E56)</x:f>
      </x:c>
      <x:c r="B56" s="74" t="str">
        <x:v>M20</x:v>
      </x:c>
      <x:c r="C56" s="74"/>
      <x:c r="D56" s="79"/>
      <x:c r="E56" s="74" t="str">
        <x:v>V1.0</x:v>
      </x:c>
      <x:c r="F56" s="68"/>
      <x:c r="G56" s="68"/>
      <x:c r="H56" s="82"/>
      <x:c r="I56" s="68"/>
      <x:c r="J56" s="68"/>
      <x:c r="K56" s="82"/>
      <x:c r="L56" s="68"/>
      <x:c r="M56" s="68"/>
      <x:c r="N56" s="68"/>
      <x:c r="O56" s="68"/>
      <x:c r="P56" s="68"/>
      <x:c r="Q56" s="68"/>
      <x:c r="R56" s="68"/>
      <x:c r="S56" s="68"/>
      <x:c r="T56" s="82"/>
      <x:c r="U56" s="68"/>
      <x:c r="V56" s="68"/>
      <x:c r="W56" s="68"/>
      <x:c r="X56" s="82"/>
      <x:c r="Y56" s="68"/>
      <x:c r="Z56" s="68"/>
      <x:c r="AA56" s="87"/>
      <x:c r="AB56" s="68"/>
      <x:c r="AC56" s="68"/>
    </x:row>
    <x:row r="57">
      <x:c r="A57" s="72" t="str">
        <x:f>IF(OR(C57="",D57=""),"",B57&amp;"-"&amp;UPPER(C57)&amp;"-"&amp;TEXT(D57,"0000")&amp;"-"&amp;E57)</x:f>
      </x:c>
      <x:c r="B57" s="74" t="str">
        <x:v>M20</x:v>
      </x:c>
      <x:c r="C57" s="74"/>
      <x:c r="D57" s="79"/>
      <x:c r="E57" s="74" t="str">
        <x:v>V1.0</x:v>
      </x:c>
      <x:c r="F57" s="68"/>
      <x:c r="G57" s="68"/>
      <x:c r="H57" s="82"/>
      <x:c r="I57" s="68"/>
      <x:c r="J57" s="68"/>
      <x:c r="K57" s="82"/>
      <x:c r="L57" s="68"/>
      <x:c r="M57" s="68"/>
      <x:c r="N57" s="68"/>
      <x:c r="O57" s="68"/>
      <x:c r="P57" s="68"/>
      <x:c r="Q57" s="68"/>
      <x:c r="R57" s="68"/>
      <x:c r="S57" s="68"/>
      <x:c r="T57" s="82"/>
      <x:c r="U57" s="68"/>
      <x:c r="V57" s="68"/>
      <x:c r="W57" s="68"/>
      <x:c r="X57" s="82"/>
      <x:c r="Y57" s="68"/>
      <x:c r="Z57" s="68"/>
      <x:c r="AA57" s="87"/>
      <x:c r="AB57" s="68"/>
      <x:c r="AC57" s="68"/>
    </x:row>
    <x:row r="58">
      <x:c r="A58" s="72" t="str">
        <x:f>IF(OR(C58="",D58=""),"",B58&amp;"-"&amp;UPPER(C58)&amp;"-"&amp;TEXT(D58,"0000")&amp;"-"&amp;E58)</x:f>
      </x:c>
      <x:c r="B58" s="74" t="str">
        <x:v>M20</x:v>
      </x:c>
      <x:c r="C58" s="74"/>
      <x:c r="D58" s="79"/>
      <x:c r="E58" s="74" t="str">
        <x:v>V1.0</x:v>
      </x:c>
      <x:c r="F58" s="68"/>
      <x:c r="G58" s="68"/>
      <x:c r="H58" s="82"/>
      <x:c r="I58" s="68"/>
      <x:c r="J58" s="68"/>
      <x:c r="K58" s="82"/>
      <x:c r="L58" s="68"/>
      <x:c r="M58" s="68"/>
      <x:c r="N58" s="68"/>
      <x:c r="O58" s="68"/>
      <x:c r="P58" s="68"/>
      <x:c r="Q58" s="68"/>
      <x:c r="R58" s="68"/>
      <x:c r="S58" s="68"/>
      <x:c r="T58" s="82"/>
      <x:c r="U58" s="68"/>
      <x:c r="V58" s="68"/>
      <x:c r="W58" s="68"/>
      <x:c r="X58" s="82"/>
      <x:c r="Y58" s="68"/>
      <x:c r="Z58" s="68"/>
      <x:c r="AA58" s="87"/>
      <x:c r="AB58" s="68"/>
      <x:c r="AC58" s="68"/>
    </x:row>
    <x:row r="59">
      <x:c r="A59" s="72" t="str">
        <x:f>IF(OR(C59="",D59=""),"",B59&amp;"-"&amp;UPPER(C59)&amp;"-"&amp;TEXT(D59,"0000")&amp;"-"&amp;E59)</x:f>
      </x:c>
      <x:c r="B59" s="74" t="str">
        <x:v>M20</x:v>
      </x:c>
      <x:c r="C59" s="74"/>
      <x:c r="D59" s="79"/>
      <x:c r="E59" s="74" t="str">
        <x:v>V1.0</x:v>
      </x:c>
      <x:c r="F59" s="68"/>
      <x:c r="G59" s="68"/>
      <x:c r="H59" s="82"/>
      <x:c r="I59" s="68"/>
      <x:c r="J59" s="68"/>
      <x:c r="K59" s="82"/>
      <x:c r="L59" s="68"/>
      <x:c r="M59" s="68"/>
      <x:c r="N59" s="68"/>
      <x:c r="O59" s="68"/>
      <x:c r="P59" s="68"/>
      <x:c r="Q59" s="68"/>
      <x:c r="R59" s="68"/>
      <x:c r="S59" s="68"/>
      <x:c r="T59" s="82"/>
      <x:c r="U59" s="68"/>
      <x:c r="V59" s="68"/>
      <x:c r="W59" s="68"/>
      <x:c r="X59" s="82"/>
      <x:c r="Y59" s="68"/>
      <x:c r="Z59" s="68"/>
      <x:c r="AA59" s="87"/>
      <x:c r="AB59" s="68"/>
      <x:c r="AC59" s="68"/>
    </x:row>
    <x:row r="60">
      <x:c r="A60" s="72" t="str">
        <x:f>IF(OR(C60="",D60=""),"",B60&amp;"-"&amp;UPPER(C60)&amp;"-"&amp;TEXT(D60,"0000")&amp;"-"&amp;E60)</x:f>
      </x:c>
      <x:c r="B60" s="74" t="str">
        <x:v>M20</x:v>
      </x:c>
      <x:c r="C60" s="74"/>
      <x:c r="D60" s="79"/>
      <x:c r="E60" s="74" t="str">
        <x:v>V1.0</x:v>
      </x:c>
      <x:c r="F60" s="68"/>
      <x:c r="G60" s="68"/>
      <x:c r="H60" s="82"/>
      <x:c r="I60" s="68"/>
      <x:c r="J60" s="68"/>
      <x:c r="K60" s="82"/>
      <x:c r="L60" s="68"/>
      <x:c r="M60" s="68"/>
      <x:c r="N60" s="68"/>
      <x:c r="O60" s="68"/>
      <x:c r="P60" s="68"/>
      <x:c r="Q60" s="68"/>
      <x:c r="R60" s="68"/>
      <x:c r="S60" s="68"/>
      <x:c r="T60" s="82"/>
      <x:c r="U60" s="68"/>
      <x:c r="V60" s="68"/>
      <x:c r="W60" s="68"/>
      <x:c r="X60" s="82"/>
      <x:c r="Y60" s="68"/>
      <x:c r="Z60" s="68"/>
      <x:c r="AA60" s="87"/>
      <x:c r="AB60" s="68"/>
      <x:c r="AC60" s="68"/>
    </x:row>
    <x:row r="61">
      <x:c r="A61" s="72" t="str">
        <x:f>IF(OR(C61="",D61=""),"",B61&amp;"-"&amp;UPPER(C61)&amp;"-"&amp;TEXT(D61,"0000")&amp;"-"&amp;E61)</x:f>
      </x:c>
      <x:c r="B61" s="74" t="str">
        <x:v>M20</x:v>
      </x:c>
      <x:c r="C61" s="74"/>
      <x:c r="D61" s="79"/>
      <x:c r="E61" s="74" t="str">
        <x:v>V1.0</x:v>
      </x:c>
      <x:c r="F61" s="68"/>
      <x:c r="G61" s="68"/>
      <x:c r="H61" s="82"/>
      <x:c r="I61" s="68"/>
      <x:c r="J61" s="68"/>
      <x:c r="K61" s="82"/>
      <x:c r="L61" s="68"/>
      <x:c r="M61" s="68"/>
      <x:c r="N61" s="68"/>
      <x:c r="O61" s="68"/>
      <x:c r="P61" s="68"/>
      <x:c r="Q61" s="68"/>
      <x:c r="R61" s="68"/>
      <x:c r="S61" s="68"/>
      <x:c r="T61" s="82"/>
      <x:c r="U61" s="68"/>
      <x:c r="V61" s="68"/>
      <x:c r="W61" s="68"/>
      <x:c r="X61" s="82"/>
      <x:c r="Y61" s="68"/>
      <x:c r="Z61" s="68"/>
      <x:c r="AA61" s="87"/>
      <x:c r="AB61" s="68"/>
      <x:c r="AC61" s="68"/>
    </x:row>
    <x:row r="62">
      <x:c r="A62" s="72" t="str">
        <x:f>IF(OR(C62="",D62=""),"",B62&amp;"-"&amp;UPPER(C62)&amp;"-"&amp;TEXT(D62,"0000")&amp;"-"&amp;E62)</x:f>
      </x:c>
      <x:c r="B62" s="74" t="str">
        <x:v>M20</x:v>
      </x:c>
      <x:c r="C62" s="74"/>
      <x:c r="D62" s="79"/>
      <x:c r="E62" s="74" t="str">
        <x:v>V1.0</x:v>
      </x:c>
      <x:c r="F62" s="68"/>
      <x:c r="G62" s="68"/>
      <x:c r="H62" s="82"/>
      <x:c r="I62" s="68"/>
      <x:c r="J62" s="68"/>
      <x:c r="K62" s="82"/>
      <x:c r="L62" s="68"/>
      <x:c r="M62" s="68"/>
      <x:c r="N62" s="68"/>
      <x:c r="O62" s="68"/>
      <x:c r="P62" s="68"/>
      <x:c r="Q62" s="68"/>
      <x:c r="R62" s="68"/>
      <x:c r="S62" s="68"/>
      <x:c r="T62" s="82"/>
      <x:c r="U62" s="68"/>
      <x:c r="V62" s="68"/>
      <x:c r="W62" s="68"/>
      <x:c r="X62" s="82"/>
      <x:c r="Y62" s="68"/>
      <x:c r="Z62" s="68"/>
      <x:c r="AA62" s="87"/>
      <x:c r="AB62" s="68"/>
      <x:c r="AC62" s="68"/>
    </x:row>
    <x:row r="63">
      <x:c r="A63" s="72" t="str">
        <x:f>IF(OR(C63="",D63=""),"",B63&amp;"-"&amp;UPPER(C63)&amp;"-"&amp;TEXT(D63,"0000")&amp;"-"&amp;E63)</x:f>
      </x:c>
      <x:c r="B63" s="74" t="str">
        <x:v>M20</x:v>
      </x:c>
      <x:c r="C63" s="74"/>
      <x:c r="D63" s="79"/>
      <x:c r="E63" s="74" t="str">
        <x:v>V1.0</x:v>
      </x:c>
      <x:c r="F63" s="68"/>
      <x:c r="G63" s="68"/>
      <x:c r="H63" s="82"/>
      <x:c r="I63" s="68"/>
      <x:c r="J63" s="68"/>
      <x:c r="K63" s="82"/>
      <x:c r="L63" s="68"/>
      <x:c r="M63" s="68"/>
      <x:c r="N63" s="68"/>
      <x:c r="O63" s="68"/>
      <x:c r="P63" s="68"/>
      <x:c r="Q63" s="68"/>
      <x:c r="R63" s="68"/>
      <x:c r="S63" s="68"/>
      <x:c r="T63" s="82"/>
      <x:c r="U63" s="68"/>
      <x:c r="V63" s="68"/>
      <x:c r="W63" s="68"/>
      <x:c r="X63" s="82"/>
      <x:c r="Y63" s="68"/>
      <x:c r="Z63" s="68"/>
      <x:c r="AA63" s="87"/>
      <x:c r="AB63" s="68"/>
      <x:c r="AC63" s="68"/>
    </x:row>
    <x:row r="64">
      <x:c r="A64" s="72" t="str">
        <x:f>IF(OR(C64="",D64=""),"",B64&amp;"-"&amp;UPPER(C64)&amp;"-"&amp;TEXT(D64,"0000")&amp;"-"&amp;E64)</x:f>
      </x:c>
      <x:c r="B64" s="74" t="str">
        <x:v>M20</x:v>
      </x:c>
      <x:c r="C64" s="74"/>
      <x:c r="D64" s="79"/>
      <x:c r="E64" s="74" t="str">
        <x:v>V1.0</x:v>
      </x:c>
      <x:c r="F64" s="68"/>
      <x:c r="G64" s="68"/>
      <x:c r="H64" s="82"/>
      <x:c r="I64" s="68"/>
      <x:c r="J64" s="68"/>
      <x:c r="K64" s="82"/>
      <x:c r="L64" s="68"/>
      <x:c r="M64" s="68"/>
      <x:c r="N64" s="68"/>
      <x:c r="O64" s="68"/>
      <x:c r="P64" s="68"/>
      <x:c r="Q64" s="68"/>
      <x:c r="R64" s="68"/>
      <x:c r="S64" s="68"/>
      <x:c r="T64" s="82"/>
      <x:c r="U64" s="68"/>
      <x:c r="V64" s="68"/>
      <x:c r="W64" s="68"/>
      <x:c r="X64" s="82"/>
      <x:c r="Y64" s="68"/>
      <x:c r="Z64" s="68"/>
      <x:c r="AA64" s="87"/>
      <x:c r="AB64" s="68"/>
      <x:c r="AC64" s="68"/>
    </x:row>
    <x:row r="65">
      <x:c r="A65" s="72" t="str">
        <x:f>IF(OR(C65="",D65=""),"",B65&amp;"-"&amp;UPPER(C65)&amp;"-"&amp;TEXT(D65,"0000")&amp;"-"&amp;E65)</x:f>
      </x:c>
      <x:c r="B65" s="74" t="str">
        <x:v>M20</x:v>
      </x:c>
      <x:c r="C65" s="74"/>
      <x:c r="D65" s="79"/>
      <x:c r="E65" s="74" t="str">
        <x:v>V1.0</x:v>
      </x:c>
      <x:c r="F65" s="68"/>
      <x:c r="G65" s="68"/>
      <x:c r="H65" s="82"/>
      <x:c r="I65" s="68"/>
      <x:c r="J65" s="68"/>
      <x:c r="K65" s="82"/>
      <x:c r="L65" s="68"/>
      <x:c r="M65" s="68"/>
      <x:c r="N65" s="68"/>
      <x:c r="O65" s="68"/>
      <x:c r="P65" s="68"/>
      <x:c r="Q65" s="68"/>
      <x:c r="R65" s="68"/>
      <x:c r="S65" s="68"/>
      <x:c r="T65" s="82"/>
      <x:c r="U65" s="68"/>
      <x:c r="V65" s="68"/>
      <x:c r="W65" s="68"/>
      <x:c r="X65" s="82"/>
      <x:c r="Y65" s="68"/>
      <x:c r="Z65" s="68"/>
      <x:c r="AA65" s="87"/>
      <x:c r="AB65" s="68"/>
      <x:c r="AC65" s="68"/>
    </x:row>
    <x:row r="66">
      <x:c r="A66" s="72" t="str">
        <x:f>IF(OR(C66="",D66=""),"",B66&amp;"-"&amp;UPPER(C66)&amp;"-"&amp;TEXT(D66,"0000")&amp;"-"&amp;E66)</x:f>
      </x:c>
      <x:c r="B66" s="74" t="str">
        <x:v>M20</x:v>
      </x:c>
      <x:c r="C66" s="74"/>
      <x:c r="D66" s="79"/>
      <x:c r="E66" s="74" t="str">
        <x:v>V1.0</x:v>
      </x:c>
      <x:c r="F66" s="68"/>
      <x:c r="G66" s="68"/>
      <x:c r="H66" s="82"/>
      <x:c r="I66" s="68"/>
      <x:c r="J66" s="68"/>
      <x:c r="K66" s="82"/>
      <x:c r="L66" s="68"/>
      <x:c r="M66" s="68"/>
      <x:c r="N66" s="68"/>
      <x:c r="O66" s="68"/>
      <x:c r="P66" s="68"/>
      <x:c r="Q66" s="68"/>
      <x:c r="R66" s="68"/>
      <x:c r="S66" s="68"/>
      <x:c r="T66" s="82"/>
      <x:c r="U66" s="68"/>
      <x:c r="V66" s="68"/>
      <x:c r="W66" s="68"/>
      <x:c r="X66" s="82"/>
      <x:c r="Y66" s="68"/>
      <x:c r="Z66" s="68"/>
      <x:c r="AA66" s="87"/>
      <x:c r="AB66" s="68"/>
      <x:c r="AC66" s="68"/>
    </x:row>
    <x:row r="67">
      <x:c r="A67" s="72" t="str">
        <x:f>IF(OR(C67="",D67=""),"",B67&amp;"-"&amp;UPPER(C67)&amp;"-"&amp;TEXT(D67,"0000")&amp;"-"&amp;E67)</x:f>
      </x:c>
      <x:c r="B67" s="74" t="str">
        <x:v>M20</x:v>
      </x:c>
      <x:c r="C67" s="74"/>
      <x:c r="D67" s="79"/>
      <x:c r="E67" s="74" t="str">
        <x:v>V1.0</x:v>
      </x:c>
      <x:c r="F67" s="68"/>
      <x:c r="G67" s="68"/>
      <x:c r="H67" s="82"/>
      <x:c r="I67" s="68"/>
      <x:c r="J67" s="68"/>
      <x:c r="K67" s="82"/>
      <x:c r="L67" s="68"/>
      <x:c r="M67" s="68"/>
      <x:c r="N67" s="68"/>
      <x:c r="O67" s="68"/>
      <x:c r="P67" s="68"/>
      <x:c r="Q67" s="68"/>
      <x:c r="R67" s="68"/>
      <x:c r="S67" s="68"/>
      <x:c r="T67" s="82"/>
      <x:c r="U67" s="68"/>
      <x:c r="V67" s="68"/>
      <x:c r="W67" s="68"/>
      <x:c r="X67" s="82"/>
      <x:c r="Y67" s="68"/>
      <x:c r="Z67" s="68"/>
      <x:c r="AA67" s="87"/>
      <x:c r="AB67" s="68"/>
      <x:c r="AC67" s="68"/>
    </x:row>
    <x:row r="68">
      <x:c r="A68" s="72" t="str">
        <x:f>IF(OR(C68="",D68=""),"",B68&amp;"-"&amp;UPPER(C68)&amp;"-"&amp;TEXT(D68,"0000")&amp;"-"&amp;E68)</x:f>
      </x:c>
      <x:c r="B68" s="74" t="str">
        <x:v>M20</x:v>
      </x:c>
      <x:c r="C68" s="74"/>
      <x:c r="D68" s="79"/>
      <x:c r="E68" s="74" t="str">
        <x:v>V1.0</x:v>
      </x:c>
      <x:c r="F68" s="68"/>
      <x:c r="G68" s="68"/>
      <x:c r="H68" s="82"/>
      <x:c r="I68" s="68"/>
      <x:c r="J68" s="68"/>
      <x:c r="K68" s="82"/>
      <x:c r="L68" s="68"/>
      <x:c r="M68" s="68"/>
      <x:c r="N68" s="68"/>
      <x:c r="O68" s="68"/>
      <x:c r="P68" s="68"/>
      <x:c r="Q68" s="68"/>
      <x:c r="R68" s="68"/>
      <x:c r="S68" s="68"/>
      <x:c r="T68" s="82"/>
      <x:c r="U68" s="68"/>
      <x:c r="V68" s="68"/>
      <x:c r="W68" s="68"/>
      <x:c r="X68" s="82"/>
      <x:c r="Y68" s="68"/>
      <x:c r="Z68" s="68"/>
      <x:c r="AA68" s="87"/>
      <x:c r="AB68" s="68"/>
      <x:c r="AC68" s="68"/>
    </x:row>
    <x:row r="69">
      <x:c r="A69" s="72" t="str">
        <x:f>IF(OR(C69="",D69=""),"",B69&amp;"-"&amp;UPPER(C69)&amp;"-"&amp;TEXT(D69,"0000")&amp;"-"&amp;E69)</x:f>
      </x:c>
      <x:c r="B69" s="74" t="str">
        <x:v>M20</x:v>
      </x:c>
      <x:c r="C69" s="74"/>
      <x:c r="D69" s="79"/>
      <x:c r="E69" s="74" t="str">
        <x:v>V1.0</x:v>
      </x:c>
      <x:c r="F69" s="68"/>
      <x:c r="G69" s="68"/>
      <x:c r="H69" s="82"/>
      <x:c r="I69" s="68"/>
      <x:c r="J69" s="68"/>
      <x:c r="K69" s="82"/>
      <x:c r="L69" s="68"/>
      <x:c r="M69" s="68"/>
      <x:c r="N69" s="68"/>
      <x:c r="O69" s="68"/>
      <x:c r="P69" s="68"/>
      <x:c r="Q69" s="68"/>
      <x:c r="R69" s="68"/>
      <x:c r="S69" s="68"/>
      <x:c r="T69" s="82"/>
      <x:c r="U69" s="68"/>
      <x:c r="V69" s="68"/>
      <x:c r="W69" s="68"/>
      <x:c r="X69" s="82"/>
      <x:c r="Y69" s="68"/>
      <x:c r="Z69" s="68"/>
      <x:c r="AA69" s="87"/>
      <x:c r="AB69" s="68"/>
      <x:c r="AC69" s="68"/>
    </x:row>
    <x:row r="70">
      <x:c r="A70" s="72" t="str">
        <x:f>IF(OR(C70="",D70=""),"",B70&amp;"-"&amp;UPPER(C70)&amp;"-"&amp;TEXT(D70,"0000")&amp;"-"&amp;E70)</x:f>
      </x:c>
      <x:c r="B70" s="74" t="str">
        <x:v>M20</x:v>
      </x:c>
      <x:c r="C70" s="74"/>
      <x:c r="D70" s="79"/>
      <x:c r="E70" s="74" t="str">
        <x:v>V1.0</x:v>
      </x:c>
      <x:c r="F70" s="68"/>
      <x:c r="G70" s="68"/>
      <x:c r="H70" s="82"/>
      <x:c r="I70" s="68"/>
      <x:c r="J70" s="68"/>
      <x:c r="K70" s="82"/>
      <x:c r="L70" s="68"/>
      <x:c r="M70" s="68"/>
      <x:c r="N70" s="68"/>
      <x:c r="O70" s="68"/>
      <x:c r="P70" s="68"/>
      <x:c r="Q70" s="68"/>
      <x:c r="R70" s="68"/>
      <x:c r="S70" s="68"/>
      <x:c r="T70" s="82"/>
      <x:c r="U70" s="68"/>
      <x:c r="V70" s="68"/>
      <x:c r="W70" s="68"/>
      <x:c r="X70" s="82"/>
      <x:c r="Y70" s="68"/>
      <x:c r="Z70" s="68"/>
      <x:c r="AA70" s="87"/>
      <x:c r="AB70" s="68"/>
      <x:c r="AC70" s="68"/>
    </x:row>
    <x:row r="71">
      <x:c r="A71" s="72" t="str">
        <x:f>IF(OR(C71="",D71=""),"",B71&amp;"-"&amp;UPPER(C71)&amp;"-"&amp;TEXT(D71,"0000")&amp;"-"&amp;E71)</x:f>
      </x:c>
      <x:c r="B71" s="74" t="str">
        <x:v>M20</x:v>
      </x:c>
      <x:c r="C71" s="74"/>
      <x:c r="D71" s="79"/>
      <x:c r="E71" s="74" t="str">
        <x:v>V1.0</x:v>
      </x:c>
      <x:c r="F71" s="68"/>
      <x:c r="G71" s="68"/>
      <x:c r="H71" s="82"/>
      <x:c r="I71" s="68"/>
      <x:c r="J71" s="68"/>
      <x:c r="K71" s="82"/>
      <x:c r="L71" s="68"/>
      <x:c r="M71" s="68"/>
      <x:c r="N71" s="68"/>
      <x:c r="O71" s="68"/>
      <x:c r="P71" s="68"/>
      <x:c r="Q71" s="68"/>
      <x:c r="R71" s="68"/>
      <x:c r="S71" s="68"/>
      <x:c r="T71" s="82"/>
      <x:c r="U71" s="68"/>
      <x:c r="V71" s="68"/>
      <x:c r="W71" s="68"/>
      <x:c r="X71" s="82"/>
      <x:c r="Y71" s="68"/>
      <x:c r="Z71" s="68"/>
      <x:c r="AA71" s="87"/>
      <x:c r="AB71" s="68"/>
      <x:c r="AC71" s="68"/>
    </x:row>
    <x:row r="72">
      <x:c r="A72" s="72" t="str">
        <x:f>IF(OR(C72="",D72=""),"",B72&amp;"-"&amp;UPPER(C72)&amp;"-"&amp;TEXT(D72,"0000")&amp;"-"&amp;E72)</x:f>
      </x:c>
      <x:c r="B72" s="74" t="str">
        <x:v>M20</x:v>
      </x:c>
      <x:c r="C72" s="74"/>
      <x:c r="D72" s="79"/>
      <x:c r="E72" s="74" t="str">
        <x:v>V1.0</x:v>
      </x:c>
      <x:c r="F72" s="68"/>
      <x:c r="G72" s="68"/>
      <x:c r="H72" s="82"/>
      <x:c r="I72" s="68"/>
      <x:c r="J72" s="68"/>
      <x:c r="K72" s="82"/>
      <x:c r="L72" s="68"/>
      <x:c r="M72" s="68"/>
      <x:c r="N72" s="68"/>
      <x:c r="O72" s="68"/>
      <x:c r="P72" s="68"/>
      <x:c r="Q72" s="68"/>
      <x:c r="R72" s="68"/>
      <x:c r="S72" s="68"/>
      <x:c r="T72" s="82"/>
      <x:c r="U72" s="68"/>
      <x:c r="V72" s="68"/>
      <x:c r="W72" s="68"/>
      <x:c r="X72" s="82"/>
      <x:c r="Y72" s="68"/>
      <x:c r="Z72" s="68"/>
      <x:c r="AA72" s="87"/>
      <x:c r="AB72" s="68"/>
      <x:c r="AC72" s="68"/>
    </x:row>
    <x:row r="73">
      <x:c r="A73" s="72" t="str">
        <x:f>IF(OR(C73="",D73=""),"",B73&amp;"-"&amp;UPPER(C73)&amp;"-"&amp;TEXT(D73,"0000")&amp;"-"&amp;E73)</x:f>
      </x:c>
      <x:c r="B73" s="74" t="str">
        <x:v>M20</x:v>
      </x:c>
      <x:c r="C73" s="74"/>
      <x:c r="D73" s="79"/>
      <x:c r="E73" s="74" t="str">
        <x:v>V1.0</x:v>
      </x:c>
      <x:c r="F73" s="68"/>
      <x:c r="G73" s="68"/>
      <x:c r="H73" s="82"/>
      <x:c r="I73" s="68"/>
      <x:c r="J73" s="68"/>
      <x:c r="K73" s="82"/>
      <x:c r="L73" s="68"/>
      <x:c r="M73" s="68"/>
      <x:c r="N73" s="68"/>
      <x:c r="O73" s="68"/>
      <x:c r="P73" s="68"/>
      <x:c r="Q73" s="68"/>
      <x:c r="R73" s="68"/>
      <x:c r="S73" s="68"/>
      <x:c r="T73" s="82"/>
      <x:c r="U73" s="68"/>
      <x:c r="V73" s="68"/>
      <x:c r="W73" s="68"/>
      <x:c r="X73" s="82"/>
      <x:c r="Y73" s="68"/>
      <x:c r="Z73" s="68"/>
      <x:c r="AA73" s="87"/>
      <x:c r="AB73" s="68"/>
      <x:c r="AC73" s="68"/>
    </x:row>
    <x:row r="74">
      <x:c r="A74" s="72" t="str">
        <x:f>IF(OR(C74="",D74=""),"",B74&amp;"-"&amp;UPPER(C74)&amp;"-"&amp;TEXT(D74,"0000")&amp;"-"&amp;E74)</x:f>
      </x:c>
      <x:c r="B74" s="74" t="str">
        <x:v>M20</x:v>
      </x:c>
      <x:c r="C74" s="74"/>
      <x:c r="D74" s="79"/>
      <x:c r="E74" s="74" t="str">
        <x:v>V1.0</x:v>
      </x:c>
      <x:c r="F74" s="68"/>
      <x:c r="G74" s="68"/>
      <x:c r="H74" s="82"/>
      <x:c r="I74" s="68"/>
      <x:c r="J74" s="68"/>
      <x:c r="K74" s="82"/>
      <x:c r="L74" s="68"/>
      <x:c r="M74" s="68"/>
      <x:c r="N74" s="68"/>
      <x:c r="O74" s="68"/>
      <x:c r="P74" s="68"/>
      <x:c r="Q74" s="68"/>
      <x:c r="R74" s="68"/>
      <x:c r="S74" s="68"/>
      <x:c r="T74" s="82"/>
      <x:c r="U74" s="68"/>
      <x:c r="V74" s="68"/>
      <x:c r="W74" s="68"/>
      <x:c r="X74" s="82"/>
      <x:c r="Y74" s="68"/>
      <x:c r="Z74" s="68"/>
      <x:c r="AA74" s="87"/>
      <x:c r="AB74" s="68"/>
      <x:c r="AC74" s="68"/>
    </x:row>
    <x:row r="75">
      <x:c r="A75" s="72" t="str">
        <x:f>IF(OR(C75="",D75=""),"",B75&amp;"-"&amp;UPPER(C75)&amp;"-"&amp;TEXT(D75,"0000")&amp;"-"&amp;E75)</x:f>
      </x:c>
      <x:c r="B75" s="74" t="str">
        <x:v>M20</x:v>
      </x:c>
      <x:c r="C75" s="74"/>
      <x:c r="D75" s="79"/>
      <x:c r="E75" s="74" t="str">
        <x:v>V1.0</x:v>
      </x:c>
      <x:c r="F75" s="68"/>
      <x:c r="G75" s="68"/>
      <x:c r="H75" s="82"/>
      <x:c r="I75" s="68"/>
      <x:c r="J75" s="68"/>
      <x:c r="K75" s="82"/>
      <x:c r="L75" s="68"/>
      <x:c r="M75" s="68"/>
      <x:c r="N75" s="68"/>
      <x:c r="O75" s="68"/>
      <x:c r="P75" s="68"/>
      <x:c r="Q75" s="68"/>
      <x:c r="R75" s="68"/>
      <x:c r="S75" s="68"/>
      <x:c r="T75" s="82"/>
      <x:c r="U75" s="68"/>
      <x:c r="V75" s="68"/>
      <x:c r="W75" s="68"/>
      <x:c r="X75" s="82"/>
      <x:c r="Y75" s="68"/>
      <x:c r="Z75" s="68"/>
      <x:c r="AA75" s="87"/>
      <x:c r="AB75" s="68"/>
      <x:c r="AC75" s="68"/>
    </x:row>
    <x:row r="76">
      <x:c r="A76" s="72" t="str">
        <x:f>IF(OR(C76="",D76=""),"",B76&amp;"-"&amp;UPPER(C76)&amp;"-"&amp;TEXT(D76,"0000")&amp;"-"&amp;E76)</x:f>
      </x:c>
      <x:c r="B76" s="74" t="str">
        <x:v>M20</x:v>
      </x:c>
      <x:c r="C76" s="74"/>
      <x:c r="D76" s="79"/>
      <x:c r="E76" s="74" t="str">
        <x:v>V1.0</x:v>
      </x:c>
      <x:c r="F76" s="68"/>
      <x:c r="G76" s="68"/>
      <x:c r="H76" s="82"/>
      <x:c r="I76" s="68"/>
      <x:c r="J76" s="68"/>
      <x:c r="K76" s="82"/>
      <x:c r="L76" s="68"/>
      <x:c r="M76" s="68"/>
      <x:c r="N76" s="68"/>
      <x:c r="O76" s="68"/>
      <x:c r="P76" s="68"/>
      <x:c r="Q76" s="68"/>
      <x:c r="R76" s="68"/>
      <x:c r="S76" s="68"/>
      <x:c r="T76" s="82"/>
      <x:c r="U76" s="68"/>
      <x:c r="V76" s="68"/>
      <x:c r="W76" s="68"/>
      <x:c r="X76" s="82"/>
      <x:c r="Y76" s="68"/>
      <x:c r="Z76" s="68"/>
      <x:c r="AA76" s="87"/>
      <x:c r="AB76" s="68"/>
      <x:c r="AC76" s="68"/>
    </x:row>
    <x:row r="77">
      <x:c r="A77" s="72" t="str">
        <x:f>IF(OR(C77="",D77=""),"",B77&amp;"-"&amp;UPPER(C77)&amp;"-"&amp;TEXT(D77,"0000")&amp;"-"&amp;E77)</x:f>
      </x:c>
      <x:c r="B77" s="74" t="str">
        <x:v>M20</x:v>
      </x:c>
      <x:c r="C77" s="74"/>
      <x:c r="D77" s="79"/>
      <x:c r="E77" s="74" t="str">
        <x:v>V1.0</x:v>
      </x:c>
      <x:c r="F77" s="68"/>
      <x:c r="G77" s="68"/>
      <x:c r="H77" s="82"/>
      <x:c r="I77" s="68"/>
      <x:c r="J77" s="68"/>
      <x:c r="K77" s="82"/>
      <x:c r="L77" s="68"/>
      <x:c r="M77" s="68"/>
      <x:c r="N77" s="68"/>
      <x:c r="O77" s="68"/>
      <x:c r="P77" s="68"/>
      <x:c r="Q77" s="68"/>
      <x:c r="R77" s="68"/>
      <x:c r="S77" s="68"/>
      <x:c r="T77" s="82"/>
      <x:c r="U77" s="68"/>
      <x:c r="V77" s="68"/>
      <x:c r="W77" s="68"/>
      <x:c r="X77" s="82"/>
      <x:c r="Y77" s="68"/>
      <x:c r="Z77" s="68"/>
      <x:c r="AA77" s="87"/>
      <x:c r="AB77" s="68"/>
      <x:c r="AC77" s="68"/>
    </x:row>
    <x:row r="78">
      <x:c r="A78" s="72" t="str">
        <x:f>IF(OR(C78="",D78=""),"",B78&amp;"-"&amp;UPPER(C78)&amp;"-"&amp;TEXT(D78,"0000")&amp;"-"&amp;E78)</x:f>
      </x:c>
      <x:c r="B78" s="74" t="str">
        <x:v>M20</x:v>
      </x:c>
      <x:c r="C78" s="74"/>
      <x:c r="D78" s="79"/>
      <x:c r="E78" s="74" t="str">
        <x:v>V1.0</x:v>
      </x:c>
      <x:c r="F78" s="68"/>
      <x:c r="G78" s="68"/>
      <x:c r="H78" s="82"/>
      <x:c r="I78" s="68"/>
      <x:c r="J78" s="68"/>
      <x:c r="K78" s="82"/>
      <x:c r="L78" s="68"/>
      <x:c r="M78" s="68"/>
      <x:c r="N78" s="68"/>
      <x:c r="O78" s="68"/>
      <x:c r="P78" s="68"/>
      <x:c r="Q78" s="68"/>
      <x:c r="R78" s="68"/>
      <x:c r="S78" s="68"/>
      <x:c r="T78" s="82"/>
      <x:c r="U78" s="68"/>
      <x:c r="V78" s="68"/>
      <x:c r="W78" s="68"/>
      <x:c r="X78" s="82"/>
      <x:c r="Y78" s="68"/>
      <x:c r="Z78" s="68"/>
      <x:c r="AA78" s="87"/>
      <x:c r="AB78" s="68"/>
      <x:c r="AC78" s="68"/>
    </x:row>
    <x:row r="79">
      <x:c r="A79" s="72" t="str">
        <x:f>IF(OR(C79="",D79=""),"",B79&amp;"-"&amp;UPPER(C79)&amp;"-"&amp;TEXT(D79,"0000")&amp;"-"&amp;E79)</x:f>
      </x:c>
      <x:c r="B79" s="74" t="str">
        <x:v>M20</x:v>
      </x:c>
      <x:c r="C79" s="74"/>
      <x:c r="D79" s="79"/>
      <x:c r="E79" s="74" t="str">
        <x:v>V1.0</x:v>
      </x:c>
      <x:c r="F79" s="68"/>
      <x:c r="G79" s="68"/>
      <x:c r="H79" s="82"/>
      <x:c r="I79" s="68"/>
      <x:c r="J79" s="68"/>
      <x:c r="K79" s="82"/>
      <x:c r="L79" s="68"/>
      <x:c r="M79" s="68"/>
      <x:c r="N79" s="68"/>
      <x:c r="O79" s="68"/>
      <x:c r="P79" s="68"/>
      <x:c r="Q79" s="68"/>
      <x:c r="R79" s="68"/>
      <x:c r="S79" s="68"/>
      <x:c r="T79" s="82"/>
      <x:c r="U79" s="68"/>
      <x:c r="V79" s="68"/>
      <x:c r="W79" s="68"/>
      <x:c r="X79" s="82"/>
      <x:c r="Y79" s="68"/>
      <x:c r="Z79" s="68"/>
      <x:c r="AA79" s="87"/>
      <x:c r="AB79" s="68"/>
      <x:c r="AC79" s="68"/>
    </x:row>
    <x:row r="80">
      <x:c r="A80" s="72" t="str">
        <x:f>IF(OR(C80="",D80=""),"",B80&amp;"-"&amp;UPPER(C80)&amp;"-"&amp;TEXT(D80,"0000")&amp;"-"&amp;E80)</x:f>
      </x:c>
      <x:c r="B80" s="74" t="str">
        <x:v>M20</x:v>
      </x:c>
      <x:c r="C80" s="74"/>
      <x:c r="D80" s="79"/>
      <x:c r="E80" s="74" t="str">
        <x:v>V1.0</x:v>
      </x:c>
      <x:c r="F80" s="68"/>
      <x:c r="G80" s="68"/>
      <x:c r="H80" s="82"/>
      <x:c r="I80" s="68"/>
      <x:c r="J80" s="68"/>
      <x:c r="K80" s="82"/>
      <x:c r="L80" s="68"/>
      <x:c r="M80" s="68"/>
      <x:c r="N80" s="68"/>
      <x:c r="O80" s="68"/>
      <x:c r="P80" s="68"/>
      <x:c r="Q80" s="68"/>
      <x:c r="R80" s="68"/>
      <x:c r="S80" s="68"/>
      <x:c r="T80" s="82"/>
      <x:c r="U80" s="68"/>
      <x:c r="V80" s="68"/>
      <x:c r="W80" s="68"/>
      <x:c r="X80" s="82"/>
      <x:c r="Y80" s="68"/>
      <x:c r="Z80" s="68"/>
      <x:c r="AA80" s="87"/>
      <x:c r="AB80" s="68"/>
      <x:c r="AC80" s="68"/>
    </x:row>
    <x:row r="81">
      <x:c r="A81" s="72" t="str">
        <x:f>IF(OR(C81="",D81=""),"",B81&amp;"-"&amp;UPPER(C81)&amp;"-"&amp;TEXT(D81,"0000")&amp;"-"&amp;E81)</x:f>
      </x:c>
      <x:c r="B81" s="74" t="str">
        <x:v>M20</x:v>
      </x:c>
      <x:c r="C81" s="74"/>
      <x:c r="D81" s="79"/>
      <x:c r="E81" s="74" t="str">
        <x:v>V1.0</x:v>
      </x:c>
      <x:c r="F81" s="68"/>
      <x:c r="G81" s="68"/>
      <x:c r="H81" s="82"/>
      <x:c r="I81" s="68"/>
      <x:c r="J81" s="68"/>
      <x:c r="K81" s="82"/>
      <x:c r="L81" s="68"/>
      <x:c r="M81" s="68"/>
      <x:c r="N81" s="68"/>
      <x:c r="O81" s="68"/>
      <x:c r="P81" s="68"/>
      <x:c r="Q81" s="68"/>
      <x:c r="R81" s="68"/>
      <x:c r="S81" s="68"/>
      <x:c r="T81" s="82"/>
      <x:c r="U81" s="68"/>
      <x:c r="V81" s="68"/>
      <x:c r="W81" s="68"/>
      <x:c r="X81" s="82"/>
      <x:c r="Y81" s="68"/>
      <x:c r="Z81" s="68"/>
      <x:c r="AA81" s="87"/>
      <x:c r="AB81" s="68"/>
      <x:c r="AC81" s="68"/>
    </x:row>
    <x:row r="82">
      <x:c r="A82" s="72" t="str">
        <x:f>IF(OR(C82="",D82=""),"",B82&amp;"-"&amp;UPPER(C82)&amp;"-"&amp;TEXT(D82,"0000")&amp;"-"&amp;E82)</x:f>
      </x:c>
      <x:c r="B82" s="74" t="str">
        <x:v>M20</x:v>
      </x:c>
      <x:c r="C82" s="74"/>
      <x:c r="D82" s="79"/>
      <x:c r="E82" s="74" t="str">
        <x:v>V1.0</x:v>
      </x:c>
      <x:c r="F82" s="68"/>
      <x:c r="G82" s="68"/>
      <x:c r="H82" s="82"/>
      <x:c r="I82" s="68"/>
      <x:c r="J82" s="68"/>
      <x:c r="K82" s="82"/>
      <x:c r="L82" s="68"/>
      <x:c r="M82" s="68"/>
      <x:c r="N82" s="68"/>
      <x:c r="O82" s="68"/>
      <x:c r="P82" s="68"/>
      <x:c r="Q82" s="68"/>
      <x:c r="R82" s="68"/>
      <x:c r="S82" s="68"/>
      <x:c r="T82" s="82"/>
      <x:c r="U82" s="68"/>
      <x:c r="V82" s="68"/>
      <x:c r="W82" s="68"/>
      <x:c r="X82" s="82"/>
      <x:c r="Y82" s="68"/>
      <x:c r="Z82" s="68"/>
      <x:c r="AA82" s="87"/>
      <x:c r="AB82" s="68"/>
      <x:c r="AC82" s="68"/>
    </x:row>
    <x:row r="83">
      <x:c r="A83" s="72" t="str">
        <x:f>IF(OR(C83="",D83=""),"",B83&amp;"-"&amp;UPPER(C83)&amp;"-"&amp;TEXT(D83,"0000")&amp;"-"&amp;E83)</x:f>
      </x:c>
      <x:c r="B83" s="74" t="str">
        <x:v>M20</x:v>
      </x:c>
      <x:c r="C83" s="74"/>
      <x:c r="D83" s="79"/>
      <x:c r="E83" s="74" t="str">
        <x:v>V1.0</x:v>
      </x:c>
      <x:c r="F83" s="68"/>
      <x:c r="G83" s="68"/>
      <x:c r="H83" s="82"/>
      <x:c r="I83" s="68"/>
      <x:c r="J83" s="68"/>
      <x:c r="K83" s="82"/>
      <x:c r="L83" s="68"/>
      <x:c r="M83" s="68"/>
      <x:c r="N83" s="68"/>
      <x:c r="O83" s="68"/>
      <x:c r="P83" s="68"/>
      <x:c r="Q83" s="68"/>
      <x:c r="R83" s="68"/>
      <x:c r="S83" s="68"/>
      <x:c r="T83" s="82"/>
      <x:c r="U83" s="68"/>
      <x:c r="V83" s="68"/>
      <x:c r="W83" s="68"/>
      <x:c r="X83" s="82"/>
      <x:c r="Y83" s="68"/>
      <x:c r="Z83" s="68"/>
      <x:c r="AA83" s="87"/>
      <x:c r="AB83" s="68"/>
      <x:c r="AC83" s="68"/>
    </x:row>
    <x:row r="84">
      <x:c r="A84" s="72" t="str">
        <x:f>IF(OR(C84="",D84=""),"",B84&amp;"-"&amp;UPPER(C84)&amp;"-"&amp;TEXT(D84,"0000")&amp;"-"&amp;E84)</x:f>
      </x:c>
      <x:c r="B84" s="74" t="str">
        <x:v>M20</x:v>
      </x:c>
      <x:c r="C84" s="74"/>
      <x:c r="D84" s="79"/>
      <x:c r="E84" s="74" t="str">
        <x:v>V1.0</x:v>
      </x:c>
      <x:c r="F84" s="68"/>
      <x:c r="G84" s="68"/>
      <x:c r="H84" s="82"/>
      <x:c r="I84" s="68"/>
      <x:c r="J84" s="68"/>
      <x:c r="K84" s="82"/>
      <x:c r="L84" s="68"/>
      <x:c r="M84" s="68"/>
      <x:c r="N84" s="68"/>
      <x:c r="O84" s="68"/>
      <x:c r="P84" s="68"/>
      <x:c r="Q84" s="68"/>
      <x:c r="R84" s="68"/>
      <x:c r="S84" s="68"/>
      <x:c r="T84" s="82"/>
      <x:c r="U84" s="68"/>
      <x:c r="V84" s="68"/>
      <x:c r="W84" s="68"/>
      <x:c r="X84" s="82"/>
      <x:c r="Y84" s="68"/>
      <x:c r="Z84" s="68"/>
      <x:c r="AA84" s="87"/>
      <x:c r="AB84" s="68"/>
      <x:c r="AC84" s="68"/>
    </x:row>
    <x:row r="85">
      <x:c r="A85" s="72" t="str">
        <x:f>IF(OR(C85="",D85=""),"",B85&amp;"-"&amp;UPPER(C85)&amp;"-"&amp;TEXT(D85,"0000")&amp;"-"&amp;E85)</x:f>
      </x:c>
      <x:c r="B85" s="74" t="str">
        <x:v>M20</x:v>
      </x:c>
      <x:c r="C85" s="74"/>
      <x:c r="D85" s="79"/>
      <x:c r="E85" s="74" t="str">
        <x:v>V1.0</x:v>
      </x:c>
      <x:c r="F85" s="68"/>
      <x:c r="G85" s="68"/>
      <x:c r="H85" s="82"/>
      <x:c r="I85" s="68"/>
      <x:c r="J85" s="68"/>
      <x:c r="K85" s="82"/>
      <x:c r="L85" s="68"/>
      <x:c r="M85" s="68"/>
      <x:c r="N85" s="68"/>
      <x:c r="O85" s="68"/>
      <x:c r="P85" s="68"/>
      <x:c r="Q85" s="68"/>
      <x:c r="R85" s="68"/>
      <x:c r="S85" s="68"/>
      <x:c r="T85" s="82"/>
      <x:c r="U85" s="68"/>
      <x:c r="V85" s="68"/>
      <x:c r="W85" s="68"/>
      <x:c r="X85" s="82"/>
      <x:c r="Y85" s="68"/>
      <x:c r="Z85" s="68"/>
      <x:c r="AA85" s="87"/>
      <x:c r="AB85" s="68"/>
      <x:c r="AC85" s="68"/>
    </x:row>
    <x:row r="86">
      <x:c r="A86" s="72" t="str">
        <x:f>IF(OR(C86="",D86=""),"",B86&amp;"-"&amp;UPPER(C86)&amp;"-"&amp;TEXT(D86,"0000")&amp;"-"&amp;E86)</x:f>
      </x:c>
      <x:c r="B86" s="74" t="str">
        <x:v>M20</x:v>
      </x:c>
      <x:c r="C86" s="74"/>
      <x:c r="D86" s="79"/>
      <x:c r="E86" s="74" t="str">
        <x:v>V1.0</x:v>
      </x:c>
      <x:c r="F86" s="68"/>
      <x:c r="G86" s="68"/>
      <x:c r="H86" s="82"/>
      <x:c r="I86" s="68"/>
      <x:c r="J86" s="68"/>
      <x:c r="K86" s="82"/>
      <x:c r="L86" s="68"/>
      <x:c r="M86" s="68"/>
      <x:c r="N86" s="68"/>
      <x:c r="O86" s="68"/>
      <x:c r="P86" s="68"/>
      <x:c r="Q86" s="68"/>
      <x:c r="R86" s="68"/>
      <x:c r="S86" s="68"/>
      <x:c r="T86" s="82"/>
      <x:c r="U86" s="68"/>
      <x:c r="V86" s="68"/>
      <x:c r="W86" s="68"/>
      <x:c r="X86" s="82"/>
      <x:c r="Y86" s="68"/>
      <x:c r="Z86" s="68"/>
      <x:c r="AA86" s="87"/>
      <x:c r="AB86" s="68"/>
      <x:c r="AC86" s="68"/>
    </x:row>
    <x:row r="87">
      <x:c r="A87" s="72" t="str">
        <x:f>IF(OR(C87="",D87=""),"",B87&amp;"-"&amp;UPPER(C87)&amp;"-"&amp;TEXT(D87,"0000")&amp;"-"&amp;E87)</x:f>
      </x:c>
      <x:c r="B87" s="74" t="str">
        <x:v>M20</x:v>
      </x:c>
      <x:c r="C87" s="74"/>
      <x:c r="D87" s="79"/>
      <x:c r="E87" s="74" t="str">
        <x:v>V1.0</x:v>
      </x:c>
      <x:c r="F87" s="68"/>
      <x:c r="G87" s="68"/>
      <x:c r="H87" s="82"/>
      <x:c r="I87" s="68"/>
      <x:c r="J87" s="68"/>
      <x:c r="K87" s="82"/>
      <x:c r="L87" s="68"/>
      <x:c r="M87" s="68"/>
      <x:c r="N87" s="68"/>
      <x:c r="O87" s="68"/>
      <x:c r="P87" s="68"/>
      <x:c r="Q87" s="68"/>
      <x:c r="R87" s="68"/>
      <x:c r="S87" s="68"/>
      <x:c r="T87" s="82"/>
      <x:c r="U87" s="68"/>
      <x:c r="V87" s="68"/>
      <x:c r="W87" s="68"/>
      <x:c r="X87" s="82"/>
      <x:c r="Y87" s="68"/>
      <x:c r="Z87" s="68"/>
      <x:c r="AA87" s="87"/>
      <x:c r="AB87" s="68"/>
      <x:c r="AC87" s="68"/>
    </x:row>
    <x:row r="88">
      <x:c r="A88" s="72" t="str">
        <x:f>IF(OR(C88="",D88=""),"",B88&amp;"-"&amp;UPPER(C88)&amp;"-"&amp;TEXT(D88,"0000")&amp;"-"&amp;E88)</x:f>
      </x:c>
      <x:c r="B88" s="74" t="str">
        <x:v>M20</x:v>
      </x:c>
      <x:c r="C88" s="74"/>
      <x:c r="D88" s="79"/>
      <x:c r="E88" s="74" t="str">
        <x:v>V1.0</x:v>
      </x:c>
      <x:c r="F88" s="68"/>
      <x:c r="G88" s="68"/>
      <x:c r="H88" s="82"/>
      <x:c r="I88" s="68"/>
      <x:c r="J88" s="68"/>
      <x:c r="K88" s="82"/>
      <x:c r="L88" s="68"/>
      <x:c r="M88" s="68"/>
      <x:c r="N88" s="68"/>
      <x:c r="O88" s="68"/>
      <x:c r="P88" s="68"/>
      <x:c r="Q88" s="68"/>
      <x:c r="R88" s="68"/>
      <x:c r="S88" s="68"/>
      <x:c r="T88" s="82"/>
      <x:c r="U88" s="68"/>
      <x:c r="V88" s="68"/>
      <x:c r="W88" s="68"/>
      <x:c r="X88" s="82"/>
      <x:c r="Y88" s="68"/>
      <x:c r="Z88" s="68"/>
      <x:c r="AA88" s="87"/>
      <x:c r="AB88" s="68"/>
      <x:c r="AC88" s="68"/>
    </x:row>
    <x:row r="89">
      <x:c r="A89" s="72" t="str">
        <x:f>IF(OR(C89="",D89=""),"",B89&amp;"-"&amp;UPPER(C89)&amp;"-"&amp;TEXT(D89,"0000")&amp;"-"&amp;E89)</x:f>
      </x:c>
      <x:c r="B89" s="74" t="str">
        <x:v>M20</x:v>
      </x:c>
      <x:c r="C89" s="74"/>
      <x:c r="D89" s="79"/>
      <x:c r="E89" s="74" t="str">
        <x:v>V1.0</x:v>
      </x:c>
      <x:c r="F89" s="68"/>
      <x:c r="G89" s="68"/>
      <x:c r="H89" s="82"/>
      <x:c r="I89" s="68"/>
      <x:c r="J89" s="68"/>
      <x:c r="K89" s="82"/>
      <x:c r="L89" s="68"/>
      <x:c r="M89" s="68"/>
      <x:c r="N89" s="68"/>
      <x:c r="O89" s="68"/>
      <x:c r="P89" s="68"/>
      <x:c r="Q89" s="68"/>
      <x:c r="R89" s="68"/>
      <x:c r="S89" s="68"/>
      <x:c r="T89" s="82"/>
      <x:c r="U89" s="68"/>
      <x:c r="V89" s="68"/>
      <x:c r="W89" s="68"/>
      <x:c r="X89" s="82"/>
      <x:c r="Y89" s="68"/>
      <x:c r="Z89" s="68"/>
      <x:c r="AA89" s="87"/>
      <x:c r="AB89" s="68"/>
      <x:c r="AC89" s="68"/>
    </x:row>
    <x:row r="90">
      <x:c r="A90" s="72" t="str">
        <x:f>IF(OR(C90="",D90=""),"",B90&amp;"-"&amp;UPPER(C90)&amp;"-"&amp;TEXT(D90,"0000")&amp;"-"&amp;E90)</x:f>
      </x:c>
      <x:c r="B90" s="74" t="str">
        <x:v>M20</x:v>
      </x:c>
      <x:c r="C90" s="74"/>
      <x:c r="D90" s="79"/>
      <x:c r="E90" s="74" t="str">
        <x:v>V1.0</x:v>
      </x:c>
      <x:c r="F90" s="68"/>
      <x:c r="G90" s="68"/>
      <x:c r="H90" s="82"/>
      <x:c r="I90" s="68"/>
      <x:c r="J90" s="68"/>
      <x:c r="K90" s="82"/>
      <x:c r="L90" s="68"/>
      <x:c r="M90" s="68"/>
      <x:c r="N90" s="68"/>
      <x:c r="O90" s="68"/>
      <x:c r="P90" s="68"/>
      <x:c r="Q90" s="68"/>
      <x:c r="R90" s="68"/>
      <x:c r="S90" s="68"/>
      <x:c r="T90" s="82"/>
      <x:c r="U90" s="68"/>
      <x:c r="V90" s="68"/>
      <x:c r="W90" s="68"/>
      <x:c r="X90" s="82"/>
      <x:c r="Y90" s="68"/>
      <x:c r="Z90" s="68"/>
      <x:c r="AA90" s="87"/>
      <x:c r="AB90" s="68"/>
      <x:c r="AC90" s="68"/>
    </x:row>
    <x:row r="91">
      <x:c r="A91" s="72" t="str">
        <x:f>IF(OR(C91="",D91=""),"",B91&amp;"-"&amp;UPPER(C91)&amp;"-"&amp;TEXT(D91,"0000")&amp;"-"&amp;E91)</x:f>
      </x:c>
      <x:c r="B91" s="74" t="str">
        <x:v>M20</x:v>
      </x:c>
      <x:c r="C91" s="74"/>
      <x:c r="D91" s="79"/>
      <x:c r="E91" s="74" t="str">
        <x:v>V1.0</x:v>
      </x:c>
      <x:c r="F91" s="68"/>
      <x:c r="G91" s="68"/>
      <x:c r="H91" s="82"/>
      <x:c r="I91" s="68"/>
      <x:c r="J91" s="68"/>
      <x:c r="K91" s="82"/>
      <x:c r="L91" s="68"/>
      <x:c r="M91" s="68"/>
      <x:c r="N91" s="68"/>
      <x:c r="O91" s="68"/>
      <x:c r="P91" s="68"/>
      <x:c r="Q91" s="68"/>
      <x:c r="R91" s="68"/>
      <x:c r="S91" s="68"/>
      <x:c r="T91" s="82"/>
      <x:c r="U91" s="68"/>
      <x:c r="V91" s="68"/>
      <x:c r="W91" s="68"/>
      <x:c r="X91" s="82"/>
      <x:c r="Y91" s="68"/>
      <x:c r="Z91" s="68"/>
      <x:c r="AA91" s="87"/>
      <x:c r="AB91" s="68"/>
      <x:c r="AC91" s="68"/>
    </x:row>
    <x:row r="92">
      <x:c r="A92" s="72" t="str">
        <x:f>IF(OR(C92="",D92=""),"",B92&amp;"-"&amp;UPPER(C92)&amp;"-"&amp;TEXT(D92,"0000")&amp;"-"&amp;E92)</x:f>
      </x:c>
      <x:c r="B92" s="74" t="str">
        <x:v>M20</x:v>
      </x:c>
      <x:c r="C92" s="74"/>
      <x:c r="D92" s="79"/>
      <x:c r="E92" s="74" t="str">
        <x:v>V1.0</x:v>
      </x:c>
      <x:c r="F92" s="68"/>
      <x:c r="G92" s="68"/>
      <x:c r="H92" s="82"/>
      <x:c r="I92" s="68"/>
      <x:c r="J92" s="68"/>
      <x:c r="K92" s="82"/>
      <x:c r="L92" s="68"/>
      <x:c r="M92" s="68"/>
      <x:c r="N92" s="68"/>
      <x:c r="O92" s="68"/>
      <x:c r="P92" s="68"/>
      <x:c r="Q92" s="68"/>
      <x:c r="R92" s="68"/>
      <x:c r="S92" s="68"/>
      <x:c r="T92" s="82"/>
      <x:c r="U92" s="68"/>
      <x:c r="V92" s="68"/>
      <x:c r="W92" s="68"/>
      <x:c r="X92" s="82"/>
      <x:c r="Y92" s="68"/>
      <x:c r="Z92" s="68"/>
      <x:c r="AA92" s="87"/>
      <x:c r="AB92" s="68"/>
      <x:c r="AC92" s="68"/>
    </x:row>
    <x:row r="93">
      <x:c r="A93" s="72" t="str">
        <x:f>IF(OR(C93="",D93=""),"",B93&amp;"-"&amp;UPPER(C93)&amp;"-"&amp;TEXT(D93,"0000")&amp;"-"&amp;E93)</x:f>
      </x:c>
      <x:c r="B93" s="74" t="str">
        <x:v>M20</x:v>
      </x:c>
      <x:c r="C93" s="74"/>
      <x:c r="D93" s="79"/>
      <x:c r="E93" s="74" t="str">
        <x:v>V1.0</x:v>
      </x:c>
      <x:c r="F93" s="68"/>
      <x:c r="G93" s="68"/>
      <x:c r="H93" s="82"/>
      <x:c r="I93" s="68"/>
      <x:c r="J93" s="68"/>
      <x:c r="K93" s="82"/>
      <x:c r="L93" s="68"/>
      <x:c r="M93" s="68"/>
      <x:c r="N93" s="68"/>
      <x:c r="O93" s="68"/>
      <x:c r="P93" s="68"/>
      <x:c r="Q93" s="68"/>
      <x:c r="R93" s="68"/>
      <x:c r="S93" s="68"/>
      <x:c r="T93" s="82"/>
      <x:c r="U93" s="68"/>
      <x:c r="V93" s="68"/>
      <x:c r="W93" s="68"/>
      <x:c r="X93" s="82"/>
      <x:c r="Y93" s="68"/>
      <x:c r="Z93" s="68"/>
      <x:c r="AA93" s="87"/>
      <x:c r="AB93" s="68"/>
      <x:c r="AC93" s="68"/>
    </x:row>
    <x:row r="94">
      <x:c r="A94" s="72" t="str">
        <x:f>IF(OR(C94="",D94=""),"",B94&amp;"-"&amp;UPPER(C94)&amp;"-"&amp;TEXT(D94,"0000")&amp;"-"&amp;E94)</x:f>
      </x:c>
      <x:c r="B94" s="74" t="str">
        <x:v>M20</x:v>
      </x:c>
      <x:c r="C94" s="74"/>
      <x:c r="D94" s="79"/>
      <x:c r="E94" s="74" t="str">
        <x:v>V1.0</x:v>
      </x:c>
      <x:c r="F94" s="68"/>
      <x:c r="G94" s="68"/>
      <x:c r="H94" s="82"/>
      <x:c r="I94" s="68"/>
      <x:c r="J94" s="68"/>
      <x:c r="K94" s="82"/>
      <x:c r="L94" s="68"/>
      <x:c r="M94" s="68"/>
      <x:c r="N94" s="68"/>
      <x:c r="O94" s="68"/>
      <x:c r="P94" s="68"/>
      <x:c r="Q94" s="68"/>
      <x:c r="R94" s="68"/>
      <x:c r="S94" s="68"/>
      <x:c r="T94" s="82"/>
      <x:c r="U94" s="68"/>
      <x:c r="V94" s="68"/>
      <x:c r="W94" s="68"/>
      <x:c r="X94" s="82"/>
      <x:c r="Y94" s="68"/>
      <x:c r="Z94" s="68"/>
      <x:c r="AA94" s="87"/>
      <x:c r="AB94" s="68"/>
      <x:c r="AC94" s="68"/>
    </x:row>
    <x:row r="95">
      <x:c r="A95" s="72" t="str">
        <x:f>IF(OR(C95="",D95=""),"",B95&amp;"-"&amp;UPPER(C95)&amp;"-"&amp;TEXT(D95,"0000")&amp;"-"&amp;E95)</x:f>
      </x:c>
      <x:c r="B95" s="74" t="str">
        <x:v>M20</x:v>
      </x:c>
      <x:c r="C95" s="74"/>
      <x:c r="D95" s="79"/>
      <x:c r="E95" s="74" t="str">
        <x:v>V1.0</x:v>
      </x:c>
      <x:c r="F95" s="68"/>
      <x:c r="G95" s="68"/>
      <x:c r="H95" s="82"/>
      <x:c r="I95" s="68"/>
      <x:c r="J95" s="68"/>
      <x:c r="K95" s="82"/>
      <x:c r="L95" s="68"/>
      <x:c r="M95" s="68"/>
      <x:c r="N95" s="68"/>
      <x:c r="O95" s="68"/>
      <x:c r="P95" s="68"/>
      <x:c r="Q95" s="68"/>
      <x:c r="R95" s="68"/>
      <x:c r="S95" s="68"/>
      <x:c r="T95" s="82"/>
      <x:c r="U95" s="68"/>
      <x:c r="V95" s="68"/>
      <x:c r="W95" s="68"/>
      <x:c r="X95" s="82"/>
      <x:c r="Y95" s="68"/>
      <x:c r="Z95" s="68"/>
      <x:c r="AA95" s="87"/>
      <x:c r="AB95" s="68"/>
      <x:c r="AC95" s="68"/>
    </x:row>
    <x:row r="96">
      <x:c r="A96" s="72" t="str">
        <x:f>IF(OR(C96="",D96=""),"",B96&amp;"-"&amp;UPPER(C96)&amp;"-"&amp;TEXT(D96,"0000")&amp;"-"&amp;E96)</x:f>
      </x:c>
      <x:c r="B96" s="74" t="str">
        <x:v>M20</x:v>
      </x:c>
      <x:c r="C96" s="74"/>
      <x:c r="D96" s="79"/>
      <x:c r="E96" s="74" t="str">
        <x:v>V1.0</x:v>
      </x:c>
      <x:c r="F96" s="68"/>
      <x:c r="G96" s="68"/>
      <x:c r="H96" s="82"/>
      <x:c r="I96" s="68"/>
      <x:c r="J96" s="68"/>
      <x:c r="K96" s="82"/>
      <x:c r="L96" s="68"/>
      <x:c r="M96" s="68"/>
      <x:c r="N96" s="68"/>
      <x:c r="O96" s="68"/>
      <x:c r="P96" s="68"/>
      <x:c r="Q96" s="68"/>
      <x:c r="R96" s="68"/>
      <x:c r="S96" s="68"/>
      <x:c r="T96" s="82"/>
      <x:c r="U96" s="68"/>
      <x:c r="V96" s="68"/>
      <x:c r="W96" s="68"/>
      <x:c r="X96" s="82"/>
      <x:c r="Y96" s="68"/>
      <x:c r="Z96" s="68"/>
      <x:c r="AA96" s="87"/>
      <x:c r="AB96" s="68"/>
      <x:c r="AC96" s="68"/>
    </x:row>
    <x:row r="97">
      <x:c r="A97" s="72" t="str">
        <x:f>IF(OR(C97="",D97=""),"",B97&amp;"-"&amp;UPPER(C97)&amp;"-"&amp;TEXT(D97,"0000")&amp;"-"&amp;E97)</x:f>
      </x:c>
      <x:c r="B97" s="74" t="str">
        <x:v>M20</x:v>
      </x:c>
      <x:c r="C97" s="74"/>
      <x:c r="D97" s="79"/>
      <x:c r="E97" s="74" t="str">
        <x:v>V1.0</x:v>
      </x:c>
      <x:c r="F97" s="68"/>
      <x:c r="G97" s="68"/>
      <x:c r="H97" s="82"/>
      <x:c r="I97" s="68"/>
      <x:c r="J97" s="68"/>
      <x:c r="K97" s="82"/>
      <x:c r="L97" s="68"/>
      <x:c r="M97" s="68"/>
      <x:c r="N97" s="68"/>
      <x:c r="O97" s="68"/>
      <x:c r="P97" s="68"/>
      <x:c r="Q97" s="68"/>
      <x:c r="R97" s="68"/>
      <x:c r="S97" s="68"/>
      <x:c r="T97" s="82"/>
      <x:c r="U97" s="68"/>
      <x:c r="V97" s="68"/>
      <x:c r="W97" s="68"/>
      <x:c r="X97" s="82"/>
      <x:c r="Y97" s="68"/>
      <x:c r="Z97" s="68"/>
      <x:c r="AA97" s="87"/>
      <x:c r="AB97" s="68"/>
      <x:c r="AC97" s="68"/>
    </x:row>
    <x:row r="98">
      <x:c r="A98" s="72" t="str">
        <x:f>IF(OR(C98="",D98=""),"",B98&amp;"-"&amp;UPPER(C98)&amp;"-"&amp;TEXT(D98,"0000")&amp;"-"&amp;E98)</x:f>
      </x:c>
      <x:c r="B98" s="74" t="str">
        <x:v>M20</x:v>
      </x:c>
      <x:c r="C98" s="74"/>
      <x:c r="D98" s="79"/>
      <x:c r="E98" s="74" t="str">
        <x:v>V1.0</x:v>
      </x:c>
      <x:c r="F98" s="68"/>
      <x:c r="G98" s="68"/>
      <x:c r="H98" s="82"/>
      <x:c r="I98" s="68"/>
      <x:c r="J98" s="68"/>
      <x:c r="K98" s="82"/>
      <x:c r="L98" s="68"/>
      <x:c r="M98" s="68"/>
      <x:c r="N98" s="68"/>
      <x:c r="O98" s="68"/>
      <x:c r="P98" s="68"/>
      <x:c r="Q98" s="68"/>
      <x:c r="R98" s="68"/>
      <x:c r="S98" s="68"/>
      <x:c r="T98" s="82"/>
      <x:c r="U98" s="68"/>
      <x:c r="V98" s="68"/>
      <x:c r="W98" s="68"/>
      <x:c r="X98" s="82"/>
      <x:c r="Y98" s="68"/>
      <x:c r="Z98" s="68"/>
      <x:c r="AA98" s="87"/>
      <x:c r="AB98" s="68"/>
      <x:c r="AC98" s="68"/>
    </x:row>
    <x:row r="99">
      <x:c r="A99" s="72" t="str">
        <x:f>IF(OR(C99="",D99=""),"",B99&amp;"-"&amp;UPPER(C99)&amp;"-"&amp;TEXT(D99,"0000")&amp;"-"&amp;E99)</x:f>
      </x:c>
      <x:c r="B99" s="74" t="str">
        <x:v>M20</x:v>
      </x:c>
      <x:c r="C99" s="74"/>
      <x:c r="D99" s="79"/>
      <x:c r="E99" s="74" t="str">
        <x:v>V1.0</x:v>
      </x:c>
      <x:c r="F99" s="68"/>
      <x:c r="G99" s="68"/>
      <x:c r="H99" s="82"/>
      <x:c r="I99" s="68"/>
      <x:c r="J99" s="68"/>
      <x:c r="K99" s="82"/>
      <x:c r="L99" s="68"/>
      <x:c r="M99" s="68"/>
      <x:c r="N99" s="68"/>
      <x:c r="O99" s="68"/>
      <x:c r="P99" s="68"/>
      <x:c r="Q99" s="68"/>
      <x:c r="R99" s="68"/>
      <x:c r="S99" s="68"/>
      <x:c r="T99" s="82"/>
      <x:c r="U99" s="68"/>
      <x:c r="V99" s="68"/>
      <x:c r="W99" s="68"/>
      <x:c r="X99" s="82"/>
      <x:c r="Y99" s="68"/>
      <x:c r="Z99" s="68"/>
      <x:c r="AA99" s="87"/>
      <x:c r="AB99" s="68"/>
      <x:c r="AC99" s="68"/>
    </x:row>
    <x:row r="100">
      <x:c r="A100" s="72" t="str">
        <x:f>IF(OR(C100="",D100=""),"",B100&amp;"-"&amp;UPPER(C100)&amp;"-"&amp;TEXT(D100,"0000")&amp;"-"&amp;E100)</x:f>
      </x:c>
      <x:c r="B100" s="74" t="str">
        <x:v>M20</x:v>
      </x:c>
      <x:c r="C100" s="74"/>
      <x:c r="D100" s="79"/>
      <x:c r="E100" s="74" t="str">
        <x:v>V1.0</x:v>
      </x:c>
      <x:c r="F100" s="68"/>
      <x:c r="G100" s="68"/>
      <x:c r="H100" s="82"/>
      <x:c r="I100" s="68"/>
      <x:c r="J100" s="68"/>
      <x:c r="K100" s="82"/>
      <x:c r="L100" s="68"/>
      <x:c r="M100" s="68"/>
      <x:c r="N100" s="68"/>
      <x:c r="O100" s="68"/>
      <x:c r="P100" s="68"/>
      <x:c r="Q100" s="68"/>
      <x:c r="R100" s="68"/>
      <x:c r="S100" s="68"/>
      <x:c r="T100" s="82"/>
      <x:c r="U100" s="68"/>
      <x:c r="V100" s="68"/>
      <x:c r="W100" s="68"/>
      <x:c r="X100" s="82"/>
      <x:c r="Y100" s="68"/>
      <x:c r="Z100" s="68"/>
      <x:c r="AA100" s="87"/>
      <x:c r="AB100" s="68"/>
      <x:c r="AC100" s="68"/>
    </x:row>
    <x:row r="101">
      <x:c r="A101" s="72" t="str">
        <x:f>IF(OR(C101="",D101=""),"",B101&amp;"-"&amp;UPPER(C101)&amp;"-"&amp;TEXT(D101,"0000")&amp;"-"&amp;E101)</x:f>
      </x:c>
      <x:c r="B101" s="74" t="str">
        <x:v>M20</x:v>
      </x:c>
      <x:c r="C101" s="74"/>
      <x:c r="D101" s="79"/>
      <x:c r="E101" s="74" t="str">
        <x:v>V1.0</x:v>
      </x:c>
      <x:c r="F101" s="68"/>
      <x:c r="G101" s="68"/>
      <x:c r="H101" s="82"/>
      <x:c r="I101" s="68"/>
      <x:c r="J101" s="68"/>
      <x:c r="K101" s="82"/>
      <x:c r="L101" s="68"/>
      <x:c r="M101" s="68"/>
      <x:c r="N101" s="68"/>
      <x:c r="O101" s="68"/>
      <x:c r="P101" s="68"/>
      <x:c r="Q101" s="68"/>
      <x:c r="R101" s="68"/>
      <x:c r="S101" s="68"/>
      <x:c r="T101" s="82"/>
      <x:c r="U101" s="68"/>
      <x:c r="V101" s="68"/>
      <x:c r="W101" s="68"/>
      <x:c r="X101" s="82"/>
      <x:c r="Y101" s="68"/>
      <x:c r="Z101" s="68"/>
      <x:c r="AA101" s="87"/>
      <x:c r="AB101" s="68"/>
      <x:c r="AC101" s="68"/>
    </x:row>
    <x:row r="102">
      <x:c r="A102" s="72" t="str">
        <x:f>IF(OR(C102="",D102=""),"",B102&amp;"-"&amp;UPPER(C102)&amp;"-"&amp;TEXT(D102,"0000")&amp;"-"&amp;E102)</x:f>
      </x:c>
      <x:c r="B102" s="74" t="str">
        <x:v>M20</x:v>
      </x:c>
      <x:c r="C102" s="74"/>
      <x:c r="D102" s="79"/>
      <x:c r="E102" s="74" t="str">
        <x:v>V1.0</x:v>
      </x:c>
      <x:c r="F102" s="68"/>
      <x:c r="G102" s="68"/>
      <x:c r="H102" s="82"/>
      <x:c r="I102" s="68"/>
      <x:c r="J102" s="68"/>
      <x:c r="K102" s="82"/>
      <x:c r="L102" s="68"/>
      <x:c r="M102" s="68"/>
      <x:c r="N102" s="68"/>
      <x:c r="O102" s="68"/>
      <x:c r="P102" s="68"/>
      <x:c r="Q102" s="68"/>
      <x:c r="R102" s="68"/>
      <x:c r="S102" s="68"/>
      <x:c r="T102" s="82"/>
      <x:c r="U102" s="68"/>
      <x:c r="V102" s="68"/>
      <x:c r="W102" s="68"/>
      <x:c r="X102" s="82"/>
      <x:c r="Y102" s="68"/>
      <x:c r="Z102" s="68"/>
      <x:c r="AA102" s="87"/>
      <x:c r="AB102" s="68"/>
      <x:c r="AC102" s="68"/>
    </x:row>
    <x:row r="103">
      <x:c r="A103" s="72" t="str">
        <x:f>IF(OR(C103="",D103=""),"",B103&amp;"-"&amp;UPPER(C103)&amp;"-"&amp;TEXT(D103,"0000")&amp;"-"&amp;E103)</x:f>
      </x:c>
      <x:c r="B103" s="74" t="str">
        <x:v>M20</x:v>
      </x:c>
      <x:c r="C103" s="74"/>
      <x:c r="D103" s="79"/>
      <x:c r="E103" s="74" t="str">
        <x:v>V1.0</x:v>
      </x:c>
      <x:c r="F103" s="68"/>
      <x:c r="G103" s="68"/>
      <x:c r="H103" s="82"/>
      <x:c r="I103" s="68"/>
      <x:c r="J103" s="68"/>
      <x:c r="K103" s="82"/>
      <x:c r="L103" s="68"/>
      <x:c r="M103" s="68"/>
      <x:c r="N103" s="68"/>
      <x:c r="O103" s="68"/>
      <x:c r="P103" s="68"/>
      <x:c r="Q103" s="68"/>
      <x:c r="R103" s="68"/>
      <x:c r="S103" s="68"/>
      <x:c r="T103" s="82"/>
      <x:c r="U103" s="68"/>
      <x:c r="V103" s="68"/>
      <x:c r="W103" s="68"/>
      <x:c r="X103" s="82"/>
      <x:c r="Y103" s="68"/>
      <x:c r="Z103" s="68"/>
      <x:c r="AA103" s="87"/>
      <x:c r="AB103" s="68"/>
      <x:c r="AC103" s="68"/>
    </x:row>
    <x:row r="104">
      <x:c r="A104" s="72" t="str">
        <x:f>IF(OR(C104="",D104=""),"",B104&amp;"-"&amp;UPPER(C104)&amp;"-"&amp;TEXT(D104,"0000")&amp;"-"&amp;E104)</x:f>
      </x:c>
      <x:c r="B104" s="74" t="str">
        <x:v>M20</x:v>
      </x:c>
      <x:c r="C104" s="74"/>
      <x:c r="D104" s="79"/>
      <x:c r="E104" s="74" t="str">
        <x:v>V1.0</x:v>
      </x:c>
      <x:c r="F104" s="68"/>
      <x:c r="G104" s="68"/>
      <x:c r="H104" s="82"/>
      <x:c r="I104" s="68"/>
      <x:c r="J104" s="68"/>
      <x:c r="K104" s="82"/>
      <x:c r="L104" s="68"/>
      <x:c r="M104" s="68"/>
      <x:c r="N104" s="68"/>
      <x:c r="O104" s="68"/>
      <x:c r="P104" s="68"/>
      <x:c r="Q104" s="68"/>
      <x:c r="R104" s="68"/>
      <x:c r="S104" s="68"/>
      <x:c r="T104" s="82"/>
      <x:c r="U104" s="68"/>
      <x:c r="V104" s="68"/>
      <x:c r="W104" s="68"/>
      <x:c r="X104" s="82"/>
      <x:c r="Y104" s="68"/>
      <x:c r="Z104" s="68"/>
      <x:c r="AA104" s="87"/>
      <x:c r="AB104" s="68"/>
      <x:c r="AC104" s="68"/>
    </x:row>
    <x:row r="105">
      <x:c r="A105" s="72" t="str">
        <x:f>IF(OR(C105="",D105=""),"",B105&amp;"-"&amp;UPPER(C105)&amp;"-"&amp;TEXT(D105,"0000")&amp;"-"&amp;E105)</x:f>
      </x:c>
      <x:c r="B105" s="74" t="str">
        <x:v>M20</x:v>
      </x:c>
      <x:c r="C105" s="74"/>
      <x:c r="D105" s="79"/>
      <x:c r="E105" s="74" t="str">
        <x:v>V1.0</x:v>
      </x:c>
      <x:c r="F105" s="68"/>
      <x:c r="G105" s="68"/>
      <x:c r="H105" s="82"/>
      <x:c r="I105" s="68"/>
      <x:c r="J105" s="68"/>
      <x:c r="K105" s="82"/>
      <x:c r="L105" s="68"/>
      <x:c r="M105" s="68"/>
      <x:c r="N105" s="68"/>
      <x:c r="O105" s="68"/>
      <x:c r="P105" s="68"/>
      <x:c r="Q105" s="68"/>
      <x:c r="R105" s="68"/>
      <x:c r="S105" s="68"/>
      <x:c r="T105" s="82"/>
      <x:c r="U105" s="68"/>
      <x:c r="V105" s="68"/>
      <x:c r="W105" s="68"/>
      <x:c r="X105" s="82"/>
      <x:c r="Y105" s="68"/>
      <x:c r="Z105" s="68"/>
      <x:c r="AA105" s="87"/>
      <x:c r="AB105" s="68"/>
      <x:c r="AC105" s="68"/>
    </x:row>
  </x:sheetData>
  <x:mergeCells>
    <x:mergeCell ref="A1:O1"/>
    <x:mergeCell ref="A2:O2"/>
    <x:mergeCell ref="A3:O3"/>
    <x:mergeCell ref="A4:O4"/>
  </x:mergeCells>
  <x:conditionalFormatting sqref="A6:A105">
    <x:cfRule type="expression" dxfId="18" priority="1">
      <x:formula>AND(A6&lt;&gt;"",COUNTIF($A$6:$A$105,A6)&gt;1)</x:formula>
    </x:cfRule>
  </x:conditionalFormatting>
  <x:dataValidations count="7">
    <x:dataValidation type="list" sqref="E6:E105">
      <x:formula1>'99_下拉选项'!$BG$4:$BG$12</x:formula1>
    </x:dataValidation>
    <x:dataValidation type="list" sqref="H6:H105">
      <x:formula1>'99_下拉选项'!$AW$4:$AW$6</x:formula1>
    </x:dataValidation>
    <x:dataValidation type="list" sqref="K6:K105">
      <x:formula1>'99_下拉选项'!$AX$4:$AX$9</x:formula1>
    </x:dataValidation>
    <x:dataValidation type="list" sqref="T6:T105">
      <x:formula1>'99_下拉选项'!$AY$4:$AY$8</x:formula1>
    </x:dataValidation>
    <x:dataValidation type="list" sqref="X6:X105">
      <x:formula1>'99_下拉选项'!$AY$4:$AY$8</x:formula1>
    </x:dataValidation>
    <x:dataValidation type="list" sqref="E6:E130">
      <x:formula1>'99_下拉选项'!$BG$4:$BG$14</x:formula1>
    </x:dataValidation>
    <x:dataValidation type="list" sqref="E7:E105">
      <x:formula1>'99_下拉选项'!$BG$4:$BG$16</x:formula1>
    </x:dataValidation>
  </x:dataValidations>
  <x:pageMargins left="0.7" right="0.7" top="0.75" bottom="0.75" header="0.3" footer="0.3"/>
  <x:tableParts count="1">
    <x:tablePart xmlns:r="http://schemas.openxmlformats.org/officeDocument/2006/relationships" r:id="Ra65f2c137d764eb5"/>
  </x:tableParts>
</x:worksheet>
</file>

<file path=xl/worksheets/sheet2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22" hidden="0" customWidth="1"/>
    <x:col min="10" max="10" width="16"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16" hidden="0" customWidth="1"/>
    <x:col min="18" max="18" width="30" hidden="0" customWidth="1"/>
    <x:col min="19" max="19" width="16" hidden="0" customWidth="1"/>
    <x:col min="20" max="20" width="16" hidden="0" customWidth="1"/>
    <x:col min="21" max="21" width="16" hidden="0" customWidth="1"/>
    <x:col min="22" max="22" width="30" hidden="0" customWidth="1"/>
    <x:col min="23" max="23" width="16" hidden="0" customWidth="1"/>
    <x:col min="24" max="24" width="13" hidden="0" customWidth="1"/>
    <x:col min="25" max="25" width="30" hidden="0" customWidth="1"/>
  </x:cols>
  <x:sheetData>
    <x:row r="1" ht="28" customHeight="1">
      <x:c r="A1" s="32" t="str">
        <x:v>M21｜流派争议、反证与版本治理</x:v>
      </x:c>
      <x:c r="B1" s="32"/>
      <x:c r="C1" s="32"/>
      <x:c r="D1" s="32"/>
      <x:c r="E1" s="32"/>
      <x:c r="F1" s="32"/>
      <x:c r="G1" s="32"/>
      <x:c r="H1" s="32"/>
      <x:c r="I1" s="32"/>
      <x:c r="J1" s="32"/>
      <x:c r="K1" s="32"/>
      <x:c r="L1" s="32"/>
      <x:c r="M1" s="32"/>
      <x:c r="N1" s="32"/>
      <x:c r="O1" s="32"/>
      <x:c r="P1" s="32"/>
      <x:c r="Q1" s="32"/>
      <x:c r="R1" s="32"/>
      <x:c r="S1" s="32"/>
      <x:c r="T1" s="32"/>
      <x:c r="U1" s="32"/>
      <x:c r="V1" s="32"/>
      <x:c r="W1" s="32"/>
      <x:c r="X1" s="32"/>
      <x:c r="Y1" s="32"/>
    </x:row>
    <x:row r="2" ht="36" customHeight="1">
      <x:c r="A2" s="39" t="str">
        <x:v>记录不同流派观点、采用理由、反向证据、影响范围与版本变更，确保争议规则不会被当作无条件共识。</x:v>
      </x:c>
      <x:c r="B2" s="39"/>
      <x:c r="C2" s="39"/>
      <x:c r="D2" s="39"/>
      <x:c r="E2" s="39"/>
      <x:c r="F2" s="39"/>
      <x:c r="G2" s="39"/>
      <x:c r="H2" s="39"/>
      <x:c r="I2" s="39"/>
      <x:c r="J2" s="39"/>
      <x:c r="K2" s="39"/>
      <x:c r="L2" s="39"/>
      <x:c r="M2" s="39"/>
      <x:c r="N2" s="39"/>
      <x:c r="O2" s="39"/>
      <x:c r="P2" s="39"/>
      <x:c r="Q2" s="39"/>
      <x:c r="R2" s="39"/>
      <x:c r="S2" s="39"/>
      <x:c r="T2" s="39"/>
      <x:c r="U2" s="39"/>
      <x:c r="V2" s="39"/>
      <x:c r="W2" s="39"/>
      <x:c r="X2" s="39"/>
      <x:c r="Y2" s="39"/>
    </x:row>
    <x:row r="3" ht="30" customHeight="1">
      <x:c r="A3" s="47" t="str">
        <x:v>前置依赖：M20及外部文献　｜　主要输出：争议裁决、版本历史与规则适用边界　｜　直接下游：所有模块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row>
    <x:row r="5" ht="38" customHeight="1">
      <x:c r="A5" s="61" t="str">
        <x:v>Change_ID</x:v>
      </x:c>
      <x:c r="B5" s="61" t="str">
        <x:v>模块代码</x:v>
      </x:c>
      <x:c r="C5" s="61" t="str">
        <x:v>子类代码</x:v>
      </x:c>
      <x:c r="D5" s="61" t="str">
        <x:v>序号</x:v>
      </x:c>
      <x:c r="E5" s="61" t="str">
        <x:v>版本号</x:v>
      </x:c>
      <x:c r="F5" s="61" t="str">
        <x:v>关联Rule_ID</x:v>
      </x:c>
      <x:c r="G5" s="61" t="str">
        <x:v>关联模块</x:v>
      </x:c>
      <x:c r="H5" s="61" t="str">
        <x:v>议题类型</x:v>
      </x:c>
      <x:c r="I5" s="61" t="str">
        <x:v>争议主题</x:v>
      </x:c>
      <x:c r="J5" s="61" t="str">
        <x:v>流派A</x:v>
      </x:c>
      <x:c r="K5" s="61" t="str">
        <x:v>观点A</x:v>
      </x:c>
      <x:c r="L5" s="61" t="str">
        <x:v>流派B</x:v>
      </x:c>
      <x:c r="M5" s="61" t="str">
        <x:v>观点B</x:v>
      </x:c>
      <x:c r="N5" s="61" t="str">
        <x:v>采用规则</x:v>
      </x:c>
      <x:c r="O5" s="61" t="str">
        <x:v>采用理由</x:v>
      </x:c>
      <x:c r="P5" s="61" t="str">
        <x:v>反对证据</x:v>
      </x:c>
      <x:c r="Q5" s="61" t="str">
        <x:v>争议级别</x:v>
      </x:c>
      <x:c r="R5" s="61" t="str">
        <x:v>影响范围</x:v>
      </x:c>
      <x:c r="S5" s="61" t="str">
        <x:v>旧版本</x:v>
      </x:c>
      <x:c r="T5" s="61" t="str">
        <x:v>新版本</x:v>
      </x:c>
      <x:c r="U5" s="61" t="str">
        <x:v>变更类型</x:v>
      </x:c>
      <x:c r="V5" s="61" t="str">
        <x:v>处理状态</x:v>
      </x:c>
      <x:c r="W5" s="61" t="str">
        <x:v>审核人</x:v>
      </x:c>
      <x:c r="X5" s="61" t="str">
        <x:v>生效日期</x:v>
      </x:c>
      <x:c r="Y5" s="61" t="str">
        <x:v>来源/备注</x:v>
      </x:c>
    </x:row>
    <x:row r="6" ht="66" customHeight="1">
      <x:c r="A6" s="76" t="str">
        <x:f>IF(OR(C6="",D6=""),"",B6&amp;"-"&amp;UPPER(C6)&amp;"-"&amp;TEXT(D6,"0000")&amp;"-"&amp;E6)</x:f>
        <x:v>M21-DEMO-9999-V0.1</x:v>
      </x:c>
      <x:c r="B6" s="76" t="str">
        <x:v>M21</x:v>
      </x:c>
      <x:c r="C6" s="76" t="str">
        <x:v>DEMO</x:v>
      </x:c>
      <x:c r="D6" s="78" t="n">
        <x:v>9999</x:v>
      </x:c>
      <x:c r="E6" s="76" t="str">
        <x:v>V0.1</x:v>
      </x:c>
      <x:c r="F6" s="76" t="str">
        <x:v>M05-DEMO-9999-V0.1</x:v>
      </x:c>
      <x:c r="G6" s="76" t="str">
        <x:v>M05/M06</x:v>
      </x:c>
      <x:c r="H6" s="76" t="str">
        <x:v>流派争议</x:v>
      </x:c>
      <x:c r="I6" s="76" t="str">
        <x:v>刑是否必然按固定比例减力</x:v>
      </x:c>
      <x:c r="J6" s="76" t="str">
        <x:v>固定减力法</x:v>
      </x:c>
      <x:c r="K6" s="76" t="str">
        <x:v>见刑即按预设比例减力</x:v>
      </x:c>
      <x:c r="L6" s="76" t="str">
        <x:v>结构效应法</x:v>
      </x:c>
      <x:c r="M6" s="76" t="str">
        <x:v>刑先识别，再按月令、强弱、透干与叠加关系判断实际效应</x:v>
      </x:c>
      <x:c r="N6" s="76" t="str">
        <x:v>采用结构效应法，不设统一固定减力比例</x:v>
      </x:c>
      <x:c r="O6" s="76" t="str">
        <x:v>可避免把关系名称直接等同于力学结果，并能解释边界案例</x:v>
      </x:c>
      <x:c r="P6" s="76" t="str">
        <x:v>后续若大量案例显示某类刑有稳定量化规律，应重新评估</x:v>
      </x:c>
      <x:c r="Q6" s="76" t="str">
        <x:v>中</x:v>
      </x:c>
      <x:c r="R6" s="76" t="str">
        <x:v>M05/M06/M08/M09</x:v>
      </x:c>
      <x:c r="S6" s="76" t="str">
        <x:v>无</x:v>
      </x:c>
      <x:c r="T6" s="76" t="str">
        <x:v>V0.1</x:v>
      </x:c>
      <x:c r="U6" s="76" t="str">
        <x:v>新增</x:v>
      </x:c>
      <x:c r="V6" s="76" t="str">
        <x:v>待验证</x:v>
      </x:c>
      <x:c r="W6" s="76" t="str"/>
      <x:c r="X6" s="86" t="n">
        <x:v>46254</x:v>
      </x:c>
      <x:c r="Y6" s="76" t="str">
        <x:v>示例争议记录，正式采用需补充文献与案例证据</x:v>
      </x:c>
    </x:row>
    <x:row r="7">
      <x:c r="A7" s="72" t="str">
        <x:f>IF(OR(C7="",D7=""),"",B7&amp;"-"&amp;UPPER(C7)&amp;"-"&amp;TEXT(D7,"0000")&amp;"-"&amp;E7)</x:f>
      </x:c>
      <x:c r="B7" s="74" t="str">
        <x:v>M21</x:v>
      </x:c>
      <x:c r="C7" s="74"/>
      <x:c r="D7" s="79"/>
      <x:c r="E7" s="74" t="str">
        <x:v>V1.0</x:v>
      </x:c>
      <x:c r="F7" s="68"/>
      <x:c r="G7" s="68"/>
      <x:c r="H7" s="82"/>
      <x:c r="I7" s="68"/>
      <x:c r="J7" s="68"/>
      <x:c r="K7" s="68"/>
      <x:c r="L7" s="68"/>
      <x:c r="M7" s="68"/>
      <x:c r="N7" s="68"/>
      <x:c r="O7" s="68"/>
      <x:c r="P7" s="90"/>
      <x:c r="Q7" s="82"/>
      <x:c r="R7" s="68"/>
      <x:c r="S7" s="68"/>
      <x:c r="T7" s="68"/>
      <x:c r="U7" s="82"/>
      <x:c r="V7" s="82"/>
      <x:c r="W7" s="68"/>
      <x:c r="X7" s="87"/>
      <x:c r="Y7" s="68"/>
    </x:row>
    <x:row r="8">
      <x:c r="A8" s="72" t="str">
        <x:f>IF(OR(C8="",D8=""),"",B8&amp;"-"&amp;UPPER(C8)&amp;"-"&amp;TEXT(D8,"0000")&amp;"-"&amp;E8)</x:f>
      </x:c>
      <x:c r="B8" s="74" t="str">
        <x:v>M21</x:v>
      </x:c>
      <x:c r="C8" s="74"/>
      <x:c r="D8" s="79"/>
      <x:c r="E8" s="74" t="str">
        <x:v>V1.0</x:v>
      </x:c>
      <x:c r="F8" s="68"/>
      <x:c r="G8" s="68"/>
      <x:c r="H8" s="82"/>
      <x:c r="I8" s="68"/>
      <x:c r="J8" s="68"/>
      <x:c r="K8" s="68"/>
      <x:c r="L8" s="68"/>
      <x:c r="M8" s="68"/>
      <x:c r="N8" s="68"/>
      <x:c r="O8" s="68"/>
      <x:c r="P8" s="90"/>
      <x:c r="Q8" s="82"/>
      <x:c r="R8" s="68"/>
      <x:c r="S8" s="68"/>
      <x:c r="T8" s="68"/>
      <x:c r="U8" s="82"/>
      <x:c r="V8" s="82"/>
      <x:c r="W8" s="68"/>
      <x:c r="X8" s="87"/>
      <x:c r="Y8" s="68"/>
    </x:row>
    <x:row r="9">
      <x:c r="A9" s="72" t="str">
        <x:f>IF(OR(C9="",D9=""),"",B9&amp;"-"&amp;UPPER(C9)&amp;"-"&amp;TEXT(D9,"0000")&amp;"-"&amp;E9)</x:f>
      </x:c>
      <x:c r="B9" s="74" t="str">
        <x:v>M21</x:v>
      </x:c>
      <x:c r="C9" s="74"/>
      <x:c r="D9" s="79"/>
      <x:c r="E9" s="74" t="str">
        <x:v>V1.0</x:v>
      </x:c>
      <x:c r="F9" s="68"/>
      <x:c r="G9" s="68"/>
      <x:c r="H9" s="82"/>
      <x:c r="I9" s="68"/>
      <x:c r="J9" s="68"/>
      <x:c r="K9" s="68"/>
      <x:c r="L9" s="68"/>
      <x:c r="M9" s="68"/>
      <x:c r="N9" s="68"/>
      <x:c r="O9" s="68"/>
      <x:c r="P9" s="90"/>
      <x:c r="Q9" s="82"/>
      <x:c r="R9" s="68"/>
      <x:c r="S9" s="68"/>
      <x:c r="T9" s="68"/>
      <x:c r="U9" s="82"/>
      <x:c r="V9" s="82"/>
      <x:c r="W9" s="68"/>
      <x:c r="X9" s="87"/>
      <x:c r="Y9" s="68"/>
    </x:row>
    <x:row r="10">
      <x:c r="A10" s="72" t="str">
        <x:f>IF(OR(C10="",D10=""),"",B10&amp;"-"&amp;UPPER(C10)&amp;"-"&amp;TEXT(D10,"0000")&amp;"-"&amp;E10)</x:f>
      </x:c>
      <x:c r="B10" s="74" t="str">
        <x:v>M21</x:v>
      </x:c>
      <x:c r="C10" s="74"/>
      <x:c r="D10" s="79"/>
      <x:c r="E10" s="74" t="str">
        <x:v>V1.0</x:v>
      </x:c>
      <x:c r="F10" s="68"/>
      <x:c r="G10" s="68"/>
      <x:c r="H10" s="82"/>
      <x:c r="I10" s="68"/>
      <x:c r="J10" s="68"/>
      <x:c r="K10" s="68"/>
      <x:c r="L10" s="68"/>
      <x:c r="M10" s="68"/>
      <x:c r="N10" s="68"/>
      <x:c r="O10" s="68"/>
      <x:c r="P10" s="90"/>
      <x:c r="Q10" s="82"/>
      <x:c r="R10" s="68"/>
      <x:c r="S10" s="68"/>
      <x:c r="T10" s="68"/>
      <x:c r="U10" s="82"/>
      <x:c r="V10" s="82"/>
      <x:c r="W10" s="68"/>
      <x:c r="X10" s="87"/>
      <x:c r="Y10" s="68"/>
    </x:row>
    <x:row r="11">
      <x:c r="A11" s="72" t="str">
        <x:f>IF(OR(C11="",D11=""),"",B11&amp;"-"&amp;UPPER(C11)&amp;"-"&amp;TEXT(D11,"0000")&amp;"-"&amp;E11)</x:f>
      </x:c>
      <x:c r="B11" s="74" t="str">
        <x:v>M21</x:v>
      </x:c>
      <x:c r="C11" s="74"/>
      <x:c r="D11" s="79"/>
      <x:c r="E11" s="74" t="str">
        <x:v>V1.0</x:v>
      </x:c>
      <x:c r="F11" s="68"/>
      <x:c r="G11" s="68"/>
      <x:c r="H11" s="82"/>
      <x:c r="I11" s="68"/>
      <x:c r="J11" s="68"/>
      <x:c r="K11" s="68"/>
      <x:c r="L11" s="68"/>
      <x:c r="M11" s="68"/>
      <x:c r="N11" s="68"/>
      <x:c r="O11" s="68"/>
      <x:c r="P11" s="90"/>
      <x:c r="Q11" s="82"/>
      <x:c r="R11" s="68"/>
      <x:c r="S11" s="68"/>
      <x:c r="T11" s="68"/>
      <x:c r="U11" s="82"/>
      <x:c r="V11" s="82"/>
      <x:c r="W11" s="68"/>
      <x:c r="X11" s="87"/>
      <x:c r="Y11" s="68"/>
    </x:row>
    <x:row r="12">
      <x:c r="A12" s="72" t="str">
        <x:f>IF(OR(C12="",D12=""),"",B12&amp;"-"&amp;UPPER(C12)&amp;"-"&amp;TEXT(D12,"0000")&amp;"-"&amp;E12)</x:f>
      </x:c>
      <x:c r="B12" s="74" t="str">
        <x:v>M21</x:v>
      </x:c>
      <x:c r="C12" s="74"/>
      <x:c r="D12" s="79"/>
      <x:c r="E12" s="74" t="str">
        <x:v>V1.0</x:v>
      </x:c>
      <x:c r="F12" s="68"/>
      <x:c r="G12" s="68"/>
      <x:c r="H12" s="82"/>
      <x:c r="I12" s="68"/>
      <x:c r="J12" s="68"/>
      <x:c r="K12" s="68"/>
      <x:c r="L12" s="68"/>
      <x:c r="M12" s="68"/>
      <x:c r="N12" s="68"/>
      <x:c r="O12" s="68"/>
      <x:c r="P12" s="90"/>
      <x:c r="Q12" s="82"/>
      <x:c r="R12" s="68"/>
      <x:c r="S12" s="68"/>
      <x:c r="T12" s="68"/>
      <x:c r="U12" s="82"/>
      <x:c r="V12" s="82"/>
      <x:c r="W12" s="68"/>
      <x:c r="X12" s="87"/>
      <x:c r="Y12" s="68"/>
    </x:row>
    <x:row r="13">
      <x:c r="A13" s="72" t="str">
        <x:f>IF(OR(C13="",D13=""),"",B13&amp;"-"&amp;UPPER(C13)&amp;"-"&amp;TEXT(D13,"0000")&amp;"-"&amp;E13)</x:f>
      </x:c>
      <x:c r="B13" s="74" t="str">
        <x:v>M21</x:v>
      </x:c>
      <x:c r="C13" s="74"/>
      <x:c r="D13" s="79"/>
      <x:c r="E13" s="74" t="str">
        <x:v>V1.0</x:v>
      </x:c>
      <x:c r="F13" s="68"/>
      <x:c r="G13" s="68"/>
      <x:c r="H13" s="82"/>
      <x:c r="I13" s="68"/>
      <x:c r="J13" s="68"/>
      <x:c r="K13" s="68"/>
      <x:c r="L13" s="68"/>
      <x:c r="M13" s="68"/>
      <x:c r="N13" s="68"/>
      <x:c r="O13" s="68"/>
      <x:c r="P13" s="90"/>
      <x:c r="Q13" s="82"/>
      <x:c r="R13" s="68"/>
      <x:c r="S13" s="68"/>
      <x:c r="T13" s="68"/>
      <x:c r="U13" s="82"/>
      <x:c r="V13" s="82"/>
      <x:c r="W13" s="68"/>
      <x:c r="X13" s="87"/>
      <x:c r="Y13" s="68"/>
    </x:row>
    <x:row r="14">
      <x:c r="A14" s="72" t="str">
        <x:f>IF(OR(C14="",D14=""),"",B14&amp;"-"&amp;UPPER(C14)&amp;"-"&amp;TEXT(D14,"0000")&amp;"-"&amp;E14)</x:f>
      </x:c>
      <x:c r="B14" s="74" t="str">
        <x:v>M21</x:v>
      </x:c>
      <x:c r="C14" s="74"/>
      <x:c r="D14" s="79"/>
      <x:c r="E14" s="74" t="str">
        <x:v>V1.0</x:v>
      </x:c>
      <x:c r="F14" s="68"/>
      <x:c r="G14" s="68"/>
      <x:c r="H14" s="82"/>
      <x:c r="I14" s="68"/>
      <x:c r="J14" s="68"/>
      <x:c r="K14" s="68"/>
      <x:c r="L14" s="68"/>
      <x:c r="M14" s="68"/>
      <x:c r="N14" s="68"/>
      <x:c r="O14" s="68"/>
      <x:c r="P14" s="90"/>
      <x:c r="Q14" s="82"/>
      <x:c r="R14" s="68"/>
      <x:c r="S14" s="68"/>
      <x:c r="T14" s="68"/>
      <x:c r="U14" s="82"/>
      <x:c r="V14" s="82"/>
      <x:c r="W14" s="68"/>
      <x:c r="X14" s="87"/>
      <x:c r="Y14" s="68"/>
    </x:row>
    <x:row r="15">
      <x:c r="A15" s="72" t="str">
        <x:f>IF(OR(C15="",D15=""),"",B15&amp;"-"&amp;UPPER(C15)&amp;"-"&amp;TEXT(D15,"0000")&amp;"-"&amp;E15)</x:f>
      </x:c>
      <x:c r="B15" s="74" t="str">
        <x:v>M21</x:v>
      </x:c>
      <x:c r="C15" s="74"/>
      <x:c r="D15" s="79"/>
      <x:c r="E15" s="74" t="str">
        <x:v>V1.0</x:v>
      </x:c>
      <x:c r="F15" s="68"/>
      <x:c r="G15" s="68"/>
      <x:c r="H15" s="82"/>
      <x:c r="I15" s="68"/>
      <x:c r="J15" s="68"/>
      <x:c r="K15" s="68"/>
      <x:c r="L15" s="68"/>
      <x:c r="M15" s="68"/>
      <x:c r="N15" s="68"/>
      <x:c r="O15" s="68"/>
      <x:c r="P15" s="90"/>
      <x:c r="Q15" s="82"/>
      <x:c r="R15" s="68"/>
      <x:c r="S15" s="68"/>
      <x:c r="T15" s="68"/>
      <x:c r="U15" s="82"/>
      <x:c r="V15" s="82"/>
      <x:c r="W15" s="68"/>
      <x:c r="X15" s="87"/>
      <x:c r="Y15" s="68"/>
    </x:row>
    <x:row r="16">
      <x:c r="A16" s="72" t="str">
        <x:f>IF(OR(C16="",D16=""),"",B16&amp;"-"&amp;UPPER(C16)&amp;"-"&amp;TEXT(D16,"0000")&amp;"-"&amp;E16)</x:f>
      </x:c>
      <x:c r="B16" s="74" t="str">
        <x:v>M21</x:v>
      </x:c>
      <x:c r="C16" s="74"/>
      <x:c r="D16" s="79"/>
      <x:c r="E16" s="74" t="str">
        <x:v>V1.0</x:v>
      </x:c>
      <x:c r="F16" s="68"/>
      <x:c r="G16" s="68"/>
      <x:c r="H16" s="82"/>
      <x:c r="I16" s="68"/>
      <x:c r="J16" s="68"/>
      <x:c r="K16" s="68"/>
      <x:c r="L16" s="68"/>
      <x:c r="M16" s="68"/>
      <x:c r="N16" s="68"/>
      <x:c r="O16" s="68"/>
      <x:c r="P16" s="90"/>
      <x:c r="Q16" s="82"/>
      <x:c r="R16" s="68"/>
      <x:c r="S16" s="68"/>
      <x:c r="T16" s="68"/>
      <x:c r="U16" s="82"/>
      <x:c r="V16" s="82"/>
      <x:c r="W16" s="68"/>
      <x:c r="X16" s="87"/>
      <x:c r="Y16" s="68"/>
    </x:row>
    <x:row r="17">
      <x:c r="A17" s="72" t="str">
        <x:f>IF(OR(C17="",D17=""),"",B17&amp;"-"&amp;UPPER(C17)&amp;"-"&amp;TEXT(D17,"0000")&amp;"-"&amp;E17)</x:f>
      </x:c>
      <x:c r="B17" s="74" t="str">
        <x:v>M21</x:v>
      </x:c>
      <x:c r="C17" s="74"/>
      <x:c r="D17" s="79"/>
      <x:c r="E17" s="74" t="str">
        <x:v>V1.0</x:v>
      </x:c>
      <x:c r="F17" s="68"/>
      <x:c r="G17" s="68"/>
      <x:c r="H17" s="82"/>
      <x:c r="I17" s="68"/>
      <x:c r="J17" s="68"/>
      <x:c r="K17" s="68"/>
      <x:c r="L17" s="68"/>
      <x:c r="M17" s="68"/>
      <x:c r="N17" s="68"/>
      <x:c r="O17" s="68"/>
      <x:c r="P17" s="90"/>
      <x:c r="Q17" s="82"/>
      <x:c r="R17" s="68"/>
      <x:c r="S17" s="68"/>
      <x:c r="T17" s="68"/>
      <x:c r="U17" s="82"/>
      <x:c r="V17" s="82"/>
      <x:c r="W17" s="68"/>
      <x:c r="X17" s="87"/>
      <x:c r="Y17" s="68"/>
    </x:row>
    <x:row r="18">
      <x:c r="A18" s="72" t="str">
        <x:f>IF(OR(C18="",D18=""),"",B18&amp;"-"&amp;UPPER(C18)&amp;"-"&amp;TEXT(D18,"0000")&amp;"-"&amp;E18)</x:f>
      </x:c>
      <x:c r="B18" s="74" t="str">
        <x:v>M21</x:v>
      </x:c>
      <x:c r="C18" s="74"/>
      <x:c r="D18" s="79"/>
      <x:c r="E18" s="74" t="str">
        <x:v>V1.0</x:v>
      </x:c>
      <x:c r="F18" s="68"/>
      <x:c r="G18" s="68"/>
      <x:c r="H18" s="82"/>
      <x:c r="I18" s="68"/>
      <x:c r="J18" s="68"/>
      <x:c r="K18" s="68"/>
      <x:c r="L18" s="68"/>
      <x:c r="M18" s="68"/>
      <x:c r="N18" s="68"/>
      <x:c r="O18" s="68"/>
      <x:c r="P18" s="90"/>
      <x:c r="Q18" s="82"/>
      <x:c r="R18" s="68"/>
      <x:c r="S18" s="68"/>
      <x:c r="T18" s="68"/>
      <x:c r="U18" s="82"/>
      <x:c r="V18" s="82"/>
      <x:c r="W18" s="68"/>
      <x:c r="X18" s="87"/>
      <x:c r="Y18" s="68"/>
    </x:row>
    <x:row r="19">
      <x:c r="A19" s="72" t="str">
        <x:f>IF(OR(C19="",D19=""),"",B19&amp;"-"&amp;UPPER(C19)&amp;"-"&amp;TEXT(D19,"0000")&amp;"-"&amp;E19)</x:f>
      </x:c>
      <x:c r="B19" s="74" t="str">
        <x:v>M21</x:v>
      </x:c>
      <x:c r="C19" s="74"/>
      <x:c r="D19" s="79"/>
      <x:c r="E19" s="74" t="str">
        <x:v>V1.0</x:v>
      </x:c>
      <x:c r="F19" s="68"/>
      <x:c r="G19" s="68"/>
      <x:c r="H19" s="82"/>
      <x:c r="I19" s="68"/>
      <x:c r="J19" s="68"/>
      <x:c r="K19" s="68"/>
      <x:c r="L19" s="68"/>
      <x:c r="M19" s="68"/>
      <x:c r="N19" s="68"/>
      <x:c r="O19" s="68"/>
      <x:c r="P19" s="90"/>
      <x:c r="Q19" s="82"/>
      <x:c r="R19" s="68"/>
      <x:c r="S19" s="68"/>
      <x:c r="T19" s="68"/>
      <x:c r="U19" s="82"/>
      <x:c r="V19" s="82"/>
      <x:c r="W19" s="68"/>
      <x:c r="X19" s="87"/>
      <x:c r="Y19" s="68"/>
    </x:row>
    <x:row r="20">
      <x:c r="A20" s="72" t="str">
        <x:f>IF(OR(C20="",D20=""),"",B20&amp;"-"&amp;UPPER(C20)&amp;"-"&amp;TEXT(D20,"0000")&amp;"-"&amp;E20)</x:f>
      </x:c>
      <x:c r="B20" s="74" t="str">
        <x:v>M21</x:v>
      </x:c>
      <x:c r="C20" s="74"/>
      <x:c r="D20" s="79"/>
      <x:c r="E20" s="74" t="str">
        <x:v>V1.0</x:v>
      </x:c>
      <x:c r="F20" s="68"/>
      <x:c r="G20" s="68"/>
      <x:c r="H20" s="82"/>
      <x:c r="I20" s="68"/>
      <x:c r="J20" s="68"/>
      <x:c r="K20" s="68"/>
      <x:c r="L20" s="68"/>
      <x:c r="M20" s="68"/>
      <x:c r="N20" s="68"/>
      <x:c r="O20" s="68"/>
      <x:c r="P20" s="90"/>
      <x:c r="Q20" s="82"/>
      <x:c r="R20" s="68"/>
      <x:c r="S20" s="68"/>
      <x:c r="T20" s="68"/>
      <x:c r="U20" s="82"/>
      <x:c r="V20" s="82"/>
      <x:c r="W20" s="68"/>
      <x:c r="X20" s="87"/>
      <x:c r="Y20" s="68"/>
    </x:row>
    <x:row r="21">
      <x:c r="A21" s="72" t="str">
        <x:f>IF(OR(C21="",D21=""),"",B21&amp;"-"&amp;UPPER(C21)&amp;"-"&amp;TEXT(D21,"0000")&amp;"-"&amp;E21)</x:f>
      </x:c>
      <x:c r="B21" s="74" t="str">
        <x:v>M21</x:v>
      </x:c>
      <x:c r="C21" s="74"/>
      <x:c r="D21" s="79"/>
      <x:c r="E21" s="74" t="str">
        <x:v>V1.0</x:v>
      </x:c>
      <x:c r="F21" s="68"/>
      <x:c r="G21" s="68"/>
      <x:c r="H21" s="82"/>
      <x:c r="I21" s="68"/>
      <x:c r="J21" s="68"/>
      <x:c r="K21" s="68"/>
      <x:c r="L21" s="68"/>
      <x:c r="M21" s="68"/>
      <x:c r="N21" s="68"/>
      <x:c r="O21" s="68"/>
      <x:c r="P21" s="90"/>
      <x:c r="Q21" s="82"/>
      <x:c r="R21" s="68"/>
      <x:c r="S21" s="68"/>
      <x:c r="T21" s="68"/>
      <x:c r="U21" s="82"/>
      <x:c r="V21" s="82"/>
      <x:c r="W21" s="68"/>
      <x:c r="X21" s="87"/>
      <x:c r="Y21" s="68"/>
    </x:row>
    <x:row r="22">
      <x:c r="A22" s="72" t="str">
        <x:f>IF(OR(C22="",D22=""),"",B22&amp;"-"&amp;UPPER(C22)&amp;"-"&amp;TEXT(D22,"0000")&amp;"-"&amp;E22)</x:f>
      </x:c>
      <x:c r="B22" s="74" t="str">
        <x:v>M21</x:v>
      </x:c>
      <x:c r="C22" s="74"/>
      <x:c r="D22" s="79"/>
      <x:c r="E22" s="74" t="str">
        <x:v>V1.0</x:v>
      </x:c>
      <x:c r="F22" s="68"/>
      <x:c r="G22" s="68"/>
      <x:c r="H22" s="82"/>
      <x:c r="I22" s="68"/>
      <x:c r="J22" s="68"/>
      <x:c r="K22" s="68"/>
      <x:c r="L22" s="68"/>
      <x:c r="M22" s="68"/>
      <x:c r="N22" s="68"/>
      <x:c r="O22" s="68"/>
      <x:c r="P22" s="90"/>
      <x:c r="Q22" s="82"/>
      <x:c r="R22" s="68"/>
      <x:c r="S22" s="68"/>
      <x:c r="T22" s="68"/>
      <x:c r="U22" s="82"/>
      <x:c r="V22" s="82"/>
      <x:c r="W22" s="68"/>
      <x:c r="X22" s="87"/>
      <x:c r="Y22" s="68"/>
    </x:row>
    <x:row r="23">
      <x:c r="A23" s="72" t="str">
        <x:f>IF(OR(C23="",D23=""),"",B23&amp;"-"&amp;UPPER(C23)&amp;"-"&amp;TEXT(D23,"0000")&amp;"-"&amp;E23)</x:f>
      </x:c>
      <x:c r="B23" s="74" t="str">
        <x:v>M21</x:v>
      </x:c>
      <x:c r="C23" s="74"/>
      <x:c r="D23" s="79"/>
      <x:c r="E23" s="74" t="str">
        <x:v>V1.0</x:v>
      </x:c>
      <x:c r="F23" s="68"/>
      <x:c r="G23" s="68"/>
      <x:c r="H23" s="82"/>
      <x:c r="I23" s="68"/>
      <x:c r="J23" s="68"/>
      <x:c r="K23" s="68"/>
      <x:c r="L23" s="68"/>
      <x:c r="M23" s="68"/>
      <x:c r="N23" s="68"/>
      <x:c r="O23" s="68"/>
      <x:c r="P23" s="90"/>
      <x:c r="Q23" s="82"/>
      <x:c r="R23" s="68"/>
      <x:c r="S23" s="68"/>
      <x:c r="T23" s="68"/>
      <x:c r="U23" s="82"/>
      <x:c r="V23" s="82"/>
      <x:c r="W23" s="68"/>
      <x:c r="X23" s="87"/>
      <x:c r="Y23" s="68"/>
    </x:row>
    <x:row r="24">
      <x:c r="A24" s="72" t="str">
        <x:f>IF(OR(C24="",D24=""),"",B24&amp;"-"&amp;UPPER(C24)&amp;"-"&amp;TEXT(D24,"0000")&amp;"-"&amp;E24)</x:f>
      </x:c>
      <x:c r="B24" s="74" t="str">
        <x:v>M21</x:v>
      </x:c>
      <x:c r="C24" s="74"/>
      <x:c r="D24" s="79"/>
      <x:c r="E24" s="74" t="str">
        <x:v>V1.0</x:v>
      </x:c>
      <x:c r="F24" s="68"/>
      <x:c r="G24" s="68"/>
      <x:c r="H24" s="82"/>
      <x:c r="I24" s="68"/>
      <x:c r="J24" s="68"/>
      <x:c r="K24" s="68"/>
      <x:c r="L24" s="68"/>
      <x:c r="M24" s="68"/>
      <x:c r="N24" s="68"/>
      <x:c r="O24" s="68"/>
      <x:c r="P24" s="90"/>
      <x:c r="Q24" s="82"/>
      <x:c r="R24" s="68"/>
      <x:c r="S24" s="68"/>
      <x:c r="T24" s="68"/>
      <x:c r="U24" s="82"/>
      <x:c r="V24" s="82"/>
      <x:c r="W24" s="68"/>
      <x:c r="X24" s="87"/>
      <x:c r="Y24" s="68"/>
    </x:row>
    <x:row r="25">
      <x:c r="A25" s="72" t="str">
        <x:f>IF(OR(C25="",D25=""),"",B25&amp;"-"&amp;UPPER(C25)&amp;"-"&amp;TEXT(D25,"0000")&amp;"-"&amp;E25)</x:f>
      </x:c>
      <x:c r="B25" s="74" t="str">
        <x:v>M21</x:v>
      </x:c>
      <x:c r="C25" s="74"/>
      <x:c r="D25" s="79"/>
      <x:c r="E25" s="74" t="str">
        <x:v>V1.0</x:v>
      </x:c>
      <x:c r="F25" s="68"/>
      <x:c r="G25" s="68"/>
      <x:c r="H25" s="82"/>
      <x:c r="I25" s="68"/>
      <x:c r="J25" s="68"/>
      <x:c r="K25" s="68"/>
      <x:c r="L25" s="68"/>
      <x:c r="M25" s="68"/>
      <x:c r="N25" s="68"/>
      <x:c r="O25" s="68"/>
      <x:c r="P25" s="90"/>
      <x:c r="Q25" s="82"/>
      <x:c r="R25" s="68"/>
      <x:c r="S25" s="68"/>
      <x:c r="T25" s="68"/>
      <x:c r="U25" s="82"/>
      <x:c r="V25" s="82"/>
      <x:c r="W25" s="68"/>
      <x:c r="X25" s="87"/>
      <x:c r="Y25" s="68"/>
    </x:row>
    <x:row r="26">
      <x:c r="A26" s="72" t="str">
        <x:f>IF(OR(C26="",D26=""),"",B26&amp;"-"&amp;UPPER(C26)&amp;"-"&amp;TEXT(D26,"0000")&amp;"-"&amp;E26)</x:f>
      </x:c>
      <x:c r="B26" s="74" t="str">
        <x:v>M21</x:v>
      </x:c>
      <x:c r="C26" s="74"/>
      <x:c r="D26" s="79"/>
      <x:c r="E26" s="74" t="str">
        <x:v>V1.0</x:v>
      </x:c>
      <x:c r="F26" s="68"/>
      <x:c r="G26" s="68"/>
      <x:c r="H26" s="82"/>
      <x:c r="I26" s="68"/>
      <x:c r="J26" s="68"/>
      <x:c r="K26" s="68"/>
      <x:c r="L26" s="68"/>
      <x:c r="M26" s="68"/>
      <x:c r="N26" s="68"/>
      <x:c r="O26" s="68"/>
      <x:c r="P26" s="90"/>
      <x:c r="Q26" s="82"/>
      <x:c r="R26" s="68"/>
      <x:c r="S26" s="68"/>
      <x:c r="T26" s="68"/>
      <x:c r="U26" s="82"/>
      <x:c r="V26" s="82"/>
      <x:c r="W26" s="68"/>
      <x:c r="X26" s="87"/>
      <x:c r="Y26" s="68"/>
    </x:row>
    <x:row r="27">
      <x:c r="A27" s="72" t="str">
        <x:f>IF(OR(C27="",D27=""),"",B27&amp;"-"&amp;UPPER(C27)&amp;"-"&amp;TEXT(D27,"0000")&amp;"-"&amp;E27)</x:f>
      </x:c>
      <x:c r="B27" s="74" t="str">
        <x:v>M21</x:v>
      </x:c>
      <x:c r="C27" s="74"/>
      <x:c r="D27" s="79"/>
      <x:c r="E27" s="74" t="str">
        <x:v>V1.0</x:v>
      </x:c>
      <x:c r="F27" s="68"/>
      <x:c r="G27" s="68"/>
      <x:c r="H27" s="82"/>
      <x:c r="I27" s="68"/>
      <x:c r="J27" s="68"/>
      <x:c r="K27" s="68"/>
      <x:c r="L27" s="68"/>
      <x:c r="M27" s="68"/>
      <x:c r="N27" s="68"/>
      <x:c r="O27" s="68"/>
      <x:c r="P27" s="90"/>
      <x:c r="Q27" s="82"/>
      <x:c r="R27" s="68"/>
      <x:c r="S27" s="68"/>
      <x:c r="T27" s="68"/>
      <x:c r="U27" s="82"/>
      <x:c r="V27" s="82"/>
      <x:c r="W27" s="68"/>
      <x:c r="X27" s="87"/>
      <x:c r="Y27" s="68"/>
    </x:row>
    <x:row r="28">
      <x:c r="A28" s="72" t="str">
        <x:f>IF(OR(C28="",D28=""),"",B28&amp;"-"&amp;UPPER(C28)&amp;"-"&amp;TEXT(D28,"0000")&amp;"-"&amp;E28)</x:f>
      </x:c>
      <x:c r="B28" s="74" t="str">
        <x:v>M21</x:v>
      </x:c>
      <x:c r="C28" s="74"/>
      <x:c r="D28" s="79"/>
      <x:c r="E28" s="74" t="str">
        <x:v>V1.0</x:v>
      </x:c>
      <x:c r="F28" s="68"/>
      <x:c r="G28" s="68"/>
      <x:c r="H28" s="82"/>
      <x:c r="I28" s="68"/>
      <x:c r="J28" s="68"/>
      <x:c r="K28" s="68"/>
      <x:c r="L28" s="68"/>
      <x:c r="M28" s="68"/>
      <x:c r="N28" s="68"/>
      <x:c r="O28" s="68"/>
      <x:c r="P28" s="90"/>
      <x:c r="Q28" s="82"/>
      <x:c r="R28" s="68"/>
      <x:c r="S28" s="68"/>
      <x:c r="T28" s="68"/>
      <x:c r="U28" s="82"/>
      <x:c r="V28" s="82"/>
      <x:c r="W28" s="68"/>
      <x:c r="X28" s="87"/>
      <x:c r="Y28" s="68"/>
    </x:row>
    <x:row r="29">
      <x:c r="A29" s="72" t="str">
        <x:f>IF(OR(C29="",D29=""),"",B29&amp;"-"&amp;UPPER(C29)&amp;"-"&amp;TEXT(D29,"0000")&amp;"-"&amp;E29)</x:f>
      </x:c>
      <x:c r="B29" s="74" t="str">
        <x:v>M21</x:v>
      </x:c>
      <x:c r="C29" s="74"/>
      <x:c r="D29" s="79"/>
      <x:c r="E29" s="74" t="str">
        <x:v>V1.0</x:v>
      </x:c>
      <x:c r="F29" s="68"/>
      <x:c r="G29" s="68"/>
      <x:c r="H29" s="82"/>
      <x:c r="I29" s="68"/>
      <x:c r="J29" s="68"/>
      <x:c r="K29" s="68"/>
      <x:c r="L29" s="68"/>
      <x:c r="M29" s="68"/>
      <x:c r="N29" s="68"/>
      <x:c r="O29" s="68"/>
      <x:c r="P29" s="90"/>
      <x:c r="Q29" s="82"/>
      <x:c r="R29" s="68"/>
      <x:c r="S29" s="68"/>
      <x:c r="T29" s="68"/>
      <x:c r="U29" s="82"/>
      <x:c r="V29" s="82"/>
      <x:c r="W29" s="68"/>
      <x:c r="X29" s="87"/>
      <x:c r="Y29" s="68"/>
    </x:row>
    <x:row r="30">
      <x:c r="A30" s="72" t="str">
        <x:f>IF(OR(C30="",D30=""),"",B30&amp;"-"&amp;UPPER(C30)&amp;"-"&amp;TEXT(D30,"0000")&amp;"-"&amp;E30)</x:f>
      </x:c>
      <x:c r="B30" s="74" t="str">
        <x:v>M21</x:v>
      </x:c>
      <x:c r="C30" s="74"/>
      <x:c r="D30" s="79"/>
      <x:c r="E30" s="74" t="str">
        <x:v>V1.0</x:v>
      </x:c>
      <x:c r="F30" s="68"/>
      <x:c r="G30" s="68"/>
      <x:c r="H30" s="82"/>
      <x:c r="I30" s="68"/>
      <x:c r="J30" s="68"/>
      <x:c r="K30" s="68"/>
      <x:c r="L30" s="68"/>
      <x:c r="M30" s="68"/>
      <x:c r="N30" s="68"/>
      <x:c r="O30" s="68"/>
      <x:c r="P30" s="90"/>
      <x:c r="Q30" s="82"/>
      <x:c r="R30" s="68"/>
      <x:c r="S30" s="68"/>
      <x:c r="T30" s="68"/>
      <x:c r="U30" s="82"/>
      <x:c r="V30" s="82"/>
      <x:c r="W30" s="68"/>
      <x:c r="X30" s="87"/>
      <x:c r="Y30" s="68"/>
    </x:row>
    <x:row r="31">
      <x:c r="A31" s="72" t="str">
        <x:f>IF(OR(C31="",D31=""),"",B31&amp;"-"&amp;UPPER(C31)&amp;"-"&amp;TEXT(D31,"0000")&amp;"-"&amp;E31)</x:f>
      </x:c>
      <x:c r="B31" s="74" t="str">
        <x:v>M21</x:v>
      </x:c>
      <x:c r="C31" s="74"/>
      <x:c r="D31" s="79"/>
      <x:c r="E31" s="74" t="str">
        <x:v>V1.0</x:v>
      </x:c>
      <x:c r="F31" s="68"/>
      <x:c r="G31" s="68"/>
      <x:c r="H31" s="82"/>
      <x:c r="I31" s="68"/>
      <x:c r="J31" s="68"/>
      <x:c r="K31" s="68"/>
      <x:c r="L31" s="68"/>
      <x:c r="M31" s="68"/>
      <x:c r="N31" s="68"/>
      <x:c r="O31" s="68"/>
      <x:c r="P31" s="90"/>
      <x:c r="Q31" s="82"/>
      <x:c r="R31" s="68"/>
      <x:c r="S31" s="68"/>
      <x:c r="T31" s="68"/>
      <x:c r="U31" s="82"/>
      <x:c r="V31" s="82"/>
      <x:c r="W31" s="68"/>
      <x:c r="X31" s="87"/>
      <x:c r="Y31" s="68"/>
    </x:row>
    <x:row r="32">
      <x:c r="A32" s="72" t="str">
        <x:f>IF(OR(C32="",D32=""),"",B32&amp;"-"&amp;UPPER(C32)&amp;"-"&amp;TEXT(D32,"0000")&amp;"-"&amp;E32)</x:f>
      </x:c>
      <x:c r="B32" s="74" t="str">
        <x:v>M21</x:v>
      </x:c>
      <x:c r="C32" s="74"/>
      <x:c r="D32" s="79"/>
      <x:c r="E32" s="74" t="str">
        <x:v>V1.0</x:v>
      </x:c>
      <x:c r="F32" s="68"/>
      <x:c r="G32" s="68"/>
      <x:c r="H32" s="82"/>
      <x:c r="I32" s="68"/>
      <x:c r="J32" s="68"/>
      <x:c r="K32" s="68"/>
      <x:c r="L32" s="68"/>
      <x:c r="M32" s="68"/>
      <x:c r="N32" s="68"/>
      <x:c r="O32" s="68"/>
      <x:c r="P32" s="90"/>
      <x:c r="Q32" s="82"/>
      <x:c r="R32" s="68"/>
      <x:c r="S32" s="68"/>
      <x:c r="T32" s="68"/>
      <x:c r="U32" s="82"/>
      <x:c r="V32" s="82"/>
      <x:c r="W32" s="68"/>
      <x:c r="X32" s="87"/>
      <x:c r="Y32" s="68"/>
    </x:row>
    <x:row r="33">
      <x:c r="A33" s="72" t="str">
        <x:f>IF(OR(C33="",D33=""),"",B33&amp;"-"&amp;UPPER(C33)&amp;"-"&amp;TEXT(D33,"0000")&amp;"-"&amp;E33)</x:f>
      </x:c>
      <x:c r="B33" s="74" t="str">
        <x:v>M21</x:v>
      </x:c>
      <x:c r="C33" s="74"/>
      <x:c r="D33" s="79"/>
      <x:c r="E33" s="74" t="str">
        <x:v>V1.0</x:v>
      </x:c>
      <x:c r="F33" s="68"/>
      <x:c r="G33" s="68"/>
      <x:c r="H33" s="82"/>
      <x:c r="I33" s="68"/>
      <x:c r="J33" s="68"/>
      <x:c r="K33" s="68"/>
      <x:c r="L33" s="68"/>
      <x:c r="M33" s="68"/>
      <x:c r="N33" s="68"/>
      <x:c r="O33" s="68"/>
      <x:c r="P33" s="90"/>
      <x:c r="Q33" s="82"/>
      <x:c r="R33" s="68"/>
      <x:c r="S33" s="68"/>
      <x:c r="T33" s="68"/>
      <x:c r="U33" s="82"/>
      <x:c r="V33" s="82"/>
      <x:c r="W33" s="68"/>
      <x:c r="X33" s="87"/>
      <x:c r="Y33" s="68"/>
    </x:row>
    <x:row r="34">
      <x:c r="A34" s="72" t="str">
        <x:f>IF(OR(C34="",D34=""),"",B34&amp;"-"&amp;UPPER(C34)&amp;"-"&amp;TEXT(D34,"0000")&amp;"-"&amp;E34)</x:f>
      </x:c>
      <x:c r="B34" s="74" t="str">
        <x:v>M21</x:v>
      </x:c>
      <x:c r="C34" s="74"/>
      <x:c r="D34" s="79"/>
      <x:c r="E34" s="74" t="str">
        <x:v>V1.0</x:v>
      </x:c>
      <x:c r="F34" s="68"/>
      <x:c r="G34" s="68"/>
      <x:c r="H34" s="82"/>
      <x:c r="I34" s="68"/>
      <x:c r="J34" s="68"/>
      <x:c r="K34" s="68"/>
      <x:c r="L34" s="68"/>
      <x:c r="M34" s="68"/>
      <x:c r="N34" s="68"/>
      <x:c r="O34" s="68"/>
      <x:c r="P34" s="90"/>
      <x:c r="Q34" s="82"/>
      <x:c r="R34" s="68"/>
      <x:c r="S34" s="68"/>
      <x:c r="T34" s="68"/>
      <x:c r="U34" s="82"/>
      <x:c r="V34" s="82"/>
      <x:c r="W34" s="68"/>
      <x:c r="X34" s="87"/>
      <x:c r="Y34" s="68"/>
    </x:row>
    <x:row r="35">
      <x:c r="A35" s="72" t="str">
        <x:f>IF(OR(C35="",D35=""),"",B35&amp;"-"&amp;UPPER(C35)&amp;"-"&amp;TEXT(D35,"0000")&amp;"-"&amp;E35)</x:f>
      </x:c>
      <x:c r="B35" s="74" t="str">
        <x:v>M21</x:v>
      </x:c>
      <x:c r="C35" s="74"/>
      <x:c r="D35" s="79"/>
      <x:c r="E35" s="74" t="str">
        <x:v>V1.0</x:v>
      </x:c>
      <x:c r="F35" s="68"/>
      <x:c r="G35" s="68"/>
      <x:c r="H35" s="82"/>
      <x:c r="I35" s="68"/>
      <x:c r="J35" s="68"/>
      <x:c r="K35" s="68"/>
      <x:c r="L35" s="68"/>
      <x:c r="M35" s="68"/>
      <x:c r="N35" s="68"/>
      <x:c r="O35" s="68"/>
      <x:c r="P35" s="90"/>
      <x:c r="Q35" s="82"/>
      <x:c r="R35" s="68"/>
      <x:c r="S35" s="68"/>
      <x:c r="T35" s="68"/>
      <x:c r="U35" s="82"/>
      <x:c r="V35" s="82"/>
      <x:c r="W35" s="68"/>
      <x:c r="X35" s="87"/>
      <x:c r="Y35" s="68"/>
    </x:row>
    <x:row r="36">
      <x:c r="A36" s="72" t="str">
        <x:f>IF(OR(C36="",D36=""),"",B36&amp;"-"&amp;UPPER(C36)&amp;"-"&amp;TEXT(D36,"0000")&amp;"-"&amp;E36)</x:f>
      </x:c>
      <x:c r="B36" s="74" t="str">
        <x:v>M21</x:v>
      </x:c>
      <x:c r="C36" s="74"/>
      <x:c r="D36" s="79"/>
      <x:c r="E36" s="74" t="str">
        <x:v>V1.0</x:v>
      </x:c>
      <x:c r="F36" s="68"/>
      <x:c r="G36" s="68"/>
      <x:c r="H36" s="82"/>
      <x:c r="I36" s="68"/>
      <x:c r="J36" s="68"/>
      <x:c r="K36" s="68"/>
      <x:c r="L36" s="68"/>
      <x:c r="M36" s="68"/>
      <x:c r="N36" s="68"/>
      <x:c r="O36" s="68"/>
      <x:c r="P36" s="90"/>
      <x:c r="Q36" s="82"/>
      <x:c r="R36" s="68"/>
      <x:c r="S36" s="68"/>
      <x:c r="T36" s="68"/>
      <x:c r="U36" s="82"/>
      <x:c r="V36" s="82"/>
      <x:c r="W36" s="68"/>
      <x:c r="X36" s="87"/>
      <x:c r="Y36" s="68"/>
    </x:row>
    <x:row r="37">
      <x:c r="A37" s="72" t="str">
        <x:f>IF(OR(C37="",D37=""),"",B37&amp;"-"&amp;UPPER(C37)&amp;"-"&amp;TEXT(D37,"0000")&amp;"-"&amp;E37)</x:f>
      </x:c>
      <x:c r="B37" s="74" t="str">
        <x:v>M21</x:v>
      </x:c>
      <x:c r="C37" s="74"/>
      <x:c r="D37" s="79"/>
      <x:c r="E37" s="74" t="str">
        <x:v>V1.0</x:v>
      </x:c>
      <x:c r="F37" s="68"/>
      <x:c r="G37" s="68"/>
      <x:c r="H37" s="82"/>
      <x:c r="I37" s="68"/>
      <x:c r="J37" s="68"/>
      <x:c r="K37" s="68"/>
      <x:c r="L37" s="68"/>
      <x:c r="M37" s="68"/>
      <x:c r="N37" s="68"/>
      <x:c r="O37" s="68"/>
      <x:c r="P37" s="90"/>
      <x:c r="Q37" s="82"/>
      <x:c r="R37" s="68"/>
      <x:c r="S37" s="68"/>
      <x:c r="T37" s="68"/>
      <x:c r="U37" s="82"/>
      <x:c r="V37" s="82"/>
      <x:c r="W37" s="68"/>
      <x:c r="X37" s="87"/>
      <x:c r="Y37" s="68"/>
    </x:row>
    <x:row r="38">
      <x:c r="A38" s="72" t="str">
        <x:f>IF(OR(C38="",D38=""),"",B38&amp;"-"&amp;UPPER(C38)&amp;"-"&amp;TEXT(D38,"0000")&amp;"-"&amp;E38)</x:f>
      </x:c>
      <x:c r="B38" s="74" t="str">
        <x:v>M21</x:v>
      </x:c>
      <x:c r="C38" s="74"/>
      <x:c r="D38" s="79"/>
      <x:c r="E38" s="74" t="str">
        <x:v>V1.0</x:v>
      </x:c>
      <x:c r="F38" s="68"/>
      <x:c r="G38" s="68"/>
      <x:c r="H38" s="82"/>
      <x:c r="I38" s="68"/>
      <x:c r="J38" s="68"/>
      <x:c r="K38" s="68"/>
      <x:c r="L38" s="68"/>
      <x:c r="M38" s="68"/>
      <x:c r="N38" s="68"/>
      <x:c r="O38" s="68"/>
      <x:c r="P38" s="90"/>
      <x:c r="Q38" s="82"/>
      <x:c r="R38" s="68"/>
      <x:c r="S38" s="68"/>
      <x:c r="T38" s="68"/>
      <x:c r="U38" s="82"/>
      <x:c r="V38" s="82"/>
      <x:c r="W38" s="68"/>
      <x:c r="X38" s="87"/>
      <x:c r="Y38" s="68"/>
    </x:row>
    <x:row r="39">
      <x:c r="A39" s="72" t="str">
        <x:f>IF(OR(C39="",D39=""),"",B39&amp;"-"&amp;UPPER(C39)&amp;"-"&amp;TEXT(D39,"0000")&amp;"-"&amp;E39)</x:f>
      </x:c>
      <x:c r="B39" s="74" t="str">
        <x:v>M21</x:v>
      </x:c>
      <x:c r="C39" s="74"/>
      <x:c r="D39" s="79"/>
      <x:c r="E39" s="74" t="str">
        <x:v>V1.0</x:v>
      </x:c>
      <x:c r="F39" s="68"/>
      <x:c r="G39" s="68"/>
      <x:c r="H39" s="82"/>
      <x:c r="I39" s="68"/>
      <x:c r="J39" s="68"/>
      <x:c r="K39" s="68"/>
      <x:c r="L39" s="68"/>
      <x:c r="M39" s="68"/>
      <x:c r="N39" s="68"/>
      <x:c r="O39" s="68"/>
      <x:c r="P39" s="90"/>
      <x:c r="Q39" s="82"/>
      <x:c r="R39" s="68"/>
      <x:c r="S39" s="68"/>
      <x:c r="T39" s="68"/>
      <x:c r="U39" s="82"/>
      <x:c r="V39" s="82"/>
      <x:c r="W39" s="68"/>
      <x:c r="X39" s="87"/>
      <x:c r="Y39" s="68"/>
    </x:row>
    <x:row r="40">
      <x:c r="A40" s="72" t="str">
        <x:f>IF(OR(C40="",D40=""),"",B40&amp;"-"&amp;UPPER(C40)&amp;"-"&amp;TEXT(D40,"0000")&amp;"-"&amp;E40)</x:f>
      </x:c>
      <x:c r="B40" s="74" t="str">
        <x:v>M21</x:v>
      </x:c>
      <x:c r="C40" s="74"/>
      <x:c r="D40" s="79"/>
      <x:c r="E40" s="74" t="str">
        <x:v>V1.0</x:v>
      </x:c>
      <x:c r="F40" s="68"/>
      <x:c r="G40" s="68"/>
      <x:c r="H40" s="82"/>
      <x:c r="I40" s="68"/>
      <x:c r="J40" s="68"/>
      <x:c r="K40" s="68"/>
      <x:c r="L40" s="68"/>
      <x:c r="M40" s="68"/>
      <x:c r="N40" s="68"/>
      <x:c r="O40" s="68"/>
      <x:c r="P40" s="90"/>
      <x:c r="Q40" s="82"/>
      <x:c r="R40" s="68"/>
      <x:c r="S40" s="68"/>
      <x:c r="T40" s="68"/>
      <x:c r="U40" s="82"/>
      <x:c r="V40" s="82"/>
      <x:c r="W40" s="68"/>
      <x:c r="X40" s="87"/>
      <x:c r="Y40" s="68"/>
    </x:row>
    <x:row r="41">
      <x:c r="A41" s="72" t="str">
        <x:f>IF(OR(C41="",D41=""),"",B41&amp;"-"&amp;UPPER(C41)&amp;"-"&amp;TEXT(D41,"0000")&amp;"-"&amp;E41)</x:f>
      </x:c>
      <x:c r="B41" s="74" t="str">
        <x:v>M21</x:v>
      </x:c>
      <x:c r="C41" s="74"/>
      <x:c r="D41" s="79"/>
      <x:c r="E41" s="74" t="str">
        <x:v>V1.0</x:v>
      </x:c>
      <x:c r="F41" s="68"/>
      <x:c r="G41" s="68"/>
      <x:c r="H41" s="82"/>
      <x:c r="I41" s="68"/>
      <x:c r="J41" s="68"/>
      <x:c r="K41" s="68"/>
      <x:c r="L41" s="68"/>
      <x:c r="M41" s="68"/>
      <x:c r="N41" s="68"/>
      <x:c r="O41" s="68"/>
      <x:c r="P41" s="90"/>
      <x:c r="Q41" s="82"/>
      <x:c r="R41" s="68"/>
      <x:c r="S41" s="68"/>
      <x:c r="T41" s="68"/>
      <x:c r="U41" s="82"/>
      <x:c r="V41" s="82"/>
      <x:c r="W41" s="68"/>
      <x:c r="X41" s="87"/>
      <x:c r="Y41" s="68"/>
    </x:row>
    <x:row r="42">
      <x:c r="A42" s="72" t="str">
        <x:f>IF(OR(C42="",D42=""),"",B42&amp;"-"&amp;UPPER(C42)&amp;"-"&amp;TEXT(D42,"0000")&amp;"-"&amp;E42)</x:f>
      </x:c>
      <x:c r="B42" s="74" t="str">
        <x:v>M21</x:v>
      </x:c>
      <x:c r="C42" s="74"/>
      <x:c r="D42" s="79"/>
      <x:c r="E42" s="74" t="str">
        <x:v>V1.0</x:v>
      </x:c>
      <x:c r="F42" s="68"/>
      <x:c r="G42" s="68"/>
      <x:c r="H42" s="82"/>
      <x:c r="I42" s="68"/>
      <x:c r="J42" s="68"/>
      <x:c r="K42" s="68"/>
      <x:c r="L42" s="68"/>
      <x:c r="M42" s="68"/>
      <x:c r="N42" s="68"/>
      <x:c r="O42" s="68"/>
      <x:c r="P42" s="90"/>
      <x:c r="Q42" s="82"/>
      <x:c r="R42" s="68"/>
      <x:c r="S42" s="68"/>
      <x:c r="T42" s="68"/>
      <x:c r="U42" s="82"/>
      <x:c r="V42" s="82"/>
      <x:c r="W42" s="68"/>
      <x:c r="X42" s="87"/>
      <x:c r="Y42" s="68"/>
    </x:row>
    <x:row r="43">
      <x:c r="A43" s="72" t="str">
        <x:f>IF(OR(C43="",D43=""),"",B43&amp;"-"&amp;UPPER(C43)&amp;"-"&amp;TEXT(D43,"0000")&amp;"-"&amp;E43)</x:f>
      </x:c>
      <x:c r="B43" s="74" t="str">
        <x:v>M21</x:v>
      </x:c>
      <x:c r="C43" s="74"/>
      <x:c r="D43" s="79"/>
      <x:c r="E43" s="74" t="str">
        <x:v>V1.0</x:v>
      </x:c>
      <x:c r="F43" s="68"/>
      <x:c r="G43" s="68"/>
      <x:c r="H43" s="82"/>
      <x:c r="I43" s="68"/>
      <x:c r="J43" s="68"/>
      <x:c r="K43" s="68"/>
      <x:c r="L43" s="68"/>
      <x:c r="M43" s="68"/>
      <x:c r="N43" s="68"/>
      <x:c r="O43" s="68"/>
      <x:c r="P43" s="90"/>
      <x:c r="Q43" s="82"/>
      <x:c r="R43" s="68"/>
      <x:c r="S43" s="68"/>
      <x:c r="T43" s="68"/>
      <x:c r="U43" s="82"/>
      <x:c r="V43" s="82"/>
      <x:c r="W43" s="68"/>
      <x:c r="X43" s="87"/>
      <x:c r="Y43" s="68"/>
    </x:row>
    <x:row r="44">
      <x:c r="A44" s="72" t="str">
        <x:f>IF(OR(C44="",D44=""),"",B44&amp;"-"&amp;UPPER(C44)&amp;"-"&amp;TEXT(D44,"0000")&amp;"-"&amp;E44)</x:f>
      </x:c>
      <x:c r="B44" s="74" t="str">
        <x:v>M21</x:v>
      </x:c>
      <x:c r="C44" s="74"/>
      <x:c r="D44" s="79"/>
      <x:c r="E44" s="74" t="str">
        <x:v>V1.0</x:v>
      </x:c>
      <x:c r="F44" s="68"/>
      <x:c r="G44" s="68"/>
      <x:c r="H44" s="82"/>
      <x:c r="I44" s="68"/>
      <x:c r="J44" s="68"/>
      <x:c r="K44" s="68"/>
      <x:c r="L44" s="68"/>
      <x:c r="M44" s="68"/>
      <x:c r="N44" s="68"/>
      <x:c r="O44" s="68"/>
      <x:c r="P44" s="90"/>
      <x:c r="Q44" s="82"/>
      <x:c r="R44" s="68"/>
      <x:c r="S44" s="68"/>
      <x:c r="T44" s="68"/>
      <x:c r="U44" s="82"/>
      <x:c r="V44" s="82"/>
      <x:c r="W44" s="68"/>
      <x:c r="X44" s="87"/>
      <x:c r="Y44" s="68"/>
    </x:row>
    <x:row r="45">
      <x:c r="A45" s="72" t="str">
        <x:f>IF(OR(C45="",D45=""),"",B45&amp;"-"&amp;UPPER(C45)&amp;"-"&amp;TEXT(D45,"0000")&amp;"-"&amp;E45)</x:f>
      </x:c>
      <x:c r="B45" s="74" t="str">
        <x:v>M21</x:v>
      </x:c>
      <x:c r="C45" s="74"/>
      <x:c r="D45" s="79"/>
      <x:c r="E45" s="74" t="str">
        <x:v>V1.0</x:v>
      </x:c>
      <x:c r="F45" s="68"/>
      <x:c r="G45" s="68"/>
      <x:c r="H45" s="82"/>
      <x:c r="I45" s="68"/>
      <x:c r="J45" s="68"/>
      <x:c r="K45" s="68"/>
      <x:c r="L45" s="68"/>
      <x:c r="M45" s="68"/>
      <x:c r="N45" s="68"/>
      <x:c r="O45" s="68"/>
      <x:c r="P45" s="90"/>
      <x:c r="Q45" s="82"/>
      <x:c r="R45" s="68"/>
      <x:c r="S45" s="68"/>
      <x:c r="T45" s="68"/>
      <x:c r="U45" s="82"/>
      <x:c r="V45" s="82"/>
      <x:c r="W45" s="68"/>
      <x:c r="X45" s="87"/>
      <x:c r="Y45" s="68"/>
    </x:row>
    <x:row r="46">
      <x:c r="A46" s="72" t="str">
        <x:f>IF(OR(C46="",D46=""),"",B46&amp;"-"&amp;UPPER(C46)&amp;"-"&amp;TEXT(D46,"0000")&amp;"-"&amp;E46)</x:f>
      </x:c>
      <x:c r="B46" s="74" t="str">
        <x:v>M21</x:v>
      </x:c>
      <x:c r="C46" s="74"/>
      <x:c r="D46" s="79"/>
      <x:c r="E46" s="74" t="str">
        <x:v>V1.0</x:v>
      </x:c>
      <x:c r="F46" s="68"/>
      <x:c r="G46" s="68"/>
      <x:c r="H46" s="82"/>
      <x:c r="I46" s="68"/>
      <x:c r="J46" s="68"/>
      <x:c r="K46" s="68"/>
      <x:c r="L46" s="68"/>
      <x:c r="M46" s="68"/>
      <x:c r="N46" s="68"/>
      <x:c r="O46" s="68"/>
      <x:c r="P46" s="90"/>
      <x:c r="Q46" s="82"/>
      <x:c r="R46" s="68"/>
      <x:c r="S46" s="68"/>
      <x:c r="T46" s="68"/>
      <x:c r="U46" s="82"/>
      <x:c r="V46" s="82"/>
      <x:c r="W46" s="68"/>
      <x:c r="X46" s="87"/>
      <x:c r="Y46" s="68"/>
    </x:row>
    <x:row r="47">
      <x:c r="A47" s="72" t="str">
        <x:f>IF(OR(C47="",D47=""),"",B47&amp;"-"&amp;UPPER(C47)&amp;"-"&amp;TEXT(D47,"0000")&amp;"-"&amp;E47)</x:f>
      </x:c>
      <x:c r="B47" s="74" t="str">
        <x:v>M21</x:v>
      </x:c>
      <x:c r="C47" s="74"/>
      <x:c r="D47" s="79"/>
      <x:c r="E47" s="74" t="str">
        <x:v>V1.0</x:v>
      </x:c>
      <x:c r="F47" s="68"/>
      <x:c r="G47" s="68"/>
      <x:c r="H47" s="82"/>
      <x:c r="I47" s="68"/>
      <x:c r="J47" s="68"/>
      <x:c r="K47" s="68"/>
      <x:c r="L47" s="68"/>
      <x:c r="M47" s="68"/>
      <x:c r="N47" s="68"/>
      <x:c r="O47" s="68"/>
      <x:c r="P47" s="90"/>
      <x:c r="Q47" s="82"/>
      <x:c r="R47" s="68"/>
      <x:c r="S47" s="68"/>
      <x:c r="T47" s="68"/>
      <x:c r="U47" s="82"/>
      <x:c r="V47" s="82"/>
      <x:c r="W47" s="68"/>
      <x:c r="X47" s="87"/>
      <x:c r="Y47" s="68"/>
    </x:row>
    <x:row r="48">
      <x:c r="A48" s="72" t="str">
        <x:f>IF(OR(C48="",D48=""),"",B48&amp;"-"&amp;UPPER(C48)&amp;"-"&amp;TEXT(D48,"0000")&amp;"-"&amp;E48)</x:f>
      </x:c>
      <x:c r="B48" s="74" t="str">
        <x:v>M21</x:v>
      </x:c>
      <x:c r="C48" s="74"/>
      <x:c r="D48" s="79"/>
      <x:c r="E48" s="74" t="str">
        <x:v>V1.0</x:v>
      </x:c>
      <x:c r="F48" s="68"/>
      <x:c r="G48" s="68"/>
      <x:c r="H48" s="82"/>
      <x:c r="I48" s="68"/>
      <x:c r="J48" s="68"/>
      <x:c r="K48" s="68"/>
      <x:c r="L48" s="68"/>
      <x:c r="M48" s="68"/>
      <x:c r="N48" s="68"/>
      <x:c r="O48" s="68"/>
      <x:c r="P48" s="90"/>
      <x:c r="Q48" s="82"/>
      <x:c r="R48" s="68"/>
      <x:c r="S48" s="68"/>
      <x:c r="T48" s="68"/>
      <x:c r="U48" s="82"/>
      <x:c r="V48" s="82"/>
      <x:c r="W48" s="68"/>
      <x:c r="X48" s="87"/>
      <x:c r="Y48" s="68"/>
    </x:row>
    <x:row r="49">
      <x:c r="A49" s="72" t="str">
        <x:f>IF(OR(C49="",D49=""),"",B49&amp;"-"&amp;UPPER(C49)&amp;"-"&amp;TEXT(D49,"0000")&amp;"-"&amp;E49)</x:f>
      </x:c>
      <x:c r="B49" s="74" t="str">
        <x:v>M21</x:v>
      </x:c>
      <x:c r="C49" s="74"/>
      <x:c r="D49" s="79"/>
      <x:c r="E49" s="74" t="str">
        <x:v>V1.0</x:v>
      </x:c>
      <x:c r="F49" s="68"/>
      <x:c r="G49" s="68"/>
      <x:c r="H49" s="82"/>
      <x:c r="I49" s="68"/>
      <x:c r="J49" s="68"/>
      <x:c r="K49" s="68"/>
      <x:c r="L49" s="68"/>
      <x:c r="M49" s="68"/>
      <x:c r="N49" s="68"/>
      <x:c r="O49" s="68"/>
      <x:c r="P49" s="90"/>
      <x:c r="Q49" s="82"/>
      <x:c r="R49" s="68"/>
      <x:c r="S49" s="68"/>
      <x:c r="T49" s="68"/>
      <x:c r="U49" s="82"/>
      <x:c r="V49" s="82"/>
      <x:c r="W49" s="68"/>
      <x:c r="X49" s="87"/>
      <x:c r="Y49" s="68"/>
    </x:row>
    <x:row r="50">
      <x:c r="A50" s="72" t="str">
        <x:f>IF(OR(C50="",D50=""),"",B50&amp;"-"&amp;UPPER(C50)&amp;"-"&amp;TEXT(D50,"0000")&amp;"-"&amp;E50)</x:f>
      </x:c>
      <x:c r="B50" s="74" t="str">
        <x:v>M21</x:v>
      </x:c>
      <x:c r="C50" s="74"/>
      <x:c r="D50" s="79"/>
      <x:c r="E50" s="74" t="str">
        <x:v>V1.0</x:v>
      </x:c>
      <x:c r="F50" s="68"/>
      <x:c r="G50" s="68"/>
      <x:c r="H50" s="82"/>
      <x:c r="I50" s="68"/>
      <x:c r="J50" s="68"/>
      <x:c r="K50" s="68"/>
      <x:c r="L50" s="68"/>
      <x:c r="M50" s="68"/>
      <x:c r="N50" s="68"/>
      <x:c r="O50" s="68"/>
      <x:c r="P50" s="90"/>
      <x:c r="Q50" s="82"/>
      <x:c r="R50" s="68"/>
      <x:c r="S50" s="68"/>
      <x:c r="T50" s="68"/>
      <x:c r="U50" s="82"/>
      <x:c r="V50" s="82"/>
      <x:c r="W50" s="68"/>
      <x:c r="X50" s="87"/>
      <x:c r="Y50" s="68"/>
    </x:row>
    <x:row r="51">
      <x:c r="A51" s="72" t="str">
        <x:f>IF(OR(C51="",D51=""),"",B51&amp;"-"&amp;UPPER(C51)&amp;"-"&amp;TEXT(D51,"0000")&amp;"-"&amp;E51)</x:f>
      </x:c>
      <x:c r="B51" s="74" t="str">
        <x:v>M21</x:v>
      </x:c>
      <x:c r="C51" s="74"/>
      <x:c r="D51" s="79"/>
      <x:c r="E51" s="74" t="str">
        <x:v>V1.0</x:v>
      </x:c>
      <x:c r="F51" s="68"/>
      <x:c r="G51" s="68"/>
      <x:c r="H51" s="82"/>
      <x:c r="I51" s="68"/>
      <x:c r="J51" s="68"/>
      <x:c r="K51" s="68"/>
      <x:c r="L51" s="68"/>
      <x:c r="M51" s="68"/>
      <x:c r="N51" s="68"/>
      <x:c r="O51" s="68"/>
      <x:c r="P51" s="90"/>
      <x:c r="Q51" s="82"/>
      <x:c r="R51" s="68"/>
      <x:c r="S51" s="68"/>
      <x:c r="T51" s="68"/>
      <x:c r="U51" s="82"/>
      <x:c r="V51" s="82"/>
      <x:c r="W51" s="68"/>
      <x:c r="X51" s="87"/>
      <x:c r="Y51" s="68"/>
    </x:row>
    <x:row r="52">
      <x:c r="A52" s="72" t="str">
        <x:f>IF(OR(C52="",D52=""),"",B52&amp;"-"&amp;UPPER(C52)&amp;"-"&amp;TEXT(D52,"0000")&amp;"-"&amp;E52)</x:f>
      </x:c>
      <x:c r="B52" s="74" t="str">
        <x:v>M21</x:v>
      </x:c>
      <x:c r="C52" s="74"/>
      <x:c r="D52" s="79"/>
      <x:c r="E52" s="74" t="str">
        <x:v>V1.0</x:v>
      </x:c>
      <x:c r="F52" s="68"/>
      <x:c r="G52" s="68"/>
      <x:c r="H52" s="82"/>
      <x:c r="I52" s="68"/>
      <x:c r="J52" s="68"/>
      <x:c r="K52" s="68"/>
      <x:c r="L52" s="68"/>
      <x:c r="M52" s="68"/>
      <x:c r="N52" s="68"/>
      <x:c r="O52" s="68"/>
      <x:c r="P52" s="90"/>
      <x:c r="Q52" s="82"/>
      <x:c r="R52" s="68"/>
      <x:c r="S52" s="68"/>
      <x:c r="T52" s="68"/>
      <x:c r="U52" s="82"/>
      <x:c r="V52" s="82"/>
      <x:c r="W52" s="68"/>
      <x:c r="X52" s="87"/>
      <x:c r="Y52" s="68"/>
    </x:row>
    <x:row r="53">
      <x:c r="A53" s="72" t="str">
        <x:f>IF(OR(C53="",D53=""),"",B53&amp;"-"&amp;UPPER(C53)&amp;"-"&amp;TEXT(D53,"0000")&amp;"-"&amp;E53)</x:f>
      </x:c>
      <x:c r="B53" s="74" t="str">
        <x:v>M21</x:v>
      </x:c>
      <x:c r="C53" s="74"/>
      <x:c r="D53" s="79"/>
      <x:c r="E53" s="74" t="str">
        <x:v>V1.0</x:v>
      </x:c>
      <x:c r="F53" s="68"/>
      <x:c r="G53" s="68"/>
      <x:c r="H53" s="82"/>
      <x:c r="I53" s="68"/>
      <x:c r="J53" s="68"/>
      <x:c r="K53" s="68"/>
      <x:c r="L53" s="68"/>
      <x:c r="M53" s="68"/>
      <x:c r="N53" s="68"/>
      <x:c r="O53" s="68"/>
      <x:c r="P53" s="90"/>
      <x:c r="Q53" s="82"/>
      <x:c r="R53" s="68"/>
      <x:c r="S53" s="68"/>
      <x:c r="T53" s="68"/>
      <x:c r="U53" s="82"/>
      <x:c r="V53" s="82"/>
      <x:c r="W53" s="68"/>
      <x:c r="X53" s="87"/>
      <x:c r="Y53" s="68"/>
    </x:row>
    <x:row r="54">
      <x:c r="A54" s="72" t="str">
        <x:f>IF(OR(C54="",D54=""),"",B54&amp;"-"&amp;UPPER(C54)&amp;"-"&amp;TEXT(D54,"0000")&amp;"-"&amp;E54)</x:f>
      </x:c>
      <x:c r="B54" s="74" t="str">
        <x:v>M21</x:v>
      </x:c>
      <x:c r="C54" s="74"/>
      <x:c r="D54" s="79"/>
      <x:c r="E54" s="74" t="str">
        <x:v>V1.0</x:v>
      </x:c>
      <x:c r="F54" s="68"/>
      <x:c r="G54" s="68"/>
      <x:c r="H54" s="82"/>
      <x:c r="I54" s="68"/>
      <x:c r="J54" s="68"/>
      <x:c r="K54" s="68"/>
      <x:c r="L54" s="68"/>
      <x:c r="M54" s="68"/>
      <x:c r="N54" s="68"/>
      <x:c r="O54" s="68"/>
      <x:c r="P54" s="90"/>
      <x:c r="Q54" s="82"/>
      <x:c r="R54" s="68"/>
      <x:c r="S54" s="68"/>
      <x:c r="T54" s="68"/>
      <x:c r="U54" s="82"/>
      <x:c r="V54" s="82"/>
      <x:c r="W54" s="68"/>
      <x:c r="X54" s="87"/>
      <x:c r="Y54" s="68"/>
    </x:row>
    <x:row r="55">
      <x:c r="A55" s="72" t="str">
        <x:f>IF(OR(C55="",D55=""),"",B55&amp;"-"&amp;UPPER(C55)&amp;"-"&amp;TEXT(D55,"0000")&amp;"-"&amp;E55)</x:f>
      </x:c>
      <x:c r="B55" s="74" t="str">
        <x:v>M21</x:v>
      </x:c>
      <x:c r="C55" s="74"/>
      <x:c r="D55" s="79"/>
      <x:c r="E55" s="74" t="str">
        <x:v>V1.0</x:v>
      </x:c>
      <x:c r="F55" s="68"/>
      <x:c r="G55" s="68"/>
      <x:c r="H55" s="82"/>
      <x:c r="I55" s="68"/>
      <x:c r="J55" s="68"/>
      <x:c r="K55" s="68"/>
      <x:c r="L55" s="68"/>
      <x:c r="M55" s="68"/>
      <x:c r="N55" s="68"/>
      <x:c r="O55" s="68"/>
      <x:c r="P55" s="90"/>
      <x:c r="Q55" s="82"/>
      <x:c r="R55" s="68"/>
      <x:c r="S55" s="68"/>
      <x:c r="T55" s="68"/>
      <x:c r="U55" s="82"/>
      <x:c r="V55" s="82"/>
      <x:c r="W55" s="68"/>
      <x:c r="X55" s="87"/>
      <x:c r="Y55" s="68"/>
    </x:row>
    <x:row r="56">
      <x:c r="A56" s="72" t="str">
        <x:f>IF(OR(C56="",D56=""),"",B56&amp;"-"&amp;UPPER(C56)&amp;"-"&amp;TEXT(D56,"0000")&amp;"-"&amp;E56)</x:f>
      </x:c>
      <x:c r="B56" s="74" t="str">
        <x:v>M21</x:v>
      </x:c>
      <x:c r="C56" s="74"/>
      <x:c r="D56" s="79"/>
      <x:c r="E56" s="74" t="str">
        <x:v>V1.0</x:v>
      </x:c>
      <x:c r="F56" s="68"/>
      <x:c r="G56" s="68"/>
      <x:c r="H56" s="82"/>
      <x:c r="I56" s="68"/>
      <x:c r="J56" s="68"/>
      <x:c r="K56" s="68"/>
      <x:c r="L56" s="68"/>
      <x:c r="M56" s="68"/>
      <x:c r="N56" s="68"/>
      <x:c r="O56" s="68"/>
      <x:c r="P56" s="90"/>
      <x:c r="Q56" s="82"/>
      <x:c r="R56" s="68"/>
      <x:c r="S56" s="68"/>
      <x:c r="T56" s="68"/>
      <x:c r="U56" s="82"/>
      <x:c r="V56" s="82"/>
      <x:c r="W56" s="68"/>
      <x:c r="X56" s="87"/>
      <x:c r="Y56" s="68"/>
    </x:row>
    <x:row r="57">
      <x:c r="A57" s="72" t="str">
        <x:f>IF(OR(C57="",D57=""),"",B57&amp;"-"&amp;UPPER(C57)&amp;"-"&amp;TEXT(D57,"0000")&amp;"-"&amp;E57)</x:f>
      </x:c>
      <x:c r="B57" s="74" t="str">
        <x:v>M21</x:v>
      </x:c>
      <x:c r="C57" s="74"/>
      <x:c r="D57" s="79"/>
      <x:c r="E57" s="74" t="str">
        <x:v>V1.0</x:v>
      </x:c>
      <x:c r="F57" s="68"/>
      <x:c r="G57" s="68"/>
      <x:c r="H57" s="82"/>
      <x:c r="I57" s="68"/>
      <x:c r="J57" s="68"/>
      <x:c r="K57" s="68"/>
      <x:c r="L57" s="68"/>
      <x:c r="M57" s="68"/>
      <x:c r="N57" s="68"/>
      <x:c r="O57" s="68"/>
      <x:c r="P57" s="90"/>
      <x:c r="Q57" s="82"/>
      <x:c r="R57" s="68"/>
      <x:c r="S57" s="68"/>
      <x:c r="T57" s="68"/>
      <x:c r="U57" s="82"/>
      <x:c r="V57" s="82"/>
      <x:c r="W57" s="68"/>
      <x:c r="X57" s="87"/>
      <x:c r="Y57" s="68"/>
    </x:row>
    <x:row r="58">
      <x:c r="A58" s="72" t="str">
        <x:f>IF(OR(C58="",D58=""),"",B58&amp;"-"&amp;UPPER(C58)&amp;"-"&amp;TEXT(D58,"0000")&amp;"-"&amp;E58)</x:f>
      </x:c>
      <x:c r="B58" s="74" t="str">
        <x:v>M21</x:v>
      </x:c>
      <x:c r="C58" s="74"/>
      <x:c r="D58" s="79"/>
      <x:c r="E58" s="74" t="str">
        <x:v>V1.0</x:v>
      </x:c>
      <x:c r="F58" s="68"/>
      <x:c r="G58" s="68"/>
      <x:c r="H58" s="82"/>
      <x:c r="I58" s="68"/>
      <x:c r="J58" s="68"/>
      <x:c r="K58" s="68"/>
      <x:c r="L58" s="68"/>
      <x:c r="M58" s="68"/>
      <x:c r="N58" s="68"/>
      <x:c r="O58" s="68"/>
      <x:c r="P58" s="90"/>
      <x:c r="Q58" s="82"/>
      <x:c r="R58" s="68"/>
      <x:c r="S58" s="68"/>
      <x:c r="T58" s="68"/>
      <x:c r="U58" s="82"/>
      <x:c r="V58" s="82"/>
      <x:c r="W58" s="68"/>
      <x:c r="X58" s="87"/>
      <x:c r="Y58" s="68"/>
    </x:row>
    <x:row r="59">
      <x:c r="A59" s="72" t="str">
        <x:f>IF(OR(C59="",D59=""),"",B59&amp;"-"&amp;UPPER(C59)&amp;"-"&amp;TEXT(D59,"0000")&amp;"-"&amp;E59)</x:f>
      </x:c>
      <x:c r="B59" s="74" t="str">
        <x:v>M21</x:v>
      </x:c>
      <x:c r="C59" s="74"/>
      <x:c r="D59" s="79"/>
      <x:c r="E59" s="74" t="str">
        <x:v>V1.0</x:v>
      </x:c>
      <x:c r="F59" s="68"/>
      <x:c r="G59" s="68"/>
      <x:c r="H59" s="82"/>
      <x:c r="I59" s="68"/>
      <x:c r="J59" s="68"/>
      <x:c r="K59" s="68"/>
      <x:c r="L59" s="68"/>
      <x:c r="M59" s="68"/>
      <x:c r="N59" s="68"/>
      <x:c r="O59" s="68"/>
      <x:c r="P59" s="90"/>
      <x:c r="Q59" s="82"/>
      <x:c r="R59" s="68"/>
      <x:c r="S59" s="68"/>
      <x:c r="T59" s="68"/>
      <x:c r="U59" s="82"/>
      <x:c r="V59" s="82"/>
      <x:c r="W59" s="68"/>
      <x:c r="X59" s="87"/>
      <x:c r="Y59" s="68"/>
    </x:row>
    <x:row r="60">
      <x:c r="A60" s="72" t="str">
        <x:f>IF(OR(C60="",D60=""),"",B60&amp;"-"&amp;UPPER(C60)&amp;"-"&amp;TEXT(D60,"0000")&amp;"-"&amp;E60)</x:f>
      </x:c>
      <x:c r="B60" s="74" t="str">
        <x:v>M21</x:v>
      </x:c>
      <x:c r="C60" s="74"/>
      <x:c r="D60" s="79"/>
      <x:c r="E60" s="74" t="str">
        <x:v>V1.0</x:v>
      </x:c>
      <x:c r="F60" s="68"/>
      <x:c r="G60" s="68"/>
      <x:c r="H60" s="82"/>
      <x:c r="I60" s="68"/>
      <x:c r="J60" s="68"/>
      <x:c r="K60" s="68"/>
      <x:c r="L60" s="68"/>
      <x:c r="M60" s="68"/>
      <x:c r="N60" s="68"/>
      <x:c r="O60" s="68"/>
      <x:c r="P60" s="90"/>
      <x:c r="Q60" s="82"/>
      <x:c r="R60" s="68"/>
      <x:c r="S60" s="68"/>
      <x:c r="T60" s="68"/>
      <x:c r="U60" s="82"/>
      <x:c r="V60" s="82"/>
      <x:c r="W60" s="68"/>
      <x:c r="X60" s="87"/>
      <x:c r="Y60" s="68"/>
    </x:row>
    <x:row r="61">
      <x:c r="A61" s="72" t="str">
        <x:f>IF(OR(C61="",D61=""),"",B61&amp;"-"&amp;UPPER(C61)&amp;"-"&amp;TEXT(D61,"0000")&amp;"-"&amp;E61)</x:f>
      </x:c>
      <x:c r="B61" s="74" t="str">
        <x:v>M21</x:v>
      </x:c>
      <x:c r="C61" s="74"/>
      <x:c r="D61" s="79"/>
      <x:c r="E61" s="74" t="str">
        <x:v>V1.0</x:v>
      </x:c>
      <x:c r="F61" s="68"/>
      <x:c r="G61" s="68"/>
      <x:c r="H61" s="82"/>
      <x:c r="I61" s="68"/>
      <x:c r="J61" s="68"/>
      <x:c r="K61" s="68"/>
      <x:c r="L61" s="68"/>
      <x:c r="M61" s="68"/>
      <x:c r="N61" s="68"/>
      <x:c r="O61" s="68"/>
      <x:c r="P61" s="90"/>
      <x:c r="Q61" s="82"/>
      <x:c r="R61" s="68"/>
      <x:c r="S61" s="68"/>
      <x:c r="T61" s="68"/>
      <x:c r="U61" s="82"/>
      <x:c r="V61" s="82"/>
      <x:c r="W61" s="68"/>
      <x:c r="X61" s="87"/>
      <x:c r="Y61" s="68"/>
    </x:row>
    <x:row r="62">
      <x:c r="A62" s="72" t="str">
        <x:f>IF(OR(C62="",D62=""),"",B62&amp;"-"&amp;UPPER(C62)&amp;"-"&amp;TEXT(D62,"0000")&amp;"-"&amp;E62)</x:f>
      </x:c>
      <x:c r="B62" s="74" t="str">
        <x:v>M21</x:v>
      </x:c>
      <x:c r="C62" s="74"/>
      <x:c r="D62" s="79"/>
      <x:c r="E62" s="74" t="str">
        <x:v>V1.0</x:v>
      </x:c>
      <x:c r="F62" s="68"/>
      <x:c r="G62" s="68"/>
      <x:c r="H62" s="82"/>
      <x:c r="I62" s="68"/>
      <x:c r="J62" s="68"/>
      <x:c r="K62" s="68"/>
      <x:c r="L62" s="68"/>
      <x:c r="M62" s="68"/>
      <x:c r="N62" s="68"/>
      <x:c r="O62" s="68"/>
      <x:c r="P62" s="90"/>
      <x:c r="Q62" s="82"/>
      <x:c r="R62" s="68"/>
      <x:c r="S62" s="68"/>
      <x:c r="T62" s="68"/>
      <x:c r="U62" s="82"/>
      <x:c r="V62" s="82"/>
      <x:c r="W62" s="68"/>
      <x:c r="X62" s="87"/>
      <x:c r="Y62" s="68"/>
    </x:row>
    <x:row r="63">
      <x:c r="A63" s="72" t="str">
        <x:f>IF(OR(C63="",D63=""),"",B63&amp;"-"&amp;UPPER(C63)&amp;"-"&amp;TEXT(D63,"0000")&amp;"-"&amp;E63)</x:f>
      </x:c>
      <x:c r="B63" s="74" t="str">
        <x:v>M21</x:v>
      </x:c>
      <x:c r="C63" s="74"/>
      <x:c r="D63" s="79"/>
      <x:c r="E63" s="74" t="str">
        <x:v>V1.0</x:v>
      </x:c>
      <x:c r="F63" s="68"/>
      <x:c r="G63" s="68"/>
      <x:c r="H63" s="82"/>
      <x:c r="I63" s="68"/>
      <x:c r="J63" s="68"/>
      <x:c r="K63" s="68"/>
      <x:c r="L63" s="68"/>
      <x:c r="M63" s="68"/>
      <x:c r="N63" s="68"/>
      <x:c r="O63" s="68"/>
      <x:c r="P63" s="90"/>
      <x:c r="Q63" s="82"/>
      <x:c r="R63" s="68"/>
      <x:c r="S63" s="68"/>
      <x:c r="T63" s="68"/>
      <x:c r="U63" s="82"/>
      <x:c r="V63" s="82"/>
      <x:c r="W63" s="68"/>
      <x:c r="X63" s="87"/>
      <x:c r="Y63" s="68"/>
    </x:row>
    <x:row r="64">
      <x:c r="A64" s="72" t="str">
        <x:f>IF(OR(C64="",D64=""),"",B64&amp;"-"&amp;UPPER(C64)&amp;"-"&amp;TEXT(D64,"0000")&amp;"-"&amp;E64)</x:f>
      </x:c>
      <x:c r="B64" s="74" t="str">
        <x:v>M21</x:v>
      </x:c>
      <x:c r="C64" s="74"/>
      <x:c r="D64" s="79"/>
      <x:c r="E64" s="74" t="str">
        <x:v>V1.0</x:v>
      </x:c>
      <x:c r="F64" s="68"/>
      <x:c r="G64" s="68"/>
      <x:c r="H64" s="82"/>
      <x:c r="I64" s="68"/>
      <x:c r="J64" s="68"/>
      <x:c r="K64" s="68"/>
      <x:c r="L64" s="68"/>
      <x:c r="M64" s="68"/>
      <x:c r="N64" s="68"/>
      <x:c r="O64" s="68"/>
      <x:c r="P64" s="90"/>
      <x:c r="Q64" s="82"/>
      <x:c r="R64" s="68"/>
      <x:c r="S64" s="68"/>
      <x:c r="T64" s="68"/>
      <x:c r="U64" s="82"/>
      <x:c r="V64" s="82"/>
      <x:c r="W64" s="68"/>
      <x:c r="X64" s="87"/>
      <x:c r="Y64" s="68"/>
    </x:row>
    <x:row r="65">
      <x:c r="A65" s="72" t="str">
        <x:f>IF(OR(C65="",D65=""),"",B65&amp;"-"&amp;UPPER(C65)&amp;"-"&amp;TEXT(D65,"0000")&amp;"-"&amp;E65)</x:f>
      </x:c>
      <x:c r="B65" s="74" t="str">
        <x:v>M21</x:v>
      </x:c>
      <x:c r="C65" s="74"/>
      <x:c r="D65" s="79"/>
      <x:c r="E65" s="74" t="str">
        <x:v>V1.0</x:v>
      </x:c>
      <x:c r="F65" s="68"/>
      <x:c r="G65" s="68"/>
      <x:c r="H65" s="82"/>
      <x:c r="I65" s="68"/>
      <x:c r="J65" s="68"/>
      <x:c r="K65" s="68"/>
      <x:c r="L65" s="68"/>
      <x:c r="M65" s="68"/>
      <x:c r="N65" s="68"/>
      <x:c r="O65" s="68"/>
      <x:c r="P65" s="90"/>
      <x:c r="Q65" s="82"/>
      <x:c r="R65" s="68"/>
      <x:c r="S65" s="68"/>
      <x:c r="T65" s="68"/>
      <x:c r="U65" s="82"/>
      <x:c r="V65" s="82"/>
      <x:c r="W65" s="68"/>
      <x:c r="X65" s="87"/>
      <x:c r="Y65" s="68"/>
    </x:row>
    <x:row r="66">
      <x:c r="A66" s="72" t="str">
        <x:f>IF(OR(C66="",D66=""),"",B66&amp;"-"&amp;UPPER(C66)&amp;"-"&amp;TEXT(D66,"0000")&amp;"-"&amp;E66)</x:f>
      </x:c>
      <x:c r="B66" s="74" t="str">
        <x:v>M21</x:v>
      </x:c>
      <x:c r="C66" s="74"/>
      <x:c r="D66" s="79"/>
      <x:c r="E66" s="74" t="str">
        <x:v>V1.0</x:v>
      </x:c>
      <x:c r="F66" s="68"/>
      <x:c r="G66" s="68"/>
      <x:c r="H66" s="82"/>
      <x:c r="I66" s="68"/>
      <x:c r="J66" s="68"/>
      <x:c r="K66" s="68"/>
      <x:c r="L66" s="68"/>
      <x:c r="M66" s="68"/>
      <x:c r="N66" s="68"/>
      <x:c r="O66" s="68"/>
      <x:c r="P66" s="90"/>
      <x:c r="Q66" s="82"/>
      <x:c r="R66" s="68"/>
      <x:c r="S66" s="68"/>
      <x:c r="T66" s="68"/>
      <x:c r="U66" s="82"/>
      <x:c r="V66" s="82"/>
      <x:c r="W66" s="68"/>
      <x:c r="X66" s="87"/>
      <x:c r="Y66" s="68"/>
    </x:row>
    <x:row r="67">
      <x:c r="A67" s="72" t="str">
        <x:f>IF(OR(C67="",D67=""),"",B67&amp;"-"&amp;UPPER(C67)&amp;"-"&amp;TEXT(D67,"0000")&amp;"-"&amp;E67)</x:f>
      </x:c>
      <x:c r="B67" s="74" t="str">
        <x:v>M21</x:v>
      </x:c>
      <x:c r="C67" s="74"/>
      <x:c r="D67" s="79"/>
      <x:c r="E67" s="74" t="str">
        <x:v>V1.0</x:v>
      </x:c>
      <x:c r="F67" s="68"/>
      <x:c r="G67" s="68"/>
      <x:c r="H67" s="82"/>
      <x:c r="I67" s="68"/>
      <x:c r="J67" s="68"/>
      <x:c r="K67" s="68"/>
      <x:c r="L67" s="68"/>
      <x:c r="M67" s="68"/>
      <x:c r="N67" s="68"/>
      <x:c r="O67" s="68"/>
      <x:c r="P67" s="90"/>
      <x:c r="Q67" s="82"/>
      <x:c r="R67" s="68"/>
      <x:c r="S67" s="68"/>
      <x:c r="T67" s="68"/>
      <x:c r="U67" s="82"/>
      <x:c r="V67" s="82"/>
      <x:c r="W67" s="68"/>
      <x:c r="X67" s="87"/>
      <x:c r="Y67" s="68"/>
    </x:row>
    <x:row r="68">
      <x:c r="A68" s="72" t="str">
        <x:f>IF(OR(C68="",D68=""),"",B68&amp;"-"&amp;UPPER(C68)&amp;"-"&amp;TEXT(D68,"0000")&amp;"-"&amp;E68)</x:f>
      </x:c>
      <x:c r="B68" s="74" t="str">
        <x:v>M21</x:v>
      </x:c>
      <x:c r="C68" s="74"/>
      <x:c r="D68" s="79"/>
      <x:c r="E68" s="74" t="str">
        <x:v>V1.0</x:v>
      </x:c>
      <x:c r="F68" s="68"/>
      <x:c r="G68" s="68"/>
      <x:c r="H68" s="82"/>
      <x:c r="I68" s="68"/>
      <x:c r="J68" s="68"/>
      <x:c r="K68" s="68"/>
      <x:c r="L68" s="68"/>
      <x:c r="M68" s="68"/>
      <x:c r="N68" s="68"/>
      <x:c r="O68" s="68"/>
      <x:c r="P68" s="90"/>
      <x:c r="Q68" s="82"/>
      <x:c r="R68" s="68"/>
      <x:c r="S68" s="68"/>
      <x:c r="T68" s="68"/>
      <x:c r="U68" s="82"/>
      <x:c r="V68" s="82"/>
      <x:c r="W68" s="68"/>
      <x:c r="X68" s="87"/>
      <x:c r="Y68" s="68"/>
    </x:row>
    <x:row r="69">
      <x:c r="A69" s="72" t="str">
        <x:f>IF(OR(C69="",D69=""),"",B69&amp;"-"&amp;UPPER(C69)&amp;"-"&amp;TEXT(D69,"0000")&amp;"-"&amp;E69)</x:f>
      </x:c>
      <x:c r="B69" s="74" t="str">
        <x:v>M21</x:v>
      </x:c>
      <x:c r="C69" s="74"/>
      <x:c r="D69" s="79"/>
      <x:c r="E69" s="74" t="str">
        <x:v>V1.0</x:v>
      </x:c>
      <x:c r="F69" s="68"/>
      <x:c r="G69" s="68"/>
      <x:c r="H69" s="82"/>
      <x:c r="I69" s="68"/>
      <x:c r="J69" s="68"/>
      <x:c r="K69" s="68"/>
      <x:c r="L69" s="68"/>
      <x:c r="M69" s="68"/>
      <x:c r="N69" s="68"/>
      <x:c r="O69" s="68"/>
      <x:c r="P69" s="90"/>
      <x:c r="Q69" s="82"/>
      <x:c r="R69" s="68"/>
      <x:c r="S69" s="68"/>
      <x:c r="T69" s="68"/>
      <x:c r="U69" s="82"/>
      <x:c r="V69" s="82"/>
      <x:c r="W69" s="68"/>
      <x:c r="X69" s="87"/>
      <x:c r="Y69" s="68"/>
    </x:row>
    <x:row r="70">
      <x:c r="A70" s="72" t="str">
        <x:f>IF(OR(C70="",D70=""),"",B70&amp;"-"&amp;UPPER(C70)&amp;"-"&amp;TEXT(D70,"0000")&amp;"-"&amp;E70)</x:f>
      </x:c>
      <x:c r="B70" s="74" t="str">
        <x:v>M21</x:v>
      </x:c>
      <x:c r="C70" s="74"/>
      <x:c r="D70" s="79"/>
      <x:c r="E70" s="74" t="str">
        <x:v>V1.0</x:v>
      </x:c>
      <x:c r="F70" s="68"/>
      <x:c r="G70" s="68"/>
      <x:c r="H70" s="82"/>
      <x:c r="I70" s="68"/>
      <x:c r="J70" s="68"/>
      <x:c r="K70" s="68"/>
      <x:c r="L70" s="68"/>
      <x:c r="M70" s="68"/>
      <x:c r="N70" s="68"/>
      <x:c r="O70" s="68"/>
      <x:c r="P70" s="90"/>
      <x:c r="Q70" s="82"/>
      <x:c r="R70" s="68"/>
      <x:c r="S70" s="68"/>
      <x:c r="T70" s="68"/>
      <x:c r="U70" s="82"/>
      <x:c r="V70" s="82"/>
      <x:c r="W70" s="68"/>
      <x:c r="X70" s="87"/>
      <x:c r="Y70" s="68"/>
    </x:row>
    <x:row r="71">
      <x:c r="A71" s="72" t="str">
        <x:f>IF(OR(C71="",D71=""),"",B71&amp;"-"&amp;UPPER(C71)&amp;"-"&amp;TEXT(D71,"0000")&amp;"-"&amp;E71)</x:f>
      </x:c>
      <x:c r="B71" s="74" t="str">
        <x:v>M21</x:v>
      </x:c>
      <x:c r="C71" s="74"/>
      <x:c r="D71" s="79"/>
      <x:c r="E71" s="74" t="str">
        <x:v>V1.0</x:v>
      </x:c>
      <x:c r="F71" s="68"/>
      <x:c r="G71" s="68"/>
      <x:c r="H71" s="82"/>
      <x:c r="I71" s="68"/>
      <x:c r="J71" s="68"/>
      <x:c r="K71" s="68"/>
      <x:c r="L71" s="68"/>
      <x:c r="M71" s="68"/>
      <x:c r="N71" s="68"/>
      <x:c r="O71" s="68"/>
      <x:c r="P71" s="90"/>
      <x:c r="Q71" s="82"/>
      <x:c r="R71" s="68"/>
      <x:c r="S71" s="68"/>
      <x:c r="T71" s="68"/>
      <x:c r="U71" s="82"/>
      <x:c r="V71" s="82"/>
      <x:c r="W71" s="68"/>
      <x:c r="X71" s="87"/>
      <x:c r="Y71" s="68"/>
    </x:row>
    <x:row r="72">
      <x:c r="A72" s="72" t="str">
        <x:f>IF(OR(C72="",D72=""),"",B72&amp;"-"&amp;UPPER(C72)&amp;"-"&amp;TEXT(D72,"0000")&amp;"-"&amp;E72)</x:f>
      </x:c>
      <x:c r="B72" s="74" t="str">
        <x:v>M21</x:v>
      </x:c>
      <x:c r="C72" s="74"/>
      <x:c r="D72" s="79"/>
      <x:c r="E72" s="74" t="str">
        <x:v>V1.0</x:v>
      </x:c>
      <x:c r="F72" s="68"/>
      <x:c r="G72" s="68"/>
      <x:c r="H72" s="82"/>
      <x:c r="I72" s="68"/>
      <x:c r="J72" s="68"/>
      <x:c r="K72" s="68"/>
      <x:c r="L72" s="68"/>
      <x:c r="M72" s="68"/>
      <x:c r="N72" s="68"/>
      <x:c r="O72" s="68"/>
      <x:c r="P72" s="90"/>
      <x:c r="Q72" s="82"/>
      <x:c r="R72" s="68"/>
      <x:c r="S72" s="68"/>
      <x:c r="T72" s="68"/>
      <x:c r="U72" s="82"/>
      <x:c r="V72" s="82"/>
      <x:c r="W72" s="68"/>
      <x:c r="X72" s="87"/>
      <x:c r="Y72" s="68"/>
    </x:row>
    <x:row r="73">
      <x:c r="A73" s="72" t="str">
        <x:f>IF(OR(C73="",D73=""),"",B73&amp;"-"&amp;UPPER(C73)&amp;"-"&amp;TEXT(D73,"0000")&amp;"-"&amp;E73)</x:f>
      </x:c>
      <x:c r="B73" s="74" t="str">
        <x:v>M21</x:v>
      </x:c>
      <x:c r="C73" s="74"/>
      <x:c r="D73" s="79"/>
      <x:c r="E73" s="74" t="str">
        <x:v>V1.0</x:v>
      </x:c>
      <x:c r="F73" s="68"/>
      <x:c r="G73" s="68"/>
      <x:c r="H73" s="82"/>
      <x:c r="I73" s="68"/>
      <x:c r="J73" s="68"/>
      <x:c r="K73" s="68"/>
      <x:c r="L73" s="68"/>
      <x:c r="M73" s="68"/>
      <x:c r="N73" s="68"/>
      <x:c r="O73" s="68"/>
      <x:c r="P73" s="90"/>
      <x:c r="Q73" s="82"/>
      <x:c r="R73" s="68"/>
      <x:c r="S73" s="68"/>
      <x:c r="T73" s="68"/>
      <x:c r="U73" s="82"/>
      <x:c r="V73" s="82"/>
      <x:c r="W73" s="68"/>
      <x:c r="X73" s="87"/>
      <x:c r="Y73" s="68"/>
    </x:row>
    <x:row r="74">
      <x:c r="A74" s="72" t="str">
        <x:f>IF(OR(C74="",D74=""),"",B74&amp;"-"&amp;UPPER(C74)&amp;"-"&amp;TEXT(D74,"0000")&amp;"-"&amp;E74)</x:f>
      </x:c>
      <x:c r="B74" s="74" t="str">
        <x:v>M21</x:v>
      </x:c>
      <x:c r="C74" s="74"/>
      <x:c r="D74" s="79"/>
      <x:c r="E74" s="74" t="str">
        <x:v>V1.0</x:v>
      </x:c>
      <x:c r="F74" s="68"/>
      <x:c r="G74" s="68"/>
      <x:c r="H74" s="82"/>
      <x:c r="I74" s="68"/>
      <x:c r="J74" s="68"/>
      <x:c r="K74" s="68"/>
      <x:c r="L74" s="68"/>
      <x:c r="M74" s="68"/>
      <x:c r="N74" s="68"/>
      <x:c r="O74" s="68"/>
      <x:c r="P74" s="90"/>
      <x:c r="Q74" s="82"/>
      <x:c r="R74" s="68"/>
      <x:c r="S74" s="68"/>
      <x:c r="T74" s="68"/>
      <x:c r="U74" s="82"/>
      <x:c r="V74" s="82"/>
      <x:c r="W74" s="68"/>
      <x:c r="X74" s="87"/>
      <x:c r="Y74" s="68"/>
    </x:row>
    <x:row r="75">
      <x:c r="A75" s="72" t="str">
        <x:f>IF(OR(C75="",D75=""),"",B75&amp;"-"&amp;UPPER(C75)&amp;"-"&amp;TEXT(D75,"0000")&amp;"-"&amp;E75)</x:f>
      </x:c>
      <x:c r="B75" s="74" t="str">
        <x:v>M21</x:v>
      </x:c>
      <x:c r="C75" s="74"/>
      <x:c r="D75" s="79"/>
      <x:c r="E75" s="74" t="str">
        <x:v>V1.0</x:v>
      </x:c>
      <x:c r="F75" s="68"/>
      <x:c r="G75" s="68"/>
      <x:c r="H75" s="82"/>
      <x:c r="I75" s="68"/>
      <x:c r="J75" s="68"/>
      <x:c r="K75" s="68"/>
      <x:c r="L75" s="68"/>
      <x:c r="M75" s="68"/>
      <x:c r="N75" s="68"/>
      <x:c r="O75" s="68"/>
      <x:c r="P75" s="90"/>
      <x:c r="Q75" s="82"/>
      <x:c r="R75" s="68"/>
      <x:c r="S75" s="68"/>
      <x:c r="T75" s="68"/>
      <x:c r="U75" s="82"/>
      <x:c r="V75" s="82"/>
      <x:c r="W75" s="68"/>
      <x:c r="X75" s="87"/>
      <x:c r="Y75" s="68"/>
    </x:row>
    <x:row r="76">
      <x:c r="A76" s="72" t="str">
        <x:f>IF(OR(C76="",D76=""),"",B76&amp;"-"&amp;UPPER(C76)&amp;"-"&amp;TEXT(D76,"0000")&amp;"-"&amp;E76)</x:f>
      </x:c>
      <x:c r="B76" s="74" t="str">
        <x:v>M21</x:v>
      </x:c>
      <x:c r="C76" s="74"/>
      <x:c r="D76" s="79"/>
      <x:c r="E76" s="74" t="str">
        <x:v>V1.0</x:v>
      </x:c>
      <x:c r="F76" s="68"/>
      <x:c r="G76" s="68"/>
      <x:c r="H76" s="82"/>
      <x:c r="I76" s="68"/>
      <x:c r="J76" s="68"/>
      <x:c r="K76" s="68"/>
      <x:c r="L76" s="68"/>
      <x:c r="M76" s="68"/>
      <x:c r="N76" s="68"/>
      <x:c r="O76" s="68"/>
      <x:c r="P76" s="90"/>
      <x:c r="Q76" s="82"/>
      <x:c r="R76" s="68"/>
      <x:c r="S76" s="68"/>
      <x:c r="T76" s="68"/>
      <x:c r="U76" s="82"/>
      <x:c r="V76" s="82"/>
      <x:c r="W76" s="68"/>
      <x:c r="X76" s="87"/>
      <x:c r="Y76" s="68"/>
    </x:row>
    <x:row r="77">
      <x:c r="A77" s="72" t="str">
        <x:f>IF(OR(C77="",D77=""),"",B77&amp;"-"&amp;UPPER(C77)&amp;"-"&amp;TEXT(D77,"0000")&amp;"-"&amp;E77)</x:f>
      </x:c>
      <x:c r="B77" s="74" t="str">
        <x:v>M21</x:v>
      </x:c>
      <x:c r="C77" s="74"/>
      <x:c r="D77" s="79"/>
      <x:c r="E77" s="74" t="str">
        <x:v>V1.0</x:v>
      </x:c>
      <x:c r="F77" s="68"/>
      <x:c r="G77" s="68"/>
      <x:c r="H77" s="82"/>
      <x:c r="I77" s="68"/>
      <x:c r="J77" s="68"/>
      <x:c r="K77" s="68"/>
      <x:c r="L77" s="68"/>
      <x:c r="M77" s="68"/>
      <x:c r="N77" s="68"/>
      <x:c r="O77" s="68"/>
      <x:c r="P77" s="90"/>
      <x:c r="Q77" s="82"/>
      <x:c r="R77" s="68"/>
      <x:c r="S77" s="68"/>
      <x:c r="T77" s="68"/>
      <x:c r="U77" s="82"/>
      <x:c r="V77" s="82"/>
      <x:c r="W77" s="68"/>
      <x:c r="X77" s="87"/>
      <x:c r="Y77" s="68"/>
    </x:row>
    <x:row r="78">
      <x:c r="A78" s="72" t="str">
        <x:f>IF(OR(C78="",D78=""),"",B78&amp;"-"&amp;UPPER(C78)&amp;"-"&amp;TEXT(D78,"0000")&amp;"-"&amp;E78)</x:f>
      </x:c>
      <x:c r="B78" s="74" t="str">
        <x:v>M21</x:v>
      </x:c>
      <x:c r="C78" s="74"/>
      <x:c r="D78" s="79"/>
      <x:c r="E78" s="74" t="str">
        <x:v>V1.0</x:v>
      </x:c>
      <x:c r="F78" s="68"/>
      <x:c r="G78" s="68"/>
      <x:c r="H78" s="82"/>
      <x:c r="I78" s="68"/>
      <x:c r="J78" s="68"/>
      <x:c r="K78" s="68"/>
      <x:c r="L78" s="68"/>
      <x:c r="M78" s="68"/>
      <x:c r="N78" s="68"/>
      <x:c r="O78" s="68"/>
      <x:c r="P78" s="90"/>
      <x:c r="Q78" s="82"/>
      <x:c r="R78" s="68"/>
      <x:c r="S78" s="68"/>
      <x:c r="T78" s="68"/>
      <x:c r="U78" s="82"/>
      <x:c r="V78" s="82"/>
      <x:c r="W78" s="68"/>
      <x:c r="X78" s="87"/>
      <x:c r="Y78" s="68"/>
    </x:row>
    <x:row r="79">
      <x:c r="A79" s="72" t="str">
        <x:f>IF(OR(C79="",D79=""),"",B79&amp;"-"&amp;UPPER(C79)&amp;"-"&amp;TEXT(D79,"0000")&amp;"-"&amp;E79)</x:f>
      </x:c>
      <x:c r="B79" s="74" t="str">
        <x:v>M21</x:v>
      </x:c>
      <x:c r="C79" s="74"/>
      <x:c r="D79" s="79"/>
      <x:c r="E79" s="74" t="str">
        <x:v>V1.0</x:v>
      </x:c>
      <x:c r="F79" s="68"/>
      <x:c r="G79" s="68"/>
      <x:c r="H79" s="82"/>
      <x:c r="I79" s="68"/>
      <x:c r="J79" s="68"/>
      <x:c r="K79" s="68"/>
      <x:c r="L79" s="68"/>
      <x:c r="M79" s="68"/>
      <x:c r="N79" s="68"/>
      <x:c r="O79" s="68"/>
      <x:c r="P79" s="90"/>
      <x:c r="Q79" s="82"/>
      <x:c r="R79" s="68"/>
      <x:c r="S79" s="68"/>
      <x:c r="T79" s="68"/>
      <x:c r="U79" s="82"/>
      <x:c r="V79" s="82"/>
      <x:c r="W79" s="68"/>
      <x:c r="X79" s="87"/>
      <x:c r="Y79" s="68"/>
    </x:row>
    <x:row r="80">
      <x:c r="A80" s="72" t="str">
        <x:f>IF(OR(C80="",D80=""),"",B80&amp;"-"&amp;UPPER(C80)&amp;"-"&amp;TEXT(D80,"0000")&amp;"-"&amp;E80)</x:f>
      </x:c>
      <x:c r="B80" s="74" t="str">
        <x:v>M21</x:v>
      </x:c>
      <x:c r="C80" s="74"/>
      <x:c r="D80" s="79"/>
      <x:c r="E80" s="74" t="str">
        <x:v>V1.0</x:v>
      </x:c>
      <x:c r="F80" s="68"/>
      <x:c r="G80" s="68"/>
      <x:c r="H80" s="82"/>
      <x:c r="I80" s="68"/>
      <x:c r="J80" s="68"/>
      <x:c r="K80" s="68"/>
      <x:c r="L80" s="68"/>
      <x:c r="M80" s="68"/>
      <x:c r="N80" s="68"/>
      <x:c r="O80" s="68"/>
      <x:c r="P80" s="90"/>
      <x:c r="Q80" s="82"/>
      <x:c r="R80" s="68"/>
      <x:c r="S80" s="68"/>
      <x:c r="T80" s="68"/>
      <x:c r="U80" s="82"/>
      <x:c r="V80" s="82"/>
      <x:c r="W80" s="68"/>
      <x:c r="X80" s="87"/>
      <x:c r="Y80" s="68"/>
    </x:row>
    <x:row r="81">
      <x:c r="A81" s="72" t="str">
        <x:f>IF(OR(C81="",D81=""),"",B81&amp;"-"&amp;UPPER(C81)&amp;"-"&amp;TEXT(D81,"0000")&amp;"-"&amp;E81)</x:f>
      </x:c>
      <x:c r="B81" s="74" t="str">
        <x:v>M21</x:v>
      </x:c>
      <x:c r="C81" s="74"/>
      <x:c r="D81" s="79"/>
      <x:c r="E81" s="74" t="str">
        <x:v>V1.0</x:v>
      </x:c>
      <x:c r="F81" s="68"/>
      <x:c r="G81" s="68"/>
      <x:c r="H81" s="82"/>
      <x:c r="I81" s="68"/>
      <x:c r="J81" s="68"/>
      <x:c r="K81" s="68"/>
      <x:c r="L81" s="68"/>
      <x:c r="M81" s="68"/>
      <x:c r="N81" s="68"/>
      <x:c r="O81" s="68"/>
      <x:c r="P81" s="90"/>
      <x:c r="Q81" s="82"/>
      <x:c r="R81" s="68"/>
      <x:c r="S81" s="68"/>
      <x:c r="T81" s="68"/>
      <x:c r="U81" s="82"/>
      <x:c r="V81" s="82"/>
      <x:c r="W81" s="68"/>
      <x:c r="X81" s="87"/>
      <x:c r="Y81" s="68"/>
    </x:row>
    <x:row r="82">
      <x:c r="A82" s="72" t="str">
        <x:f>IF(OR(C82="",D82=""),"",B82&amp;"-"&amp;UPPER(C82)&amp;"-"&amp;TEXT(D82,"0000")&amp;"-"&amp;E82)</x:f>
      </x:c>
      <x:c r="B82" s="74" t="str">
        <x:v>M21</x:v>
      </x:c>
      <x:c r="C82" s="74"/>
      <x:c r="D82" s="79"/>
      <x:c r="E82" s="74" t="str">
        <x:v>V1.0</x:v>
      </x:c>
      <x:c r="F82" s="68"/>
      <x:c r="G82" s="68"/>
      <x:c r="H82" s="82"/>
      <x:c r="I82" s="68"/>
      <x:c r="J82" s="68"/>
      <x:c r="K82" s="68"/>
      <x:c r="L82" s="68"/>
      <x:c r="M82" s="68"/>
      <x:c r="N82" s="68"/>
      <x:c r="O82" s="68"/>
      <x:c r="P82" s="90"/>
      <x:c r="Q82" s="82"/>
      <x:c r="R82" s="68"/>
      <x:c r="S82" s="68"/>
      <x:c r="T82" s="68"/>
      <x:c r="U82" s="82"/>
      <x:c r="V82" s="82"/>
      <x:c r="W82" s="68"/>
      <x:c r="X82" s="87"/>
      <x:c r="Y82" s="68"/>
    </x:row>
    <x:row r="83">
      <x:c r="A83" s="72" t="str">
        <x:f>IF(OR(C83="",D83=""),"",B83&amp;"-"&amp;UPPER(C83)&amp;"-"&amp;TEXT(D83,"0000")&amp;"-"&amp;E83)</x:f>
      </x:c>
      <x:c r="B83" s="74" t="str">
        <x:v>M21</x:v>
      </x:c>
      <x:c r="C83" s="74"/>
      <x:c r="D83" s="79"/>
      <x:c r="E83" s="74" t="str">
        <x:v>V1.0</x:v>
      </x:c>
      <x:c r="F83" s="68"/>
      <x:c r="G83" s="68"/>
      <x:c r="H83" s="82"/>
      <x:c r="I83" s="68"/>
      <x:c r="J83" s="68"/>
      <x:c r="K83" s="68"/>
      <x:c r="L83" s="68"/>
      <x:c r="M83" s="68"/>
      <x:c r="N83" s="68"/>
      <x:c r="O83" s="68"/>
      <x:c r="P83" s="90"/>
      <x:c r="Q83" s="82"/>
      <x:c r="R83" s="68"/>
      <x:c r="S83" s="68"/>
      <x:c r="T83" s="68"/>
      <x:c r="U83" s="82"/>
      <x:c r="V83" s="82"/>
      <x:c r="W83" s="68"/>
      <x:c r="X83" s="87"/>
      <x:c r="Y83" s="68"/>
    </x:row>
    <x:row r="84">
      <x:c r="A84" s="72" t="str">
        <x:f>IF(OR(C84="",D84=""),"",B84&amp;"-"&amp;UPPER(C84)&amp;"-"&amp;TEXT(D84,"0000")&amp;"-"&amp;E84)</x:f>
      </x:c>
      <x:c r="B84" s="74" t="str">
        <x:v>M21</x:v>
      </x:c>
      <x:c r="C84" s="74"/>
      <x:c r="D84" s="79"/>
      <x:c r="E84" s="74" t="str">
        <x:v>V1.0</x:v>
      </x:c>
      <x:c r="F84" s="68"/>
      <x:c r="G84" s="68"/>
      <x:c r="H84" s="82"/>
      <x:c r="I84" s="68"/>
      <x:c r="J84" s="68"/>
      <x:c r="K84" s="68"/>
      <x:c r="L84" s="68"/>
      <x:c r="M84" s="68"/>
      <x:c r="N84" s="68"/>
      <x:c r="O84" s="68"/>
      <x:c r="P84" s="90"/>
      <x:c r="Q84" s="82"/>
      <x:c r="R84" s="68"/>
      <x:c r="S84" s="68"/>
      <x:c r="T84" s="68"/>
      <x:c r="U84" s="82"/>
      <x:c r="V84" s="82"/>
      <x:c r="W84" s="68"/>
      <x:c r="X84" s="87"/>
      <x:c r="Y84" s="68"/>
    </x:row>
    <x:row r="85">
      <x:c r="A85" s="72" t="str">
        <x:f>IF(OR(C85="",D85=""),"",B85&amp;"-"&amp;UPPER(C85)&amp;"-"&amp;TEXT(D85,"0000")&amp;"-"&amp;E85)</x:f>
      </x:c>
      <x:c r="B85" s="74" t="str">
        <x:v>M21</x:v>
      </x:c>
      <x:c r="C85" s="74"/>
      <x:c r="D85" s="79"/>
      <x:c r="E85" s="74" t="str">
        <x:v>V1.0</x:v>
      </x:c>
      <x:c r="F85" s="68"/>
      <x:c r="G85" s="68"/>
      <x:c r="H85" s="82"/>
      <x:c r="I85" s="68"/>
      <x:c r="J85" s="68"/>
      <x:c r="K85" s="68"/>
      <x:c r="L85" s="68"/>
      <x:c r="M85" s="68"/>
      <x:c r="N85" s="68"/>
      <x:c r="O85" s="68"/>
      <x:c r="P85" s="90"/>
      <x:c r="Q85" s="82"/>
      <x:c r="R85" s="68"/>
      <x:c r="S85" s="68"/>
      <x:c r="T85" s="68"/>
      <x:c r="U85" s="82"/>
      <x:c r="V85" s="82"/>
      <x:c r="W85" s="68"/>
      <x:c r="X85" s="87"/>
      <x:c r="Y85" s="68"/>
    </x:row>
    <x:row r="86">
      <x:c r="A86" s="72" t="str">
        <x:f>IF(OR(C86="",D86=""),"",B86&amp;"-"&amp;UPPER(C86)&amp;"-"&amp;TEXT(D86,"0000")&amp;"-"&amp;E86)</x:f>
      </x:c>
      <x:c r="B86" s="74" t="str">
        <x:v>M21</x:v>
      </x:c>
      <x:c r="C86" s="74"/>
      <x:c r="D86" s="79"/>
      <x:c r="E86" s="74" t="str">
        <x:v>V1.0</x:v>
      </x:c>
      <x:c r="F86" s="68"/>
      <x:c r="G86" s="68"/>
      <x:c r="H86" s="82"/>
      <x:c r="I86" s="68"/>
      <x:c r="J86" s="68"/>
      <x:c r="K86" s="68"/>
      <x:c r="L86" s="68"/>
      <x:c r="M86" s="68"/>
      <x:c r="N86" s="68"/>
      <x:c r="O86" s="68"/>
      <x:c r="P86" s="90"/>
      <x:c r="Q86" s="82"/>
      <x:c r="R86" s="68"/>
      <x:c r="S86" s="68"/>
      <x:c r="T86" s="68"/>
      <x:c r="U86" s="82"/>
      <x:c r="V86" s="82"/>
      <x:c r="W86" s="68"/>
      <x:c r="X86" s="87"/>
      <x:c r="Y86" s="68"/>
    </x:row>
    <x:row r="87">
      <x:c r="A87" s="72" t="str">
        <x:f>IF(OR(C87="",D87=""),"",B87&amp;"-"&amp;UPPER(C87)&amp;"-"&amp;TEXT(D87,"0000")&amp;"-"&amp;E87)</x:f>
      </x:c>
      <x:c r="B87" s="74" t="str">
        <x:v>M21</x:v>
      </x:c>
      <x:c r="C87" s="74"/>
      <x:c r="D87" s="79"/>
      <x:c r="E87" s="74" t="str">
        <x:v>V1.0</x:v>
      </x:c>
      <x:c r="F87" s="68"/>
      <x:c r="G87" s="68"/>
      <x:c r="H87" s="82"/>
      <x:c r="I87" s="68"/>
      <x:c r="J87" s="68"/>
      <x:c r="K87" s="68"/>
      <x:c r="L87" s="68"/>
      <x:c r="M87" s="68"/>
      <x:c r="N87" s="68"/>
      <x:c r="O87" s="68"/>
      <x:c r="P87" s="90"/>
      <x:c r="Q87" s="82"/>
      <x:c r="R87" s="68"/>
      <x:c r="S87" s="68"/>
      <x:c r="T87" s="68"/>
      <x:c r="U87" s="82"/>
      <x:c r="V87" s="82"/>
      <x:c r="W87" s="68"/>
      <x:c r="X87" s="87"/>
      <x:c r="Y87" s="68"/>
    </x:row>
    <x:row r="88">
      <x:c r="A88" s="72" t="str">
        <x:f>IF(OR(C88="",D88=""),"",B88&amp;"-"&amp;UPPER(C88)&amp;"-"&amp;TEXT(D88,"0000")&amp;"-"&amp;E88)</x:f>
      </x:c>
      <x:c r="B88" s="74" t="str">
        <x:v>M21</x:v>
      </x:c>
      <x:c r="C88" s="74"/>
      <x:c r="D88" s="79"/>
      <x:c r="E88" s="74" t="str">
        <x:v>V1.0</x:v>
      </x:c>
      <x:c r="F88" s="68"/>
      <x:c r="G88" s="68"/>
      <x:c r="H88" s="82"/>
      <x:c r="I88" s="68"/>
      <x:c r="J88" s="68"/>
      <x:c r="K88" s="68"/>
      <x:c r="L88" s="68"/>
      <x:c r="M88" s="68"/>
      <x:c r="N88" s="68"/>
      <x:c r="O88" s="68"/>
      <x:c r="P88" s="90"/>
      <x:c r="Q88" s="82"/>
      <x:c r="R88" s="68"/>
      <x:c r="S88" s="68"/>
      <x:c r="T88" s="68"/>
      <x:c r="U88" s="82"/>
      <x:c r="V88" s="82"/>
      <x:c r="W88" s="68"/>
      <x:c r="X88" s="87"/>
      <x:c r="Y88" s="68"/>
    </x:row>
    <x:row r="89">
      <x:c r="A89" s="72" t="str">
        <x:f>IF(OR(C89="",D89=""),"",B89&amp;"-"&amp;UPPER(C89)&amp;"-"&amp;TEXT(D89,"0000")&amp;"-"&amp;E89)</x:f>
      </x:c>
      <x:c r="B89" s="74" t="str">
        <x:v>M21</x:v>
      </x:c>
      <x:c r="C89" s="74"/>
      <x:c r="D89" s="79"/>
      <x:c r="E89" s="74" t="str">
        <x:v>V1.0</x:v>
      </x:c>
      <x:c r="F89" s="68"/>
      <x:c r="G89" s="68"/>
      <x:c r="H89" s="82"/>
      <x:c r="I89" s="68"/>
      <x:c r="J89" s="68"/>
      <x:c r="K89" s="68"/>
      <x:c r="L89" s="68"/>
      <x:c r="M89" s="68"/>
      <x:c r="N89" s="68"/>
      <x:c r="O89" s="68"/>
      <x:c r="P89" s="90"/>
      <x:c r="Q89" s="82"/>
      <x:c r="R89" s="68"/>
      <x:c r="S89" s="68"/>
      <x:c r="T89" s="68"/>
      <x:c r="U89" s="82"/>
      <x:c r="V89" s="82"/>
      <x:c r="W89" s="68"/>
      <x:c r="X89" s="87"/>
      <x:c r="Y89" s="68"/>
    </x:row>
    <x:row r="90">
      <x:c r="A90" s="72" t="str">
        <x:f>IF(OR(C90="",D90=""),"",B90&amp;"-"&amp;UPPER(C90)&amp;"-"&amp;TEXT(D90,"0000")&amp;"-"&amp;E90)</x:f>
      </x:c>
      <x:c r="B90" s="74" t="str">
        <x:v>M21</x:v>
      </x:c>
      <x:c r="C90" s="74"/>
      <x:c r="D90" s="79"/>
      <x:c r="E90" s="74" t="str">
        <x:v>V1.0</x:v>
      </x:c>
      <x:c r="F90" s="68"/>
      <x:c r="G90" s="68"/>
      <x:c r="H90" s="82"/>
      <x:c r="I90" s="68"/>
      <x:c r="J90" s="68"/>
      <x:c r="K90" s="68"/>
      <x:c r="L90" s="68"/>
      <x:c r="M90" s="68"/>
      <x:c r="N90" s="68"/>
      <x:c r="O90" s="68"/>
      <x:c r="P90" s="90"/>
      <x:c r="Q90" s="82"/>
      <x:c r="R90" s="68"/>
      <x:c r="S90" s="68"/>
      <x:c r="T90" s="68"/>
      <x:c r="U90" s="82"/>
      <x:c r="V90" s="82"/>
      <x:c r="W90" s="68"/>
      <x:c r="X90" s="87"/>
      <x:c r="Y90" s="68"/>
    </x:row>
    <x:row r="91">
      <x:c r="A91" s="72" t="str">
        <x:f>IF(OR(C91="",D91=""),"",B91&amp;"-"&amp;UPPER(C91)&amp;"-"&amp;TEXT(D91,"0000")&amp;"-"&amp;E91)</x:f>
      </x:c>
      <x:c r="B91" s="74" t="str">
        <x:v>M21</x:v>
      </x:c>
      <x:c r="C91" s="74"/>
      <x:c r="D91" s="79"/>
      <x:c r="E91" s="74" t="str">
        <x:v>V1.0</x:v>
      </x:c>
      <x:c r="F91" s="68"/>
      <x:c r="G91" s="68"/>
      <x:c r="H91" s="82"/>
      <x:c r="I91" s="68"/>
      <x:c r="J91" s="68"/>
      <x:c r="K91" s="68"/>
      <x:c r="L91" s="68"/>
      <x:c r="M91" s="68"/>
      <x:c r="N91" s="68"/>
      <x:c r="O91" s="68"/>
      <x:c r="P91" s="90"/>
      <x:c r="Q91" s="82"/>
      <x:c r="R91" s="68"/>
      <x:c r="S91" s="68"/>
      <x:c r="T91" s="68"/>
      <x:c r="U91" s="82"/>
      <x:c r="V91" s="82"/>
      <x:c r="W91" s="68"/>
      <x:c r="X91" s="87"/>
      <x:c r="Y91" s="68"/>
    </x:row>
    <x:row r="92">
      <x:c r="A92" s="72" t="str">
        <x:f>IF(OR(C92="",D92=""),"",B92&amp;"-"&amp;UPPER(C92)&amp;"-"&amp;TEXT(D92,"0000")&amp;"-"&amp;E92)</x:f>
      </x:c>
      <x:c r="B92" s="74" t="str">
        <x:v>M21</x:v>
      </x:c>
      <x:c r="C92" s="74"/>
      <x:c r="D92" s="79"/>
      <x:c r="E92" s="74" t="str">
        <x:v>V1.0</x:v>
      </x:c>
      <x:c r="F92" s="68"/>
      <x:c r="G92" s="68"/>
      <x:c r="H92" s="82"/>
      <x:c r="I92" s="68"/>
      <x:c r="J92" s="68"/>
      <x:c r="K92" s="68"/>
      <x:c r="L92" s="68"/>
      <x:c r="M92" s="68"/>
      <x:c r="N92" s="68"/>
      <x:c r="O92" s="68"/>
      <x:c r="P92" s="90"/>
      <x:c r="Q92" s="82"/>
      <x:c r="R92" s="68"/>
      <x:c r="S92" s="68"/>
      <x:c r="T92" s="68"/>
      <x:c r="U92" s="82"/>
      <x:c r="V92" s="82"/>
      <x:c r="W92" s="68"/>
      <x:c r="X92" s="87"/>
      <x:c r="Y92" s="68"/>
    </x:row>
    <x:row r="93">
      <x:c r="A93" s="72" t="str">
        <x:f>IF(OR(C93="",D93=""),"",B93&amp;"-"&amp;UPPER(C93)&amp;"-"&amp;TEXT(D93,"0000")&amp;"-"&amp;E93)</x:f>
      </x:c>
      <x:c r="B93" s="74" t="str">
        <x:v>M21</x:v>
      </x:c>
      <x:c r="C93" s="74"/>
      <x:c r="D93" s="79"/>
      <x:c r="E93" s="74" t="str">
        <x:v>V1.0</x:v>
      </x:c>
      <x:c r="F93" s="68"/>
      <x:c r="G93" s="68"/>
      <x:c r="H93" s="82"/>
      <x:c r="I93" s="68"/>
      <x:c r="J93" s="68"/>
      <x:c r="K93" s="68"/>
      <x:c r="L93" s="68"/>
      <x:c r="M93" s="68"/>
      <x:c r="N93" s="68"/>
      <x:c r="O93" s="68"/>
      <x:c r="P93" s="90"/>
      <x:c r="Q93" s="82"/>
      <x:c r="R93" s="68"/>
      <x:c r="S93" s="68"/>
      <x:c r="T93" s="68"/>
      <x:c r="U93" s="82"/>
      <x:c r="V93" s="82"/>
      <x:c r="W93" s="68"/>
      <x:c r="X93" s="87"/>
      <x:c r="Y93" s="68"/>
    </x:row>
    <x:row r="94">
      <x:c r="A94" s="72" t="str">
        <x:f>IF(OR(C94="",D94=""),"",B94&amp;"-"&amp;UPPER(C94)&amp;"-"&amp;TEXT(D94,"0000")&amp;"-"&amp;E94)</x:f>
      </x:c>
      <x:c r="B94" s="74" t="str">
        <x:v>M21</x:v>
      </x:c>
      <x:c r="C94" s="74"/>
      <x:c r="D94" s="79"/>
      <x:c r="E94" s="74" t="str">
        <x:v>V1.0</x:v>
      </x:c>
      <x:c r="F94" s="68"/>
      <x:c r="G94" s="68"/>
      <x:c r="H94" s="82"/>
      <x:c r="I94" s="68"/>
      <x:c r="J94" s="68"/>
      <x:c r="K94" s="68"/>
      <x:c r="L94" s="68"/>
      <x:c r="M94" s="68"/>
      <x:c r="N94" s="68"/>
      <x:c r="O94" s="68"/>
      <x:c r="P94" s="90"/>
      <x:c r="Q94" s="82"/>
      <x:c r="R94" s="68"/>
      <x:c r="S94" s="68"/>
      <x:c r="T94" s="68"/>
      <x:c r="U94" s="82"/>
      <x:c r="V94" s="82"/>
      <x:c r="W94" s="68"/>
      <x:c r="X94" s="87"/>
      <x:c r="Y94" s="68"/>
    </x:row>
    <x:row r="95">
      <x:c r="A95" s="72" t="str">
        <x:f>IF(OR(C95="",D95=""),"",B95&amp;"-"&amp;UPPER(C95)&amp;"-"&amp;TEXT(D95,"0000")&amp;"-"&amp;E95)</x:f>
      </x:c>
      <x:c r="B95" s="74" t="str">
        <x:v>M21</x:v>
      </x:c>
      <x:c r="C95" s="74"/>
      <x:c r="D95" s="79"/>
      <x:c r="E95" s="74" t="str">
        <x:v>V1.0</x:v>
      </x:c>
      <x:c r="F95" s="68"/>
      <x:c r="G95" s="68"/>
      <x:c r="H95" s="82"/>
      <x:c r="I95" s="68"/>
      <x:c r="J95" s="68"/>
      <x:c r="K95" s="68"/>
      <x:c r="L95" s="68"/>
      <x:c r="M95" s="68"/>
      <x:c r="N95" s="68"/>
      <x:c r="O95" s="68"/>
      <x:c r="P95" s="90"/>
      <x:c r="Q95" s="82"/>
      <x:c r="R95" s="68"/>
      <x:c r="S95" s="68"/>
      <x:c r="T95" s="68"/>
      <x:c r="U95" s="82"/>
      <x:c r="V95" s="82"/>
      <x:c r="W95" s="68"/>
      <x:c r="X95" s="87"/>
      <x:c r="Y95" s="68"/>
    </x:row>
    <x:row r="96">
      <x:c r="A96" s="72" t="str">
        <x:f>IF(OR(C96="",D96=""),"",B96&amp;"-"&amp;UPPER(C96)&amp;"-"&amp;TEXT(D96,"0000")&amp;"-"&amp;E96)</x:f>
      </x:c>
      <x:c r="B96" s="74" t="str">
        <x:v>M21</x:v>
      </x:c>
      <x:c r="C96" s="74"/>
      <x:c r="D96" s="79"/>
      <x:c r="E96" s="74" t="str">
        <x:v>V1.0</x:v>
      </x:c>
      <x:c r="F96" s="68"/>
      <x:c r="G96" s="68"/>
      <x:c r="H96" s="82"/>
      <x:c r="I96" s="68"/>
      <x:c r="J96" s="68"/>
      <x:c r="K96" s="68"/>
      <x:c r="L96" s="68"/>
      <x:c r="M96" s="68"/>
      <x:c r="N96" s="68"/>
      <x:c r="O96" s="68"/>
      <x:c r="P96" s="90"/>
      <x:c r="Q96" s="82"/>
      <x:c r="R96" s="68"/>
      <x:c r="S96" s="68"/>
      <x:c r="T96" s="68"/>
      <x:c r="U96" s="82"/>
      <x:c r="V96" s="82"/>
      <x:c r="W96" s="68"/>
      <x:c r="X96" s="87"/>
      <x:c r="Y96" s="68"/>
    </x:row>
    <x:row r="97">
      <x:c r="A97" s="72" t="str">
        <x:f>IF(OR(C97="",D97=""),"",B97&amp;"-"&amp;UPPER(C97)&amp;"-"&amp;TEXT(D97,"0000")&amp;"-"&amp;E97)</x:f>
      </x:c>
      <x:c r="B97" s="74" t="str">
        <x:v>M21</x:v>
      </x:c>
      <x:c r="C97" s="74"/>
      <x:c r="D97" s="79"/>
      <x:c r="E97" s="74" t="str">
        <x:v>V1.0</x:v>
      </x:c>
      <x:c r="F97" s="68"/>
      <x:c r="G97" s="68"/>
      <x:c r="H97" s="82"/>
      <x:c r="I97" s="68"/>
      <x:c r="J97" s="68"/>
      <x:c r="K97" s="68"/>
      <x:c r="L97" s="68"/>
      <x:c r="M97" s="68"/>
      <x:c r="N97" s="68"/>
      <x:c r="O97" s="68"/>
      <x:c r="P97" s="90"/>
      <x:c r="Q97" s="82"/>
      <x:c r="R97" s="68"/>
      <x:c r="S97" s="68"/>
      <x:c r="T97" s="68"/>
      <x:c r="U97" s="82"/>
      <x:c r="V97" s="82"/>
      <x:c r="W97" s="68"/>
      <x:c r="X97" s="87"/>
      <x:c r="Y97" s="68"/>
    </x:row>
    <x:row r="98">
      <x:c r="A98" s="72" t="str">
        <x:f>IF(OR(C98="",D98=""),"",B98&amp;"-"&amp;UPPER(C98)&amp;"-"&amp;TEXT(D98,"0000")&amp;"-"&amp;E98)</x:f>
      </x:c>
      <x:c r="B98" s="74" t="str">
        <x:v>M21</x:v>
      </x:c>
      <x:c r="C98" s="74"/>
      <x:c r="D98" s="79"/>
      <x:c r="E98" s="74" t="str">
        <x:v>V1.0</x:v>
      </x:c>
      <x:c r="F98" s="68"/>
      <x:c r="G98" s="68"/>
      <x:c r="H98" s="82"/>
      <x:c r="I98" s="68"/>
      <x:c r="J98" s="68"/>
      <x:c r="K98" s="68"/>
      <x:c r="L98" s="68"/>
      <x:c r="M98" s="68"/>
      <x:c r="N98" s="68"/>
      <x:c r="O98" s="68"/>
      <x:c r="P98" s="90"/>
      <x:c r="Q98" s="82"/>
      <x:c r="R98" s="68"/>
      <x:c r="S98" s="68"/>
      <x:c r="T98" s="68"/>
      <x:c r="U98" s="82"/>
      <x:c r="V98" s="82"/>
      <x:c r="W98" s="68"/>
      <x:c r="X98" s="87"/>
      <x:c r="Y98" s="68"/>
    </x:row>
    <x:row r="99">
      <x:c r="A99" s="72" t="str">
        <x:f>IF(OR(C99="",D99=""),"",B99&amp;"-"&amp;UPPER(C99)&amp;"-"&amp;TEXT(D99,"0000")&amp;"-"&amp;E99)</x:f>
      </x:c>
      <x:c r="B99" s="74" t="str">
        <x:v>M21</x:v>
      </x:c>
      <x:c r="C99" s="74"/>
      <x:c r="D99" s="79"/>
      <x:c r="E99" s="74" t="str">
        <x:v>V1.0</x:v>
      </x:c>
      <x:c r="F99" s="68"/>
      <x:c r="G99" s="68"/>
      <x:c r="H99" s="82"/>
      <x:c r="I99" s="68"/>
      <x:c r="J99" s="68"/>
      <x:c r="K99" s="68"/>
      <x:c r="L99" s="68"/>
      <x:c r="M99" s="68"/>
      <x:c r="N99" s="68"/>
      <x:c r="O99" s="68"/>
      <x:c r="P99" s="90"/>
      <x:c r="Q99" s="82"/>
      <x:c r="R99" s="68"/>
      <x:c r="S99" s="68"/>
      <x:c r="T99" s="68"/>
      <x:c r="U99" s="82"/>
      <x:c r="V99" s="82"/>
      <x:c r="W99" s="68"/>
      <x:c r="X99" s="87"/>
      <x:c r="Y99" s="68"/>
    </x:row>
    <x:row r="100">
      <x:c r="A100" s="72" t="str">
        <x:f>IF(OR(C100="",D100=""),"",B100&amp;"-"&amp;UPPER(C100)&amp;"-"&amp;TEXT(D100,"0000")&amp;"-"&amp;E100)</x:f>
      </x:c>
      <x:c r="B100" s="74" t="str">
        <x:v>M21</x:v>
      </x:c>
      <x:c r="C100" s="74"/>
      <x:c r="D100" s="79"/>
      <x:c r="E100" s="74" t="str">
        <x:v>V1.0</x:v>
      </x:c>
      <x:c r="F100" s="68"/>
      <x:c r="G100" s="68"/>
      <x:c r="H100" s="82"/>
      <x:c r="I100" s="68"/>
      <x:c r="J100" s="68"/>
      <x:c r="K100" s="68"/>
      <x:c r="L100" s="68"/>
      <x:c r="M100" s="68"/>
      <x:c r="N100" s="68"/>
      <x:c r="O100" s="68"/>
      <x:c r="P100" s="90"/>
      <x:c r="Q100" s="82"/>
      <x:c r="R100" s="68"/>
      <x:c r="S100" s="68"/>
      <x:c r="T100" s="68"/>
      <x:c r="U100" s="82"/>
      <x:c r="V100" s="82"/>
      <x:c r="W100" s="68"/>
      <x:c r="X100" s="87"/>
      <x:c r="Y100" s="68"/>
    </x:row>
    <x:row r="101">
      <x:c r="A101" s="72" t="str">
        <x:f>IF(OR(C101="",D101=""),"",B101&amp;"-"&amp;UPPER(C101)&amp;"-"&amp;TEXT(D101,"0000")&amp;"-"&amp;E101)</x:f>
      </x:c>
      <x:c r="B101" s="74" t="str">
        <x:v>M21</x:v>
      </x:c>
      <x:c r="C101" s="74"/>
      <x:c r="D101" s="79"/>
      <x:c r="E101" s="74" t="str">
        <x:v>V1.0</x:v>
      </x:c>
      <x:c r="F101" s="68"/>
      <x:c r="G101" s="68"/>
      <x:c r="H101" s="82"/>
      <x:c r="I101" s="68"/>
      <x:c r="J101" s="68"/>
      <x:c r="K101" s="68"/>
      <x:c r="L101" s="68"/>
      <x:c r="M101" s="68"/>
      <x:c r="N101" s="68"/>
      <x:c r="O101" s="68"/>
      <x:c r="P101" s="90"/>
      <x:c r="Q101" s="82"/>
      <x:c r="R101" s="68"/>
      <x:c r="S101" s="68"/>
      <x:c r="T101" s="68"/>
      <x:c r="U101" s="82"/>
      <x:c r="V101" s="82"/>
      <x:c r="W101" s="68"/>
      <x:c r="X101" s="87"/>
      <x:c r="Y101" s="68"/>
    </x:row>
    <x:row r="102">
      <x:c r="A102" s="72" t="str">
        <x:f>IF(OR(C102="",D102=""),"",B102&amp;"-"&amp;UPPER(C102)&amp;"-"&amp;TEXT(D102,"0000")&amp;"-"&amp;E102)</x:f>
      </x:c>
      <x:c r="B102" s="74" t="str">
        <x:v>M21</x:v>
      </x:c>
      <x:c r="C102" s="74"/>
      <x:c r="D102" s="79"/>
      <x:c r="E102" s="74" t="str">
        <x:v>V1.0</x:v>
      </x:c>
      <x:c r="F102" s="68"/>
      <x:c r="G102" s="68"/>
      <x:c r="H102" s="82"/>
      <x:c r="I102" s="68"/>
      <x:c r="J102" s="68"/>
      <x:c r="K102" s="68"/>
      <x:c r="L102" s="68"/>
      <x:c r="M102" s="68"/>
      <x:c r="N102" s="68"/>
      <x:c r="O102" s="68"/>
      <x:c r="P102" s="90"/>
      <x:c r="Q102" s="82"/>
      <x:c r="R102" s="68"/>
      <x:c r="S102" s="68"/>
      <x:c r="T102" s="68"/>
      <x:c r="U102" s="82"/>
      <x:c r="V102" s="82"/>
      <x:c r="W102" s="68"/>
      <x:c r="X102" s="87"/>
      <x:c r="Y102" s="68"/>
    </x:row>
    <x:row r="103">
      <x:c r="A103" s="72" t="str">
        <x:f>IF(OR(C103="",D103=""),"",B103&amp;"-"&amp;UPPER(C103)&amp;"-"&amp;TEXT(D103,"0000")&amp;"-"&amp;E103)</x:f>
      </x:c>
      <x:c r="B103" s="74" t="str">
        <x:v>M21</x:v>
      </x:c>
      <x:c r="C103" s="74"/>
      <x:c r="D103" s="79"/>
      <x:c r="E103" s="74" t="str">
        <x:v>V1.0</x:v>
      </x:c>
      <x:c r="F103" s="68"/>
      <x:c r="G103" s="68"/>
      <x:c r="H103" s="82"/>
      <x:c r="I103" s="68"/>
      <x:c r="J103" s="68"/>
      <x:c r="K103" s="68"/>
      <x:c r="L103" s="68"/>
      <x:c r="M103" s="68"/>
      <x:c r="N103" s="68"/>
      <x:c r="O103" s="68"/>
      <x:c r="P103" s="90"/>
      <x:c r="Q103" s="82"/>
      <x:c r="R103" s="68"/>
      <x:c r="S103" s="68"/>
      <x:c r="T103" s="68"/>
      <x:c r="U103" s="82"/>
      <x:c r="V103" s="82"/>
      <x:c r="W103" s="68"/>
      <x:c r="X103" s="87"/>
      <x:c r="Y103" s="68"/>
    </x:row>
    <x:row r="104">
      <x:c r="A104" s="72" t="str">
        <x:f>IF(OR(C104="",D104=""),"",B104&amp;"-"&amp;UPPER(C104)&amp;"-"&amp;TEXT(D104,"0000")&amp;"-"&amp;E104)</x:f>
      </x:c>
      <x:c r="B104" s="74" t="str">
        <x:v>M21</x:v>
      </x:c>
      <x:c r="C104" s="74"/>
      <x:c r="D104" s="79"/>
      <x:c r="E104" s="74" t="str">
        <x:v>V1.0</x:v>
      </x:c>
      <x:c r="F104" s="68"/>
      <x:c r="G104" s="68"/>
      <x:c r="H104" s="82"/>
      <x:c r="I104" s="68"/>
      <x:c r="J104" s="68"/>
      <x:c r="K104" s="68"/>
      <x:c r="L104" s="68"/>
      <x:c r="M104" s="68"/>
      <x:c r="N104" s="68"/>
      <x:c r="O104" s="68"/>
      <x:c r="P104" s="90"/>
      <x:c r="Q104" s="82"/>
      <x:c r="R104" s="68"/>
      <x:c r="S104" s="68"/>
      <x:c r="T104" s="68"/>
      <x:c r="U104" s="82"/>
      <x:c r="V104" s="82"/>
      <x:c r="W104" s="68"/>
      <x:c r="X104" s="87"/>
      <x:c r="Y104" s="68"/>
    </x:row>
    <x:row r="105">
      <x:c r="A105" s="72" t="str">
        <x:f>IF(OR(C105="",D105=""),"",B105&amp;"-"&amp;UPPER(C105)&amp;"-"&amp;TEXT(D105,"0000")&amp;"-"&amp;E105)</x:f>
      </x:c>
      <x:c r="B105" s="74" t="str">
        <x:v>M21</x:v>
      </x:c>
      <x:c r="C105" s="74"/>
      <x:c r="D105" s="79"/>
      <x:c r="E105" s="74" t="str">
        <x:v>V1.0</x:v>
      </x:c>
      <x:c r="F105" s="68"/>
      <x:c r="G105" s="68"/>
      <x:c r="H105" s="82"/>
      <x:c r="I105" s="68"/>
      <x:c r="J105" s="68"/>
      <x:c r="K105" s="68"/>
      <x:c r="L105" s="68"/>
      <x:c r="M105" s="68"/>
      <x:c r="N105" s="68"/>
      <x:c r="O105" s="68"/>
      <x:c r="P105" s="90"/>
      <x:c r="Q105" s="82"/>
      <x:c r="R105" s="68"/>
      <x:c r="S105" s="68"/>
      <x:c r="T105" s="68"/>
      <x:c r="U105" s="82"/>
      <x:c r="V105" s="82"/>
      <x:c r="W105" s="68"/>
      <x:c r="X105" s="87"/>
      <x:c r="Y105" s="68"/>
    </x:row>
  </x:sheetData>
  <x:mergeCells>
    <x:mergeCell ref="A1:O1"/>
    <x:mergeCell ref="A2:O2"/>
    <x:mergeCell ref="A3:O3"/>
    <x:mergeCell ref="A4:O4"/>
  </x:mergeCells>
  <x:conditionalFormatting sqref="A6:A105">
    <x:cfRule type="expression" dxfId="19" priority="1">
      <x:formula>AND(A6&lt;&gt;"",COUNTIF($A$6:$A$105,A6)&gt;1)</x:formula>
    </x:cfRule>
  </x:conditionalFormatting>
  <x:dataValidations count="7">
    <x:dataValidation type="list" sqref="E6:E105">
      <x:formula1>'99_下拉选项'!$BG$4:$BG$12</x:formula1>
    </x:dataValidation>
    <x:dataValidation type="list" sqref="H6:H105">
      <x:formula1>'99_下拉选项'!$AZ$4:$AZ$10</x:formula1>
    </x:dataValidation>
    <x:dataValidation type="list" sqref="Q6:Q105">
      <x:formula1>'99_下拉选项'!$BA$4:$BA$7</x:formula1>
    </x:dataValidation>
    <x:dataValidation type="list" sqref="U6:U105">
      <x:formula1>'99_下拉选项'!$BB$4:$BB$10</x:formula1>
    </x:dataValidation>
    <x:dataValidation type="list" sqref="V6:V105">
      <x:formula1>'99_下拉选项'!$BC$4:$BC$9</x:formula1>
    </x:dataValidation>
    <x:dataValidation type="list" sqref="E6:E130">
      <x:formula1>'99_下拉选项'!$BG$4:$BG$14</x:formula1>
    </x:dataValidation>
    <x:dataValidation type="list" sqref="E7:E105">
      <x:formula1>'99_下拉选项'!$BG$4:$BG$16</x:formula1>
    </x:dataValidation>
  </x:dataValidations>
  <x:pageMargins left="0.7" right="0.7" top="0.75" bottom="0.75" header="0.3" footer="0.3"/>
  <x:tableParts count="1">
    <x:tablePart xmlns:r="http://schemas.openxmlformats.org/officeDocument/2006/relationships" r:id="R65a9d25778fd4af0"/>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s>
  <x:sheetData>
    <x:row r="1" ht="28" customHeight="1">
      <x:c r="A1" s="5" t="str">
        <x:v>系统维护｜统一下拉选项</x:v>
      </x:c>
    </x:row>
    <x:row r="2" ht="34" customHeight="1">
      <x:c r="A2" s="13" t="str">
        <x:v>本表是全工作簿的数据验证来源。修改选项时应同步更新“01_术语与编码”的定义与编码，避免只改名称不改规则含义。</x:v>
      </x:c>
    </x:row>
    <x:row r="3" ht="32" customHeight="1">
      <x:c r="A3" s="22" t="str">
        <x:v>记录类型</x:v>
      </x:c>
      <x:c r="B3" s="22" t="str">
        <x:v>对象类别</x:v>
      </x:c>
      <x:c r="C3" s="22" t="str">
        <x:v>阴阳</x:v>
      </x:c>
      <x:c r="D3" s="22" t="str">
        <x:v>五行</x:v>
      </x:c>
      <x:c r="E3" s="22" t="str">
        <x:v>藏干层级</x:v>
      </x:c>
      <x:c r="F3" s="22" t="str">
        <x:v>规则层级</x:v>
      </x:c>
      <x:c r="G3" s="22" t="str">
        <x:v>关系类型</x:v>
      </x:c>
      <x:c r="H3" s="22" t="str">
        <x:v>位置关系</x:v>
      </x:c>
      <x:c r="I3" s="22" t="str">
        <x:v>完整度</x:v>
      </x:c>
      <x:c r="J3" s="22" t="str">
        <x:v>根气类型</x:v>
      </x:c>
      <x:c r="K3" s="22" t="str">
        <x:v>根气等级</x:v>
      </x:c>
      <x:c r="L3" s="22" t="str">
        <x:v>作用类型</x:v>
      </x:c>
      <x:c r="M3" s="22" t="str">
        <x:v>作用方向</x:v>
      </x:c>
      <x:c r="N3" s="22" t="str">
        <x:v>作用等级</x:v>
      </x:c>
      <x:c r="O3" s="22" t="str">
        <x:v>优先级</x:v>
      </x:c>
      <x:c r="P3" s="22" t="str">
        <x:v>规则性质</x:v>
      </x:c>
      <x:c r="Q3" s="22" t="str">
        <x:v>置信等级</x:v>
      </x:c>
      <x:c r="R3" s="22" t="str">
        <x:v>流派标签</x:v>
      </x:c>
      <x:c r="S3" s="22" t="str">
        <x:v>规则状态</x:v>
      </x:c>
      <x:c r="T3" s="22" t="str">
        <x:v>审核状态</x:v>
      </x:c>
      <x:c r="U3" s="22" t="str">
        <x:v>旺衰等级</x:v>
      </x:c>
      <x:c r="V3" s="22" t="str">
        <x:v>成立等级</x:v>
      </x:c>
      <x:c r="W3" s="22" t="str">
        <x:v>可用性</x:v>
      </x:c>
      <x:c r="X3" s="22" t="str">
        <x:v>是否条件</x:v>
      </x:c>
      <x:c r="Y3" s="22" t="str">
        <x:v>十神</x:v>
      </x:c>
      <x:c r="Z3" s="22" t="str">
        <x:v>十神存在方式</x:v>
      </x:c>
      <x:c r="AA3" s="22" t="str">
        <x:v>十神功能状态</x:v>
      </x:c>
      <x:c r="AB3" s="22" t="str">
        <x:v>喜忌定位</x:v>
      </x:c>
      <x:c r="AC3" s="22" t="str">
        <x:v>格局类别</x:v>
      </x:c>
      <x:c r="AD3" s="22" t="str">
        <x:v>格局状态</x:v>
      </x:c>
      <x:c r="AE3" s="22" t="str">
        <x:v>清纯程度</x:v>
      </x:c>
      <x:c r="AF3" s="22" t="str">
        <x:v>破格等级</x:v>
      </x:c>
      <x:c r="AG3" s="22" t="str">
        <x:v>救应有效性</x:v>
      </x:c>
      <x:c r="AH3" s="22" t="str">
        <x:v>病类</x:v>
      </x:c>
      <x:c r="AI3" s="22" t="str">
        <x:v>严重程度</x:v>
      </x:c>
      <x:c r="AJ3" s="22" t="str">
        <x:v>药理</x:v>
      </x:c>
      <x:c r="AK3" s="22" t="str">
        <x:v>温度状态</x:v>
      </x:c>
      <x:c r="AL3" s="22" t="str">
        <x:v>湿度状态</x:v>
      </x:c>
      <x:c r="AM3" s="22" t="str">
        <x:v>评估轴</x:v>
      </x:c>
      <x:c r="AN3" s="22" t="str">
        <x:v>调候紧急度</x:v>
      </x:c>
      <x:c r="AO3" s="22" t="str">
        <x:v>流通状态</x:v>
      </x:c>
      <x:c r="AP3" s="22" t="str">
        <x:v>卡点类型</x:v>
      </x:c>
      <x:c r="AQ3" s="22" t="str">
        <x:v>组合类别</x:v>
      </x:c>
      <x:c r="AR3" s="22" t="str">
        <x:v>用神来源</x:v>
      </x:c>
      <x:c r="AS3" s="22" t="str">
        <x:v>主次优先级</x:v>
      </x:c>
      <x:c r="AT3" s="22" t="str">
        <x:v>必填性</x:v>
      </x:c>
      <x:c r="AU3" s="22" t="str">
        <x:v>输出层级</x:v>
      </x:c>
      <x:c r="AV3" s="22" t="str">
        <x:v>数据类型</x:v>
      </x:c>
      <x:c r="AW3" s="22" t="str">
        <x:v>性别</x:v>
      </x:c>
      <x:c r="AX3" s="22" t="str">
        <x:v>测试类型</x:v>
      </x:c>
      <x:c r="AY3" s="22" t="str">
        <x:v>测试结果</x:v>
      </x:c>
      <x:c r="AZ3" s="22" t="str">
        <x:v>议题类型</x:v>
      </x:c>
      <x:c r="BA3" s="22" t="str">
        <x:v>争议级别</x:v>
      </x:c>
      <x:c r="BB3" s="22" t="str">
        <x:v>变更类型</x:v>
      </x:c>
      <x:c r="BC3" s="22" t="str">
        <x:v>处理状态</x:v>
      </x:c>
      <x:c r="BD3" s="22" t="str">
        <x:v>数据来源类型</x:v>
      </x:c>
      <x:c r="BE3" s="22" t="str">
        <x:v>建设阶段</x:v>
      </x:c>
      <x:c r="BF3" s="22" t="str">
        <x:v>当前状态</x:v>
      </x:c>
      <x:c r="BG3" s="22" t="str">
        <x:v>版本号</x:v>
      </x:c>
    </x:row>
    <x:row r="4">
      <x:c r="A4" s="28" t="str">
        <x:v>正式规则</x:v>
      </x:c>
      <x:c r="B4" s="28" t="str">
        <x:v>天干</x:v>
      </x:c>
      <x:c r="C4" s="28" t="str">
        <x:v>阳</x:v>
      </x:c>
      <x:c r="D4" s="28" t="str">
        <x:v>木</x:v>
      </x:c>
      <x:c r="E4" s="28" t="str">
        <x:v>本气</x:v>
      </x:c>
      <x:c r="F4" s="28" t="str">
        <x:v>识别层</x:v>
      </x:c>
      <x:c r="G4" s="28" t="str">
        <x:v>天干五合</x:v>
      </x:c>
      <x:c r="H4" s="28" t="str">
        <x:v>同柱</x:v>
      </x:c>
      <x:c r="I4" s="28" t="str">
        <x:v>缺失</x:v>
      </x:c>
      <x:c r="J4" s="28" t="str">
        <x:v>本气根</x:v>
      </x:c>
      <x:c r="K4" s="28" t="str">
        <x:v>无根</x:v>
      </x:c>
      <x:c r="L4" s="28" t="str">
        <x:v>生</x:v>
      </x:c>
      <x:c r="M4" s="28" t="str">
        <x:v>增强</x:v>
      </x:c>
      <x:c r="N4" s="28" t="str">
        <x:v>弱</x:v>
      </x:c>
      <x:c r="O4" s="28" t="str">
        <x:v>P0_硬约束</x:v>
      </x:c>
      <x:c r="P4" s="28" t="str">
        <x:v>硬约束</x:v>
      </x:c>
      <x:c r="Q4" s="28" t="str">
        <x:v>确定</x:v>
      </x:c>
      <x:c r="R4" s="28" t="str">
        <x:v>子平格局</x:v>
      </x:c>
      <x:c r="S4" s="28" t="str">
        <x:v>草稿</x:v>
      </x:c>
      <x:c r="T4" s="28" t="str">
        <x:v>未审核</x:v>
      </x:c>
      <x:c r="U4" s="28" t="str">
        <x:v>极弱</x:v>
      </x:c>
      <x:c r="V4" s="28" t="str">
        <x:v>不成立</x:v>
      </x:c>
      <x:c r="W4" s="28" t="str">
        <x:v>有效</x:v>
      </x:c>
      <x:c r="X4" s="28" t="str">
        <x:v>是</x:v>
      </x:c>
      <x:c r="Y4" s="28" t="str">
        <x:v>比肩</x:v>
      </x:c>
      <x:c r="Z4" s="28" t="str">
        <x:v>透干</x:v>
      </x:c>
      <x:c r="AA4" s="28" t="str">
        <x:v>正常发挥</x:v>
      </x:c>
      <x:c r="AB4" s="28" t="str">
        <x:v>主用神</x:v>
      </x:c>
      <x:c r="AC4" s="28" t="str">
        <x:v>普通格局</x:v>
      </x:c>
      <x:c r="AD4" s="28" t="str">
        <x:v>不成立</x:v>
      </x:c>
      <x:c r="AE4" s="28" t="str">
        <x:v>清纯</x:v>
      </x:c>
      <x:c r="AF4" s="28" t="str">
        <x:v>无破</x:v>
      </x:c>
      <x:c r="AG4" s="28" t="str">
        <x:v>无救应</x:v>
      </x:c>
      <x:c r="AH4" s="28" t="str">
        <x:v>旺衰病</x:v>
      </x:c>
      <x:c r="AI4" s="28" t="str">
        <x:v>轻微</x:v>
      </x:c>
      <x:c r="AJ4" s="28" t="str">
        <x:v>扶</x:v>
      </x:c>
      <x:c r="AK4" s="28" t="str">
        <x:v>极寒</x:v>
      </x:c>
      <x:c r="AL4" s="28" t="str">
        <x:v>极湿</x:v>
      </x:c>
      <x:c r="AM4" s="28" t="str">
        <x:v>寒暖轴</x:v>
      </x:c>
      <x:c r="AN4" s="28" t="str">
        <x:v>低</x:v>
      </x:c>
      <x:c r="AO4" s="28" t="str">
        <x:v>通畅</x:v>
      </x:c>
      <x:c r="AP4" s="28" t="str">
        <x:v>缺桥</x:v>
      </x:c>
      <x:c r="AQ4" s="28" t="str">
        <x:v>生化型</x:v>
      </x:c>
      <x:c r="AR4" s="28" t="str">
        <x:v>扶抑用神</x:v>
      </x:c>
      <x:c r="AS4" s="28" t="str">
        <x:v>第一顺位</x:v>
      </x:c>
      <x:c r="AT4" s="28" t="str">
        <x:v>必填</x:v>
      </x:c>
      <x:c r="AU4" s="28" t="str">
        <x:v>内部推理</x:v>
      </x:c>
      <x:c r="AV4" s="28" t="str">
        <x:v>短文本</x:v>
      </x:c>
      <x:c r="AW4" s="28" t="str">
        <x:v>男</x:v>
      </x:c>
      <x:c r="AX4" s="28" t="str">
        <x:v>正例</x:v>
      </x:c>
      <x:c r="AY4" s="28" t="str">
        <x:v>未测试</x:v>
      </x:c>
      <x:c r="AZ4" s="28" t="str">
        <x:v>流派争议</x:v>
      </x:c>
      <x:c r="BA4" s="28" t="str">
        <x:v>无</x:v>
      </x:c>
      <x:c r="BB4" s="28" t="str">
        <x:v>新增</x:v>
      </x:c>
      <x:c r="BC4" s="28" t="str">
        <x:v>待讨论</x:v>
      </x:c>
      <x:c r="BD4" s="28" t="str">
        <x:v>经典原文</x:v>
      </x:c>
      <x:c r="BE4" s="28" t="str">
        <x:v>第一阶段_基础关系</x:v>
      </x:c>
      <x:c r="BF4" s="28" t="str">
        <x:v>未开始</x:v>
      </x:c>
      <x:c r="BG4" s="28" t="str">
        <x:v>V0.1</x:v>
      </x:c>
    </x:row>
    <x:row r="5">
      <x:c r="A5" s="28" t="str">
        <x:v>示例</x:v>
      </x:c>
      <x:c r="B5" s="28" t="str">
        <x:v>地支</x:v>
      </x:c>
      <x:c r="C5" s="28" t="str">
        <x:v>阴</x:v>
      </x:c>
      <x:c r="D5" s="28" t="str">
        <x:v>火</x:v>
      </x:c>
      <x:c r="E5" s="28" t="str">
        <x:v>中气</x:v>
      </x:c>
      <x:c r="F5" s="28" t="str">
        <x:v>效应层</x:v>
      </x:c>
      <x:c r="G5" s="28" t="str">
        <x:v>天干相克</x:v>
      </x:c>
      <x:c r="H5" s="28" t="str">
        <x:v>相邻</x:v>
      </x:c>
      <x:c r="I5" s="28" t="str">
        <x:v>部分</x:v>
      </x:c>
      <x:c r="J5" s="28" t="str">
        <x:v>中气根</x:v>
      </x:c>
      <x:c r="K5" s="28" t="str">
        <x:v>微根</x:v>
      </x:c>
      <x:c r="L5" s="28" t="str">
        <x:v>克</x:v>
      </x:c>
      <x:c r="M5" s="28" t="str">
        <x:v>减弱</x:v>
      </x:c>
      <x:c r="N5" s="28" t="str">
        <x:v>中</x:v>
      </x:c>
      <x:c r="O5" s="28" t="str">
        <x:v>P1_高</x:v>
      </x:c>
      <x:c r="P5" s="28" t="str">
        <x:v>软约束</x:v>
      </x:c>
      <x:c r="Q5" s="28" t="str">
        <x:v>较高</x:v>
      </x:c>
      <x:c r="R5" s="28" t="str">
        <x:v>旺衰扶抑</x:v>
      </x:c>
      <x:c r="S5" s="28" t="str">
        <x:v>待验证</x:v>
      </x:c>
      <x:c r="T5" s="28" t="str">
        <x:v>初审</x:v>
      </x:c>
      <x:c r="U5" s="28" t="str">
        <x:v>弱</x:v>
      </x:c>
      <x:c r="V5" s="28" t="str">
        <x:v>弱成立</x:v>
      </x:c>
      <x:c r="W5" s="28" t="str">
        <x:v>受限</x:v>
      </x:c>
      <x:c r="X5" s="28" t="str">
        <x:v>否</x:v>
      </x:c>
      <x:c r="Y5" s="28" t="str">
        <x:v>劫财</x:v>
      </x:c>
      <x:c r="Z5" s="28" t="str">
        <x:v>藏支本气</x:v>
      </x:c>
      <x:c r="AA5" s="28" t="str">
        <x:v>受限</x:v>
      </x:c>
      <x:c r="AB5" s="28" t="str">
        <x:v>辅助用神</x:v>
      </x:c>
      <x:c r="AC5" s="28" t="str">
        <x:v>建禄羊刃</x:v>
      </x:c>
      <x:c r="AD5" s="28" t="str">
        <x:v>候选</x:v>
      </x:c>
      <x:c r="AE5" s="28" t="str">
        <x:v>较清</x:v>
      </x:c>
      <x:c r="AF5" s="28" t="str">
        <x:v>轻微</x:v>
      </x:c>
      <x:c r="AG5" s="28" t="str">
        <x:v>弱救应</x:v>
      </x:c>
      <x:c r="AH5" s="28" t="str">
        <x:v>流通病</x:v>
      </x:c>
      <x:c r="AI5" s="28" t="str">
        <x:v>一般</x:v>
      </x:c>
      <x:c r="AJ5" s="28" t="str">
        <x:v>抑</x:v>
      </x:c>
      <x:c r="AK5" s="28" t="str">
        <x:v>偏寒</x:v>
      </x:c>
      <x:c r="AL5" s="28" t="str">
        <x:v>偏湿</x:v>
      </x:c>
      <x:c r="AM5" s="28" t="str">
        <x:v>燥湿轴</x:v>
      </x:c>
      <x:c r="AN5" s="28" t="str">
        <x:v>中</x:v>
      </x:c>
      <x:c r="AO5" s="28" t="str">
        <x:v>基本通畅</x:v>
      </x:c>
      <x:c r="AP5" s="28" t="str">
        <x:v>桥梁太弱</x:v>
      </x:c>
      <x:c r="AQ5" s="28" t="str">
        <x:v>制化型</x:v>
      </x:c>
      <x:c r="AR5" s="28" t="str">
        <x:v>格局用神</x:v>
      </x:c>
      <x:c r="AS5" s="28" t="str">
        <x:v>第二顺位</x:v>
      </x:c>
      <x:c r="AT5" s="28" t="str">
        <x:v>条件必填</x:v>
      </x:c>
      <x:c r="AU5" s="28" t="str">
        <x:v>分析师输出</x:v>
      </x:c>
      <x:c r="AV5" s="28" t="str">
        <x:v>长文本</x:v>
      </x:c>
      <x:c r="AW5" s="28" t="str">
        <x:v>女</x:v>
      </x:c>
      <x:c r="AX5" s="28" t="str">
        <x:v>反例</x:v>
      </x:c>
      <x:c r="AY5" s="28" t="str">
        <x:v>通过</x:v>
      </x:c>
      <x:c r="AZ5" s="28" t="str">
        <x:v>规则冲突</x:v>
      </x:c>
      <x:c r="BA5" s="28" t="str">
        <x:v>低</x:v>
      </x:c>
      <x:c r="BB5" s="28" t="str">
        <x:v>修订</x:v>
      </x:c>
      <x:c r="BC5" s="28" t="str">
        <x:v>待验证</x:v>
      </x:c>
      <x:c r="BD5" s="28" t="str">
        <x:v>古法注解</x:v>
      </x:c>
      <x:c r="BE5" s="28" t="str">
        <x:v>第二阶段_旺衰十神</x:v>
      </x:c>
      <x:c r="BF5" s="28" t="str">
        <x:v>框架完成</x:v>
      </x:c>
      <x:c r="BG5" s="28" t="str">
        <x:v>V0.2</x:v>
      </x:c>
    </x:row>
    <x:row r="6">
      <x:c r="A6" s="28" t="str">
        <x:v>待验证</x:v>
      </x:c>
      <x:c r="B6" s="28" t="str">
        <x:v>五行</x:v>
      </x:c>
      <x:c r="D6" s="28" t="str">
        <x:v>土</x:v>
      </x:c>
      <x:c r="E6" s="28" t="str">
        <x:v>余气</x:v>
      </x:c>
      <x:c r="F6" s="28" t="str">
        <x:v>结构层</x:v>
      </x:c>
      <x:c r="G6" s="28" t="str">
        <x:v>争合</x:v>
      </x:c>
      <x:c r="H6" s="28" t="str">
        <x:v>隔位</x:v>
      </x:c>
      <x:c r="I6" s="28" t="str">
        <x:v>完整</x:v>
      </x:c>
      <x:c r="J6" s="28" t="str">
        <x:v>余气根</x:v>
      </x:c>
      <x:c r="K6" s="28" t="str">
        <x:v>弱根</x:v>
      </x:c>
      <x:c r="L6" s="28" t="str">
        <x:v>制</x:v>
      </x:c>
      <x:c r="M6" s="28" t="str">
        <x:v>转化</x:v>
      </x:c>
      <x:c r="N6" s="28" t="str">
        <x:v>强</x:v>
      </x:c>
      <x:c r="O6" s="28" t="str">
        <x:v>P2_中</x:v>
      </x:c>
      <x:c r="P6" s="28" t="str">
        <x:v>辅助证据</x:v>
      </x:c>
      <x:c r="Q6" s="28" t="str">
        <x:v>中等</x:v>
      </x:c>
      <x:c r="R6" s="28" t="str">
        <x:v>调候</x:v>
      </x:c>
      <x:c r="S6" s="28" t="str">
        <x:v>已验证</x:v>
      </x:c>
      <x:c r="T6" s="28" t="str">
        <x:v>复审</x:v>
      </x:c>
      <x:c r="U6" s="28" t="str">
        <x:v>中和偏弱</x:v>
      </x:c>
      <x:c r="V6" s="28" t="str">
        <x:v>基本成立</x:v>
      </x:c>
      <x:c r="W6" s="28" t="str">
        <x:v>失效</x:v>
      </x:c>
      <x:c r="X6" s="28" t="str">
        <x:v>条件性</x:v>
      </x:c>
      <x:c r="Y6" s="28" t="str">
        <x:v>食神</x:v>
      </x:c>
      <x:c r="Z6" s="28" t="str">
        <x:v>藏支中气</x:v>
      </x:c>
      <x:c r="AA6" s="28" t="str">
        <x:v>转化</x:v>
      </x:c>
      <x:c r="AB6" s="28" t="str">
        <x:v>喜神</x:v>
      </x:c>
      <x:c r="AC6" s="28" t="str">
        <x:v>特殊格局</x:v>
      </x:c>
      <x:c r="AD6" s="28" t="str">
        <x:v>基本成立</x:v>
      </x:c>
      <x:c r="AE6" s="28" t="str">
        <x:v>有杂</x:v>
      </x:c>
      <x:c r="AF6" s="28" t="str">
        <x:v>一般</x:v>
      </x:c>
      <x:c r="AG6" s="28" t="str">
        <x:v>部分有效</x:v>
      </x:c>
      <x:c r="AH6" s="28" t="str">
        <x:v>制化病</x:v>
      </x:c>
      <x:c r="AI6" s="28" t="str">
        <x:v>明显</x:v>
      </x:c>
      <x:c r="AJ6" s="28" t="str">
        <x:v>泄</x:v>
      </x:c>
      <x:c r="AK6" s="28" t="str">
        <x:v>平衡</x:v>
      </x:c>
      <x:c r="AL6" s="28" t="str">
        <x:v>平衡</x:v>
      </x:c>
      <x:c r="AM6" s="28" t="str">
        <x:v>寒暖燥湿综合</x:v>
      </x:c>
      <x:c r="AN6" s="28" t="str">
        <x:v>高</x:v>
      </x:c>
      <x:c r="AO6" s="28" t="str">
        <x:v>局部阻塞</x:v>
      </x:c>
      <x:c r="AP6" s="28" t="str">
        <x:v>桥梁被克</x:v>
      </x:c>
      <x:c r="AQ6" s="28" t="str">
        <x:v>平衡承载型</x:v>
      </x:c>
      <x:c r="AR6" s="28" t="str">
        <x:v>通关用神</x:v>
      </x:c>
      <x:c r="AS6" s="28" t="str">
        <x:v>第三顺位</x:v>
      </x:c>
      <x:c r="AT6" s="28" t="str">
        <x:v>选填</x:v>
      </x:c>
      <x:c r="AU6" s="28" t="str">
        <x:v>用户输出</x:v>
      </x:c>
      <x:c r="AV6" s="28" t="str">
        <x:v>枚举</x:v>
      </x:c>
      <x:c r="AW6" s="28" t="str">
        <x:v>未知/不适用</x:v>
      </x:c>
      <x:c r="AX6" s="28" t="str">
        <x:v>边界案例</x:v>
      </x:c>
      <x:c r="AY6" s="28" t="str">
        <x:v>部分通过</x:v>
      </x:c>
      <x:c r="AZ6" s="28" t="str">
        <x:v>案例反证</x:v>
      </x:c>
      <x:c r="BA6" s="28" t="str">
        <x:v>中</x:v>
      </x:c>
      <x:c r="BB6" s="28" t="str">
        <x:v>拆分</x:v>
      </x:c>
      <x:c r="BC6" s="28" t="str">
        <x:v>已采纳</x:v>
      </x:c>
      <x:c r="BD6" s="28" t="str">
        <x:v>现代著作</x:v>
      </x:c>
      <x:c r="BE6" s="28" t="str">
        <x:v>第三阶段_流通格局</x:v>
      </x:c>
      <x:c r="BF6" s="28" t="str">
        <x:v>核心规则填充</x:v>
      </x:c>
      <x:c r="BG6" s="28" t="str">
        <x:v>V0.3</x:v>
      </x:c>
    </x:row>
    <x:row r="7">
      <x:c r="B7" s="28" t="str">
        <x:v>十神</x:v>
      </x:c>
      <x:c r="D7" s="28" t="str">
        <x:v>金</x:v>
      </x:c>
      <x:c r="E7" s="28" t="str">
        <x:v>无</x:v>
      </x:c>
      <x:c r="F7" s="28" t="str">
        <x:v>综合层</x:v>
      </x:c>
      <x:c r="G7" s="28" t="str">
        <x:v>妒合</x:v>
      </x:c>
      <x:c r="H7" s="28" t="str">
        <x:v>遥隔</x:v>
      </x:c>
      <x:c r="I7" s="28" t="str">
        <x:v>岁运补齐</x:v>
      </x:c>
      <x:c r="J7" s="28" t="str">
        <x:v>库根</x:v>
      </x:c>
      <x:c r="K7" s="28" t="str">
        <x:v>中根</x:v>
      </x:c>
      <x:c r="L7" s="28" t="str">
        <x:v>化</x:v>
      </x:c>
      <x:c r="M7" s="28" t="str">
        <x:v>冻结</x:v>
      </x:c>
      <x:c r="N7" s="28" t="str">
        <x:v>决定性</x:v>
      </x:c>
      <x:c r="O7" s="28" t="str">
        <x:v>P3_低</x:v>
      </x:c>
      <x:c r="P7" s="28" t="str">
        <x:v>否决规则</x:v>
      </x:c>
      <x:c r="Q7" s="28" t="str">
        <x:v>低</x:v>
      </x:c>
      <x:c r="R7" s="28" t="str">
        <x:v>病药</x:v>
      </x:c>
      <x:c r="S7" s="28" t="str">
        <x:v>采用</x:v>
      </x:c>
      <x:c r="T7" s="28" t="str">
        <x:v>已通过</x:v>
      </x:c>
      <x:c r="U7" s="28" t="str">
        <x:v>中和</x:v>
      </x:c>
      <x:c r="V7" s="28" t="str">
        <x:v>明显成立</x:v>
      </x:c>
      <x:c r="W7" s="28" t="str">
        <x:v>过度</x:v>
      </x:c>
      <x:c r="X7" s="28" t="str">
        <x:v>待定</x:v>
      </x:c>
      <x:c r="Y7" s="28" t="str">
        <x:v>伤官</x:v>
      </x:c>
      <x:c r="Z7" s="28" t="str">
        <x:v>藏支余气</x:v>
      </x:c>
      <x:c r="AA7" s="28" t="str">
        <x:v>失效</x:v>
      </x:c>
      <x:c r="AB7" s="28" t="str">
        <x:v>条件性喜神</x:v>
      </x:c>
      <x:c r="AC7" s="28" t="str">
        <x:v>从格</x:v>
      </x:c>
      <x:c r="AD7" s="28" t="str">
        <x:v>成立但有破</x:v>
      </x:c>
      <x:c r="AE7" s="28" t="str">
        <x:v>混杂</x:v>
      </x:c>
      <x:c r="AF7" s="28" t="str">
        <x:v>严重</x:v>
      </x:c>
      <x:c r="AG7" s="28" t="str">
        <x:v>明显有效</x:v>
      </x:c>
      <x:c r="AH7" s="28" t="str">
        <x:v>格局病</x:v>
      </x:c>
      <x:c r="AI7" s="28" t="str">
        <x:v>严重</x:v>
      </x:c>
      <x:c r="AJ7" s="28" t="str">
        <x:v>制</x:v>
      </x:c>
      <x:c r="AK7" s="28" t="str">
        <x:v>偏暖</x:v>
      </x:c>
      <x:c r="AL7" s="28" t="str">
        <x:v>偏燥</x:v>
      </x:c>
      <x:c r="AN7" s="28" t="str">
        <x:v>首要</x:v>
      </x:c>
      <x:c r="AO7" s="28" t="str">
        <x:v>明显阻断</x:v>
      </x:c>
      <x:c r="AP7" s="28" t="str">
        <x:v>桥梁被合绊</x:v>
      </x:c>
      <x:c r="AQ7" s="28" t="str">
        <x:v>冲突病态型</x:v>
      </x:c>
      <x:c r="AR7" s="28" t="str">
        <x:v>调候用神</x:v>
      </x:c>
      <x:c r="AS7" s="28" t="str">
        <x:v>条件顺位</x:v>
      </x:c>
      <x:c r="AT7" s="28" t="str">
        <x:v>内部字段</x:v>
      </x:c>
      <x:c r="AU7" s="28" t="str">
        <x:v>三层通用</x:v>
      </x:c>
      <x:c r="AV7" s="28" t="str">
        <x:v>整数</x:v>
      </x:c>
      <x:c r="AX7" s="28" t="str">
        <x:v>回归测试</x:v>
      </x:c>
      <x:c r="AY7" s="28" t="str">
        <x:v>未通过</x:v>
      </x:c>
      <x:c r="AZ7" s="28" t="str">
        <x:v>定义修订</x:v>
      </x:c>
      <x:c r="BA7" s="28" t="str">
        <x:v>高</x:v>
      </x:c>
      <x:c r="BB7" s="28" t="str">
        <x:v>合并</x:v>
      </x:c>
      <x:c r="BC7" s="28" t="str">
        <x:v>不采纳</x:v>
      </x:c>
      <x:c r="BD7" s="28" t="str">
        <x:v>实证案例</x:v>
      </x:c>
      <x:c r="BE7" s="28" t="str">
        <x:v>第四阶段_病药用神测试</x:v>
      </x:c>
      <x:c r="BF7" s="28" t="str">
        <x:v>测试中</x:v>
      </x:c>
      <x:c r="BG7" s="28" t="str">
        <x:v>V0.4</x:v>
      </x:c>
    </x:row>
    <x:row r="8">
      <x:c r="B8" s="28" t="str">
        <x:v>组合</x:v>
      </x:c>
      <x:c r="D8" s="28" t="str">
        <x:v>水</x:v>
      </x:c>
      <x:c r="G8" s="28" t="str">
        <x:v>隔合</x:v>
      </x:c>
      <x:c r="H8" s="28" t="str">
        <x:v>年月</x:v>
      </x:c>
      <x:c r="I8" s="28" t="str">
        <x:v>待定</x:v>
      </x:c>
      <x:c r="J8" s="28" t="str">
        <x:v>同类根</x:v>
      </x:c>
      <x:c r="K8" s="28" t="str">
        <x:v>强根</x:v>
      </x:c>
      <x:c r="L8" s="28" t="str">
        <x:v>泄</x:v>
      </x:c>
      <x:c r="M8" s="28" t="str">
        <x:v>激活</x:v>
      </x:c>
      <x:c r="N8" s="28" t="str">
        <x:v>待定</x:v>
      </x:c>
      <x:c r="P8" s="28" t="str">
        <x:v>例外规则</x:v>
      </x:c>
      <x:c r="Q8" s="28" t="str">
        <x:v>待验证</x:v>
      </x:c>
      <x:c r="R8" s="28" t="str">
        <x:v>盲派象法</x:v>
      </x:c>
      <x:c r="S8" s="28" t="str">
        <x:v>停用</x:v>
      </x:c>
      <x:c r="T8" s="28" t="str">
        <x:v>退回</x:v>
      </x:c>
      <x:c r="U8" s="28" t="str">
        <x:v>中和偏旺</x:v>
      </x:c>
      <x:c r="V8" s="28" t="str">
        <x:v>完整成立</x:v>
      </x:c>
      <x:c r="W8" s="28" t="str">
        <x:v>待定</x:v>
      </x:c>
      <x:c r="Y8" s="28" t="str">
        <x:v>偏财</x:v>
      </x:c>
      <x:c r="Z8" s="28" t="str">
        <x:v>多处出现</x:v>
      </x:c>
      <x:c r="AA8" s="28" t="str">
        <x:v>过度</x:v>
      </x:c>
      <x:c r="AB8" s="28" t="str">
        <x:v>中性</x:v>
      </x:c>
      <x:c r="AC8" s="28" t="str">
        <x:v>化气格</x:v>
      </x:c>
      <x:c r="AD8" s="28" t="str">
        <x:v>有破有救</x:v>
      </x:c>
      <x:c r="AE8" s="28" t="str">
        <x:v>严重混杂</x:v>
      </x:c>
      <x:c r="AF8" s="28" t="str">
        <x:v>根本破格</x:v>
      </x:c>
      <x:c r="AG8" s="28" t="str">
        <x:v>完全救应</x:v>
      </x:c>
      <x:c r="AH8" s="28" t="str">
        <x:v>调候病</x:v>
      </x:c>
      <x:c r="AI8" s="28" t="str">
        <x:v>首要矛盾</x:v>
      </x:c>
      <x:c r="AJ8" s="28" t="str">
        <x:v>化</x:v>
      </x:c>
      <x:c r="AK8" s="28" t="str">
        <x:v>极热</x:v>
      </x:c>
      <x:c r="AL8" s="28" t="str">
        <x:v>极燥</x:v>
      </x:c>
      <x:c r="AN8" s="28" t="str">
        <x:v>待定</x:v>
      </x:c>
      <x:c r="AO8" s="28" t="str">
        <x:v>无有效路径</x:v>
      </x:c>
      <x:c r="AP8" s="28" t="str">
        <x:v>源头过旺无泄</x:v>
      </x:c>
      <x:c r="AQ8" s="28" t="str">
        <x:v>其他</x:v>
      </x:c>
      <x:c r="AR8" s="28" t="str">
        <x:v>病药用神</x:v>
      </x:c>
      <x:c r="AS8" s="28" t="str">
        <x:v>不采用</x:v>
      </x:c>
      <x:c r="AV8" s="28" t="str">
        <x:v>小数</x:v>
      </x:c>
      <x:c r="AX8" s="28" t="str">
        <x:v>争议测试</x:v>
      </x:c>
      <x:c r="AY8" s="28" t="str">
        <x:v>待复核</x:v>
      </x:c>
      <x:c r="AZ8" s="28" t="str">
        <x:v>权重修订</x:v>
      </x:c>
      <x:c r="BB8" s="28" t="str">
        <x:v>停用</x:v>
      </x:c>
      <x:c r="BC8" s="28" t="str">
        <x:v>延期</x:v>
      </x:c>
      <x:c r="BD8" s="28" t="str">
        <x:v>内部归纳</x:v>
      </x:c>
      <x:c r="BF8" s="28" t="str">
        <x:v>已发布</x:v>
      </x:c>
      <x:c r="BG8" s="28" t="str">
        <x:v>V0.5</x:v>
      </x:c>
    </x:row>
    <x:row r="9">
      <x:c r="B9" s="28" t="str">
        <x:v>格局</x:v>
      </x:c>
      <x:c r="G9" s="28" t="str">
        <x:v>遥合</x:v>
      </x:c>
      <x:c r="H9" s="28" t="str">
        <x:v>月日</x:v>
      </x:c>
      <x:c r="J9" s="28" t="str">
        <x:v>无根</x:v>
      </x:c>
      <x:c r="K9" s="28" t="str">
        <x:v>多重强根</x:v>
      </x:c>
      <x:c r="L9" s="28" t="str">
        <x:v>耗</x:v>
      </x:c>
      <x:c r="M9" s="28" t="str">
        <x:v>阻断</x:v>
      </x:c>
      <x:c r="R9" s="28" t="str">
        <x:v>现代综合</x:v>
      </x:c>
      <x:c r="S9" s="28" t="str">
        <x:v>示例</x:v>
      </x:c>
      <x:c r="U9" s="28" t="str">
        <x:v>旺</x:v>
      </x:c>
      <x:c r="V9" s="28" t="str">
        <x:v>待定</x:v>
      </x:c>
      <x:c r="Y9" s="28" t="str">
        <x:v>正财</x:v>
      </x:c>
      <x:c r="Z9" s="28" t="str">
        <x:v>完全不现</x:v>
      </x:c>
      <x:c r="AA9" s="28" t="str">
        <x:v>制化平衡</x:v>
      </x:c>
      <x:c r="AB9" s="28" t="str">
        <x:v>条件性忌神</x:v>
      </x:c>
      <x:c r="AC9" s="28" t="str">
        <x:v>专旺候选</x:v>
      </x:c>
      <x:c r="AD9" s="28" t="str">
        <x:v>清纯成立</x:v>
      </x:c>
      <x:c r="AE9" s="28" t="str">
        <x:v>待定</x:v>
      </x:c>
      <x:c r="AF9" s="28" t="str">
        <x:v>待定</x:v>
      </x:c>
      <x:c r="AG9" s="28" t="str">
        <x:v>待定</x:v>
      </x:c>
      <x:c r="AH9" s="28" t="str">
        <x:v>复合病</x:v>
      </x:c>
      <x:c r="AI9" s="28" t="str">
        <x:v>待定</x:v>
      </x:c>
      <x:c r="AJ9" s="28" t="str">
        <x:v>生</x:v>
      </x:c>
      <x:c r="AK9" s="28" t="str">
        <x:v>待定</x:v>
      </x:c>
      <x:c r="AL9" s="28" t="str">
        <x:v>待定</x:v>
      </x:c>
      <x:c r="AO9" s="28" t="str">
        <x:v>待定</x:v>
      </x:c>
      <x:c r="AP9" s="28" t="str">
        <x:v>终点过弱不能承载</x:v>
      </x:c>
      <x:c r="AR9" s="28" t="str">
        <x:v>复合来源</x:v>
      </x:c>
      <x:c r="AS9" s="28" t="str">
        <x:v>待定</x:v>
      </x:c>
      <x:c r="AV9" s="28" t="str">
        <x:v>日期</x:v>
      </x:c>
      <x:c r="AX9" s="28" t="str">
        <x:v>综合案例</x:v>
      </x:c>
      <x:c r="AZ9" s="28" t="str">
        <x:v>例外补充</x:v>
      </x:c>
      <x:c r="BB9" s="28" t="str">
        <x:v>恢复</x:v>
      </x:c>
      <x:c r="BC9" s="28" t="str">
        <x:v>已生效</x:v>
      </x:c>
      <x:c r="BD9" s="28" t="str">
        <x:v>争议规则</x:v>
      </x:c>
      <x:c r="BG9" s="28" t="str">
        <x:v>V0.6</x:v>
      </x:c>
    </x:row>
    <x:row r="10">
      <x:c r="B10" s="28" t="str">
        <x:v>病药</x:v>
      </x:c>
      <x:c r="G10" s="28" t="str">
        <x:v>六合</x:v>
      </x:c>
      <x:c r="H10" s="28" t="str">
        <x:v>日时</x:v>
      </x:c>
      <x:c r="J10" s="28" t="str">
        <x:v>其他</x:v>
      </x:c>
      <x:c r="K10" s="28" t="str">
        <x:v>待定</x:v>
      </x:c>
      <x:c r="L10" s="28" t="str">
        <x:v>合绊</x:v>
      </x:c>
      <x:c r="M10" s="28" t="str">
        <x:v>不变</x:v>
      </x:c>
      <x:c r="R10" s="28" t="str">
        <x:v>跨流派共识</x:v>
      </x:c>
      <x:c r="U10" s="28" t="str">
        <x:v>极旺</x:v>
      </x:c>
      <x:c r="Y10" s="28" t="str">
        <x:v>七杀</x:v>
      </x:c>
      <x:c r="Z10" s="28" t="str">
        <x:v>待定</x:v>
      </x:c>
      <x:c r="AA10" s="28" t="str">
        <x:v>制化失衡</x:v>
      </x:c>
      <x:c r="AB10" s="28" t="str">
        <x:v>忌神</x:v>
      </x:c>
      <x:c r="AC10" s="28" t="str">
        <x:v>其他</x:v>
      </x:c>
      <x:c r="AD10" s="28" t="str">
        <x:v>特殊格局严格成立</x:v>
      </x:c>
      <x:c r="AH10" s="28" t="str">
        <x:v>待定</x:v>
      </x:c>
      <x:c r="AJ10" s="28" t="str">
        <x:v>通</x:v>
      </x:c>
      <x:c r="AP10" s="28" t="str">
        <x:v>终点过旺反制</x:v>
      </x:c>
      <x:c r="AV10" s="28" t="str">
        <x:v>布尔/条件</x:v>
      </x:c>
      <x:c r="AZ10" s="28" t="str">
        <x:v>版本变更</x:v>
      </x:c>
      <x:c r="BB10" s="28" t="str">
        <x:v>仅文字优化</x:v>
      </x:c>
      <x:c r="BD10" s="28" t="str">
        <x:v>未知</x:v>
      </x:c>
      <x:c r="BG10" t="str">
        <x:v>V0.7</x:v>
      </x:c>
    </x:row>
    <x:row r="11">
      <x:c r="B11" s="28" t="str">
        <x:v>输出字段</x:v>
      </x:c>
      <x:c r="G11" s="28" t="str">
        <x:v>三合</x:v>
      </x:c>
      <x:c r="H11" s="28" t="str">
        <x:v>年日</x:v>
      </x:c>
      <x:c r="L11" s="28" t="str">
        <x:v>合住</x:v>
      </x:c>
      <x:c r="M11" s="28" t="str">
        <x:v>条件性</x:v>
      </x:c>
      <x:c r="R11" s="28" t="str">
        <x:v>待定</x:v>
      </x:c>
      <x:c r="U11" s="28" t="str">
        <x:v>待定</x:v>
      </x:c>
      <x:c r="Y11" s="28" t="str">
        <x:v>正官</x:v>
      </x:c>
      <x:c r="AA11" s="28" t="str">
        <x:v>待定</x:v>
      </x:c>
      <x:c r="AB11" s="28" t="str">
        <x:v>仇神</x:v>
      </x:c>
      <x:c r="AD11" s="28" t="str">
        <x:v>待定</x:v>
      </x:c>
      <x:c r="AJ11" s="28" t="str">
        <x:v>润</x:v>
      </x:c>
      <x:c r="AP11" s="28" t="str">
        <x:v>两强相战</x:v>
      </x:c>
      <x:c r="AV11" s="28" t="str">
        <x:v>Rule_ID引用</x:v>
      </x:c>
      <x:c r="BG11" t="str">
        <x:v>V0.8</x:v>
      </x:c>
    </x:row>
    <x:row r="12">
      <x:c r="B12" s="28" t="str">
        <x:v>案例</x:v>
      </x:c>
      <x:c r="G12" s="28" t="str">
        <x:v>半合</x:v>
      </x:c>
      <x:c r="H12" s="28" t="str">
        <x:v>年时</x:v>
      </x:c>
      <x:c r="L12" s="28" t="str">
        <x:v>合动</x:v>
      </x:c>
      <x:c r="M12" s="28" t="str">
        <x:v>待定</x:v>
      </x:c>
      <x:c r="Y12" s="28" t="str">
        <x:v>偏印</x:v>
      </x:c>
      <x:c r="AB12" s="28" t="str">
        <x:v>待定</x:v>
      </x:c>
      <x:c r="AJ12" s="28" t="str">
        <x:v>暖</x:v>
      </x:c>
      <x:c r="AP12" s="28" t="str">
        <x:v>寒凝</x:v>
      </x:c>
      <x:c r="AV12" s="28" t="str">
        <x:v>多值标签</x:v>
      </x:c>
      <x:c r="BG12" t="str">
        <x:v>V0.9</x:v>
      </x:c>
    </x:row>
    <x:row r="13">
      <x:c r="B13" s="28" t="str">
        <x:v>版本记录</x:v>
      </x:c>
      <x:c r="G13" s="28" t="str">
        <x:v>拱合</x:v>
      </x:c>
      <x:c r="H13" s="28" t="str">
        <x:v>月时</x:v>
      </x:c>
      <x:c r="L13" s="28" t="str">
        <x:v>合化</x:v>
      </x:c>
      <x:c r="Y13" s="28" t="str">
        <x:v>正印</x:v>
      </x:c>
      <x:c r="AJ13" s="28" t="str">
        <x:v>燥湿</x:v>
      </x:c>
      <x:c r="AP13" s="28" t="str">
        <x:v>燥枯</x:v>
      </x:c>
      <x:c r="BG13" t="str">
        <x:v>V1.0</x:v>
      </x:c>
    </x:row>
    <x:row r="14">
      <x:c r="G14" s="28" t="str">
        <x:v>三会</x:v>
      </x:c>
      <x:c r="H14" s="28" t="str">
        <x:v>其他</x:v>
      </x:c>
      <x:c r="L14" s="28" t="str">
        <x:v>冲动</x:v>
      </x:c>
      <x:c r="AJ14" s="28" t="str">
        <x:v>清杂</x:v>
      </x:c>
      <x:c r="AP14" s="28" t="str">
        <x:v>链路过长</x:v>
      </x:c>
      <x:c r="BG14" t="str">
        <x:v>V1.1</x:v>
      </x:c>
    </x:row>
    <x:row r="15">
      <x:c r="G15" s="28" t="str">
        <x:v>六冲</x:v>
      </x:c>
      <x:c r="L15" s="28" t="str">
        <x:v>冲散</x:v>
      </x:c>
      <x:c r="AJ15" s="28" t="str">
        <x:v>护格</x:v>
      </x:c>
      <x:c r="AP15" s="28" t="str">
        <x:v>回流壅塞</x:v>
      </x:c>
      <x:c r="BG15" t="str">
        <x:v>V1.2</x:v>
      </x:c>
    </x:row>
    <x:row r="16">
      <x:c r="G16" s="28" t="str">
        <x:v>三刑</x:v>
      </x:c>
      <x:c r="L16" s="28" t="str">
        <x:v>冲开</x:v>
      </x:c>
      <x:c r="AJ16" s="28" t="str">
        <x:v>救应</x:v>
      </x:c>
      <x:c r="AP16" s="28" t="str">
        <x:v>其他</x:v>
      </x:c>
      <x:c r="BG16" t="str">
        <x:v>V1.3</x:v>
      </x:c>
    </x:row>
    <x:row r="17">
      <x:c r="G17" s="28" t="str">
        <x:v>自刑</x:v>
      </x:c>
      <x:c r="L17" s="28" t="str">
        <x:v>冲旺</x:v>
      </x:c>
      <x:c r="AJ17" s="28" t="str">
        <x:v>复合药理</x:v>
      </x:c>
    </x:row>
    <x:row r="18">
      <x:c r="G18" s="28" t="str">
        <x:v>六害</x:v>
      </x:c>
      <x:c r="L18" s="28" t="str">
        <x:v>冲弱</x:v>
      </x:c>
      <x:c r="AJ18" s="28" t="str">
        <x:v>待定</x:v>
      </x:c>
    </x:row>
    <x:row r="19">
      <x:c r="G19" s="28" t="str">
        <x:v>六破</x:v>
      </x:c>
      <x:c r="L19" s="28" t="str">
        <x:v>冲去</x:v>
      </x:c>
    </x:row>
    <x:row r="20">
      <x:c r="G20" s="28" t="str">
        <x:v>其他</x:v>
      </x:c>
      <x:c r="L20" s="28" t="str">
        <x:v>刑动</x:v>
      </x:c>
    </x:row>
    <x:row r="21">
      <x:c r="L21" s="28" t="str">
        <x:v>刑伤</x:v>
      </x:c>
    </x:row>
    <x:row r="22">
      <x:c r="L22" s="28" t="str">
        <x:v>激活</x:v>
      </x:c>
    </x:row>
    <x:row r="23">
      <x:c r="L23" s="28" t="str">
        <x:v>破坏根气</x:v>
      </x:c>
    </x:row>
    <x:row r="24">
      <x:c r="L24" s="28" t="str">
        <x:v>引动藏干</x:v>
      </x:c>
    </x:row>
    <x:row r="25">
      <x:c r="L25" s="28" t="str">
        <x:v>开库</x:v>
      </x:c>
    </x:row>
    <x:row r="26">
      <x:c r="L26" s="28" t="str">
        <x:v>通关</x:v>
      </x:c>
    </x:row>
    <x:row r="27">
      <x:c r="L27" s="28" t="str">
        <x:v>阻断</x:v>
      </x:c>
    </x:row>
    <x:row r="28">
      <x:c r="L28" s="28" t="str">
        <x:v>润</x:v>
      </x:c>
    </x:row>
    <x:row r="29">
      <x:c r="L29" s="28" t="str">
        <x:v>暖</x:v>
      </x:c>
    </x:row>
    <x:row r="30">
      <x:c r="L30" s="28" t="str">
        <x:v>燥湿</x:v>
      </x:c>
    </x:row>
    <x:row r="31">
      <x:c r="L31" s="28" t="str">
        <x:v>清杂</x:v>
      </x:c>
    </x:row>
    <x:row r="32">
      <x:c r="L32" s="28" t="str">
        <x:v>护格</x:v>
      </x:c>
    </x:row>
    <x:row r="33">
      <x:c r="L33" s="28" t="str">
        <x:v>救应</x:v>
      </x:c>
    </x:row>
    <x:row r="34">
      <x:c r="L34" s="28" t="str">
        <x:v>其他</x:v>
      </x:c>
    </x:row>
  </x:sheetData>
  <x:mergeCells>
    <x:mergeCell ref="A1:BG1"/>
    <x:mergeCell ref="A2:BG2"/>
  </x:mergeCells>
  <x:pageMargins left="0.7" right="0.7" top="0.75" bottom="0.75" header="0.3" footer="0.3"/>
</x:worksheet>
</file>